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업무인수인계\6.실적보고\2025년\stodashboard\frontend\public\data\"/>
    </mc:Choice>
  </mc:AlternateContent>
  <xr:revisionPtr revIDLastSave="0" documentId="13_ncr:1_{C2F9BD45-1073-4E45-843F-0F9F61F1ED7E}" xr6:coauthVersionLast="47" xr6:coauthVersionMax="47" xr10:uidLastSave="{00000000-0000-0000-0000-000000000000}"/>
  <bookViews>
    <workbookView xWindow="-120" yWindow="-120" windowWidth="29040" windowHeight="15720" activeTab="4" xr2:uid="{879397ED-F304-4C31-8488-8A2485BF1DD2}"/>
  </bookViews>
  <sheets>
    <sheet name="PL_before" sheetId="2" r:id="rId1"/>
    <sheet name="PL_after" sheetId="4" r:id="rId2"/>
    <sheet name="Inven_before" sheetId="3" r:id="rId3"/>
    <sheet name="Inven_after" sheetId="5" r:id="rId4"/>
    <sheet name="Cash_before" sheetId="6" r:id="rId5"/>
    <sheet name="Cash_after" sheetId="7" r:id="rId6"/>
  </sheets>
  <externalReferences>
    <externalReference r:id="rId7"/>
    <externalReference r:id="rId8"/>
    <externalReference r:id="rId9"/>
    <externalReference r:id="rId10"/>
  </externalReferences>
  <definedNames>
    <definedName name="_" localSheetId="5" hidden="1">#REF!</definedName>
    <definedName name="_" localSheetId="4" hidden="1">#REF!</definedName>
    <definedName name="_" localSheetId="3" hidden="1">#REF!</definedName>
    <definedName name="_" localSheetId="1" hidden="1">#REF!</definedName>
    <definedName name="_" hidden="1">#REF!</definedName>
    <definedName name="_?" localSheetId="3">#REF!</definedName>
    <definedName name="_?" localSheetId="1">#REF!</definedName>
    <definedName name="_?">#REF!</definedName>
    <definedName name="_?0_F" localSheetId="3" hidden="1">#REF!</definedName>
    <definedName name="_?0_F" localSheetId="1" hidden="1">#REF!</definedName>
    <definedName name="_?0_F" hidden="1">#REF!</definedName>
    <definedName name="_?춑_TOTAL" localSheetId="5">#REF!</definedName>
    <definedName name="_?춑_TOTAL" localSheetId="4">#REF!</definedName>
    <definedName name="_?춑_TOTAL" localSheetId="3">#REF!</definedName>
    <definedName name="_?춑_TOTAL" localSheetId="1">#REF!</definedName>
    <definedName name="_?춑_TOTAL">#REF!</definedName>
    <definedName name="_?춮t2" localSheetId="5">#REF!</definedName>
    <definedName name="_?춮t2" localSheetId="4">#REF!</definedName>
    <definedName name="_?춮t2" localSheetId="3">#REF!</definedName>
    <definedName name="_?춮t2" localSheetId="1">#REF!</definedName>
    <definedName name="_?춮t2">#REF!</definedName>
    <definedName name="_?춮ta" localSheetId="5">#REF!</definedName>
    <definedName name="_?춮ta" localSheetId="4">#REF!</definedName>
    <definedName name="_?춮ta" localSheetId="3">#REF!</definedName>
    <definedName name="_?춮ta" localSheetId="1">#REF!</definedName>
    <definedName name="_?춮ta">#REF!</definedName>
    <definedName name="_?춮tb" localSheetId="5">#REF!</definedName>
    <definedName name="_?춮tb" localSheetId="4">#REF!</definedName>
    <definedName name="_?춮tb" localSheetId="3">#REF!</definedName>
    <definedName name="_?춮tb" localSheetId="1">#REF!</definedName>
    <definedName name="_?춮tb">#REF!</definedName>
    <definedName name="__" localSheetId="3">#REF!</definedName>
    <definedName name="__" localSheetId="1">#REF!</definedName>
    <definedName name="__">#REF!</definedName>
    <definedName name="__?" localSheetId="3">#REF!</definedName>
    <definedName name="__?" localSheetId="1">#REF!</definedName>
    <definedName name="__?">#REF!</definedName>
    <definedName name="__?춑_TOTAL" localSheetId="5">#REF!</definedName>
    <definedName name="__?춑_TOTAL" localSheetId="4">#REF!</definedName>
    <definedName name="__?춑_TOTAL" localSheetId="3">#REF!</definedName>
    <definedName name="__?춑_TOTAL" localSheetId="1">#REF!</definedName>
    <definedName name="__?춑_TOTAL">#REF!</definedName>
    <definedName name="__?춮t2" localSheetId="5">#REF!</definedName>
    <definedName name="__?춮t2" localSheetId="4">#REF!</definedName>
    <definedName name="__?춮t2" localSheetId="3">#REF!</definedName>
    <definedName name="__?춮t2" localSheetId="1">#REF!</definedName>
    <definedName name="__?춮t2">#REF!</definedName>
    <definedName name="__?춮ta" localSheetId="5">#REF!</definedName>
    <definedName name="__?춮ta" localSheetId="4">#REF!</definedName>
    <definedName name="__?춮ta" localSheetId="3">#REF!</definedName>
    <definedName name="__?춮ta" localSheetId="1">#REF!</definedName>
    <definedName name="__?춮ta">#REF!</definedName>
    <definedName name="__?춮tb" localSheetId="5">#REF!</definedName>
    <definedName name="__?춮tb" localSheetId="4">#REF!</definedName>
    <definedName name="__?춮tb" localSheetId="3">#REF!</definedName>
    <definedName name="__?춮tb" localSheetId="1">#REF!</definedName>
    <definedName name="__?춮tb">#REF!</definedName>
    <definedName name="___" localSheetId="3">#REF!</definedName>
    <definedName name="___" localSheetId="1">#REF!</definedName>
    <definedName name="___">#REF!</definedName>
    <definedName name="___?" localSheetId="3">#REF!</definedName>
    <definedName name="___?" localSheetId="1">#REF!</definedName>
    <definedName name="___?">#REF!</definedName>
    <definedName name="___?춑_TOTAL" localSheetId="5">#REF!</definedName>
    <definedName name="___?춑_TOTAL" localSheetId="4">#REF!</definedName>
    <definedName name="___?춑_TOTAL" localSheetId="3">#REF!</definedName>
    <definedName name="___?춑_TOTAL" localSheetId="1">#REF!</definedName>
    <definedName name="___?춑_TOTAL">#REF!</definedName>
    <definedName name="____" localSheetId="3">#REF!</definedName>
    <definedName name="____" localSheetId="1">#REF!</definedName>
    <definedName name="____">#REF!</definedName>
    <definedName name="____?" localSheetId="3">#REF!</definedName>
    <definedName name="____?" localSheetId="1">#REF!</definedName>
    <definedName name="____?">#REF!</definedName>
    <definedName name="____?춑_TOTAL" localSheetId="5">#REF!</definedName>
    <definedName name="____?춑_TOTAL" localSheetId="4">#REF!</definedName>
    <definedName name="____?춑_TOTAL" localSheetId="3">#REF!</definedName>
    <definedName name="____?춑_TOTAL" localSheetId="1">#REF!</definedName>
    <definedName name="____?춑_TOTAL">#REF!</definedName>
    <definedName name="____?춮t2" localSheetId="5">#REF!</definedName>
    <definedName name="____?춮t2" localSheetId="4">#REF!</definedName>
    <definedName name="____?춮t2" localSheetId="3">#REF!</definedName>
    <definedName name="____?춮t2" localSheetId="1">#REF!</definedName>
    <definedName name="____?춮t2">#REF!</definedName>
    <definedName name="____?춮ta" localSheetId="5">#REF!</definedName>
    <definedName name="____?춮ta" localSheetId="4">#REF!</definedName>
    <definedName name="____?춮ta" localSheetId="3">#REF!</definedName>
    <definedName name="____?춮ta" localSheetId="1">#REF!</definedName>
    <definedName name="____?춮ta">#REF!</definedName>
    <definedName name="____?춮tb" localSheetId="5">#REF!</definedName>
    <definedName name="____?춮tb" localSheetId="4">#REF!</definedName>
    <definedName name="____?춮tb" localSheetId="3">#REF!</definedName>
    <definedName name="____?춮tb" localSheetId="1">#REF!</definedName>
    <definedName name="____?춮tb">#REF!</definedName>
    <definedName name="_____" localSheetId="3">#REF!</definedName>
    <definedName name="_____" localSheetId="1">#REF!</definedName>
    <definedName name="_____">#REF!</definedName>
    <definedName name="_____?" localSheetId="3">#REF!</definedName>
    <definedName name="_____?" localSheetId="1">#REF!</definedName>
    <definedName name="_____?">#REF!</definedName>
    <definedName name="_____?춑_TOTAL" localSheetId="5">#REF!</definedName>
    <definedName name="_____?춑_TOTAL" localSheetId="4">#REF!</definedName>
    <definedName name="_____?춑_TOTAL" localSheetId="3">#REF!</definedName>
    <definedName name="_____?춑_TOTAL" localSheetId="1">#REF!</definedName>
    <definedName name="_____?춑_TOTAL">#REF!</definedName>
    <definedName name="______" localSheetId="3">#REF!</definedName>
    <definedName name="______" localSheetId="1">#REF!</definedName>
    <definedName name="______">#REF!</definedName>
    <definedName name="______?" localSheetId="3">#REF!</definedName>
    <definedName name="______?" localSheetId="1">#REF!</definedName>
    <definedName name="______?">#REF!</definedName>
    <definedName name="______?춑_TOTAL" localSheetId="5">#REF!</definedName>
    <definedName name="______?춑_TOTAL" localSheetId="4">#REF!</definedName>
    <definedName name="______?춑_TOTAL" localSheetId="3">#REF!</definedName>
    <definedName name="______?춑_TOTAL" localSheetId="1">#REF!</definedName>
    <definedName name="______?춑_TOTAL">#REF!</definedName>
    <definedName name="_______" localSheetId="3">#REF!</definedName>
    <definedName name="_______" localSheetId="1">#REF!</definedName>
    <definedName name="_______">#REF!</definedName>
    <definedName name="_______?" localSheetId="3">#REF!</definedName>
    <definedName name="_______?" localSheetId="1">#REF!</definedName>
    <definedName name="_______?">#REF!</definedName>
    <definedName name="_______?춑_TOTAL" localSheetId="5">#REF!</definedName>
    <definedName name="_______?춑_TOTAL" localSheetId="4">#REF!</definedName>
    <definedName name="_______?춑_TOTAL" localSheetId="3">#REF!</definedName>
    <definedName name="_______?춑_TOTAL" localSheetId="1">#REF!</definedName>
    <definedName name="_______?춑_TOTAL">#REF!</definedName>
    <definedName name="________" localSheetId="3">#REF!</definedName>
    <definedName name="________" localSheetId="1">#REF!</definedName>
    <definedName name="________">#REF!</definedName>
    <definedName name="________?" localSheetId="3">#REF!</definedName>
    <definedName name="________?" localSheetId="1">#REF!</definedName>
    <definedName name="________?">#REF!</definedName>
    <definedName name="________?춑_TOTAL" localSheetId="5">#REF!</definedName>
    <definedName name="________?춑_TOTAL" localSheetId="4">#REF!</definedName>
    <definedName name="________?춑_TOTAL" localSheetId="3">#REF!</definedName>
    <definedName name="________?춑_TOTAL" localSheetId="1">#REF!</definedName>
    <definedName name="________?춑_TOTAL">#REF!</definedName>
    <definedName name="_________" localSheetId="3">#REF!</definedName>
    <definedName name="_________" localSheetId="1">#REF!</definedName>
    <definedName name="_________">#REF!</definedName>
    <definedName name="_________?" localSheetId="3">#REF!</definedName>
    <definedName name="_________?" localSheetId="1">#REF!</definedName>
    <definedName name="_________?">#REF!</definedName>
    <definedName name="_________?춑_TOTAL" localSheetId="5">#REF!</definedName>
    <definedName name="_________?춑_TOTAL" localSheetId="4">#REF!</definedName>
    <definedName name="_________?춑_TOTAL" localSheetId="3">#REF!</definedName>
    <definedName name="_________?춑_TOTAL" localSheetId="1">#REF!</definedName>
    <definedName name="_________?춑_TOTAL">#REF!</definedName>
    <definedName name="__________" localSheetId="3">#REF!</definedName>
    <definedName name="__________" localSheetId="1">#REF!</definedName>
    <definedName name="__________">#REF!</definedName>
    <definedName name="__________?" localSheetId="3">#REF!</definedName>
    <definedName name="__________?" localSheetId="1">#REF!</definedName>
    <definedName name="__________?">#REF!</definedName>
    <definedName name="__________?춑_TOTAL" localSheetId="5">#REF!</definedName>
    <definedName name="__________?춑_TOTAL" localSheetId="4">#REF!</definedName>
    <definedName name="__________?춑_TOTAL" localSheetId="3">#REF!</definedName>
    <definedName name="__________?춑_TOTAL" localSheetId="1">#REF!</definedName>
    <definedName name="__________?춑_TOTAL">#REF!</definedName>
    <definedName name="___________" localSheetId="3">#REF!</definedName>
    <definedName name="___________" localSheetId="1">#REF!</definedName>
    <definedName name="___________">#REF!</definedName>
    <definedName name="___________?" localSheetId="3">#REF!</definedName>
    <definedName name="___________?" localSheetId="1">#REF!</definedName>
    <definedName name="___________?">#REF!</definedName>
    <definedName name="___________?춑_TOTAL" localSheetId="5">#REF!</definedName>
    <definedName name="___________?춑_TOTAL" localSheetId="4">#REF!</definedName>
    <definedName name="___________?춑_TOTAL" localSheetId="3">#REF!</definedName>
    <definedName name="___________?춑_TOTAL" localSheetId="1">#REF!</definedName>
    <definedName name="___________?춑_TOTAL">#REF!</definedName>
    <definedName name="____________?" localSheetId="3">#REF!</definedName>
    <definedName name="____________?" localSheetId="1">#REF!</definedName>
    <definedName name="____________?">#REF!</definedName>
    <definedName name="____________?춑_TOTAL" localSheetId="5">#REF!</definedName>
    <definedName name="____________?춑_TOTAL" localSheetId="4">#REF!</definedName>
    <definedName name="____________?춑_TOTAL" localSheetId="3">#REF!</definedName>
    <definedName name="____________?춑_TOTAL" localSheetId="1">#REF!</definedName>
    <definedName name="____________?춑_TOTAL">#REF!</definedName>
    <definedName name="_____________?" localSheetId="3">#REF!</definedName>
    <definedName name="_____________?" localSheetId="1">#REF!</definedName>
    <definedName name="_____________?">#REF!</definedName>
    <definedName name="___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 localSheetId="5">#REF!</definedName>
    <definedName name="____________________C332897" localSheetId="4">#REF!</definedName>
    <definedName name="____________________C332897" localSheetId="3">#REF!</definedName>
    <definedName name="____________________C332897" localSheetId="1">#REF!</definedName>
    <definedName name="____________________C332897">#REF!</definedName>
    <definedName name="____________________E65954" localSheetId="3">#REF!</definedName>
    <definedName name="____________________E65954" localSheetId="1">#REF!</definedName>
    <definedName name="____________________E65954">#REF!</definedName>
    <definedName name="_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 localSheetId="5">#REF!</definedName>
    <definedName name="___________________C332897" localSheetId="4">#REF!</definedName>
    <definedName name="___________________C332897" localSheetId="3">#REF!</definedName>
    <definedName name="___________________C332897" localSheetId="1">#REF!</definedName>
    <definedName name="___________________C332897">#REF!</definedName>
    <definedName name="___________________E65954" localSheetId="3">#REF!</definedName>
    <definedName name="___________________E65954" localSheetId="1">#REF!</definedName>
    <definedName name="___________________E65954">#REF!</definedName>
    <definedName name="_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 localSheetId="5">#REF!</definedName>
    <definedName name="__________________C332897" localSheetId="4">#REF!</definedName>
    <definedName name="__________________C332897" localSheetId="3">#REF!</definedName>
    <definedName name="__________________C332897" localSheetId="1">#REF!</definedName>
    <definedName name="__________________C332897">#REF!</definedName>
    <definedName name="__________________E65954" localSheetId="3">#REF!</definedName>
    <definedName name="__________________E65954" localSheetId="1">#REF!</definedName>
    <definedName name="__________________E65954">#REF!</definedName>
    <definedName name="_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 localSheetId="5">#REF!</definedName>
    <definedName name="_________________C332897" localSheetId="4">#REF!</definedName>
    <definedName name="_________________C332897" localSheetId="3">#REF!</definedName>
    <definedName name="_________________C332897" localSheetId="1">#REF!</definedName>
    <definedName name="_________________C332897">#REF!</definedName>
    <definedName name="_________________E65954" localSheetId="3">#REF!</definedName>
    <definedName name="_________________E65954" localSheetId="1">#REF!</definedName>
    <definedName name="_________________E65954">#REF!</definedName>
    <definedName name="_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 localSheetId="5">#REF!</definedName>
    <definedName name="________________C332897" localSheetId="4">#REF!</definedName>
    <definedName name="________________C332897" localSheetId="3">#REF!</definedName>
    <definedName name="________________C332897" localSheetId="1">#REF!</definedName>
    <definedName name="________________C332897">#REF!</definedName>
    <definedName name="________________E65954" localSheetId="3">#REF!</definedName>
    <definedName name="________________E65954" localSheetId="1">#REF!</definedName>
    <definedName name="________________E65954">#REF!</definedName>
    <definedName name="_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 localSheetId="5">#REF!</definedName>
    <definedName name="_______________C332897" localSheetId="4">#REF!</definedName>
    <definedName name="_______________C332897" localSheetId="3">#REF!</definedName>
    <definedName name="_______________C332897" localSheetId="1">#REF!</definedName>
    <definedName name="_______________C332897">#REF!</definedName>
    <definedName name="_______________E65954" localSheetId="3">#REF!</definedName>
    <definedName name="_______________E65954" localSheetId="1">#REF!</definedName>
    <definedName name="_______________E65954">#REF!</definedName>
    <definedName name="_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 localSheetId="5">#REF!</definedName>
    <definedName name="______________C332897" localSheetId="4">#REF!</definedName>
    <definedName name="______________C332897" localSheetId="3">#REF!</definedName>
    <definedName name="______________C332897" localSheetId="1">#REF!</definedName>
    <definedName name="______________C332897">#REF!</definedName>
    <definedName name="______________E65954" localSheetId="3">#REF!</definedName>
    <definedName name="______________E65954" localSheetId="1">#REF!</definedName>
    <definedName name="______________E65954">#REF!</definedName>
    <definedName name="_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 localSheetId="5">#REF!</definedName>
    <definedName name="_____________Ａ４" localSheetId="4">#REF!</definedName>
    <definedName name="_____________Ａ４" localSheetId="3">#REF!</definedName>
    <definedName name="_____________Ａ４" localSheetId="1">#REF!</definedName>
    <definedName name="_____________Ａ４">#REF!</definedName>
    <definedName name="_____________C1244ㅁ1430" localSheetId="3">#REF!</definedName>
    <definedName name="_____________C1244ㅁ1430" localSheetId="1">#REF!</definedName>
    <definedName name="_____________C1244ㅁ1430">#REF!</definedName>
    <definedName name="_____________C332897" localSheetId="3">#REF!</definedName>
    <definedName name="_____________C332897" localSheetId="1">#REF!</definedName>
    <definedName name="_____________C332897">#REF!</definedName>
    <definedName name="_____________E65954" localSheetId="3">#REF!</definedName>
    <definedName name="_____________E65954" localSheetId="1">#REF!</definedName>
    <definedName name="_____________E65954">#REF!</definedName>
    <definedName name="_____________KD1" localSheetId="5">#REF!</definedName>
    <definedName name="_____________KD1" localSheetId="4">#REF!</definedName>
    <definedName name="_____________KD1" localSheetId="3">#REF!</definedName>
    <definedName name="_____________KD1" localSheetId="1">#REF!</definedName>
    <definedName name="_____________KD1">#REF!</definedName>
    <definedName name="_____________kz1" localSheetId="5" hidden="1">#REF!</definedName>
    <definedName name="_____________kz1" localSheetId="4" hidden="1">#REF!</definedName>
    <definedName name="_____________kz1" localSheetId="3" hidden="1">#REF!</definedName>
    <definedName name="_____________kz1" localSheetId="1" hidden="1">#REF!</definedName>
    <definedName name="_____________kz1" hidden="1">#REF!</definedName>
    <definedName name="_____________kz2" localSheetId="5" hidden="1">#REF!</definedName>
    <definedName name="_____________kz2" localSheetId="4" hidden="1">#REF!</definedName>
    <definedName name="_____________kz2" localSheetId="3" hidden="1">#REF!</definedName>
    <definedName name="_____________kz2" localSheetId="1" hidden="1">#REF!</definedName>
    <definedName name="_____________kz2" hidden="1">#REF!</definedName>
    <definedName name="_____________kz3" localSheetId="5" hidden="1">#REF!</definedName>
    <definedName name="_____________kz3" localSheetId="4" hidden="1">#REF!</definedName>
    <definedName name="_____________kz3" localSheetId="3" hidden="1">#REF!</definedName>
    <definedName name="_____________kz3" localSheetId="1" hidden="1">#REF!</definedName>
    <definedName name="_____________kz3" hidden="1">#REF!</definedName>
    <definedName name="_____________kz4" localSheetId="5" hidden="1">#REF!</definedName>
    <definedName name="_____________kz4" localSheetId="4" hidden="1">#REF!</definedName>
    <definedName name="_____________kz4" localSheetId="3" hidden="1">#REF!</definedName>
    <definedName name="_____________kz4" localSheetId="1" hidden="1">#REF!</definedName>
    <definedName name="_____________kz4" hidden="1">#REF!</definedName>
    <definedName name="_____________kz5" localSheetId="5" hidden="1">#REF!</definedName>
    <definedName name="_____________kz5" localSheetId="4" hidden="1">#REF!</definedName>
    <definedName name="_____________kz5" localSheetId="3" hidden="1">#REF!</definedName>
    <definedName name="_____________kz5" localSheetId="1" hidden="1">#REF!</definedName>
    <definedName name="_____________kz5" hidden="1">#REF!</definedName>
    <definedName name="_____________kz6" localSheetId="5" hidden="1">#REF!</definedName>
    <definedName name="_____________kz6" localSheetId="4" hidden="1">#REF!</definedName>
    <definedName name="_____________kz6" localSheetId="3" hidden="1">#REF!</definedName>
    <definedName name="_____________kz6" localSheetId="1" hidden="1">#REF!</definedName>
    <definedName name="_____________kz6" hidden="1">#REF!</definedName>
    <definedName name="_____________kz7" localSheetId="5" hidden="1">#REF!</definedName>
    <definedName name="_____________kz7" localSheetId="4" hidden="1">#REF!</definedName>
    <definedName name="_____________kz7" localSheetId="3" hidden="1">#REF!</definedName>
    <definedName name="_____________kz7" localSheetId="1" hidden="1">#REF!</definedName>
    <definedName name="_____________kz7" hidden="1">#REF!</definedName>
    <definedName name="_____________kz8" localSheetId="5" hidden="1">#REF!</definedName>
    <definedName name="_____________kz8" localSheetId="4" hidden="1">#REF!</definedName>
    <definedName name="_____________kz8" localSheetId="3" hidden="1">#REF!</definedName>
    <definedName name="_____________kz8" localSheetId="1" hidden="1">#REF!</definedName>
    <definedName name="_____________kz8" hidden="1">#REF!</definedName>
    <definedName name="_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 localSheetId="5">#REF!</definedName>
    <definedName name="____________Ａ４" localSheetId="4">#REF!</definedName>
    <definedName name="____________Ａ４" localSheetId="3">#REF!</definedName>
    <definedName name="____________Ａ４" localSheetId="1">#REF!</definedName>
    <definedName name="____________Ａ４">#REF!</definedName>
    <definedName name="____________C1244ㅁ1430" localSheetId="3">#REF!</definedName>
    <definedName name="____________C1244ㅁ1430" localSheetId="1">#REF!</definedName>
    <definedName name="____________C1244ㅁ1430">#REF!</definedName>
    <definedName name="____________C332897" localSheetId="3">#REF!</definedName>
    <definedName name="____________C332897" localSheetId="1">#REF!</definedName>
    <definedName name="____________C332897">#REF!</definedName>
    <definedName name="____________E65954" localSheetId="3">#REF!</definedName>
    <definedName name="____________E65954" localSheetId="1">#REF!</definedName>
    <definedName name="____________E65954">#REF!</definedName>
    <definedName name="____________KD1" localSheetId="5">#REF!</definedName>
    <definedName name="____________KD1" localSheetId="4">#REF!</definedName>
    <definedName name="____________KD1" localSheetId="3">#REF!</definedName>
    <definedName name="____________KD1" localSheetId="1">#REF!</definedName>
    <definedName name="____________KD1">#REF!</definedName>
    <definedName name="____________kz1" localSheetId="5" hidden="1">#REF!</definedName>
    <definedName name="____________kz1" localSheetId="4" hidden="1">#REF!</definedName>
    <definedName name="____________kz1" localSheetId="3" hidden="1">#REF!</definedName>
    <definedName name="____________kz1" localSheetId="1" hidden="1">#REF!</definedName>
    <definedName name="____________kz1" hidden="1">#REF!</definedName>
    <definedName name="____________kz2" localSheetId="5" hidden="1">#REF!</definedName>
    <definedName name="____________kz2" localSheetId="4" hidden="1">#REF!</definedName>
    <definedName name="____________kz2" localSheetId="3" hidden="1">#REF!</definedName>
    <definedName name="____________kz2" localSheetId="1" hidden="1">#REF!</definedName>
    <definedName name="____________kz2" hidden="1">#REF!</definedName>
    <definedName name="____________kz3" localSheetId="5" hidden="1">#REF!</definedName>
    <definedName name="____________kz3" localSheetId="4" hidden="1">#REF!</definedName>
    <definedName name="____________kz3" localSheetId="3" hidden="1">#REF!</definedName>
    <definedName name="____________kz3" localSheetId="1" hidden="1">#REF!</definedName>
    <definedName name="____________kz3" hidden="1">#REF!</definedName>
    <definedName name="____________kz4" localSheetId="5" hidden="1">#REF!</definedName>
    <definedName name="____________kz4" localSheetId="4" hidden="1">#REF!</definedName>
    <definedName name="____________kz4" localSheetId="3" hidden="1">#REF!</definedName>
    <definedName name="____________kz4" localSheetId="1" hidden="1">#REF!</definedName>
    <definedName name="____________kz4" hidden="1">#REF!</definedName>
    <definedName name="____________kz5" localSheetId="5" hidden="1">#REF!</definedName>
    <definedName name="____________kz5" localSheetId="4" hidden="1">#REF!</definedName>
    <definedName name="____________kz5" localSheetId="3" hidden="1">#REF!</definedName>
    <definedName name="____________kz5" localSheetId="1" hidden="1">#REF!</definedName>
    <definedName name="____________kz5" hidden="1">#REF!</definedName>
    <definedName name="____________kz6" localSheetId="5" hidden="1">#REF!</definedName>
    <definedName name="____________kz6" localSheetId="4" hidden="1">#REF!</definedName>
    <definedName name="____________kz6" localSheetId="3" hidden="1">#REF!</definedName>
    <definedName name="____________kz6" localSheetId="1" hidden="1">#REF!</definedName>
    <definedName name="____________kz6" hidden="1">#REF!</definedName>
    <definedName name="____________kz7" localSheetId="5" hidden="1">#REF!</definedName>
    <definedName name="____________kz7" localSheetId="4" hidden="1">#REF!</definedName>
    <definedName name="____________kz7" localSheetId="3" hidden="1">#REF!</definedName>
    <definedName name="____________kz7" localSheetId="1" hidden="1">#REF!</definedName>
    <definedName name="____________kz7" hidden="1">#REF!</definedName>
    <definedName name="____________kz8" localSheetId="5" hidden="1">#REF!</definedName>
    <definedName name="____________kz8" localSheetId="4" hidden="1">#REF!</definedName>
    <definedName name="____________kz8" localSheetId="3" hidden="1">#REF!</definedName>
    <definedName name="____________kz8" localSheetId="1" hidden="1">#REF!</definedName>
    <definedName name="____________kz8" hidden="1">#REF!</definedName>
    <definedName name="_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 localSheetId="5">#REF!</definedName>
    <definedName name="___________Ａ４" localSheetId="4">#REF!</definedName>
    <definedName name="___________Ａ４" localSheetId="3">#REF!</definedName>
    <definedName name="___________Ａ４" localSheetId="1">#REF!</definedName>
    <definedName name="___________Ａ４">#REF!</definedName>
    <definedName name="___________C1244ㅁ1430" localSheetId="3">#REF!</definedName>
    <definedName name="___________C1244ㅁ1430" localSheetId="1">#REF!</definedName>
    <definedName name="___________C1244ㅁ1430">#REF!</definedName>
    <definedName name="___________C332897" localSheetId="3">#REF!</definedName>
    <definedName name="___________C332897" localSheetId="1">#REF!</definedName>
    <definedName name="___________C332897">#REF!</definedName>
    <definedName name="___________E65954" localSheetId="3">#REF!</definedName>
    <definedName name="___________E65954" localSheetId="1">#REF!</definedName>
    <definedName name="___________E65954">#REF!</definedName>
    <definedName name="___________KD1" localSheetId="5">#REF!</definedName>
    <definedName name="___________KD1" localSheetId="4">#REF!</definedName>
    <definedName name="___________KD1" localSheetId="3">#REF!</definedName>
    <definedName name="___________KD1" localSheetId="1">#REF!</definedName>
    <definedName name="___________KD1">#REF!</definedName>
    <definedName name="___________kz1" localSheetId="5" hidden="1">#REF!</definedName>
    <definedName name="___________kz1" localSheetId="4" hidden="1">#REF!</definedName>
    <definedName name="___________kz1" localSheetId="3" hidden="1">#REF!</definedName>
    <definedName name="___________kz1" localSheetId="1" hidden="1">#REF!</definedName>
    <definedName name="___________kz1" hidden="1">#REF!</definedName>
    <definedName name="___________kz2" localSheetId="5" hidden="1">#REF!</definedName>
    <definedName name="___________kz2" localSheetId="4" hidden="1">#REF!</definedName>
    <definedName name="___________kz2" localSheetId="3" hidden="1">#REF!</definedName>
    <definedName name="___________kz2" localSheetId="1" hidden="1">#REF!</definedName>
    <definedName name="___________kz2" hidden="1">#REF!</definedName>
    <definedName name="___________kz3" localSheetId="5" hidden="1">#REF!</definedName>
    <definedName name="___________kz3" localSheetId="4" hidden="1">#REF!</definedName>
    <definedName name="___________kz3" localSheetId="3" hidden="1">#REF!</definedName>
    <definedName name="___________kz3" localSheetId="1" hidden="1">#REF!</definedName>
    <definedName name="___________kz3" hidden="1">#REF!</definedName>
    <definedName name="___________kz4" localSheetId="5" hidden="1">#REF!</definedName>
    <definedName name="___________kz4" localSheetId="4" hidden="1">#REF!</definedName>
    <definedName name="___________kz4" localSheetId="3" hidden="1">#REF!</definedName>
    <definedName name="___________kz4" localSheetId="1" hidden="1">#REF!</definedName>
    <definedName name="___________kz4" hidden="1">#REF!</definedName>
    <definedName name="___________kz5" localSheetId="5" hidden="1">#REF!</definedName>
    <definedName name="___________kz5" localSheetId="4" hidden="1">#REF!</definedName>
    <definedName name="___________kz5" localSheetId="3" hidden="1">#REF!</definedName>
    <definedName name="___________kz5" localSheetId="1" hidden="1">#REF!</definedName>
    <definedName name="___________kz5" hidden="1">#REF!</definedName>
    <definedName name="___________kz6" localSheetId="5" hidden="1">#REF!</definedName>
    <definedName name="___________kz6" localSheetId="4" hidden="1">#REF!</definedName>
    <definedName name="___________kz6" localSheetId="3" hidden="1">#REF!</definedName>
    <definedName name="___________kz6" localSheetId="1" hidden="1">#REF!</definedName>
    <definedName name="___________kz6" hidden="1">#REF!</definedName>
    <definedName name="___________kz7" localSheetId="5" hidden="1">#REF!</definedName>
    <definedName name="___________kz7" localSheetId="4" hidden="1">#REF!</definedName>
    <definedName name="___________kz7" localSheetId="3" hidden="1">#REF!</definedName>
    <definedName name="___________kz7" localSheetId="1" hidden="1">#REF!</definedName>
    <definedName name="___________kz7" hidden="1">#REF!</definedName>
    <definedName name="___________kz8" localSheetId="5" hidden="1">#REF!</definedName>
    <definedName name="___________kz8" localSheetId="4" hidden="1">#REF!</definedName>
    <definedName name="___________kz8" localSheetId="3" hidden="1">#REF!</definedName>
    <definedName name="___________kz8" localSheetId="1" hidden="1">#REF!</definedName>
    <definedName name="___________kz8" hidden="1">#REF!</definedName>
    <definedName name="_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 localSheetId="5">#REF!</definedName>
    <definedName name="__________Ａ４" localSheetId="4">#REF!</definedName>
    <definedName name="__________Ａ４" localSheetId="3">#REF!</definedName>
    <definedName name="__________Ａ４" localSheetId="1">#REF!</definedName>
    <definedName name="__________Ａ４">#REF!</definedName>
    <definedName name="__________C1244ㅁ1430" localSheetId="3">#REF!</definedName>
    <definedName name="__________C1244ㅁ1430" localSheetId="1">#REF!</definedName>
    <definedName name="__________C1244ㅁ1430">#REF!</definedName>
    <definedName name="__________C332897" localSheetId="3">#REF!</definedName>
    <definedName name="__________C332897" localSheetId="1">#REF!</definedName>
    <definedName name="__________C332897">#REF!</definedName>
    <definedName name="__________E65954" localSheetId="3">#REF!</definedName>
    <definedName name="__________E65954" localSheetId="1">#REF!</definedName>
    <definedName name="__________E65954">#REF!</definedName>
    <definedName name="__________KD1" localSheetId="5">#REF!</definedName>
    <definedName name="__________KD1" localSheetId="4">#REF!</definedName>
    <definedName name="__________KD1" localSheetId="3">#REF!</definedName>
    <definedName name="__________KD1" localSheetId="1">#REF!</definedName>
    <definedName name="__________KD1">#REF!</definedName>
    <definedName name="__________kz1" localSheetId="5" hidden="1">#REF!</definedName>
    <definedName name="__________kz1" localSheetId="4" hidden="1">#REF!</definedName>
    <definedName name="__________kz1" localSheetId="3" hidden="1">#REF!</definedName>
    <definedName name="__________kz1" localSheetId="1" hidden="1">#REF!</definedName>
    <definedName name="__________kz1" hidden="1">#REF!</definedName>
    <definedName name="__________kz2" localSheetId="5" hidden="1">#REF!</definedName>
    <definedName name="__________kz2" localSheetId="4" hidden="1">#REF!</definedName>
    <definedName name="__________kz2" localSheetId="3" hidden="1">#REF!</definedName>
    <definedName name="__________kz2" localSheetId="1" hidden="1">#REF!</definedName>
    <definedName name="__________kz2" hidden="1">#REF!</definedName>
    <definedName name="__________kz3" localSheetId="5" hidden="1">#REF!</definedName>
    <definedName name="__________kz3" localSheetId="4" hidden="1">#REF!</definedName>
    <definedName name="__________kz3" localSheetId="3" hidden="1">#REF!</definedName>
    <definedName name="__________kz3" localSheetId="1" hidden="1">#REF!</definedName>
    <definedName name="__________kz3" hidden="1">#REF!</definedName>
    <definedName name="__________kz4" localSheetId="5" hidden="1">#REF!</definedName>
    <definedName name="__________kz4" localSheetId="4" hidden="1">#REF!</definedName>
    <definedName name="__________kz4" localSheetId="3" hidden="1">#REF!</definedName>
    <definedName name="__________kz4" localSheetId="1" hidden="1">#REF!</definedName>
    <definedName name="__________kz4" hidden="1">#REF!</definedName>
    <definedName name="__________kz5" localSheetId="5" hidden="1">#REF!</definedName>
    <definedName name="__________kz5" localSheetId="4" hidden="1">#REF!</definedName>
    <definedName name="__________kz5" localSheetId="3" hidden="1">#REF!</definedName>
    <definedName name="__________kz5" localSheetId="1" hidden="1">#REF!</definedName>
    <definedName name="__________kz5" hidden="1">#REF!</definedName>
    <definedName name="__________kz6" localSheetId="5" hidden="1">#REF!</definedName>
    <definedName name="__________kz6" localSheetId="4" hidden="1">#REF!</definedName>
    <definedName name="__________kz6" localSheetId="3" hidden="1">#REF!</definedName>
    <definedName name="__________kz6" localSheetId="1" hidden="1">#REF!</definedName>
    <definedName name="__________kz6" hidden="1">#REF!</definedName>
    <definedName name="__________kz7" localSheetId="5" hidden="1">#REF!</definedName>
    <definedName name="__________kz7" localSheetId="4" hidden="1">#REF!</definedName>
    <definedName name="__________kz7" localSheetId="3" hidden="1">#REF!</definedName>
    <definedName name="__________kz7" localSheetId="1" hidden="1">#REF!</definedName>
    <definedName name="__________kz7" hidden="1">#REF!</definedName>
    <definedName name="__________kz8" localSheetId="5" hidden="1">#REF!</definedName>
    <definedName name="__________kz8" localSheetId="4" hidden="1">#REF!</definedName>
    <definedName name="__________kz8" localSheetId="3" hidden="1">#REF!</definedName>
    <definedName name="__________kz8" localSheetId="1" hidden="1">#REF!</definedName>
    <definedName name="__________kz8" hidden="1">#REF!</definedName>
    <definedName name="_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 localSheetId="5">#REF!</definedName>
    <definedName name="_________Ａ４" localSheetId="4">#REF!</definedName>
    <definedName name="_________Ａ４" localSheetId="3">#REF!</definedName>
    <definedName name="_________Ａ４" localSheetId="1">#REF!</definedName>
    <definedName name="_________Ａ４">#REF!</definedName>
    <definedName name="_________C1244ㅁ1430" localSheetId="3">#REF!</definedName>
    <definedName name="_________C1244ㅁ1430" localSheetId="1">#REF!</definedName>
    <definedName name="_________C1244ㅁ1430">#REF!</definedName>
    <definedName name="_________C332897" localSheetId="3">#REF!</definedName>
    <definedName name="_________C332897" localSheetId="1">#REF!</definedName>
    <definedName name="_________C332897">#REF!</definedName>
    <definedName name="_________E65954" localSheetId="3">#REF!</definedName>
    <definedName name="_________E65954" localSheetId="1">#REF!</definedName>
    <definedName name="_________E65954">#REF!</definedName>
    <definedName name="_________KD1" localSheetId="5">#REF!</definedName>
    <definedName name="_________KD1" localSheetId="4">#REF!</definedName>
    <definedName name="_________KD1" localSheetId="3">#REF!</definedName>
    <definedName name="_________KD1" localSheetId="1">#REF!</definedName>
    <definedName name="_________KD1">#REF!</definedName>
    <definedName name="_________kz1" localSheetId="5" hidden="1">#REF!</definedName>
    <definedName name="_________kz1" localSheetId="4" hidden="1">#REF!</definedName>
    <definedName name="_________kz1" localSheetId="3" hidden="1">#REF!</definedName>
    <definedName name="_________kz1" localSheetId="1" hidden="1">#REF!</definedName>
    <definedName name="_________kz1" hidden="1">#REF!</definedName>
    <definedName name="_________kz2" localSheetId="5" hidden="1">#REF!</definedName>
    <definedName name="_________kz2" localSheetId="4" hidden="1">#REF!</definedName>
    <definedName name="_________kz2" localSheetId="3" hidden="1">#REF!</definedName>
    <definedName name="_________kz2" localSheetId="1" hidden="1">#REF!</definedName>
    <definedName name="_________kz2" hidden="1">#REF!</definedName>
    <definedName name="_________kz3" localSheetId="5" hidden="1">#REF!</definedName>
    <definedName name="_________kz3" localSheetId="4" hidden="1">#REF!</definedName>
    <definedName name="_________kz3" localSheetId="3" hidden="1">#REF!</definedName>
    <definedName name="_________kz3" localSheetId="1" hidden="1">#REF!</definedName>
    <definedName name="_________kz3" hidden="1">#REF!</definedName>
    <definedName name="_________kz4" localSheetId="5" hidden="1">#REF!</definedName>
    <definedName name="_________kz4" localSheetId="4" hidden="1">#REF!</definedName>
    <definedName name="_________kz4" localSheetId="3" hidden="1">#REF!</definedName>
    <definedName name="_________kz4" localSheetId="1" hidden="1">#REF!</definedName>
    <definedName name="_________kz4" hidden="1">#REF!</definedName>
    <definedName name="_________kz5" localSheetId="5" hidden="1">#REF!</definedName>
    <definedName name="_________kz5" localSheetId="4" hidden="1">#REF!</definedName>
    <definedName name="_________kz5" localSheetId="3" hidden="1">#REF!</definedName>
    <definedName name="_________kz5" localSheetId="1" hidden="1">#REF!</definedName>
    <definedName name="_________kz5" hidden="1">#REF!</definedName>
    <definedName name="_________kz6" localSheetId="5" hidden="1">#REF!</definedName>
    <definedName name="_________kz6" localSheetId="4" hidden="1">#REF!</definedName>
    <definedName name="_________kz6" localSheetId="3" hidden="1">#REF!</definedName>
    <definedName name="_________kz6" localSheetId="1" hidden="1">#REF!</definedName>
    <definedName name="_________kz6" hidden="1">#REF!</definedName>
    <definedName name="_________kz7" localSheetId="5" hidden="1">#REF!</definedName>
    <definedName name="_________kz7" localSheetId="4" hidden="1">#REF!</definedName>
    <definedName name="_________kz7" localSheetId="3" hidden="1">#REF!</definedName>
    <definedName name="_________kz7" localSheetId="1" hidden="1">#REF!</definedName>
    <definedName name="_________kz7" hidden="1">#REF!</definedName>
    <definedName name="_________kz8" localSheetId="5" hidden="1">#REF!</definedName>
    <definedName name="_________kz8" localSheetId="4" hidden="1">#REF!</definedName>
    <definedName name="_________kz8" localSheetId="3" hidden="1">#REF!</definedName>
    <definedName name="_________kz8" localSheetId="1" hidden="1">#REF!</definedName>
    <definedName name="_________kz8" hidden="1">#REF!</definedName>
    <definedName name="_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 localSheetId="5">#REF!</definedName>
    <definedName name="________Ａ４" localSheetId="4">#REF!</definedName>
    <definedName name="________Ａ４" localSheetId="3">#REF!</definedName>
    <definedName name="________Ａ４" localSheetId="1">#REF!</definedName>
    <definedName name="________Ａ４">#REF!</definedName>
    <definedName name="________C1244ㅁ1430" localSheetId="3">#REF!</definedName>
    <definedName name="________C1244ㅁ1430" localSheetId="1">#REF!</definedName>
    <definedName name="________C1244ㅁ1430">#REF!</definedName>
    <definedName name="________C332897" localSheetId="3">#REF!</definedName>
    <definedName name="________C332897" localSheetId="1">#REF!</definedName>
    <definedName name="________C332897">#REF!</definedName>
    <definedName name="________E65954" localSheetId="3">#REF!</definedName>
    <definedName name="________E65954" localSheetId="1">#REF!</definedName>
    <definedName name="________E65954">#REF!</definedName>
    <definedName name="________KD1" localSheetId="5">#REF!</definedName>
    <definedName name="________KD1" localSheetId="4">#REF!</definedName>
    <definedName name="________KD1" localSheetId="3">#REF!</definedName>
    <definedName name="________KD1" localSheetId="1">#REF!</definedName>
    <definedName name="________KD1">#REF!</definedName>
    <definedName name="________kz1" localSheetId="5" hidden="1">#REF!</definedName>
    <definedName name="________kz1" localSheetId="4" hidden="1">#REF!</definedName>
    <definedName name="________kz1" localSheetId="3" hidden="1">#REF!</definedName>
    <definedName name="________kz1" localSheetId="1" hidden="1">#REF!</definedName>
    <definedName name="________kz1" hidden="1">#REF!</definedName>
    <definedName name="________kz2" localSheetId="5" hidden="1">#REF!</definedName>
    <definedName name="________kz2" localSheetId="4" hidden="1">#REF!</definedName>
    <definedName name="________kz2" localSheetId="3" hidden="1">#REF!</definedName>
    <definedName name="________kz2" localSheetId="1" hidden="1">#REF!</definedName>
    <definedName name="________kz2" hidden="1">#REF!</definedName>
    <definedName name="________kz3" localSheetId="5" hidden="1">#REF!</definedName>
    <definedName name="________kz3" localSheetId="4" hidden="1">#REF!</definedName>
    <definedName name="________kz3" localSheetId="3" hidden="1">#REF!</definedName>
    <definedName name="________kz3" localSheetId="1" hidden="1">#REF!</definedName>
    <definedName name="________kz3" hidden="1">#REF!</definedName>
    <definedName name="________kz4" localSheetId="5" hidden="1">#REF!</definedName>
    <definedName name="________kz4" localSheetId="4" hidden="1">#REF!</definedName>
    <definedName name="________kz4" localSheetId="3" hidden="1">#REF!</definedName>
    <definedName name="________kz4" localSheetId="1" hidden="1">#REF!</definedName>
    <definedName name="________kz4" hidden="1">#REF!</definedName>
    <definedName name="________kz5" localSheetId="5" hidden="1">#REF!</definedName>
    <definedName name="________kz5" localSheetId="4" hidden="1">#REF!</definedName>
    <definedName name="________kz5" localSheetId="3" hidden="1">#REF!</definedName>
    <definedName name="________kz5" localSheetId="1" hidden="1">#REF!</definedName>
    <definedName name="________kz5" hidden="1">#REF!</definedName>
    <definedName name="________kz6" localSheetId="5" hidden="1">#REF!</definedName>
    <definedName name="________kz6" localSheetId="4" hidden="1">#REF!</definedName>
    <definedName name="________kz6" localSheetId="3" hidden="1">#REF!</definedName>
    <definedName name="________kz6" localSheetId="1" hidden="1">#REF!</definedName>
    <definedName name="________kz6" hidden="1">#REF!</definedName>
    <definedName name="________kz7" localSheetId="5" hidden="1">#REF!</definedName>
    <definedName name="________kz7" localSheetId="4" hidden="1">#REF!</definedName>
    <definedName name="________kz7" localSheetId="3" hidden="1">#REF!</definedName>
    <definedName name="________kz7" localSheetId="1" hidden="1">#REF!</definedName>
    <definedName name="________kz7" hidden="1">#REF!</definedName>
    <definedName name="________kz8" localSheetId="5" hidden="1">#REF!</definedName>
    <definedName name="________kz8" localSheetId="4" hidden="1">#REF!</definedName>
    <definedName name="________kz8" localSheetId="3" hidden="1">#REF!</definedName>
    <definedName name="________kz8" localSheetId="1" hidden="1">#REF!</definedName>
    <definedName name="________kz8" hidden="1">#REF!</definedName>
    <definedName name="_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 localSheetId="5">#REF!</definedName>
    <definedName name="_______A19999" localSheetId="4">#REF!</definedName>
    <definedName name="_______A19999" localSheetId="3">#REF!</definedName>
    <definedName name="_______A19999" localSheetId="1">#REF!</definedName>
    <definedName name="_______A19999">#REF!</definedName>
    <definedName name="_______A20000" localSheetId="3">#REF!</definedName>
    <definedName name="_______A20000" localSheetId="1">#REF!</definedName>
    <definedName name="_______A20000">#REF!</definedName>
    <definedName name="_______Ａ４" localSheetId="5">#REF!</definedName>
    <definedName name="_______Ａ４" localSheetId="4">#REF!</definedName>
    <definedName name="_______Ａ４" localSheetId="3">#REF!</definedName>
    <definedName name="_______Ａ４" localSheetId="1">#REF!</definedName>
    <definedName name="_______Ａ４">#REF!</definedName>
    <definedName name="_______A99999" localSheetId="3">#REF!</definedName>
    <definedName name="_______A99999" localSheetId="1">#REF!</definedName>
    <definedName name="_______A99999">#REF!</definedName>
    <definedName name="_______C1244ㅁ1430" localSheetId="3">#REF!</definedName>
    <definedName name="_______C1244ㅁ1430" localSheetId="1">#REF!</definedName>
    <definedName name="_______C1244ㅁ1430">#REF!</definedName>
    <definedName name="_______C332897" localSheetId="3">#REF!</definedName>
    <definedName name="_______C332897" localSheetId="1">#REF!</definedName>
    <definedName name="_______C332897">#REF!</definedName>
    <definedName name="_______E65954" localSheetId="3">#REF!</definedName>
    <definedName name="_______E65954" localSheetId="1">#REF!</definedName>
    <definedName name="_______E65954">#REF!</definedName>
    <definedName name="_______KD1" localSheetId="5">#REF!</definedName>
    <definedName name="_______KD1" localSheetId="4">#REF!</definedName>
    <definedName name="_______KD1" localSheetId="3">#REF!</definedName>
    <definedName name="_______KD1" localSheetId="1">#REF!</definedName>
    <definedName name="_______KD1">#REF!</definedName>
    <definedName name="_______kz1" localSheetId="5" hidden="1">#REF!</definedName>
    <definedName name="_______kz1" localSheetId="4" hidden="1">#REF!</definedName>
    <definedName name="_______kz1" localSheetId="3" hidden="1">#REF!</definedName>
    <definedName name="_______kz1" localSheetId="1" hidden="1">#REF!</definedName>
    <definedName name="_______kz1" hidden="1">#REF!</definedName>
    <definedName name="_______kz2" localSheetId="5" hidden="1">#REF!</definedName>
    <definedName name="_______kz2" localSheetId="4" hidden="1">#REF!</definedName>
    <definedName name="_______kz2" localSheetId="3" hidden="1">#REF!</definedName>
    <definedName name="_______kz2" localSheetId="1" hidden="1">#REF!</definedName>
    <definedName name="_______kz2" hidden="1">#REF!</definedName>
    <definedName name="_______kz3" localSheetId="5" hidden="1">#REF!</definedName>
    <definedName name="_______kz3" localSheetId="4" hidden="1">#REF!</definedName>
    <definedName name="_______kz3" localSheetId="3" hidden="1">#REF!</definedName>
    <definedName name="_______kz3" localSheetId="1" hidden="1">#REF!</definedName>
    <definedName name="_______kz3" hidden="1">#REF!</definedName>
    <definedName name="_______kz4" localSheetId="5" hidden="1">#REF!</definedName>
    <definedName name="_______kz4" localSheetId="4" hidden="1">#REF!</definedName>
    <definedName name="_______kz4" localSheetId="3" hidden="1">#REF!</definedName>
    <definedName name="_______kz4" localSheetId="1" hidden="1">#REF!</definedName>
    <definedName name="_______kz4" hidden="1">#REF!</definedName>
    <definedName name="_______kz5" localSheetId="5" hidden="1">#REF!</definedName>
    <definedName name="_______kz5" localSheetId="4" hidden="1">#REF!</definedName>
    <definedName name="_______kz5" localSheetId="3" hidden="1">#REF!</definedName>
    <definedName name="_______kz5" localSheetId="1" hidden="1">#REF!</definedName>
    <definedName name="_______kz5" hidden="1">#REF!</definedName>
    <definedName name="_______kz6" localSheetId="5" hidden="1">#REF!</definedName>
    <definedName name="_______kz6" localSheetId="4" hidden="1">#REF!</definedName>
    <definedName name="_______kz6" localSheetId="3" hidden="1">#REF!</definedName>
    <definedName name="_______kz6" localSheetId="1" hidden="1">#REF!</definedName>
    <definedName name="_______kz6" hidden="1">#REF!</definedName>
    <definedName name="_______kz7" localSheetId="5" hidden="1">#REF!</definedName>
    <definedName name="_______kz7" localSheetId="4" hidden="1">#REF!</definedName>
    <definedName name="_______kz7" localSheetId="3" hidden="1">#REF!</definedName>
    <definedName name="_______kz7" localSheetId="1" hidden="1">#REF!</definedName>
    <definedName name="_______kz7" hidden="1">#REF!</definedName>
    <definedName name="_______kz8" localSheetId="5" hidden="1">#REF!</definedName>
    <definedName name="_______kz8" localSheetId="4" hidden="1">#REF!</definedName>
    <definedName name="_______kz8" localSheetId="3" hidden="1">#REF!</definedName>
    <definedName name="_______kz8" localSheetId="1" hidden="1">#REF!</definedName>
    <definedName name="_______kz8" hidden="1">#REF!</definedName>
    <definedName name="_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 localSheetId="5">#REF!</definedName>
    <definedName name="_______ZZ16384" localSheetId="4">#REF!</definedName>
    <definedName name="_______ZZ16384" localSheetId="3">#REF!</definedName>
    <definedName name="_______ZZ16384" localSheetId="1">#REF!</definedName>
    <definedName name="_______ZZ16384">#REF!</definedName>
    <definedName name="______Ａ４" localSheetId="5">#REF!</definedName>
    <definedName name="______Ａ４" localSheetId="4">#REF!</definedName>
    <definedName name="______Ａ４" localSheetId="3">#REF!</definedName>
    <definedName name="______Ａ４" localSheetId="1">#REF!</definedName>
    <definedName name="______Ａ４">#REF!</definedName>
    <definedName name="______C1244ㅁ1430" localSheetId="3">#REF!</definedName>
    <definedName name="______C1244ㅁ1430" localSheetId="1">#REF!</definedName>
    <definedName name="______C1244ㅁ1430">#REF!</definedName>
    <definedName name="______C332897" localSheetId="3">#REF!</definedName>
    <definedName name="______C332897" localSheetId="1">#REF!</definedName>
    <definedName name="______C332897">#REF!</definedName>
    <definedName name="______E65954" localSheetId="3">#REF!</definedName>
    <definedName name="______E65954" localSheetId="1">#REF!</definedName>
    <definedName name="______E65954">#REF!</definedName>
    <definedName name="______KD1" localSheetId="5">#REF!</definedName>
    <definedName name="______KD1" localSheetId="4">#REF!</definedName>
    <definedName name="______KD1" localSheetId="3">#REF!</definedName>
    <definedName name="______KD1" localSheetId="1">#REF!</definedName>
    <definedName name="______KD1">#REF!</definedName>
    <definedName name="______kz1" localSheetId="5" hidden="1">#REF!</definedName>
    <definedName name="______kz1" localSheetId="4" hidden="1">#REF!</definedName>
    <definedName name="______kz1" localSheetId="3" hidden="1">#REF!</definedName>
    <definedName name="______kz1" localSheetId="1" hidden="1">#REF!</definedName>
    <definedName name="______kz1" hidden="1">#REF!</definedName>
    <definedName name="______kz2" localSheetId="5" hidden="1">#REF!</definedName>
    <definedName name="______kz2" localSheetId="4" hidden="1">#REF!</definedName>
    <definedName name="______kz2" localSheetId="3" hidden="1">#REF!</definedName>
    <definedName name="______kz2" localSheetId="1" hidden="1">#REF!</definedName>
    <definedName name="______kz2" hidden="1">#REF!</definedName>
    <definedName name="______kz3" localSheetId="5" hidden="1">#REF!</definedName>
    <definedName name="______kz3" localSheetId="4" hidden="1">#REF!</definedName>
    <definedName name="______kz3" localSheetId="3" hidden="1">#REF!</definedName>
    <definedName name="______kz3" localSheetId="1" hidden="1">#REF!</definedName>
    <definedName name="______kz3" hidden="1">#REF!</definedName>
    <definedName name="______kz4" localSheetId="5" hidden="1">#REF!</definedName>
    <definedName name="______kz4" localSheetId="4" hidden="1">#REF!</definedName>
    <definedName name="______kz4" localSheetId="3" hidden="1">#REF!</definedName>
    <definedName name="______kz4" localSheetId="1" hidden="1">#REF!</definedName>
    <definedName name="______kz4" hidden="1">#REF!</definedName>
    <definedName name="______kz5" localSheetId="5" hidden="1">#REF!</definedName>
    <definedName name="______kz5" localSheetId="4" hidden="1">#REF!</definedName>
    <definedName name="______kz5" localSheetId="3" hidden="1">#REF!</definedName>
    <definedName name="______kz5" localSheetId="1" hidden="1">#REF!</definedName>
    <definedName name="______kz5" hidden="1">#REF!</definedName>
    <definedName name="______kz6" localSheetId="5" hidden="1">#REF!</definedName>
    <definedName name="______kz6" localSheetId="4" hidden="1">#REF!</definedName>
    <definedName name="______kz6" localSheetId="3" hidden="1">#REF!</definedName>
    <definedName name="______kz6" localSheetId="1" hidden="1">#REF!</definedName>
    <definedName name="______kz6" hidden="1">#REF!</definedName>
    <definedName name="______kz7" localSheetId="5" hidden="1">#REF!</definedName>
    <definedName name="______kz7" localSheetId="4" hidden="1">#REF!</definedName>
    <definedName name="______kz7" localSheetId="3" hidden="1">#REF!</definedName>
    <definedName name="______kz7" localSheetId="1" hidden="1">#REF!</definedName>
    <definedName name="______kz7" hidden="1">#REF!</definedName>
    <definedName name="______kz8" localSheetId="5" hidden="1">#REF!</definedName>
    <definedName name="______kz8" localSheetId="4" hidden="1">#REF!</definedName>
    <definedName name="______kz8" localSheetId="3" hidden="1">#REF!</definedName>
    <definedName name="______kz8" localSheetId="1" hidden="1">#REF!</definedName>
    <definedName name="______kz8" hidden="1">#REF!</definedName>
    <definedName name="______R3_t">#N/A</definedName>
    <definedName name="______R3_t1">#N/A</definedName>
    <definedName name="_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 localSheetId="5">#REF!</definedName>
    <definedName name="_____Ａ４" localSheetId="4">#REF!</definedName>
    <definedName name="_____Ａ４" localSheetId="3">#REF!</definedName>
    <definedName name="_____Ａ４" localSheetId="1">#REF!</definedName>
    <definedName name="_____Ａ４">#REF!</definedName>
    <definedName name="_____A99999" localSheetId="3">#REF!</definedName>
    <definedName name="_____A99999" localSheetId="1">#REF!</definedName>
    <definedName name="_____A99999">#REF!</definedName>
    <definedName name="_____C1244ㅁ1430" localSheetId="3">#REF!</definedName>
    <definedName name="_____C1244ㅁ1430" localSheetId="1">#REF!</definedName>
    <definedName name="_____C1244ㅁ1430">#REF!</definedName>
    <definedName name="_____C332897" localSheetId="3">#REF!</definedName>
    <definedName name="_____C332897" localSheetId="1">#REF!</definedName>
    <definedName name="_____C332897">#REF!</definedName>
    <definedName name="_____E65954" localSheetId="3">#REF!</definedName>
    <definedName name="_____E65954" localSheetId="1">#REF!</definedName>
    <definedName name="_____E65954">#REF!</definedName>
    <definedName name="_____KD1" localSheetId="5">#REF!</definedName>
    <definedName name="_____KD1" localSheetId="4">#REF!</definedName>
    <definedName name="_____KD1" localSheetId="3">#REF!</definedName>
    <definedName name="_____KD1" localSheetId="1">#REF!</definedName>
    <definedName name="_____KD1">#REF!</definedName>
    <definedName name="_____kz1" localSheetId="5" hidden="1">#REF!</definedName>
    <definedName name="_____kz1" localSheetId="4" hidden="1">#REF!</definedName>
    <definedName name="_____kz1" localSheetId="3" hidden="1">#REF!</definedName>
    <definedName name="_____kz1" localSheetId="1" hidden="1">#REF!</definedName>
    <definedName name="_____kz1" hidden="1">#REF!</definedName>
    <definedName name="_____kz2" localSheetId="5" hidden="1">#REF!</definedName>
    <definedName name="_____kz2" localSheetId="4" hidden="1">#REF!</definedName>
    <definedName name="_____kz2" localSheetId="3" hidden="1">#REF!</definedName>
    <definedName name="_____kz2" localSheetId="1" hidden="1">#REF!</definedName>
    <definedName name="_____kz2" hidden="1">#REF!</definedName>
    <definedName name="_____kz3" localSheetId="5" hidden="1">#REF!</definedName>
    <definedName name="_____kz3" localSheetId="4" hidden="1">#REF!</definedName>
    <definedName name="_____kz3" localSheetId="3" hidden="1">#REF!</definedName>
    <definedName name="_____kz3" localSheetId="1" hidden="1">#REF!</definedName>
    <definedName name="_____kz3" hidden="1">#REF!</definedName>
    <definedName name="_____kz4" localSheetId="5" hidden="1">#REF!</definedName>
    <definedName name="_____kz4" localSheetId="4" hidden="1">#REF!</definedName>
    <definedName name="_____kz4" localSheetId="3" hidden="1">#REF!</definedName>
    <definedName name="_____kz4" localSheetId="1" hidden="1">#REF!</definedName>
    <definedName name="_____kz4" hidden="1">#REF!</definedName>
    <definedName name="_____kz5" localSheetId="5" hidden="1">#REF!</definedName>
    <definedName name="_____kz5" localSheetId="4" hidden="1">#REF!</definedName>
    <definedName name="_____kz5" localSheetId="3" hidden="1">#REF!</definedName>
    <definedName name="_____kz5" localSheetId="1" hidden="1">#REF!</definedName>
    <definedName name="_____kz5" hidden="1">#REF!</definedName>
    <definedName name="_____kz6" localSheetId="5" hidden="1">#REF!</definedName>
    <definedName name="_____kz6" localSheetId="4" hidden="1">#REF!</definedName>
    <definedName name="_____kz6" localSheetId="3" hidden="1">#REF!</definedName>
    <definedName name="_____kz6" localSheetId="1" hidden="1">#REF!</definedName>
    <definedName name="_____kz6" hidden="1">#REF!</definedName>
    <definedName name="_____kz7" localSheetId="5" hidden="1">#REF!</definedName>
    <definedName name="_____kz7" localSheetId="4" hidden="1">#REF!</definedName>
    <definedName name="_____kz7" localSheetId="3" hidden="1">#REF!</definedName>
    <definedName name="_____kz7" localSheetId="1" hidden="1">#REF!</definedName>
    <definedName name="_____kz7" hidden="1">#REF!</definedName>
    <definedName name="_____kz8" localSheetId="5" hidden="1">#REF!</definedName>
    <definedName name="_____kz8" localSheetId="4" hidden="1">#REF!</definedName>
    <definedName name="_____kz8" localSheetId="3" hidden="1">#REF!</definedName>
    <definedName name="_____kz8" localSheetId="1" hidden="1">#REF!</definedName>
    <definedName name="_____kz8" hidden="1">#REF!</definedName>
    <definedName name="_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 localSheetId="5">#REF!</definedName>
    <definedName name="_____ZZ16384" localSheetId="4">#REF!</definedName>
    <definedName name="_____ZZ16384" localSheetId="3">#REF!</definedName>
    <definedName name="_____ZZ16384" localSheetId="1">#REF!</definedName>
    <definedName name="_____ZZ16384">#REF!</definedName>
    <definedName name="____A19999" localSheetId="3">#REF!</definedName>
    <definedName name="____A19999" localSheetId="1">#REF!</definedName>
    <definedName name="____A19999">#REF!</definedName>
    <definedName name="____A20000" localSheetId="3">#REF!</definedName>
    <definedName name="____A20000" localSheetId="1">#REF!</definedName>
    <definedName name="____A20000">#REF!</definedName>
    <definedName name="____Ａ４" localSheetId="5">#REF!</definedName>
    <definedName name="____Ａ４" localSheetId="4">#REF!</definedName>
    <definedName name="____Ａ４" localSheetId="3">#REF!</definedName>
    <definedName name="____Ａ４" localSheetId="1">#REF!</definedName>
    <definedName name="____Ａ４">#REF!</definedName>
    <definedName name="____A99999" localSheetId="3">#REF!</definedName>
    <definedName name="____A99999" localSheetId="1">#REF!</definedName>
    <definedName name="____A99999">#REF!</definedName>
    <definedName name="____C1244ㅁ1430" localSheetId="3">#REF!</definedName>
    <definedName name="____C1244ㅁ1430" localSheetId="1">#REF!</definedName>
    <definedName name="____C1244ㅁ1430">#REF!</definedName>
    <definedName name="____C332897" localSheetId="3">#REF!</definedName>
    <definedName name="____C332897" localSheetId="1">#REF!</definedName>
    <definedName name="____C332897">#REF!</definedName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 localSheetId="5">#REF!</definedName>
    <definedName name="____E65954" localSheetId="4">#REF!</definedName>
    <definedName name="____E65954" localSheetId="3">#REF!</definedName>
    <definedName name="____E65954" localSheetId="1">#REF!</definedName>
    <definedName name="____E65954">#REF!</definedName>
    <definedName name="____GEL10" localSheetId="3">#REF!</definedName>
    <definedName name="____GEL10" localSheetId="1">#REF!</definedName>
    <definedName name="____GEL10">#REF!</definedName>
    <definedName name="____GG1" localSheetId="3">#REF!</definedName>
    <definedName name="____GG1" localSheetId="1">#REF!</definedName>
    <definedName name="____GG1">#REF!</definedName>
    <definedName name="____GTE10" localSheetId="3">#REF!</definedName>
    <definedName name="____GTE10" localSheetId="1">#REF!</definedName>
    <definedName name="____GTE10">#REF!</definedName>
    <definedName name="____INT2" localSheetId="5" hidden="1">{#N/A,#N/A,TRUE,"일정"}</definedName>
    <definedName name="____INT2" localSheetId="4" hidden="1">{#N/A,#N/A,TRUE,"일정"}</definedName>
    <definedName name="____INT2" localSheetId="3" hidden="1">{#N/A,#N/A,TRUE,"일정"}</definedName>
    <definedName name="____INT2" localSheetId="1" hidden="1">{#N/A,#N/A,TRUE,"일정"}</definedName>
    <definedName name="____INT2" hidden="1">{#N/A,#N/A,TRUE,"일정"}</definedName>
    <definedName name="__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 localSheetId="5">#REF!</definedName>
    <definedName name="____KD1" localSheetId="4">#REF!</definedName>
    <definedName name="____KD1" localSheetId="3">#REF!</definedName>
    <definedName name="____KD1" localSheetId="1">#REF!</definedName>
    <definedName name="____KD1">#REF!</definedName>
    <definedName name="____kz1" localSheetId="5" hidden="1">#REF!</definedName>
    <definedName name="____kz1" localSheetId="4" hidden="1">#REF!</definedName>
    <definedName name="____kz1" localSheetId="3" hidden="1">#REF!</definedName>
    <definedName name="____kz1" localSheetId="1" hidden="1">#REF!</definedName>
    <definedName name="____kz1" hidden="1">#REF!</definedName>
    <definedName name="____kz2" localSheetId="5" hidden="1">#REF!</definedName>
    <definedName name="____kz2" localSheetId="4" hidden="1">#REF!</definedName>
    <definedName name="____kz2" localSheetId="3" hidden="1">#REF!</definedName>
    <definedName name="____kz2" localSheetId="1" hidden="1">#REF!</definedName>
    <definedName name="____kz2" hidden="1">#REF!</definedName>
    <definedName name="____kz3" localSheetId="5" hidden="1">#REF!</definedName>
    <definedName name="____kz3" localSheetId="4" hidden="1">#REF!</definedName>
    <definedName name="____kz3" localSheetId="3" hidden="1">#REF!</definedName>
    <definedName name="____kz3" localSheetId="1" hidden="1">#REF!</definedName>
    <definedName name="____kz3" hidden="1">#REF!</definedName>
    <definedName name="____kz4" localSheetId="5" hidden="1">#REF!</definedName>
    <definedName name="____kz4" localSheetId="4" hidden="1">#REF!</definedName>
    <definedName name="____kz4" localSheetId="3" hidden="1">#REF!</definedName>
    <definedName name="____kz4" localSheetId="1" hidden="1">#REF!</definedName>
    <definedName name="____kz4" hidden="1">#REF!</definedName>
    <definedName name="____kz5" localSheetId="5" hidden="1">#REF!</definedName>
    <definedName name="____kz5" localSheetId="4" hidden="1">#REF!</definedName>
    <definedName name="____kz5" localSheetId="3" hidden="1">#REF!</definedName>
    <definedName name="____kz5" localSheetId="1" hidden="1">#REF!</definedName>
    <definedName name="____kz5" hidden="1">#REF!</definedName>
    <definedName name="____kz6" localSheetId="5" hidden="1">#REF!</definedName>
    <definedName name="____kz6" localSheetId="4" hidden="1">#REF!</definedName>
    <definedName name="____kz6" localSheetId="3" hidden="1">#REF!</definedName>
    <definedName name="____kz6" localSheetId="1" hidden="1">#REF!</definedName>
    <definedName name="____kz6" hidden="1">#REF!</definedName>
    <definedName name="____kz7" localSheetId="5" hidden="1">#REF!</definedName>
    <definedName name="____kz7" localSheetId="4" hidden="1">#REF!</definedName>
    <definedName name="____kz7" localSheetId="3" hidden="1">#REF!</definedName>
    <definedName name="____kz7" localSheetId="1" hidden="1">#REF!</definedName>
    <definedName name="____kz7" hidden="1">#REF!</definedName>
    <definedName name="____kz8" localSheetId="5" hidden="1">#REF!</definedName>
    <definedName name="____kz8" localSheetId="4" hidden="1">#REF!</definedName>
    <definedName name="____kz8" localSheetId="3" hidden="1">#REF!</definedName>
    <definedName name="____kz8" localSheetId="1" hidden="1">#REF!</definedName>
    <definedName name="____kz8" hidden="1">#REF!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5" hidden="1">{#N/A,#N/A,TRUE,"일정"}</definedName>
    <definedName name="____Tir1" localSheetId="4" hidden="1">{#N/A,#N/A,TRUE,"일정"}</definedName>
    <definedName name="____Tir1" localSheetId="3" hidden="1">{#N/A,#N/A,TRUE,"일정"}</definedName>
    <definedName name="____Tir1" localSheetId="1" hidden="1">{#N/A,#N/A,TRUE,"일정"}</definedName>
    <definedName name="____Tir1" hidden="1">{#N/A,#N/A,TRUE,"일정"}</definedName>
    <definedName name="__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 localSheetId="5">#REF!</definedName>
    <definedName name="____ZZ16384" localSheetId="4">#REF!</definedName>
    <definedName name="____ZZ16384" localSheetId="3">#REF!</definedName>
    <definedName name="____ZZ16384" localSheetId="1">#REF!</definedName>
    <definedName name="____ZZ16384">#REF!</definedName>
    <definedName name="___A19999" localSheetId="3">#REF!</definedName>
    <definedName name="___A19999" localSheetId="1">#REF!</definedName>
    <definedName name="___A19999">#REF!</definedName>
    <definedName name="___A20000" localSheetId="3">#REF!</definedName>
    <definedName name="___A20000" localSheetId="1">#REF!</definedName>
    <definedName name="___A20000">#REF!</definedName>
    <definedName name="___A3" localSheetId="5" hidden="1">{#N/A,#N/A,FALSE,"단축1";#N/A,#N/A,FALSE,"단축2";#N/A,#N/A,FALSE,"단축3";#N/A,#N/A,FALSE,"장축";#N/A,#N/A,FALSE,"4WD"}</definedName>
    <definedName name="___A3" localSheetId="4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localSheetId="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Ａ４" localSheetId="5">#REF!</definedName>
    <definedName name="___Ａ４" localSheetId="4">#REF!</definedName>
    <definedName name="___Ａ４" localSheetId="3">#REF!</definedName>
    <definedName name="___Ａ４" localSheetId="1">#REF!</definedName>
    <definedName name="___Ａ４">#REF!</definedName>
    <definedName name="___A99999" localSheetId="3">#REF!</definedName>
    <definedName name="___A99999" localSheetId="1">#REF!</definedName>
    <definedName name="___A99999">#REF!</definedName>
    <definedName name="___C1244ㅁ1430" localSheetId="3">#REF!</definedName>
    <definedName name="___C1244ㅁ1430" localSheetId="1">#REF!</definedName>
    <definedName name="___C1244ㅁ1430">#REF!</definedName>
    <definedName name="___C332897" localSheetId="3">#REF!</definedName>
    <definedName name="___C332897" localSheetId="1">#REF!</definedName>
    <definedName name="___C332897">#REF!</definedName>
    <definedName name="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 localSheetId="5">#REF!</definedName>
    <definedName name="___E65954" localSheetId="4">#REF!</definedName>
    <definedName name="___E65954" localSheetId="3">#REF!</definedName>
    <definedName name="___E65954" localSheetId="1">#REF!</definedName>
    <definedName name="___E65954">#REF!</definedName>
    <definedName name="___gap1" localSheetId="5">#REF!,#REF!</definedName>
    <definedName name="___gap1" localSheetId="4">#REF!,#REF!</definedName>
    <definedName name="___gap1" localSheetId="3">#REF!,#REF!</definedName>
    <definedName name="___gap1" localSheetId="1">#REF!,#REF!</definedName>
    <definedName name="___gap1">#REF!,#REF!</definedName>
    <definedName name="___GEL10" localSheetId="5">#REF!</definedName>
    <definedName name="___GEL10" localSheetId="4">#REF!</definedName>
    <definedName name="___GEL10" localSheetId="3">#REF!</definedName>
    <definedName name="___GEL10" localSheetId="1">#REF!</definedName>
    <definedName name="___GEL10">#REF!</definedName>
    <definedName name="___GTE10" localSheetId="3">#REF!</definedName>
    <definedName name="___GTE10" localSheetId="1">#REF!</definedName>
    <definedName name="___GTE10">#REF!</definedName>
    <definedName name="___INT2" localSheetId="5" hidden="1">{#N/A,#N/A,TRUE,"일정"}</definedName>
    <definedName name="___INT2" localSheetId="4" hidden="1">{#N/A,#N/A,TRUE,"일정"}</definedName>
    <definedName name="___INT2" localSheetId="3" hidden="1">{#N/A,#N/A,TRUE,"일정"}</definedName>
    <definedName name="___INT2" localSheetId="1" hidden="1">{#N/A,#N/A,TRUE,"일정"}</definedName>
    <definedName name="___INT2" hidden="1">{#N/A,#N/A,TRUE,"일정"}</definedName>
    <definedName name="___IRR2" localSheetId="5" hidden="1">#REF!</definedName>
    <definedName name="___IRR2" localSheetId="4" hidden="1">#REF!</definedName>
    <definedName name="___IRR2" localSheetId="3" hidden="1">#REF!</definedName>
    <definedName name="___IRR2" localSheetId="1" hidden="1">#REF!</definedName>
    <definedName name="___IRR2" hidden="1">#REF!</definedName>
    <definedName name="_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 localSheetId="5">#REF!</definedName>
    <definedName name="___KD1" localSheetId="4">#REF!</definedName>
    <definedName name="___KD1" localSheetId="3">#REF!</definedName>
    <definedName name="___KD1" localSheetId="1">#REF!</definedName>
    <definedName name="___KD1">#REF!</definedName>
    <definedName name="___kz1" localSheetId="5" hidden="1">#REF!</definedName>
    <definedName name="___kz1" localSheetId="4" hidden="1">#REF!</definedName>
    <definedName name="___kz1" localSheetId="3" hidden="1">#REF!</definedName>
    <definedName name="___kz1" localSheetId="1" hidden="1">#REF!</definedName>
    <definedName name="___kz1" hidden="1">#REF!</definedName>
    <definedName name="___kz2" localSheetId="5" hidden="1">#REF!</definedName>
    <definedName name="___kz2" localSheetId="4" hidden="1">#REF!</definedName>
    <definedName name="___kz2" localSheetId="3" hidden="1">#REF!</definedName>
    <definedName name="___kz2" localSheetId="1" hidden="1">#REF!</definedName>
    <definedName name="___kz2" hidden="1">#REF!</definedName>
    <definedName name="___kz3" localSheetId="5" hidden="1">#REF!</definedName>
    <definedName name="___kz3" localSheetId="4" hidden="1">#REF!</definedName>
    <definedName name="___kz3" localSheetId="3" hidden="1">#REF!</definedName>
    <definedName name="___kz3" localSheetId="1" hidden="1">#REF!</definedName>
    <definedName name="___kz3" hidden="1">#REF!</definedName>
    <definedName name="___kz4" localSheetId="5" hidden="1">#REF!</definedName>
    <definedName name="___kz4" localSheetId="4" hidden="1">#REF!</definedName>
    <definedName name="___kz4" localSheetId="3" hidden="1">#REF!</definedName>
    <definedName name="___kz4" localSheetId="1" hidden="1">#REF!</definedName>
    <definedName name="___kz4" hidden="1">#REF!</definedName>
    <definedName name="___kz5" localSheetId="5" hidden="1">#REF!</definedName>
    <definedName name="___kz5" localSheetId="4" hidden="1">#REF!</definedName>
    <definedName name="___kz5" localSheetId="3" hidden="1">#REF!</definedName>
    <definedName name="___kz5" localSheetId="1" hidden="1">#REF!</definedName>
    <definedName name="___kz5" hidden="1">#REF!</definedName>
    <definedName name="___kz6" localSheetId="5" hidden="1">#REF!</definedName>
    <definedName name="___kz6" localSheetId="4" hidden="1">#REF!</definedName>
    <definedName name="___kz6" localSheetId="3" hidden="1">#REF!</definedName>
    <definedName name="___kz6" localSheetId="1" hidden="1">#REF!</definedName>
    <definedName name="___kz6" hidden="1">#REF!</definedName>
    <definedName name="___kz7" localSheetId="5" hidden="1">#REF!</definedName>
    <definedName name="___kz7" localSheetId="4" hidden="1">#REF!</definedName>
    <definedName name="___kz7" localSheetId="3" hidden="1">#REF!</definedName>
    <definedName name="___kz7" localSheetId="1" hidden="1">#REF!</definedName>
    <definedName name="___kz7" hidden="1">#REF!</definedName>
    <definedName name="___kz8" localSheetId="5" hidden="1">#REF!</definedName>
    <definedName name="___kz8" localSheetId="4" hidden="1">#REF!</definedName>
    <definedName name="___kz8" localSheetId="3" hidden="1">#REF!</definedName>
    <definedName name="___kz8" localSheetId="1" hidden="1">#REF!</definedName>
    <definedName name="___kz8" hidden="1">#REF!</definedName>
    <definedName name="___P2" localSheetId="5" hidden="1">{#N/A,#N/A,FALSE,"단축1";#N/A,#N/A,FALSE,"단축2";#N/A,#N/A,FALSE,"단축3";#N/A,#N/A,FALSE,"장축";#N/A,#N/A,FALSE,"4WD"}</definedName>
    <definedName name="___P2" localSheetId="4" hidden="1">{#N/A,#N/A,FALSE,"단축1";#N/A,#N/A,FALSE,"단축2";#N/A,#N/A,FALSE,"단축3";#N/A,#N/A,FALSE,"장축";#N/A,#N/A,FALSE,"4WD"}</definedName>
    <definedName name="___P2" localSheetId="3" hidden="1">{#N/A,#N/A,FALSE,"단축1";#N/A,#N/A,FALSE,"단축2";#N/A,#N/A,FALSE,"단축3";#N/A,#N/A,FALSE,"장축";#N/A,#N/A,FALSE,"4WD"}</definedName>
    <definedName name="___P2" localSheetId="1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L7" localSheetId="5" hidden="1">{#N/A,#N/A,TRUE,"대 차 대 조 표"}</definedName>
    <definedName name="___PL7" localSheetId="4" hidden="1">{#N/A,#N/A,TRUE,"대 차 대 조 표"}</definedName>
    <definedName name="___PL7" localSheetId="3" hidden="1">{#N/A,#N/A,TRUE,"대 차 대 조 표"}</definedName>
    <definedName name="___PL7" localSheetId="1" hidden="1">{#N/A,#N/A,TRUE,"대 차 대 조 표"}</definedName>
    <definedName name="___PL7" hidden="1">{#N/A,#N/A,TRUE,"대 차 대 조 표"}</definedName>
    <definedName name="__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localSheetId="5" hidden="1">{#N/A,#N/A,FALSE,"단축1";#N/A,#N/A,FALSE,"단축2";#N/A,#N/A,FALSE,"단축3";#N/A,#N/A,FALSE,"장축";#N/A,#N/A,FALSE,"4WD"}</definedName>
    <definedName name="___SUM1" localSheetId="4" hidden="1">{#N/A,#N/A,FALSE,"단축1";#N/A,#N/A,FALSE,"단축2";#N/A,#N/A,FALSE,"단축3";#N/A,#N/A,FALSE,"장축";#N/A,#N/A,FALSE,"4WD"}</definedName>
    <definedName name="___SUM1" localSheetId="3" hidden="1">{#N/A,#N/A,FALSE,"단축1";#N/A,#N/A,FALSE,"단축2";#N/A,#N/A,FALSE,"단축3";#N/A,#N/A,FALSE,"장축";#N/A,#N/A,FALSE,"4WD"}</definedName>
    <definedName name="___SUM1" localSheetId="1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T2" localSheetId="5" hidden="1">{#N/A,#N/A,FALSE,"단축1";#N/A,#N/A,FALSE,"단축2";#N/A,#N/A,FALSE,"단축3";#N/A,#N/A,FALSE,"장축";#N/A,#N/A,FALSE,"4WD"}</definedName>
    <definedName name="___T2" localSheetId="4" hidden="1">{#N/A,#N/A,FALSE,"단축1";#N/A,#N/A,FALSE,"단축2";#N/A,#N/A,FALSE,"단축3";#N/A,#N/A,FALSE,"장축";#N/A,#N/A,FALSE,"4WD"}</definedName>
    <definedName name="___T2" localSheetId="3" hidden="1">{#N/A,#N/A,FALSE,"단축1";#N/A,#N/A,FALSE,"단축2";#N/A,#N/A,FALSE,"단축3";#N/A,#N/A,FALSE,"장축";#N/A,#N/A,FALSE,"4WD"}</definedName>
    <definedName name="___T2" localSheetId="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localSheetId="5" hidden="1">{#N/A,#N/A,FALSE,"단축1";#N/A,#N/A,FALSE,"단축2";#N/A,#N/A,FALSE,"단축3";#N/A,#N/A,FALSE,"장축";#N/A,#N/A,FALSE,"4WD"}</definedName>
    <definedName name="___T3" localSheetId="4" hidden="1">{#N/A,#N/A,FALSE,"단축1";#N/A,#N/A,FALSE,"단축2";#N/A,#N/A,FALSE,"단축3";#N/A,#N/A,FALSE,"장축";#N/A,#N/A,FALSE,"4WD"}</definedName>
    <definedName name="___T3" localSheetId="3" hidden="1">{#N/A,#N/A,FALSE,"단축1";#N/A,#N/A,FALSE,"단축2";#N/A,#N/A,FALSE,"단축3";#N/A,#N/A,FALSE,"장축";#N/A,#N/A,FALSE,"4WD"}</definedName>
    <definedName name="___T3" localSheetId="1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localSheetId="5" hidden="1">{#N/A,#N/A,FALSE,"단축1";#N/A,#N/A,FALSE,"단축2";#N/A,#N/A,FALSE,"단축3";#N/A,#N/A,FALSE,"장축";#N/A,#N/A,FALSE,"4WD"}</definedName>
    <definedName name="___T5" localSheetId="4" hidden="1">{#N/A,#N/A,FALSE,"단축1";#N/A,#N/A,FALSE,"단축2";#N/A,#N/A,FALSE,"단축3";#N/A,#N/A,FALSE,"장축";#N/A,#N/A,FALSE,"4WD"}</definedName>
    <definedName name="___T5" localSheetId="3" hidden="1">{#N/A,#N/A,FALSE,"단축1";#N/A,#N/A,FALSE,"단축2";#N/A,#N/A,FALSE,"단축3";#N/A,#N/A,FALSE,"장축";#N/A,#N/A,FALSE,"4WD"}</definedName>
    <definedName name="___T5" localSheetId="1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localSheetId="5" hidden="1">{#N/A,#N/A,TRUE,"일정"}</definedName>
    <definedName name="___Tir1" localSheetId="4" hidden="1">{#N/A,#N/A,TRUE,"일정"}</definedName>
    <definedName name="___Tir1" localSheetId="3" hidden="1">{#N/A,#N/A,TRUE,"일정"}</definedName>
    <definedName name="___Tir1" localSheetId="1" hidden="1">{#N/A,#N/A,TRUE,"일정"}</definedName>
    <definedName name="___Tir1" hidden="1">{#N/A,#N/A,TRUE,"일정"}</definedName>
    <definedName name="_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 localSheetId="5">#REF!</definedName>
    <definedName name="___ZZ16384" localSheetId="4">#REF!</definedName>
    <definedName name="___ZZ16384" localSheetId="3">#REF!</definedName>
    <definedName name="___ZZ16384" localSheetId="1">#REF!</definedName>
    <definedName name="___ZZ16384">#REF!</definedName>
    <definedName name="__0" localSheetId="5">#REF!</definedName>
    <definedName name="__0" localSheetId="4">#REF!</definedName>
    <definedName name="__0" localSheetId="3">#REF!</definedName>
    <definedName name="__0" localSheetId="1">#REF!</definedName>
    <definedName name="__0">#REF!</definedName>
    <definedName name="__01" localSheetId="5">#REF!</definedName>
    <definedName name="__01" localSheetId="4">#REF!</definedName>
    <definedName name="__01" localSheetId="3">#REF!</definedName>
    <definedName name="__01" localSheetId="1">#REF!</definedName>
    <definedName name="__01">#REF!</definedName>
    <definedName name="__02" localSheetId="5">#REF!</definedName>
    <definedName name="__02" localSheetId="4">#REF!</definedName>
    <definedName name="__02" localSheetId="3">#REF!</definedName>
    <definedName name="__02" localSheetId="1">#REF!</definedName>
    <definedName name="__02">#REF!</definedName>
    <definedName name="__03" localSheetId="5">#REF!</definedName>
    <definedName name="__03" localSheetId="4">#REF!</definedName>
    <definedName name="__03" localSheetId="3">#REF!</definedName>
    <definedName name="__03" localSheetId="1">#REF!</definedName>
    <definedName name="__03">#REF!</definedName>
    <definedName name="__04" localSheetId="5">#REF!</definedName>
    <definedName name="__04" localSheetId="4">#REF!</definedName>
    <definedName name="__04" localSheetId="3">#REF!</definedName>
    <definedName name="__04" localSheetId="1">#REF!</definedName>
    <definedName name="__04">#REF!</definedName>
    <definedName name="__05" localSheetId="5">#REF!</definedName>
    <definedName name="__05" localSheetId="4">#REF!</definedName>
    <definedName name="__05" localSheetId="3">#REF!</definedName>
    <definedName name="__05" localSheetId="1">#REF!</definedName>
    <definedName name="__05">#REF!</definedName>
    <definedName name="__06" localSheetId="5">#REF!</definedName>
    <definedName name="__06" localSheetId="4">#REF!</definedName>
    <definedName name="__06" localSheetId="3">#REF!</definedName>
    <definedName name="__06" localSheetId="1">#REF!</definedName>
    <definedName name="__06">#REF!</definedName>
    <definedName name="__1_?" localSheetId="3">#REF!</definedName>
    <definedName name="__1_?" localSheetId="1">#REF!</definedName>
    <definedName name="__1_?">#REF!</definedName>
    <definedName name="__123Graph_A" localSheetId="5" hidden="1">#REF!</definedName>
    <definedName name="__123Graph_A" localSheetId="4" hidden="1">#REF!</definedName>
    <definedName name="__123Graph_A" localSheetId="3" hidden="1">#REF!</definedName>
    <definedName name="__123Graph_A" localSheetId="1" hidden="1">#REF!</definedName>
    <definedName name="__123Graph_A" hidden="1">#REF!</definedName>
    <definedName name="__123Graph_B" localSheetId="5" hidden="1">#REF!</definedName>
    <definedName name="__123Graph_B" localSheetId="4" hidden="1">#REF!</definedName>
    <definedName name="__123Graph_B" localSheetId="3" hidden="1">#REF!</definedName>
    <definedName name="__123Graph_B" localSheetId="1" hidden="1">#REF!</definedName>
    <definedName name="__123Graph_B" hidden="1">#REF!</definedName>
    <definedName name="__123Graph_C" localSheetId="5" hidden="1">#REF!</definedName>
    <definedName name="__123Graph_C" localSheetId="4" hidden="1">#REF!</definedName>
    <definedName name="__123Graph_C" localSheetId="3" hidden="1">#REF!</definedName>
    <definedName name="__123Graph_C" localSheetId="1" hidden="1">#REF!</definedName>
    <definedName name="__123Graph_C" hidden="1">#REF!</definedName>
    <definedName name="__123Graph_D" localSheetId="5" hidden="1">#REF!</definedName>
    <definedName name="__123Graph_D" localSheetId="4" hidden="1">#REF!</definedName>
    <definedName name="__123Graph_D" localSheetId="3" hidden="1">#REF!</definedName>
    <definedName name="__123Graph_D" localSheetId="1" hidden="1">#REF!</definedName>
    <definedName name="__123Graph_D" hidden="1">#REF!</definedName>
    <definedName name="__123Graph_F" localSheetId="5" hidden="1">#REF!</definedName>
    <definedName name="__123Graph_F" localSheetId="4" hidden="1">#REF!</definedName>
    <definedName name="__123Graph_F" localSheetId="3" hidden="1">#REF!</definedName>
    <definedName name="__123Graph_F" localSheetId="1" hidden="1">#REF!</definedName>
    <definedName name="__123Graph_F" hidden="1">#REF!</definedName>
    <definedName name="__123Graph_LBL_A" localSheetId="5" hidden="1">#REF!</definedName>
    <definedName name="__123Graph_LBL_A" localSheetId="4" hidden="1">#REF!</definedName>
    <definedName name="__123Graph_LBL_A" localSheetId="3" hidden="1">#REF!</definedName>
    <definedName name="__123Graph_LBL_A" localSheetId="1" hidden="1">#REF!</definedName>
    <definedName name="__123Graph_LBL_A" hidden="1">#REF!</definedName>
    <definedName name="__123Graph_LBL_B" localSheetId="5" hidden="1">#REF!</definedName>
    <definedName name="__123Graph_LBL_B" localSheetId="4" hidden="1">#REF!</definedName>
    <definedName name="__123Graph_LBL_B" localSheetId="3" hidden="1">#REF!</definedName>
    <definedName name="__123Graph_LBL_B" localSheetId="1" hidden="1">#REF!</definedName>
    <definedName name="__123Graph_LBL_B" hidden="1">#REF!</definedName>
    <definedName name="__123Graph_X" localSheetId="5" hidden="1">#REF!</definedName>
    <definedName name="__123Graph_X" localSheetId="4" hidden="1">#REF!</definedName>
    <definedName name="__123Graph_X" localSheetId="3" hidden="1">#REF!</definedName>
    <definedName name="__123Graph_X" localSheetId="1" hidden="1">#REF!</definedName>
    <definedName name="__123Graph_X" hidden="1">#REF!</definedName>
    <definedName name="__2_?춑_TOTAL" localSheetId="5">#REF!</definedName>
    <definedName name="__2_?춑_TOTAL" localSheetId="4">#REF!</definedName>
    <definedName name="__2_?춑_TOTAL" localSheetId="3">#REF!</definedName>
    <definedName name="__2_?춑_TOTAL" localSheetId="1">#REF!</definedName>
    <definedName name="__2_?춑_TOTAL">#REF!</definedName>
    <definedName name="__3_0_0SANGD" localSheetId="3">#REF!</definedName>
    <definedName name="__3_0_0SANGD" localSheetId="1">#REF!</definedName>
    <definedName name="__3_0_0SANGD">#REF!</definedName>
    <definedName name="__4Ａ４_" localSheetId="5">#REF!</definedName>
    <definedName name="__4Ａ４_" localSheetId="4">#REF!</definedName>
    <definedName name="__4Ａ４_" localSheetId="3">#REF!</definedName>
    <definedName name="__4Ａ４_" localSheetId="1">#REF!</definedName>
    <definedName name="__4Ａ４_">#REF!</definedName>
    <definedName name="__5SANGD" localSheetId="3">#REF!</definedName>
    <definedName name="__5SANGD" localSheetId="1">#REF!</definedName>
    <definedName name="__5SANGD">#REF!</definedName>
    <definedName name="__A19999">#N/A</definedName>
    <definedName name="__A20000">#N/A</definedName>
    <definedName name="__A3" localSheetId="5" hidden="1">{#N/A,#N/A,FALSE,"단축1";#N/A,#N/A,FALSE,"단축2";#N/A,#N/A,FALSE,"단축3";#N/A,#N/A,FALSE,"장축";#N/A,#N/A,FALSE,"4WD"}</definedName>
    <definedName name="__A3" localSheetId="4" hidden="1">{#N/A,#N/A,FALSE,"단축1";#N/A,#N/A,FALSE,"단축2";#N/A,#N/A,FALSE,"단축3";#N/A,#N/A,FALSE,"장축";#N/A,#N/A,FALSE,"4WD"}</definedName>
    <definedName name="__A3" localSheetId="3" hidden="1">{#N/A,#N/A,FALSE,"단축1";#N/A,#N/A,FALSE,"단축2";#N/A,#N/A,FALSE,"단축3";#N/A,#N/A,FALSE,"장축";#N/A,#N/A,FALSE,"4WD"}</definedName>
    <definedName name="__A3" localSheetId="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Ａ４" localSheetId="5">#REF!</definedName>
    <definedName name="__Ａ４" localSheetId="4">#REF!</definedName>
    <definedName name="__Ａ４" localSheetId="3">#REF!</definedName>
    <definedName name="__Ａ４" localSheetId="1">#REF!</definedName>
    <definedName name="__Ａ４">#REF!</definedName>
    <definedName name="__A99999" localSheetId="3">#REF!</definedName>
    <definedName name="__A99999" localSheetId="1">#REF!</definedName>
    <definedName name="__A99999">#REF!</definedName>
    <definedName name="__aaa2" localSheetId="5" hidden="1">{#N/A,#N/A,FALSE,"Aging Summary";#N/A,#N/A,FALSE,"Ratio Analysis";#N/A,#N/A,FALSE,"Test 120 Day Accts";#N/A,#N/A,FALSE,"Tickmarks"}</definedName>
    <definedName name="__aaa2" localSheetId="4" hidden="1">{#N/A,#N/A,FALSE,"Aging Summary";#N/A,#N/A,FALSE,"Ratio Analysis";#N/A,#N/A,FALSE,"Test 120 Day Accts";#N/A,#N/A,FALSE,"Tickmarks"}</definedName>
    <definedName name="__aaa2" localSheetId="3" hidden="1">{#N/A,#N/A,FALSE,"Aging Summary";#N/A,#N/A,FALSE,"Ratio Analysis";#N/A,#N/A,FALSE,"Test 120 Day Accts";#N/A,#N/A,FALSE,"Tickmarks"}</definedName>
    <definedName name="__aaa2" localSheetId="1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Bp2" localSheetId="5" hidden="1">{#N/A,#N/A,FALSE,"BS";#N/A,#N/A,FALSE,"PL";#N/A,#N/A,FALSE,"처분";#N/A,#N/A,FALSE,"현금";#N/A,#N/A,FALSE,"매출";#N/A,#N/A,FALSE,"원가";#N/A,#N/A,FALSE,"경영"}</definedName>
    <definedName name="__Bp2" localSheetId="4" hidden="1">{#N/A,#N/A,FALSE,"BS";#N/A,#N/A,FALSE,"PL";#N/A,#N/A,FALSE,"처분";#N/A,#N/A,FALSE,"현금";#N/A,#N/A,FALSE,"매출";#N/A,#N/A,FALSE,"원가";#N/A,#N/A,FALSE,"경영"}</definedName>
    <definedName name="__Bp2" localSheetId="3" hidden="1">{#N/A,#N/A,FALSE,"BS";#N/A,#N/A,FALSE,"PL";#N/A,#N/A,FALSE,"처분";#N/A,#N/A,FALSE,"현금";#N/A,#N/A,FALSE,"매출";#N/A,#N/A,FALSE,"원가";#N/A,#N/A,FALSE,"경영"}</definedName>
    <definedName name="__Bp2" localSheetId="1" hidden="1">{#N/A,#N/A,FALSE,"BS";#N/A,#N/A,FALSE,"PL";#N/A,#N/A,FALSE,"처분";#N/A,#N/A,FALSE,"현금";#N/A,#N/A,FALSE,"매출";#N/A,#N/A,FALSE,"원가";#N/A,#N/A,FALSE,"경영"}</definedName>
    <definedName name="__Bp2" hidden="1">{#N/A,#N/A,FALSE,"BS";#N/A,#N/A,FALSE,"PL";#N/A,#N/A,FALSE,"처분";#N/A,#N/A,FALSE,"현금";#N/A,#N/A,FALSE,"매출";#N/A,#N/A,FALSE,"원가";#N/A,#N/A,FALSE,"경영"}</definedName>
    <definedName name="__C1244ㅁ1430" localSheetId="5">#REF!</definedName>
    <definedName name="__C1244ㅁ1430" localSheetId="4">#REF!</definedName>
    <definedName name="__C1244ㅁ1430" localSheetId="3">#REF!</definedName>
    <definedName name="__C1244ㅁ1430" localSheetId="1">#REF!</definedName>
    <definedName name="__C1244ㅁ1430">#REF!</definedName>
    <definedName name="__C332897" localSheetId="3">#REF!</definedName>
    <definedName name="__C332897" localSheetId="1">#REF!</definedName>
    <definedName name="__C332897">#REF!</definedName>
    <definedName name="__DAT1" localSheetId="3">#REF!</definedName>
    <definedName name="__DAT1" localSheetId="1">#REF!</definedName>
    <definedName name="__DAT1">#REF!</definedName>
    <definedName name="__DAT10" localSheetId="3">#REF!</definedName>
    <definedName name="__DAT10" localSheetId="1">#REF!</definedName>
    <definedName name="__DAT10">#REF!</definedName>
    <definedName name="__DAT11" localSheetId="3">#REF!</definedName>
    <definedName name="__DAT11" localSheetId="1">#REF!</definedName>
    <definedName name="__DAT11">#REF!</definedName>
    <definedName name="__DAT12" localSheetId="3">#REF!</definedName>
    <definedName name="__DAT12" localSheetId="1">#REF!</definedName>
    <definedName name="__DAT12">#REF!</definedName>
    <definedName name="__DAT13" localSheetId="3">#REF!</definedName>
    <definedName name="__DAT13" localSheetId="1">#REF!</definedName>
    <definedName name="__DAT13">#REF!</definedName>
    <definedName name="__DAT14" localSheetId="3">#REF!</definedName>
    <definedName name="__DAT14" localSheetId="1">#REF!</definedName>
    <definedName name="__DAT14">#REF!</definedName>
    <definedName name="__DAT15" localSheetId="3">#REF!</definedName>
    <definedName name="__DAT15" localSheetId="1">#REF!</definedName>
    <definedName name="__DAT15">#REF!</definedName>
    <definedName name="__DAT16" localSheetId="3">#REF!</definedName>
    <definedName name="__DAT16" localSheetId="1">#REF!</definedName>
    <definedName name="__DAT16">#REF!</definedName>
    <definedName name="__DAT17" localSheetId="3">#REF!</definedName>
    <definedName name="__DAT17" localSheetId="1">#REF!</definedName>
    <definedName name="__DAT17">#REF!</definedName>
    <definedName name="__DAT18" localSheetId="3">#REF!</definedName>
    <definedName name="__DAT18" localSheetId="1">#REF!</definedName>
    <definedName name="__DAT18">#REF!</definedName>
    <definedName name="__DAT19" localSheetId="3">#REF!</definedName>
    <definedName name="__DAT19" localSheetId="1">#REF!</definedName>
    <definedName name="__DAT19">#REF!</definedName>
    <definedName name="__DAT2" localSheetId="3">#REF!</definedName>
    <definedName name="__DAT2" localSheetId="1">#REF!</definedName>
    <definedName name="__DAT2">#REF!</definedName>
    <definedName name="__DAT20" localSheetId="3">#REF!</definedName>
    <definedName name="__DAT20" localSheetId="1">#REF!</definedName>
    <definedName name="__DAT20">#REF!</definedName>
    <definedName name="__DAT21" localSheetId="3">#REF!</definedName>
    <definedName name="__DAT21" localSheetId="1">#REF!</definedName>
    <definedName name="__DAT21">#REF!</definedName>
    <definedName name="__DAT22" localSheetId="3">#REF!</definedName>
    <definedName name="__DAT22" localSheetId="1">#REF!</definedName>
    <definedName name="__DAT22">#REF!</definedName>
    <definedName name="__DAT23" localSheetId="3">#REF!</definedName>
    <definedName name="__DAT23" localSheetId="1">#REF!</definedName>
    <definedName name="__DAT23">#REF!</definedName>
    <definedName name="__DAT24" localSheetId="3">#REF!</definedName>
    <definedName name="__DAT24" localSheetId="1">#REF!</definedName>
    <definedName name="__DAT24">#REF!</definedName>
    <definedName name="__DAT25" localSheetId="3">#REF!</definedName>
    <definedName name="__DAT25" localSheetId="1">#REF!</definedName>
    <definedName name="__DAT25">#REF!</definedName>
    <definedName name="__DAT26" localSheetId="3">#REF!</definedName>
    <definedName name="__DAT26" localSheetId="1">#REF!</definedName>
    <definedName name="__DAT26">#REF!</definedName>
    <definedName name="__DAT27" localSheetId="3">#REF!</definedName>
    <definedName name="__DAT27" localSheetId="1">#REF!</definedName>
    <definedName name="__DAT27">#REF!</definedName>
    <definedName name="__DAT28" localSheetId="3">#REF!</definedName>
    <definedName name="__DAT28" localSheetId="1">#REF!</definedName>
    <definedName name="__DAT28">#REF!</definedName>
    <definedName name="__DAT29" localSheetId="3">#REF!</definedName>
    <definedName name="__DAT29" localSheetId="1">#REF!</definedName>
    <definedName name="__DAT29">#REF!</definedName>
    <definedName name="__DAT3" localSheetId="3">#REF!</definedName>
    <definedName name="__DAT3" localSheetId="1">#REF!</definedName>
    <definedName name="__DAT3">#REF!</definedName>
    <definedName name="__DAT30" localSheetId="3">#REF!</definedName>
    <definedName name="__DAT30" localSheetId="1">#REF!</definedName>
    <definedName name="__DAT30">#REF!</definedName>
    <definedName name="__DAT31" localSheetId="3">#REF!</definedName>
    <definedName name="__DAT31" localSheetId="1">#REF!</definedName>
    <definedName name="__DAT31">#REF!</definedName>
    <definedName name="__DAT32" localSheetId="3">#REF!</definedName>
    <definedName name="__DAT32" localSheetId="1">#REF!</definedName>
    <definedName name="__DAT32">#REF!</definedName>
    <definedName name="__DAT33" localSheetId="3">#REF!</definedName>
    <definedName name="__DAT33" localSheetId="1">#REF!</definedName>
    <definedName name="__DAT33">#REF!</definedName>
    <definedName name="__DAT34" localSheetId="3">#REF!</definedName>
    <definedName name="__DAT34" localSheetId="1">#REF!</definedName>
    <definedName name="__DAT34">#REF!</definedName>
    <definedName name="__DAT35" localSheetId="3">#REF!</definedName>
    <definedName name="__DAT35" localSheetId="1">#REF!</definedName>
    <definedName name="__DAT35">#REF!</definedName>
    <definedName name="__DAT36" localSheetId="3">#REF!</definedName>
    <definedName name="__DAT36" localSheetId="1">#REF!</definedName>
    <definedName name="__DAT36">#REF!</definedName>
    <definedName name="__DAT37" localSheetId="3">#REF!</definedName>
    <definedName name="__DAT37" localSheetId="1">#REF!</definedName>
    <definedName name="__DAT37">#REF!</definedName>
    <definedName name="__DAT38" localSheetId="3">#REF!</definedName>
    <definedName name="__DAT38" localSheetId="1">#REF!</definedName>
    <definedName name="__DAT38">#REF!</definedName>
    <definedName name="__DAT39" localSheetId="3">#REF!</definedName>
    <definedName name="__DAT39" localSheetId="1">#REF!</definedName>
    <definedName name="__DAT39">#REF!</definedName>
    <definedName name="__DAT4" localSheetId="3">#REF!</definedName>
    <definedName name="__DAT4" localSheetId="1">#REF!</definedName>
    <definedName name="__DAT4">#REF!</definedName>
    <definedName name="__DAT40" localSheetId="3">#REF!</definedName>
    <definedName name="__DAT40" localSheetId="1">#REF!</definedName>
    <definedName name="__DAT40">#REF!</definedName>
    <definedName name="__DAT41" localSheetId="3">#REF!</definedName>
    <definedName name="__DAT41" localSheetId="1">#REF!</definedName>
    <definedName name="__DAT41">#REF!</definedName>
    <definedName name="__DAT5" localSheetId="3">#REF!</definedName>
    <definedName name="__DAT5" localSheetId="1">#REF!</definedName>
    <definedName name="__DAT5">#REF!</definedName>
    <definedName name="__DAT6" localSheetId="3">#REF!</definedName>
    <definedName name="__DAT6" localSheetId="1">#REF!</definedName>
    <definedName name="__DAT6">#REF!</definedName>
    <definedName name="__DAT7" localSheetId="3">#REF!</definedName>
    <definedName name="__DAT7" localSheetId="1">#REF!</definedName>
    <definedName name="__DAT7">#REF!</definedName>
    <definedName name="__DAT8" localSheetId="3">#REF!</definedName>
    <definedName name="__DAT8" localSheetId="1">#REF!</definedName>
    <definedName name="__DAT8">#REF!</definedName>
    <definedName name="__DAT9" localSheetId="3">#REF!</definedName>
    <definedName name="__DAT9" localSheetId="1">#REF!</definedName>
    <definedName name="__DAT9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 localSheetId="5">#REF!</definedName>
    <definedName name="__DIR1" localSheetId="4">#REF!</definedName>
    <definedName name="__DIR1" localSheetId="3">#REF!</definedName>
    <definedName name="__DIR1" localSheetId="1">#REF!</definedName>
    <definedName name="__DIR1">#REF!</definedName>
    <definedName name="__DIR2" localSheetId="3">#REF!</definedName>
    <definedName name="__DIR2" localSheetId="1">#REF!</definedName>
    <definedName name="__DIR2">#REF!</definedName>
    <definedName name="__DR1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 localSheetId="5">#REF!</definedName>
    <definedName name="__E65954" localSheetId="4">#REF!</definedName>
    <definedName name="__E65954" localSheetId="3">#REF!</definedName>
    <definedName name="__E65954" localSheetId="1">#REF!</definedName>
    <definedName name="__E65954">#REF!</definedName>
    <definedName name="__Exp97" localSheetId="3">#REF!</definedName>
    <definedName name="__Exp97" localSheetId="1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 localSheetId="5">#REF!,#REF!</definedName>
    <definedName name="__gap1" localSheetId="4">#REF!,#REF!</definedName>
    <definedName name="__gap1" localSheetId="3">#REF!,#REF!</definedName>
    <definedName name="__gap1" localSheetId="1">#REF!,#REF!</definedName>
    <definedName name="__gap1">#REF!,#REF!</definedName>
    <definedName name="__GEL10" localSheetId="5">#REF!</definedName>
    <definedName name="__GEL10" localSheetId="4">#REF!</definedName>
    <definedName name="__GEL10" localSheetId="3">#REF!</definedName>
    <definedName name="__GEL10" localSheetId="1">#REF!</definedName>
    <definedName name="__GEL10">#REF!</definedName>
    <definedName name="__GG1" localSheetId="3">#REF!</definedName>
    <definedName name="__GG1" localSheetId="1">#REF!</definedName>
    <definedName name="__GG1">#REF!</definedName>
    <definedName name="__GTE10" localSheetId="3">#REF!</definedName>
    <definedName name="__GTE10" localSheetId="1">#REF!</definedName>
    <definedName name="__GTE10">#REF!</definedName>
    <definedName name="__INT2" localSheetId="5" hidden="1">{#N/A,#N/A,TRUE,"일정"}</definedName>
    <definedName name="__INT2" localSheetId="4" hidden="1">{#N/A,#N/A,TRUE,"일정"}</definedName>
    <definedName name="__INT2" localSheetId="3" hidden="1">{#N/A,#N/A,TRUE,"일정"}</definedName>
    <definedName name="__INT2" localSheetId="1" hidden="1">{#N/A,#N/A,TRUE,"일정"}</definedName>
    <definedName name="__INT2" hidden="1">{#N/A,#N/A,TRUE,"일정"}</definedName>
    <definedName name="__IntlFixup" hidden="1">TRUE</definedName>
    <definedName name="__IRR2" localSheetId="5" hidden="1">#REF!</definedName>
    <definedName name="__IRR2" localSheetId="4" hidden="1">#REF!</definedName>
    <definedName name="__IRR2" localSheetId="3" hidden="1">#REF!</definedName>
    <definedName name="__IRR2" localSheetId="1" hidden="1">#REF!</definedName>
    <definedName name="__IRR2" hidden="1">#REF!</definedName>
    <definedName name="_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 localSheetId="5">#REF!</definedName>
    <definedName name="__KD1" localSheetId="4">#REF!</definedName>
    <definedName name="__KD1" localSheetId="3">#REF!</definedName>
    <definedName name="__KD1" localSheetId="1">#REF!</definedName>
    <definedName name="__KD1">#REF!</definedName>
    <definedName name="__kz4" localSheetId="5" hidden="1">#REF!</definedName>
    <definedName name="__kz4" localSheetId="4" hidden="1">#REF!</definedName>
    <definedName name="__kz4" localSheetId="3" hidden="1">#REF!</definedName>
    <definedName name="__kz4" localSheetId="1" hidden="1">#REF!</definedName>
    <definedName name="__kz4" hidden="1">#REF!</definedName>
    <definedName name="__kz5" localSheetId="5" hidden="1">#REF!</definedName>
    <definedName name="__kz5" localSheetId="4" hidden="1">#REF!</definedName>
    <definedName name="__kz5" localSheetId="3" hidden="1">#REF!</definedName>
    <definedName name="__kz5" localSheetId="1" hidden="1">#REF!</definedName>
    <definedName name="__kz5" hidden="1">#REF!</definedName>
    <definedName name="__kz6" localSheetId="5" hidden="1">#REF!</definedName>
    <definedName name="__kz6" localSheetId="4" hidden="1">#REF!</definedName>
    <definedName name="__kz6" localSheetId="3" hidden="1">#REF!</definedName>
    <definedName name="__kz6" localSheetId="1" hidden="1">#REF!</definedName>
    <definedName name="__kz6" hidden="1">#REF!</definedName>
    <definedName name="__kz7" localSheetId="5" hidden="1">#REF!</definedName>
    <definedName name="__kz7" localSheetId="4" hidden="1">#REF!</definedName>
    <definedName name="__kz7" localSheetId="3" hidden="1">#REF!</definedName>
    <definedName name="__kz7" localSheetId="1" hidden="1">#REF!</definedName>
    <definedName name="__kz7" hidden="1">#REF!</definedName>
    <definedName name="__kz8" localSheetId="5" hidden="1">#REF!</definedName>
    <definedName name="__kz8" localSheetId="4" hidden="1">#REF!</definedName>
    <definedName name="__kz8" localSheetId="3" hidden="1">#REF!</definedName>
    <definedName name="__kz8" localSheetId="1" hidden="1">#REF!</definedName>
    <definedName name="__kz8" hidden="1">#REF!</definedName>
    <definedName name="__lbg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localSheetId="5" hidden="1">{#N/A,#N/A,TRUE,"매출진척-1";#N/A,#N/A,TRUE,"매출진척-2";#N/A,#N/A,TRUE,"제품실적";#N/A,#N/A,TRUE,"RAC";#N/A,#N/A,TRUE,"PAC ";#N/A,#N/A,TRUE,"재고현황";#N/A,#N/A,TRUE,"공지사항"}</definedName>
    <definedName name="__LG2" localSheetId="4" hidden="1">{#N/A,#N/A,TRUE,"매출진척-1";#N/A,#N/A,TRUE,"매출진척-2";#N/A,#N/A,TRUE,"제품실적";#N/A,#N/A,TRUE,"RAC";#N/A,#N/A,TRUE,"PAC ";#N/A,#N/A,TRUE,"재고현황";#N/A,#N/A,TRUE,"공지사항"}</definedName>
    <definedName name="__LG2" localSheetId="3" hidden="1">{#N/A,#N/A,TRUE,"매출진척-1";#N/A,#N/A,TRUE,"매출진척-2";#N/A,#N/A,TRUE,"제품실적";#N/A,#N/A,TRUE,"RAC";#N/A,#N/A,TRUE,"PAC ";#N/A,#N/A,TRUE,"재고현황";#N/A,#N/A,TRUE,"공지사항"}</definedName>
    <definedName name="__LG2" localSheetId="1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 localSheetId="5">#REF!</definedName>
    <definedName name="__p1" localSheetId="4">#REF!</definedName>
    <definedName name="__p1" localSheetId="3">#REF!</definedName>
    <definedName name="__p1" localSheetId="1">#REF!</definedName>
    <definedName name="__p1">#REF!</definedName>
    <definedName name="__P2" localSheetId="5" hidden="1">{#N/A,#N/A,FALSE,"단축1";#N/A,#N/A,FALSE,"단축2";#N/A,#N/A,FALSE,"단축3";#N/A,#N/A,FALSE,"장축";#N/A,#N/A,FALSE,"4WD"}</definedName>
    <definedName name="__P2" localSheetId="4" hidden="1">{#N/A,#N/A,FALSE,"단축1";#N/A,#N/A,FALSE,"단축2";#N/A,#N/A,FALSE,"단축3";#N/A,#N/A,FALSE,"장축";#N/A,#N/A,FALSE,"4WD"}</definedName>
    <definedName name="__P2" localSheetId="3" hidden="1">{#N/A,#N/A,FALSE,"단축1";#N/A,#N/A,FALSE,"단축2";#N/A,#N/A,FALSE,"단축3";#N/A,#N/A,FALSE,"장축";#N/A,#N/A,FALSE,"4WD"}</definedName>
    <definedName name="__P2" localSheetId="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l0201" localSheetId="5">#REF!</definedName>
    <definedName name="__pl0201" localSheetId="4">#REF!</definedName>
    <definedName name="__pl0201" localSheetId="3">#REF!</definedName>
    <definedName name="__pl0201" localSheetId="1">#REF!</definedName>
    <definedName name="__pl0201">#REF!</definedName>
    <definedName name="__pl0202" localSheetId="3">#REF!</definedName>
    <definedName name="__pl0202" localSheetId="1">#REF!</definedName>
    <definedName name="__pl0202">#REF!</definedName>
    <definedName name="__pl0203" localSheetId="3">#REF!</definedName>
    <definedName name="__pl0203" localSheetId="1">#REF!</definedName>
    <definedName name="__pl0203">#REF!</definedName>
    <definedName name="__pl0204" localSheetId="3">#REF!</definedName>
    <definedName name="__pl0204" localSheetId="1">#REF!</definedName>
    <definedName name="__pl0204">#REF!</definedName>
    <definedName name="__pl0205" localSheetId="3">#REF!</definedName>
    <definedName name="__pl0205" localSheetId="1">#REF!</definedName>
    <definedName name="__pl0205">#REF!</definedName>
    <definedName name="__pl0206" localSheetId="3">#REF!</definedName>
    <definedName name="__pl0206" localSheetId="1">#REF!</definedName>
    <definedName name="__pl0206">#REF!</definedName>
    <definedName name="__pl0207" localSheetId="3">#REF!</definedName>
    <definedName name="__pl0207" localSheetId="1">#REF!</definedName>
    <definedName name="__pl0207">#REF!</definedName>
    <definedName name="__pl0208" localSheetId="3">#REF!</definedName>
    <definedName name="__pl0208" localSheetId="1">#REF!</definedName>
    <definedName name="__pl0208">#REF!</definedName>
    <definedName name="__pl0209" localSheetId="3">#REF!</definedName>
    <definedName name="__pl0209" localSheetId="1">#REF!</definedName>
    <definedName name="__pl0209">#REF!</definedName>
    <definedName name="__pl0210" localSheetId="3">#REF!</definedName>
    <definedName name="__pl0210" localSheetId="1">#REF!</definedName>
    <definedName name="__pl0210">#REF!</definedName>
    <definedName name="__PL7" localSheetId="5" hidden="1">{#N/A,#N/A,TRUE,"대 차 대 조 표"}</definedName>
    <definedName name="__PL7" localSheetId="4" hidden="1">{#N/A,#N/A,TRUE,"대 차 대 조 표"}</definedName>
    <definedName name="__PL7" localSheetId="3" hidden="1">{#N/A,#N/A,TRUE,"대 차 대 조 표"}</definedName>
    <definedName name="__PL7" localSheetId="1" hidden="1">{#N/A,#N/A,TRUE,"대 차 대 조 표"}</definedName>
    <definedName name="__PL7" hidden="1">{#N/A,#N/A,TRUE,"대 차 대 조 표"}</definedName>
    <definedName name="__SA1" localSheetId="5">#REF!</definedName>
    <definedName name="__SA1" localSheetId="4">#REF!</definedName>
    <definedName name="__SA1" localSheetId="3">#REF!</definedName>
    <definedName name="__SA1" localSheetId="1">#REF!</definedName>
    <definedName name="__SA1">#REF!</definedName>
    <definedName name="_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 localSheetId="5">#REF!</definedName>
    <definedName name="__SHR1" localSheetId="4">#REF!</definedName>
    <definedName name="__SHR1" localSheetId="3">#REF!</definedName>
    <definedName name="__SHR1" localSheetId="1">#REF!</definedName>
    <definedName name="__SHR1">#REF!</definedName>
    <definedName name="__SHR2" localSheetId="3">#REF!</definedName>
    <definedName name="__SHR2" localSheetId="1">#REF!</definedName>
    <definedName name="__SHR2">#REF!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localSheetId="5" hidden="1">{#N/A,#N/A,FALSE,"단축1";#N/A,#N/A,FALSE,"단축2";#N/A,#N/A,FALSE,"단축3";#N/A,#N/A,FALSE,"장축";#N/A,#N/A,FALSE,"4WD"}</definedName>
    <definedName name="__SUM1" localSheetId="4" hidden="1">{#N/A,#N/A,FALSE,"단축1";#N/A,#N/A,FALSE,"단축2";#N/A,#N/A,FALSE,"단축3";#N/A,#N/A,FALSE,"장축";#N/A,#N/A,FALSE,"4WD"}</definedName>
    <definedName name="__SUM1" localSheetId="3" hidden="1">{#N/A,#N/A,FALSE,"단축1";#N/A,#N/A,FALSE,"단축2";#N/A,#N/A,FALSE,"단축3";#N/A,#N/A,FALSE,"장축";#N/A,#N/A,FALSE,"4WD"}</definedName>
    <definedName name="__SUM1" localSheetId="1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2" localSheetId="5" hidden="1">{#N/A,#N/A,FALSE,"단축1";#N/A,#N/A,FALSE,"단축2";#N/A,#N/A,FALSE,"단축3";#N/A,#N/A,FALSE,"장축";#N/A,#N/A,FALSE,"4WD"}</definedName>
    <definedName name="__T2" localSheetId="4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5" hidden="1">{#N/A,#N/A,FALSE,"단축1";#N/A,#N/A,FALSE,"단축2";#N/A,#N/A,FALSE,"단축3";#N/A,#N/A,FALSE,"장축";#N/A,#N/A,FALSE,"4WD"}</definedName>
    <definedName name="__T3" localSheetId="4" hidden="1">{#N/A,#N/A,FALSE,"단축1";#N/A,#N/A,FALSE,"단축2";#N/A,#N/A,FALSE,"단축3";#N/A,#N/A,FALSE,"장축";#N/A,#N/A,FALSE,"4WD"}</definedName>
    <definedName name="__T3" localSheetId="3" hidden="1">{#N/A,#N/A,FALSE,"단축1";#N/A,#N/A,FALSE,"단축2";#N/A,#N/A,FALSE,"단축3";#N/A,#N/A,FALSE,"장축";#N/A,#N/A,FALSE,"4WD"}</definedName>
    <definedName name="__T3" localSheetId="1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5" hidden="1">{#N/A,#N/A,FALSE,"단축1";#N/A,#N/A,FALSE,"단축2";#N/A,#N/A,FALSE,"단축3";#N/A,#N/A,FALSE,"장축";#N/A,#N/A,FALSE,"4WD"}</definedName>
    <definedName name="__T5" localSheetId="4" hidden="1">{#N/A,#N/A,FALSE,"단축1";#N/A,#N/A,FALSE,"단축2";#N/A,#N/A,FALSE,"단축3";#N/A,#N/A,FALSE,"장축";#N/A,#N/A,FALSE,"4WD"}</definedName>
    <definedName name="__T5" localSheetId="3" hidden="1">{#N/A,#N/A,FALSE,"단축1";#N/A,#N/A,FALSE,"단축2";#N/A,#N/A,FALSE,"단축3";#N/A,#N/A,FALSE,"장축";#N/A,#N/A,FALSE,"4WD"}</definedName>
    <definedName name="__T5" localSheetId="1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 localSheetId="5">#REF!</definedName>
    <definedName name="__TB111" localSheetId="4">#REF!</definedName>
    <definedName name="__TB111" localSheetId="3">#REF!</definedName>
    <definedName name="__TB111" localSheetId="1">#REF!</definedName>
    <definedName name="__TB111">#REF!</definedName>
    <definedName name="__TB112" localSheetId="3">#REF!</definedName>
    <definedName name="__TB112" localSheetId="1">#REF!</definedName>
    <definedName name="__TB112">#REF!</definedName>
    <definedName name="__TB113" localSheetId="3">#REF!</definedName>
    <definedName name="__TB113" localSheetId="1">#REF!</definedName>
    <definedName name="__TB113">#REF!</definedName>
    <definedName name="__TB114" localSheetId="3">#REF!</definedName>
    <definedName name="__TB114" localSheetId="1">#REF!</definedName>
    <definedName name="__TB114">#REF!</definedName>
    <definedName name="__TB115" localSheetId="3">#REF!</definedName>
    <definedName name="__TB115" localSheetId="1">#REF!</definedName>
    <definedName name="__TB115">#REF!</definedName>
    <definedName name="__TB116" localSheetId="3">#REF!</definedName>
    <definedName name="__TB116" localSheetId="1">#REF!</definedName>
    <definedName name="__TB116">#REF!</definedName>
    <definedName name="__TB117" localSheetId="3">#REF!</definedName>
    <definedName name="__TB117" localSheetId="1">#REF!</definedName>
    <definedName name="__TB117">#REF!</definedName>
    <definedName name="__TB121" localSheetId="3">#REF!</definedName>
    <definedName name="__TB121" localSheetId="1">#REF!</definedName>
    <definedName name="__TB121">#REF!</definedName>
    <definedName name="__TB122" localSheetId="3">#REF!</definedName>
    <definedName name="__TB122" localSheetId="1">#REF!</definedName>
    <definedName name="__TB122">#REF!</definedName>
    <definedName name="__TB123" localSheetId="3">#REF!</definedName>
    <definedName name="__TB123" localSheetId="1">#REF!</definedName>
    <definedName name="__TB123">#REF!</definedName>
    <definedName name="__TB124" localSheetId="3">#REF!</definedName>
    <definedName name="__TB124" localSheetId="1">#REF!</definedName>
    <definedName name="__TB124">#REF!</definedName>
    <definedName name="__TB125" localSheetId="3">#REF!</definedName>
    <definedName name="__TB125" localSheetId="1">#REF!</definedName>
    <definedName name="__TB125">#REF!</definedName>
    <definedName name="__TB126" localSheetId="3">#REF!</definedName>
    <definedName name="__TB126" localSheetId="1">#REF!</definedName>
    <definedName name="__TB126">#REF!</definedName>
    <definedName name="__TB131" localSheetId="3">#REF!</definedName>
    <definedName name="__TB131" localSheetId="1">#REF!</definedName>
    <definedName name="__TB131">#REF!</definedName>
    <definedName name="__TB132" localSheetId="3">#REF!</definedName>
    <definedName name="__TB132" localSheetId="1">#REF!</definedName>
    <definedName name="__TB132">#REF!</definedName>
    <definedName name="__TB211" localSheetId="3">#REF!</definedName>
    <definedName name="__TB211" localSheetId="1">#REF!</definedName>
    <definedName name="__TB211">#REF!</definedName>
    <definedName name="__TB212" localSheetId="3">#REF!</definedName>
    <definedName name="__TB212" localSheetId="1">#REF!</definedName>
    <definedName name="__TB212">#REF!</definedName>
    <definedName name="__TB213" localSheetId="3">#REF!</definedName>
    <definedName name="__TB213" localSheetId="1">#REF!</definedName>
    <definedName name="__TB213">#REF!</definedName>
    <definedName name="__TB214" localSheetId="3">#REF!</definedName>
    <definedName name="__TB214" localSheetId="1">#REF!</definedName>
    <definedName name="__TB214">#REF!</definedName>
    <definedName name="__TB215" localSheetId="3">#REF!</definedName>
    <definedName name="__TB215" localSheetId="1">#REF!</definedName>
    <definedName name="__TB215">#REF!</definedName>
    <definedName name="__TB221" localSheetId="3">#REF!</definedName>
    <definedName name="__TB221" localSheetId="1">#REF!</definedName>
    <definedName name="__TB221">#REF!</definedName>
    <definedName name="__TB2210" localSheetId="3">#REF!</definedName>
    <definedName name="__TB2210" localSheetId="1">#REF!</definedName>
    <definedName name="__TB2210">#REF!</definedName>
    <definedName name="__TB222" localSheetId="3">#REF!</definedName>
    <definedName name="__TB222" localSheetId="1">#REF!</definedName>
    <definedName name="__TB222">#REF!</definedName>
    <definedName name="__TB223" localSheetId="3">#REF!</definedName>
    <definedName name="__TB223" localSheetId="1">#REF!</definedName>
    <definedName name="__TB223">#REF!</definedName>
    <definedName name="__TB224" localSheetId="3">#REF!</definedName>
    <definedName name="__TB224" localSheetId="1">#REF!</definedName>
    <definedName name="__TB224">#REF!</definedName>
    <definedName name="__TB225" localSheetId="3">#REF!</definedName>
    <definedName name="__TB225" localSheetId="1">#REF!</definedName>
    <definedName name="__TB225">#REF!</definedName>
    <definedName name="__TB226" localSheetId="3">#REF!</definedName>
    <definedName name="__TB226" localSheetId="1">#REF!</definedName>
    <definedName name="__TB226">#REF!</definedName>
    <definedName name="__TB227" localSheetId="3">#REF!</definedName>
    <definedName name="__TB227" localSheetId="1">#REF!</definedName>
    <definedName name="__TB227">#REF!</definedName>
    <definedName name="__TB228" localSheetId="3">#REF!</definedName>
    <definedName name="__TB228" localSheetId="1">#REF!</definedName>
    <definedName name="__TB228">#REF!</definedName>
    <definedName name="__TB229" localSheetId="3">#REF!</definedName>
    <definedName name="__TB229" localSheetId="1">#REF!</definedName>
    <definedName name="__TB229">#REF!</definedName>
    <definedName name="__TB311" localSheetId="3">#REF!</definedName>
    <definedName name="__TB311" localSheetId="1">#REF!</definedName>
    <definedName name="__TB311">#REF!</definedName>
    <definedName name="__TB312" localSheetId="3">#REF!</definedName>
    <definedName name="__TB312" localSheetId="1">#REF!</definedName>
    <definedName name="__TB312">#REF!</definedName>
    <definedName name="__TB313" localSheetId="3">#REF!</definedName>
    <definedName name="__TB313" localSheetId="1">#REF!</definedName>
    <definedName name="__TB313">#REF!</definedName>
    <definedName name="__TB314" localSheetId="3">#REF!</definedName>
    <definedName name="__TB314" localSheetId="1">#REF!</definedName>
    <definedName name="__TB314">#REF!</definedName>
    <definedName name="__TB315" localSheetId="3">#REF!</definedName>
    <definedName name="__TB315" localSheetId="1">#REF!</definedName>
    <definedName name="__TB315">#REF!</definedName>
    <definedName name="__TB316" localSheetId="3">#REF!</definedName>
    <definedName name="__TB316" localSheetId="1">#REF!</definedName>
    <definedName name="__TB316">#REF!</definedName>
    <definedName name="__TB317" localSheetId="3">#REF!</definedName>
    <definedName name="__TB317" localSheetId="1">#REF!</definedName>
    <definedName name="__TB317">#REF!</definedName>
    <definedName name="__TB318" localSheetId="3">#REF!</definedName>
    <definedName name="__TB318" localSheetId="1">#REF!</definedName>
    <definedName name="__TB318">#REF!</definedName>
    <definedName name="__TB319" localSheetId="3">#REF!</definedName>
    <definedName name="__TB319" localSheetId="1">#REF!</definedName>
    <definedName name="__TB319">#REF!</definedName>
    <definedName name="__TB321" localSheetId="3">#REF!</definedName>
    <definedName name="__TB321" localSheetId="1">#REF!</definedName>
    <definedName name="__TB321">#REF!</definedName>
    <definedName name="__TB322" localSheetId="3">#REF!</definedName>
    <definedName name="__TB322" localSheetId="1">#REF!</definedName>
    <definedName name="__TB322">#REF!</definedName>
    <definedName name="__TB323" localSheetId="3">#REF!</definedName>
    <definedName name="__TB323" localSheetId="1">#REF!</definedName>
    <definedName name="__TB323">#REF!</definedName>
    <definedName name="__TB324" localSheetId="3">#REF!</definedName>
    <definedName name="__TB324" localSheetId="1">#REF!</definedName>
    <definedName name="__TB324">#REF!</definedName>
    <definedName name="__TB325" localSheetId="3">#REF!</definedName>
    <definedName name="__TB325" localSheetId="1">#REF!</definedName>
    <definedName name="__TB325">#REF!</definedName>
    <definedName name="__TB401" localSheetId="3">#REF!</definedName>
    <definedName name="__TB401" localSheetId="1">#REF!</definedName>
    <definedName name="__TB401">#REF!</definedName>
    <definedName name="__TB402" localSheetId="3">#REF!</definedName>
    <definedName name="__TB402" localSheetId="1">#REF!</definedName>
    <definedName name="__TB402">#REF!</definedName>
    <definedName name="__TB403" localSheetId="3">#REF!</definedName>
    <definedName name="__TB403" localSheetId="1">#REF!</definedName>
    <definedName name="__TB403">#REF!</definedName>
    <definedName name="__TB404" localSheetId="3">#REF!</definedName>
    <definedName name="__TB404" localSheetId="1">#REF!</definedName>
    <definedName name="__TB404">#REF!</definedName>
    <definedName name="__TB405" localSheetId="3">#REF!</definedName>
    <definedName name="__TB405" localSheetId="1">#REF!</definedName>
    <definedName name="__TB405">#REF!</definedName>
    <definedName name="__TB501" localSheetId="3">#REF!</definedName>
    <definedName name="__TB501" localSheetId="1">#REF!</definedName>
    <definedName name="__TB501">#REF!</definedName>
    <definedName name="__TB502" localSheetId="3">#REF!</definedName>
    <definedName name="__TB502" localSheetId="1">#REF!</definedName>
    <definedName name="__TB502">#REF!</definedName>
    <definedName name="__TB503" localSheetId="3">#REF!</definedName>
    <definedName name="__TB503" localSheetId="1">#REF!</definedName>
    <definedName name="__TB503">#REF!</definedName>
    <definedName name="__TB504" localSheetId="3">#REF!</definedName>
    <definedName name="__TB504" localSheetId="1">#REF!</definedName>
    <definedName name="__TB504">#REF!</definedName>
    <definedName name="__TB505" localSheetId="3">#REF!</definedName>
    <definedName name="__TB505" localSheetId="1">#REF!</definedName>
    <definedName name="__TB505">#REF!</definedName>
    <definedName name="__TB506" localSheetId="3">#REF!</definedName>
    <definedName name="__TB506" localSheetId="1">#REF!</definedName>
    <definedName name="__TB506">#REF!</definedName>
    <definedName name="__TB507" localSheetId="3">#REF!</definedName>
    <definedName name="__TB507" localSheetId="1">#REF!</definedName>
    <definedName name="__TB507">#REF!</definedName>
    <definedName name="__TB508" localSheetId="3">#REF!</definedName>
    <definedName name="__TB508" localSheetId="1">#REF!</definedName>
    <definedName name="__TB508">#REF!</definedName>
    <definedName name="__TB509" localSheetId="3">#REF!</definedName>
    <definedName name="__TB509" localSheetId="1">#REF!</definedName>
    <definedName name="__TB509">#REF!</definedName>
    <definedName name="__TB510" localSheetId="3">#REF!</definedName>
    <definedName name="__TB510" localSheetId="1">#REF!</definedName>
    <definedName name="__TB510">#REF!</definedName>
    <definedName name="__TB511" localSheetId="3">#REF!</definedName>
    <definedName name="__TB511" localSheetId="1">#REF!</definedName>
    <definedName name="__TB511">#REF!</definedName>
    <definedName name="__TB512" localSheetId="3">#REF!</definedName>
    <definedName name="__TB512" localSheetId="1">#REF!</definedName>
    <definedName name="__TB512">#REF!</definedName>
    <definedName name="__TB513" localSheetId="3">#REF!</definedName>
    <definedName name="__TB513" localSheetId="1">#REF!</definedName>
    <definedName name="__TB513">#REF!</definedName>
    <definedName name="__TB601" localSheetId="3">#REF!</definedName>
    <definedName name="__TB601" localSheetId="1">#REF!</definedName>
    <definedName name="__TB601">#REF!</definedName>
    <definedName name="__TB602" localSheetId="3">#REF!</definedName>
    <definedName name="__TB602" localSheetId="1">#REF!</definedName>
    <definedName name="__TB602">#REF!</definedName>
    <definedName name="__TB603" localSheetId="3">#REF!</definedName>
    <definedName name="__TB603" localSheetId="1">#REF!</definedName>
    <definedName name="__TB603">#REF!</definedName>
    <definedName name="__TB604" localSheetId="3">#REF!</definedName>
    <definedName name="__TB604" localSheetId="1">#REF!</definedName>
    <definedName name="__TB604">#REF!</definedName>
    <definedName name="__TB605" localSheetId="3">#REF!</definedName>
    <definedName name="__TB605" localSheetId="1">#REF!</definedName>
    <definedName name="__TB605">#REF!</definedName>
    <definedName name="__TB701" localSheetId="3">#REF!</definedName>
    <definedName name="__TB701" localSheetId="1">#REF!</definedName>
    <definedName name="__TB701">#REF!</definedName>
    <definedName name="__TB811" localSheetId="3">#REF!</definedName>
    <definedName name="__TB811" localSheetId="1">#REF!</definedName>
    <definedName name="__TB811">#REF!</definedName>
    <definedName name="__TB812" localSheetId="3">#REF!</definedName>
    <definedName name="__TB812" localSheetId="1">#REF!</definedName>
    <definedName name="__TB812">#REF!</definedName>
    <definedName name="__TB813" localSheetId="3">#REF!</definedName>
    <definedName name="__TB813" localSheetId="1">#REF!</definedName>
    <definedName name="__TB813">#REF!</definedName>
    <definedName name="__TB814" localSheetId="3">#REF!</definedName>
    <definedName name="__TB814" localSheetId="1">#REF!</definedName>
    <definedName name="__TB814">#REF!</definedName>
    <definedName name="__TB820" localSheetId="3">#REF!</definedName>
    <definedName name="__TB820" localSheetId="1">#REF!</definedName>
    <definedName name="__TB820">#REF!</definedName>
    <definedName name="__TB902" localSheetId="3">#REF!</definedName>
    <definedName name="__TB902" localSheetId="1">#REF!</definedName>
    <definedName name="__TB902">#REF!</definedName>
    <definedName name="__TB903" localSheetId="3">#REF!</definedName>
    <definedName name="__TB903" localSheetId="1">#REF!</definedName>
    <definedName name="__TB903">#REF!</definedName>
    <definedName name="__TB904" localSheetId="3">#REF!</definedName>
    <definedName name="__TB904" localSheetId="1">#REF!</definedName>
    <definedName name="__TB904">#REF!</definedName>
    <definedName name="__TBI1001" localSheetId="3">#REF!</definedName>
    <definedName name="__TBI1001" localSheetId="1">#REF!</definedName>
    <definedName name="__TBI1001">#REF!</definedName>
    <definedName name="__TBI1002" localSheetId="3">#REF!</definedName>
    <definedName name="__TBI1002" localSheetId="1">#REF!</definedName>
    <definedName name="__TBI1002">#REF!</definedName>
    <definedName name="__TBI1003" localSheetId="3">#REF!</definedName>
    <definedName name="__TBI1003" localSheetId="1">#REF!</definedName>
    <definedName name="__TBI1003">#REF!</definedName>
    <definedName name="__TBI1004" localSheetId="3">#REF!</definedName>
    <definedName name="__TBI1004" localSheetId="1">#REF!</definedName>
    <definedName name="__TBI1004">#REF!</definedName>
    <definedName name="__TBI1005" localSheetId="3">#REF!</definedName>
    <definedName name="__TBI1005" localSheetId="1">#REF!</definedName>
    <definedName name="__TBI1005">#REF!</definedName>
    <definedName name="__TBI101" localSheetId="3">#REF!</definedName>
    <definedName name="__TBI101" localSheetId="1">#REF!</definedName>
    <definedName name="__TBI101">#REF!</definedName>
    <definedName name="__TBI102" localSheetId="3">#REF!</definedName>
    <definedName name="__TBI102" localSheetId="1">#REF!</definedName>
    <definedName name="__TBI102">#REF!</definedName>
    <definedName name="__TBI1100" localSheetId="3">#REF!</definedName>
    <definedName name="__TBI1100" localSheetId="1">#REF!</definedName>
    <definedName name="__TBI1100">#REF!</definedName>
    <definedName name="__TBI1200" localSheetId="3">#REF!</definedName>
    <definedName name="__TBI1200" localSheetId="1">#REF!</definedName>
    <definedName name="__TBI1200">#REF!</definedName>
    <definedName name="__TBI201" localSheetId="3">#REF!</definedName>
    <definedName name="__TBI201" localSheetId="1">#REF!</definedName>
    <definedName name="__TBI201">#REF!</definedName>
    <definedName name="__TBI202" localSheetId="3">#REF!</definedName>
    <definedName name="__TBI202" localSheetId="1">#REF!</definedName>
    <definedName name="__TBI202">#REF!</definedName>
    <definedName name="__TBI203" localSheetId="3">#REF!</definedName>
    <definedName name="__TBI203" localSheetId="1">#REF!</definedName>
    <definedName name="__TBI203">#REF!</definedName>
    <definedName name="__TBI401" localSheetId="3">#REF!</definedName>
    <definedName name="__TBI401" localSheetId="1">#REF!</definedName>
    <definedName name="__TBI401">#REF!</definedName>
    <definedName name="__TBI402" localSheetId="3">#REF!</definedName>
    <definedName name="__TBI402" localSheetId="1">#REF!</definedName>
    <definedName name="__TBI402">#REF!</definedName>
    <definedName name="__TBI403" localSheetId="3">#REF!</definedName>
    <definedName name="__TBI403" localSheetId="1">#REF!</definedName>
    <definedName name="__TBI403">#REF!</definedName>
    <definedName name="__TBI404" localSheetId="3">#REF!</definedName>
    <definedName name="__TBI404" localSheetId="1">#REF!</definedName>
    <definedName name="__TBI404">#REF!</definedName>
    <definedName name="__TBI405" localSheetId="3">#REF!</definedName>
    <definedName name="__TBI405" localSheetId="1">#REF!</definedName>
    <definedName name="__TBI405">#REF!</definedName>
    <definedName name="__TBI406" localSheetId="3">#REF!</definedName>
    <definedName name="__TBI406" localSheetId="1">#REF!</definedName>
    <definedName name="__TBI406">#REF!</definedName>
    <definedName name="__TBI407" localSheetId="3">#REF!</definedName>
    <definedName name="__TBI407" localSheetId="1">#REF!</definedName>
    <definedName name="__TBI407">#REF!</definedName>
    <definedName name="__TBI408" localSheetId="3">#REF!</definedName>
    <definedName name="__TBI408" localSheetId="1">#REF!</definedName>
    <definedName name="__TBI408">#REF!</definedName>
    <definedName name="__TBI409" localSheetId="3">#REF!</definedName>
    <definedName name="__TBI409" localSheetId="1">#REF!</definedName>
    <definedName name="__TBI409">#REF!</definedName>
    <definedName name="__TBI410" localSheetId="3">#REF!</definedName>
    <definedName name="__TBI410" localSheetId="1">#REF!</definedName>
    <definedName name="__TBI410">#REF!</definedName>
    <definedName name="__TBI411" localSheetId="3">#REF!</definedName>
    <definedName name="__TBI411" localSheetId="1">#REF!</definedName>
    <definedName name="__TBI411">#REF!</definedName>
    <definedName name="__TBI412" localSheetId="3">#REF!</definedName>
    <definedName name="__TBI412" localSheetId="1">#REF!</definedName>
    <definedName name="__TBI412">#REF!</definedName>
    <definedName name="__TBI413" localSheetId="3">#REF!</definedName>
    <definedName name="__TBI413" localSheetId="1">#REF!</definedName>
    <definedName name="__TBI413">#REF!</definedName>
    <definedName name="__TBI414" localSheetId="3">#REF!</definedName>
    <definedName name="__TBI414" localSheetId="1">#REF!</definedName>
    <definedName name="__TBI414">#REF!</definedName>
    <definedName name="__TBI415" localSheetId="3">#REF!</definedName>
    <definedName name="__TBI415" localSheetId="1">#REF!</definedName>
    <definedName name="__TBI415">#REF!</definedName>
    <definedName name="__TBI416" localSheetId="3">#REF!</definedName>
    <definedName name="__TBI416" localSheetId="1">#REF!</definedName>
    <definedName name="__TBI416">#REF!</definedName>
    <definedName name="__TBI417" localSheetId="3">#REF!</definedName>
    <definedName name="__TBI417" localSheetId="1">#REF!</definedName>
    <definedName name="__TBI417">#REF!</definedName>
    <definedName name="__TBI418" localSheetId="3">#REF!</definedName>
    <definedName name="__TBI418" localSheetId="1">#REF!</definedName>
    <definedName name="__TBI418">#REF!</definedName>
    <definedName name="__TBI419" localSheetId="3">#REF!</definedName>
    <definedName name="__TBI419" localSheetId="1">#REF!</definedName>
    <definedName name="__TBI419">#REF!</definedName>
    <definedName name="__TBI420" localSheetId="3">#REF!</definedName>
    <definedName name="__TBI420" localSheetId="1">#REF!</definedName>
    <definedName name="__TBI420">#REF!</definedName>
    <definedName name="__TBI421" localSheetId="3">#REF!</definedName>
    <definedName name="__TBI421" localSheetId="1">#REF!</definedName>
    <definedName name="__TBI421">#REF!</definedName>
    <definedName name="__TBI422" localSheetId="3">#REF!</definedName>
    <definedName name="__TBI422" localSheetId="1">#REF!</definedName>
    <definedName name="__TBI422">#REF!</definedName>
    <definedName name="__TBI423" localSheetId="3">#REF!</definedName>
    <definedName name="__TBI423" localSheetId="1">#REF!</definedName>
    <definedName name="__TBI423">#REF!</definedName>
    <definedName name="__TBI424" localSheetId="3">#REF!</definedName>
    <definedName name="__TBI424" localSheetId="1">#REF!</definedName>
    <definedName name="__TBI424">#REF!</definedName>
    <definedName name="__TBI425" localSheetId="3">#REF!</definedName>
    <definedName name="__TBI425" localSheetId="1">#REF!</definedName>
    <definedName name="__TBI425">#REF!</definedName>
    <definedName name="__TBI601" localSheetId="3">#REF!</definedName>
    <definedName name="__TBI601" localSheetId="1">#REF!</definedName>
    <definedName name="__TBI601">#REF!</definedName>
    <definedName name="__TBI602" localSheetId="3">#REF!</definedName>
    <definedName name="__TBI602" localSheetId="1">#REF!</definedName>
    <definedName name="__TBI602">#REF!</definedName>
    <definedName name="__TBI603" localSheetId="3">#REF!</definedName>
    <definedName name="__TBI603" localSheetId="1">#REF!</definedName>
    <definedName name="__TBI603">#REF!</definedName>
    <definedName name="__TBI604" localSheetId="3">#REF!</definedName>
    <definedName name="__TBI604" localSheetId="1">#REF!</definedName>
    <definedName name="__TBI604">#REF!</definedName>
    <definedName name="__TBI605" localSheetId="3">#REF!</definedName>
    <definedName name="__TBI605" localSheetId="1">#REF!</definedName>
    <definedName name="__TBI605">#REF!</definedName>
    <definedName name="__TBI606" localSheetId="3">#REF!</definedName>
    <definedName name="__TBI606" localSheetId="1">#REF!</definedName>
    <definedName name="__TBI606">#REF!</definedName>
    <definedName name="__TBI607" localSheetId="3">#REF!</definedName>
    <definedName name="__TBI607" localSheetId="1">#REF!</definedName>
    <definedName name="__TBI607">#REF!</definedName>
    <definedName name="__TBI608" localSheetId="3">#REF!</definedName>
    <definedName name="__TBI608" localSheetId="1">#REF!</definedName>
    <definedName name="__TBI608">#REF!</definedName>
    <definedName name="__TBI609" localSheetId="3">#REF!</definedName>
    <definedName name="__TBI609" localSheetId="1">#REF!</definedName>
    <definedName name="__TBI609">#REF!</definedName>
    <definedName name="__TBI610" localSheetId="3">#REF!</definedName>
    <definedName name="__TBI610" localSheetId="1">#REF!</definedName>
    <definedName name="__TBI610">#REF!</definedName>
    <definedName name="__TBI611" localSheetId="3">#REF!</definedName>
    <definedName name="__TBI611" localSheetId="1">#REF!</definedName>
    <definedName name="__TBI611">#REF!</definedName>
    <definedName name="__TBI612" localSheetId="3">#REF!</definedName>
    <definedName name="__TBI612" localSheetId="1">#REF!</definedName>
    <definedName name="__TBI612">#REF!</definedName>
    <definedName name="__TBI613" localSheetId="3">#REF!</definedName>
    <definedName name="__TBI613" localSheetId="1">#REF!</definedName>
    <definedName name="__TBI613">#REF!</definedName>
    <definedName name="__TBI614" localSheetId="3">#REF!</definedName>
    <definedName name="__TBI614" localSheetId="1">#REF!</definedName>
    <definedName name="__TBI614">#REF!</definedName>
    <definedName name="__TBI701" localSheetId="3">#REF!</definedName>
    <definedName name="__TBI701" localSheetId="1">#REF!</definedName>
    <definedName name="__TBI701">#REF!</definedName>
    <definedName name="__TBI702" localSheetId="3">#REF!</definedName>
    <definedName name="__TBI702" localSheetId="1">#REF!</definedName>
    <definedName name="__TBI702">#REF!</definedName>
    <definedName name="__TBI703" localSheetId="3">#REF!</definedName>
    <definedName name="__TBI703" localSheetId="1">#REF!</definedName>
    <definedName name="__TBI703">#REF!</definedName>
    <definedName name="__TBI704" localSheetId="3">#REF!</definedName>
    <definedName name="__TBI704" localSheetId="1">#REF!</definedName>
    <definedName name="__TBI704">#REF!</definedName>
    <definedName name="__TBI705" localSheetId="3">#REF!</definedName>
    <definedName name="__TBI705" localSheetId="1">#REF!</definedName>
    <definedName name="__TBI705">#REF!</definedName>
    <definedName name="__TBI706" localSheetId="3">#REF!</definedName>
    <definedName name="__TBI706" localSheetId="1">#REF!</definedName>
    <definedName name="__TBI706">#REF!</definedName>
    <definedName name="__TBI707" localSheetId="3">#REF!</definedName>
    <definedName name="__TBI707" localSheetId="1">#REF!</definedName>
    <definedName name="__TBI707">#REF!</definedName>
    <definedName name="__TBI708" localSheetId="3">#REF!</definedName>
    <definedName name="__TBI708" localSheetId="1">#REF!</definedName>
    <definedName name="__TBI708">#REF!</definedName>
    <definedName name="__TBI709" localSheetId="3">#REF!</definedName>
    <definedName name="__TBI709" localSheetId="1">#REF!</definedName>
    <definedName name="__TBI709">#REF!</definedName>
    <definedName name="__TBI710" localSheetId="3">#REF!</definedName>
    <definedName name="__TBI710" localSheetId="1">#REF!</definedName>
    <definedName name="__TBI710">#REF!</definedName>
    <definedName name="__TBI711" localSheetId="3">#REF!</definedName>
    <definedName name="__TBI711" localSheetId="1">#REF!</definedName>
    <definedName name="__TBI711">#REF!</definedName>
    <definedName name="__TBI712" localSheetId="3">#REF!</definedName>
    <definedName name="__TBI712" localSheetId="1">#REF!</definedName>
    <definedName name="__TBI712">#REF!</definedName>
    <definedName name="__TBI713" localSheetId="3">#REF!</definedName>
    <definedName name="__TBI713" localSheetId="1">#REF!</definedName>
    <definedName name="__TBI713">#REF!</definedName>
    <definedName name="__TBI714" localSheetId="3">#REF!</definedName>
    <definedName name="__TBI714" localSheetId="1">#REF!</definedName>
    <definedName name="__TBI714">#REF!</definedName>
    <definedName name="__TBI715" localSheetId="3">#REF!</definedName>
    <definedName name="__TBI715" localSheetId="1">#REF!</definedName>
    <definedName name="__TBI715">#REF!</definedName>
    <definedName name="__TBI716" localSheetId="3">#REF!</definedName>
    <definedName name="__TBI716" localSheetId="1">#REF!</definedName>
    <definedName name="__TBI716">#REF!</definedName>
    <definedName name="__TBI717" localSheetId="3">#REF!</definedName>
    <definedName name="__TBI717" localSheetId="1">#REF!</definedName>
    <definedName name="__TBI717">#REF!</definedName>
    <definedName name="__TBI718" localSheetId="3">#REF!</definedName>
    <definedName name="__TBI718" localSheetId="1">#REF!</definedName>
    <definedName name="__TBI718">#REF!</definedName>
    <definedName name="__TBI719" localSheetId="3">#REF!</definedName>
    <definedName name="__TBI719" localSheetId="1">#REF!</definedName>
    <definedName name="__TBI719">#REF!</definedName>
    <definedName name="__TBI901" localSheetId="3">#REF!</definedName>
    <definedName name="__TBI901" localSheetId="1">#REF!</definedName>
    <definedName name="__TBI901">#REF!</definedName>
    <definedName name="__TBI902" localSheetId="3">#REF!</definedName>
    <definedName name="__TBI902" localSheetId="1">#REF!</definedName>
    <definedName name="__TBI902">#REF!</definedName>
    <definedName name="__TBI903" localSheetId="3">#REF!</definedName>
    <definedName name="__TBI903" localSheetId="1">#REF!</definedName>
    <definedName name="__TBI903">#REF!</definedName>
    <definedName name="__TBI904" localSheetId="3">#REF!</definedName>
    <definedName name="__TBI904" localSheetId="1">#REF!</definedName>
    <definedName name="__TBI904">#REF!</definedName>
    <definedName name="__TBI905" localSheetId="3">#REF!</definedName>
    <definedName name="__TBI905" localSheetId="1">#REF!</definedName>
    <definedName name="__TBI905">#REF!</definedName>
    <definedName name="__TBI906" localSheetId="3">#REF!</definedName>
    <definedName name="__TBI906" localSheetId="1">#REF!</definedName>
    <definedName name="__TBI906">#REF!</definedName>
    <definedName name="__TBI907" localSheetId="3">#REF!</definedName>
    <definedName name="__TBI907" localSheetId="1">#REF!</definedName>
    <definedName name="__TBI907">#REF!</definedName>
    <definedName name="__Tir1" localSheetId="5" hidden="1">{#N/A,#N/A,TRUE,"일정"}</definedName>
    <definedName name="__Tir1" localSheetId="4" hidden="1">{#N/A,#N/A,TRUE,"일정"}</definedName>
    <definedName name="__Tir1" localSheetId="3" hidden="1">{#N/A,#N/A,TRUE,"일정"}</definedName>
    <definedName name="__Tir1" localSheetId="1" hidden="1">{#N/A,#N/A,TRUE,"일정"}</definedName>
    <definedName name="__Tir1" hidden="1">{#N/A,#N/A,TRUE,"일정"}</definedName>
    <definedName name="__top10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localSheetId="5" hidden="1">{#N/A,#N/A,FALSE,"Aging Summary";#N/A,#N/A,FALSE,"Ratio Analysis";#N/A,#N/A,FALSE,"Test 120 Day Accts";#N/A,#N/A,FALSE,"Tickmarks"}</definedName>
    <definedName name="__wpl2" localSheetId="4" hidden="1">{#N/A,#N/A,FALSE,"Aging Summary";#N/A,#N/A,FALSE,"Ratio Analysis";#N/A,#N/A,FALSE,"Test 120 Day Accts";#N/A,#N/A,FALSE,"Tickmarks"}</definedName>
    <definedName name="__wpl2" localSheetId="3" hidden="1">{#N/A,#N/A,FALSE,"Aging Summary";#N/A,#N/A,FALSE,"Ratio Analysis";#N/A,#N/A,FALSE,"Test 120 Day Accts";#N/A,#N/A,FALSE,"Tickmarks"}</definedName>
    <definedName name="__wpl2" localSheetId="1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ZZ16384" localSheetId="5">#REF!</definedName>
    <definedName name="__ZZ16384" localSheetId="4">#REF!</definedName>
    <definedName name="__ZZ16384" localSheetId="3">#REF!</definedName>
    <definedName name="__ZZ16384" localSheetId="1">#REF!</definedName>
    <definedName name="__ZZ16384">#REF!</definedName>
    <definedName name="_1" localSheetId="5">#REF!</definedName>
    <definedName name="_1" localSheetId="4">#REF!</definedName>
    <definedName name="_1" localSheetId="3">#REF!</definedName>
    <definedName name="_1" localSheetId="1">#REF!</definedName>
    <definedName name="_1">#REF!</definedName>
    <definedName name="_1_" localSheetId="5">#REF!</definedName>
    <definedName name="_1_" localSheetId="4">#REF!</definedName>
    <definedName name="_1_" localSheetId="3">#REF!</definedName>
    <definedName name="_1_" localSheetId="1">#REF!</definedName>
    <definedName name="_1_">#REF!</definedName>
    <definedName name="_1_?" localSheetId="3">#REF!</definedName>
    <definedName name="_1_?" localSheetId="1">#REF!</definedName>
    <definedName name="_1_?">#REF!</definedName>
    <definedName name="_1__FDSAUDITLINK__" localSheetId="5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4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3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1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 localSheetId="5">#REF!</definedName>
    <definedName name="_1_0" localSheetId="4">#REF!</definedName>
    <definedName name="_1_0" localSheetId="3">#REF!</definedName>
    <definedName name="_1_0" localSheetId="1">#REF!</definedName>
    <definedName name="_1_0">#REF!</definedName>
    <definedName name="_10" localSheetId="5">#REF!</definedName>
    <definedName name="_10" localSheetId="4">#REF!</definedName>
    <definedName name="_10" localSheetId="3">#REF!</definedName>
    <definedName name="_10" localSheetId="1">#REF!</definedName>
    <definedName name="_10">#REF!</definedName>
    <definedName name="_10_05" localSheetId="5">#REF!</definedName>
    <definedName name="_10_05" localSheetId="4">#REF!</definedName>
    <definedName name="_10_05" localSheetId="3">#REF!</definedName>
    <definedName name="_10_05" localSheetId="1">#REF!</definedName>
    <definedName name="_10_05">#REF!</definedName>
    <definedName name="_101600" localSheetId="3">#REF!</definedName>
    <definedName name="_101600" localSheetId="1">#REF!</definedName>
    <definedName name="_101600">#REF!</definedName>
    <definedName name="_101601" localSheetId="3">#REF!</definedName>
    <definedName name="_101601" localSheetId="1">#REF!</definedName>
    <definedName name="_101601">#REF!</definedName>
    <definedName name="_10A20000_" localSheetId="3">#REF!</definedName>
    <definedName name="_10A20000_" localSheetId="1">#REF!</definedName>
    <definedName name="_10A20000_">#REF!</definedName>
    <definedName name="_10SANGD" localSheetId="3">#REF!</definedName>
    <definedName name="_10SANGD" localSheetId="1">#REF!</definedName>
    <definedName name="_10SANGD">#REF!</definedName>
    <definedName name="_10T3_" localSheetId="5" hidden="1">{#N/A,#N/A,FALSE,"단축1";#N/A,#N/A,FALSE,"단축2";#N/A,#N/A,FALSE,"단축3";#N/A,#N/A,FALSE,"장축";#N/A,#N/A,FALSE,"4WD"}</definedName>
    <definedName name="_10T3_" localSheetId="4" hidden="1">{#N/A,#N/A,FALSE,"단축1";#N/A,#N/A,FALSE,"단축2";#N/A,#N/A,FALSE,"단축3";#N/A,#N/A,FALSE,"장축";#N/A,#N/A,FALSE,"4WD"}</definedName>
    <definedName name="_10T3_" localSheetId="3" hidden="1">{#N/A,#N/A,FALSE,"단축1";#N/A,#N/A,FALSE,"단축2";#N/A,#N/A,FALSE,"단축3";#N/A,#N/A,FALSE,"장축";#N/A,#N/A,FALSE,"4WD"}</definedName>
    <definedName name="_10T3_" localSheetId="1" hidden="1">{#N/A,#N/A,FALSE,"단축1";#N/A,#N/A,FALSE,"단축2";#N/A,#N/A,FALSE,"단축3";#N/A,#N/A,FALSE,"장축";#N/A,#N/A,FALSE,"4WD"}</definedName>
    <definedName name="_10T3_" hidden="1">{#N/A,#N/A,FALSE,"단축1";#N/A,#N/A,FALSE,"단축2";#N/A,#N/A,FALSE,"단축3";#N/A,#N/A,FALSE,"장축";#N/A,#N/A,FALSE,"4WD"}</definedName>
    <definedName name="_11" localSheetId="5">#REF!</definedName>
    <definedName name="_11" localSheetId="4">#REF!</definedName>
    <definedName name="_11" localSheetId="3">#REF!</definedName>
    <definedName name="_11" localSheetId="1">#REF!</definedName>
    <definedName name="_11">#REF!</definedName>
    <definedName name="_11_06" localSheetId="5">#REF!</definedName>
    <definedName name="_11_06" localSheetId="4">#REF!</definedName>
    <definedName name="_11_06" localSheetId="3">#REF!</definedName>
    <definedName name="_11_06" localSheetId="1">#REF!</definedName>
    <definedName name="_11_06">#REF!</definedName>
    <definedName name="_11T5_" localSheetId="5" hidden="1">{#N/A,#N/A,FALSE,"단축1";#N/A,#N/A,FALSE,"단축2";#N/A,#N/A,FALSE,"단축3";#N/A,#N/A,FALSE,"장축";#N/A,#N/A,FALSE,"4WD"}</definedName>
    <definedName name="_11T5_" localSheetId="4" hidden="1">{#N/A,#N/A,FALSE,"단축1";#N/A,#N/A,FALSE,"단축2";#N/A,#N/A,FALSE,"단축3";#N/A,#N/A,FALSE,"장축";#N/A,#N/A,FALSE,"4WD"}</definedName>
    <definedName name="_11T5_" localSheetId="3" hidden="1">{#N/A,#N/A,FALSE,"단축1";#N/A,#N/A,FALSE,"단축2";#N/A,#N/A,FALSE,"단축3";#N/A,#N/A,FALSE,"장축";#N/A,#N/A,FALSE,"4WD"}</definedName>
    <definedName name="_11T5_" localSheetId="1" hidden="1">{#N/A,#N/A,FALSE,"단축1";#N/A,#N/A,FALSE,"단축2";#N/A,#N/A,FALSE,"단축3";#N/A,#N/A,FALSE,"장축";#N/A,#N/A,FALSE,"4WD"}</definedName>
    <definedName name="_11T5_" hidden="1">{#N/A,#N/A,FALSE,"단축1";#N/A,#N/A,FALSE,"단축2";#N/A,#N/A,FALSE,"단축3";#N/A,#N/A,FALSE,"장축";#N/A,#N/A,FALSE,"4WD"}</definedName>
    <definedName name="_12" localSheetId="5">#REF!</definedName>
    <definedName name="_12" localSheetId="4">#REF!</definedName>
    <definedName name="_12" localSheetId="3">#REF!</definedName>
    <definedName name="_12" localSheetId="1">#REF!</definedName>
    <definedName name="_12">#REF!</definedName>
    <definedName name="_12_0ㅁ" localSheetId="5">#REF!</definedName>
    <definedName name="_12_0ㅁ" localSheetId="4">#REF!</definedName>
    <definedName name="_12_0ㅁ" localSheetId="3">#REF!</definedName>
    <definedName name="_12_0ㅁ" localSheetId="1">#REF!</definedName>
    <definedName name="_12_0ㅁ">#REF!</definedName>
    <definedName name="_12_7_0__123Graph_LB" localSheetId="5" hidden="1">#REF!</definedName>
    <definedName name="_12_7_0__123Graph_LB" localSheetId="4" hidden="1">#REF!</definedName>
    <definedName name="_12_7_0__123Graph_LB" localSheetId="3" hidden="1">#REF!</definedName>
    <definedName name="_12_7_0__123Graph_LB" localSheetId="1" hidden="1">#REF!</definedName>
    <definedName name="_12_7_0__123Graph_LB" hidden="1">#REF!</definedName>
    <definedName name="_13_0_0SANGD" localSheetId="3">#REF!</definedName>
    <definedName name="_13_0_0SANGD" localSheetId="1">#REF!</definedName>
    <definedName name="_13_0_0SANGD">#REF!</definedName>
    <definedName name="_13_0bcrclcl100rtr" localSheetId="5">#REF!</definedName>
    <definedName name="_13_0bcrclcl100rtr" localSheetId="4">#REF!</definedName>
    <definedName name="_13_0bcrclcl100rtr" localSheetId="3">#REF!</definedName>
    <definedName name="_13_0bcrclcl100rtr" localSheetId="1">#REF!</definedName>
    <definedName name="_13_0bcrclcl100rtr">#REF!</definedName>
    <definedName name="_13____S" localSheetId="3" hidden="1">#REF!</definedName>
    <definedName name="_13____S" localSheetId="1" hidden="1">#REF!</definedName>
    <definedName name="_13____S" hidden="1">#REF!</definedName>
    <definedName name="_135_0Crite" localSheetId="3">#REF!</definedName>
    <definedName name="_135_0Crite" localSheetId="1">#REF!</definedName>
    <definedName name="_135_0Crite">#REF!</definedName>
    <definedName name="_14_0Crite" localSheetId="5">#REF!</definedName>
    <definedName name="_14_0Crite" localSheetId="4">#REF!</definedName>
    <definedName name="_14_0Crite" localSheetId="3">#REF!</definedName>
    <definedName name="_14_0Crite" localSheetId="1">#REF!</definedName>
    <definedName name="_14_0Crite">#REF!</definedName>
    <definedName name="_147_0계기" localSheetId="3">#REF!</definedName>
    <definedName name="_147_0계기" localSheetId="1">#REF!</definedName>
    <definedName name="_147_0계기">#REF!</definedName>
    <definedName name="_149_0계기en" localSheetId="3">#REF!</definedName>
    <definedName name="_149_0계기en" localSheetId="1">#REF!</definedName>
    <definedName name="_149_0계기en">#REF!</definedName>
    <definedName name="_15_0Extr" localSheetId="5">#REF!</definedName>
    <definedName name="_15_0Extr" localSheetId="4">#REF!</definedName>
    <definedName name="_15_0Extr" localSheetId="3">#REF!</definedName>
    <definedName name="_15_0Extr" localSheetId="1">#REF!</definedName>
    <definedName name="_15_0Extr">#REF!</definedName>
    <definedName name="_15__0_S" localSheetId="3" hidden="1">#REF!</definedName>
    <definedName name="_15__0_S" localSheetId="1" hidden="1">#REF!</definedName>
    <definedName name="_15__0_S" hidden="1">#REF!</definedName>
    <definedName name="_151_0누계기" localSheetId="3">#REF!</definedName>
    <definedName name="_151_0누계기" localSheetId="1">#REF!</definedName>
    <definedName name="_151_0누계기">#REF!</definedName>
    <definedName name="_153_0누계생" localSheetId="3">#REF!</definedName>
    <definedName name="_153_0누계생" localSheetId="1">#REF!</definedName>
    <definedName name="_153_0누계생">#REF!</definedName>
    <definedName name="_155_0누실마" localSheetId="3">#REF!</definedName>
    <definedName name="_155_0누실마" localSheetId="1">#REF!</definedName>
    <definedName name="_155_0누실마">#REF!</definedName>
    <definedName name="_15672asdf" localSheetId="3">#REF!</definedName>
    <definedName name="_15672asdf" localSheetId="1">#REF!</definedName>
    <definedName name="_15672asdf">#REF!</definedName>
    <definedName name="_157_0누실적" localSheetId="3">#REF!</definedName>
    <definedName name="_157_0누실적" localSheetId="1">#REF!</definedName>
    <definedName name="_157_0누실적">#REF!</definedName>
    <definedName name="_159_0실기버" localSheetId="3">#REF!</definedName>
    <definedName name="_159_0실기버" localSheetId="1">#REF!</definedName>
    <definedName name="_159_0실기버">#REF!</definedName>
    <definedName name="_16_?춑_TOTAL" localSheetId="5">#REF!</definedName>
    <definedName name="_16_?춑_TOTAL" localSheetId="4">#REF!</definedName>
    <definedName name="_16_?춑_TOTAL" localSheetId="3">#REF!</definedName>
    <definedName name="_16_?춑_TOTAL" localSheetId="1">#REF!</definedName>
    <definedName name="_16_?춑_TOTAL">#REF!</definedName>
    <definedName name="_16_9_0__123Grap" localSheetId="5" hidden="1">#REF!</definedName>
    <definedName name="_16_9_0__123Grap" localSheetId="4" hidden="1">#REF!</definedName>
    <definedName name="_16_9_0__123Grap" localSheetId="3" hidden="1">#REF!</definedName>
    <definedName name="_16_9_0__123Grap" localSheetId="1" hidden="1">#REF!</definedName>
    <definedName name="_16_9_0__123Grap" hidden="1">#REF!</definedName>
    <definedName name="_161_0실적마" localSheetId="3">#REF!</definedName>
    <definedName name="_161_0실적마" localSheetId="1">#REF!</definedName>
    <definedName name="_161_0실적마">#REF!</definedName>
    <definedName name="_163DD2_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 localSheetId="5">#REF!</definedName>
    <definedName name="_165F_0Datab" localSheetId="4">#REF!</definedName>
    <definedName name="_165F_0Datab" localSheetId="3">#REF!</definedName>
    <definedName name="_165F_0Datab" localSheetId="1">#REF!</definedName>
    <definedName name="_165F_0Datab">#REF!</definedName>
    <definedName name="_167n_0Extr" localSheetId="3">#REF!</definedName>
    <definedName name="_167n_0Extr" localSheetId="1">#REF!</definedName>
    <definedName name="_167n_0Extr">#REF!</definedName>
    <definedName name="_16A1_" localSheetId="3">#REF!</definedName>
    <definedName name="_16A1_" localSheetId="1">#REF!</definedName>
    <definedName name="_16A1_">#REF!</definedName>
    <definedName name="_17A100_" localSheetId="5">#REF!</definedName>
    <definedName name="_17A100_" localSheetId="4">#REF!</definedName>
    <definedName name="_17A100_" localSheetId="3">#REF!</definedName>
    <definedName name="_17A100_" localSheetId="1">#REF!</definedName>
    <definedName name="_17A100_">#REF!</definedName>
    <definedName name="_18A101_" localSheetId="5">#REF!</definedName>
    <definedName name="_18A101_" localSheetId="4">#REF!</definedName>
    <definedName name="_18A101_" localSheetId="3">#REF!</definedName>
    <definedName name="_18A101_" localSheetId="1">#REF!</definedName>
    <definedName name="_18A101_">#REF!</definedName>
    <definedName name="_1999_01_29" localSheetId="3">#REF!</definedName>
    <definedName name="_1999_01_29" localSheetId="1">#REF!</definedName>
    <definedName name="_1999_01_29">#REF!</definedName>
    <definedName name="_19A20000_" localSheetId="3">#REF!</definedName>
    <definedName name="_19A20000_" localSheetId="1">#REF!</definedName>
    <definedName name="_19A20000_">#REF!</definedName>
    <definedName name="_1A19999_" localSheetId="3">#REF!</definedName>
    <definedName name="_1A19999_" localSheetId="1">#REF!</definedName>
    <definedName name="_1A19999_">#REF!</definedName>
    <definedName name="_1Bp2_" localSheetId="5" hidden="1">{#N/A,#N/A,FALSE,"BS";#N/A,#N/A,FALSE,"PL";#N/A,#N/A,FALSE,"처분";#N/A,#N/A,FALSE,"현금";#N/A,#N/A,FALSE,"매출";#N/A,#N/A,FALSE,"원가";#N/A,#N/A,FALSE,"경영"}</definedName>
    <definedName name="_1Bp2_" localSheetId="4" hidden="1">{#N/A,#N/A,FALSE,"BS";#N/A,#N/A,FALSE,"PL";#N/A,#N/A,FALSE,"처분";#N/A,#N/A,FALSE,"현금";#N/A,#N/A,FALSE,"매출";#N/A,#N/A,FALSE,"원가";#N/A,#N/A,FALSE,"경영"}</definedName>
    <definedName name="_1Bp2_" localSheetId="3" hidden="1">{#N/A,#N/A,FALSE,"BS";#N/A,#N/A,FALSE,"PL";#N/A,#N/A,FALSE,"처분";#N/A,#N/A,FALSE,"현금";#N/A,#N/A,FALSE,"매출";#N/A,#N/A,FALSE,"원가";#N/A,#N/A,FALSE,"경영"}</definedName>
    <definedName name="_1Bp2_" localSheetId="1" hidden="1">{#N/A,#N/A,FALSE,"BS";#N/A,#N/A,FALSE,"PL";#N/A,#N/A,FALSE,"처분";#N/A,#N/A,FALSE,"현금";#N/A,#N/A,FALSE,"매출";#N/A,#N/A,FALSE,"원가";#N/A,#N/A,FALSE,"경영"}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 localSheetId="5">#REF!</definedName>
    <definedName name="_1st_Yr_Turn_over_rate" localSheetId="4">#REF!</definedName>
    <definedName name="_1st_Yr_Turn_over_rate" localSheetId="3">#REF!</definedName>
    <definedName name="_1st_Yr_Turn_over_rate" localSheetId="1">#REF!</definedName>
    <definedName name="_1st_Yr_Turn_over_rate">#REF!</definedName>
    <definedName name="_1st_Yr_V" localSheetId="3">#REF!</definedName>
    <definedName name="_1st_Yr_V" localSheetId="1">#REF!</definedName>
    <definedName name="_1st_Yr_V">#REF!</definedName>
    <definedName name="_1st_Yr_Vacancy" localSheetId="3">#REF!</definedName>
    <definedName name="_1st_Yr_Vacancy" localSheetId="1">#REF!</definedName>
    <definedName name="_1st_Yr_Vacancy">#REF!</definedName>
    <definedName name="_2" localSheetId="5">#REF!</definedName>
    <definedName name="_2" localSheetId="4">#REF!</definedName>
    <definedName name="_2" localSheetId="3">#REF!</definedName>
    <definedName name="_2" localSheetId="1">#REF!</definedName>
    <definedName name="_2">#REF!</definedName>
    <definedName name="_2_" localSheetId="5">#REF!</definedName>
    <definedName name="_2_" localSheetId="4">#REF!</definedName>
    <definedName name="_2_" localSheetId="3">#REF!</definedName>
    <definedName name="_2_" localSheetId="1">#REF!</definedName>
    <definedName name="_2_">#REF!</definedName>
    <definedName name="_2_?" localSheetId="3">#REF!</definedName>
    <definedName name="_2_?" localSheetId="1">#REF!</definedName>
    <definedName name="_2_?">#REF!</definedName>
    <definedName name="_2_?춑_TOTAL" localSheetId="5">#REF!</definedName>
    <definedName name="_2_?춑_TOTAL" localSheetId="4">#REF!</definedName>
    <definedName name="_2_?춑_TOTAL" localSheetId="3">#REF!</definedName>
    <definedName name="_2_?춑_TOTAL" localSheetId="1">#REF!</definedName>
    <definedName name="_2_?춑_TOTAL">#REF!</definedName>
    <definedName name="_2__FDSAUDITLINK__" localSheetId="5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4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3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1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 localSheetId="5">#REF!</definedName>
    <definedName name="_2_0bcrclcl10" localSheetId="4">#REF!</definedName>
    <definedName name="_2_0bcrclcl10" localSheetId="3">#REF!</definedName>
    <definedName name="_2_0bcrclcl10" localSheetId="1">#REF!</definedName>
    <definedName name="_2_0bcrclcl10">#REF!</definedName>
    <definedName name="_20_9_0__123Graph_LB" localSheetId="5" hidden="1">#REF!</definedName>
    <definedName name="_20_9_0__123Graph_LB" localSheetId="4" hidden="1">#REF!</definedName>
    <definedName name="_20_9_0__123Graph_LB" localSheetId="3" hidden="1">#REF!</definedName>
    <definedName name="_20_9_0__123Graph_LB" localSheetId="1" hidden="1">#REF!</definedName>
    <definedName name="_20_9_0__123Graph_LB" hidden="1">#REF!</definedName>
    <definedName name="_20A25000_" localSheetId="3">#REF!</definedName>
    <definedName name="_20A25000_" localSheetId="1">#REF!</definedName>
    <definedName name="_20A25000_">#REF!</definedName>
    <definedName name="_21Ａ４_" localSheetId="5">#REF!</definedName>
    <definedName name="_21Ａ４_" localSheetId="4">#REF!</definedName>
    <definedName name="_21Ａ４_" localSheetId="3">#REF!</definedName>
    <definedName name="_21Ａ４_" localSheetId="1">#REF!</definedName>
    <definedName name="_21Ａ４_">#REF!</definedName>
    <definedName name="_2311" localSheetId="3">#REF!</definedName>
    <definedName name="_2311" localSheetId="1">#REF!</definedName>
    <definedName name="_2311">#REF!</definedName>
    <definedName name="_2331" localSheetId="3">#REF!</definedName>
    <definedName name="_2331" localSheetId="1">#REF!</definedName>
    <definedName name="_2331">#REF!</definedName>
    <definedName name="_23DR1_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 localSheetId="5">#REF!</definedName>
    <definedName name="_24_0_0SANGD" localSheetId="4">#REF!</definedName>
    <definedName name="_24_0_0SANGD" localSheetId="3">#REF!</definedName>
    <definedName name="_24_0_0SANGD" localSheetId="1">#REF!</definedName>
    <definedName name="_24_0_0SANGD">#REF!</definedName>
    <definedName name="_24p1_" localSheetId="5">#REF!</definedName>
    <definedName name="_24p1_" localSheetId="4">#REF!</definedName>
    <definedName name="_24p1_" localSheetId="3">#REF!</definedName>
    <definedName name="_24p1_" localSheetId="1">#REF!</definedName>
    <definedName name="_24p1_">#REF!</definedName>
    <definedName name="_2512" localSheetId="3">#REF!</definedName>
    <definedName name="_2512" localSheetId="1">#REF!</definedName>
    <definedName name="_2512">#REF!</definedName>
    <definedName name="_25120" localSheetId="3">#REF!</definedName>
    <definedName name="_25120" localSheetId="1">#REF!</definedName>
    <definedName name="_25120">#REF!</definedName>
    <definedName name="_25160" localSheetId="3">#REF!</definedName>
    <definedName name="_25160" localSheetId="1">#REF!</definedName>
    <definedName name="_25160">#REF!</definedName>
    <definedName name="_26A3_" localSheetId="5" hidden="1">{#N/A,#N/A,FALSE,"단축1";#N/A,#N/A,FALSE,"단축2";#N/A,#N/A,FALSE,"단축3";#N/A,#N/A,FALSE,"장축";#N/A,#N/A,FALSE,"4WD"}</definedName>
    <definedName name="_26A3_" localSheetId="4" hidden="1">{#N/A,#N/A,FALSE,"단축1";#N/A,#N/A,FALSE,"단축2";#N/A,#N/A,FALSE,"단축3";#N/A,#N/A,FALSE,"장축";#N/A,#N/A,FALSE,"4WD"}</definedName>
    <definedName name="_26A3_" localSheetId="3" hidden="1">{#N/A,#N/A,FALSE,"단축1";#N/A,#N/A,FALSE,"단축2";#N/A,#N/A,FALSE,"단축3";#N/A,#N/A,FALSE,"장축";#N/A,#N/A,FALSE,"4WD"}</definedName>
    <definedName name="_26A3_" localSheetId="1" hidden="1">{#N/A,#N/A,FALSE,"단축1";#N/A,#N/A,FALSE,"단축2";#N/A,#N/A,FALSE,"단축3";#N/A,#N/A,FALSE,"장축";#N/A,#N/A,FALSE,"4WD"}</definedName>
    <definedName name="_26A3_" hidden="1">{#N/A,#N/A,FALSE,"단축1";#N/A,#N/A,FALSE,"단축2";#N/A,#N/A,FALSE,"단축3";#N/A,#N/A,FALSE,"장축";#N/A,#N/A,FALSE,"4WD"}</definedName>
    <definedName name="_26T2_" localSheetId="5" hidden="1">{#N/A,#N/A,FALSE,"단축1";#N/A,#N/A,FALSE,"단축2";#N/A,#N/A,FALSE,"단축3";#N/A,#N/A,FALSE,"장축";#N/A,#N/A,FALSE,"4WD"}</definedName>
    <definedName name="_26T2_" localSheetId="4" hidden="1">{#N/A,#N/A,FALSE,"단축1";#N/A,#N/A,FALSE,"단축2";#N/A,#N/A,FALSE,"단축3";#N/A,#N/A,FALSE,"장축";#N/A,#N/A,FALSE,"4WD"}</definedName>
    <definedName name="_26T2_" localSheetId="3" hidden="1">{#N/A,#N/A,FALSE,"단축1";#N/A,#N/A,FALSE,"단축2";#N/A,#N/A,FALSE,"단축3";#N/A,#N/A,FALSE,"장축";#N/A,#N/A,FALSE,"4WD"}</definedName>
    <definedName name="_26T2_" localSheetId="1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localSheetId="5" hidden="1">{#N/A,#N/A,FALSE,"Aging Summary";#N/A,#N/A,FALSE,"Ratio Analysis";#N/A,#N/A,FALSE,"Test 120 Day Accts";#N/A,#N/A,FALSE,"Tickmarks"}</definedName>
    <definedName name="_28aa1_" localSheetId="4" hidden="1">{#N/A,#N/A,FALSE,"Aging Summary";#N/A,#N/A,FALSE,"Ratio Analysis";#N/A,#N/A,FALSE,"Test 120 Day Accts";#N/A,#N/A,FALSE,"Tickmarks"}</definedName>
    <definedName name="_28aa1_" localSheetId="3" hidden="1">{#N/A,#N/A,FALSE,"Aging Summary";#N/A,#N/A,FALSE,"Ratio Analysis";#N/A,#N/A,FALSE,"Test 120 Day Accts";#N/A,#N/A,FALSE,"Tickmarks"}</definedName>
    <definedName name="_28aa1_" localSheetId="1" hidden="1">{#N/A,#N/A,FALSE,"Aging Summary";#N/A,#N/A,FALSE,"Ratio Analysis";#N/A,#N/A,FALSE,"Test 120 Day Accts";#N/A,#N/A,FALSE,"Tickmarks"}</definedName>
    <definedName name="_28aa1_" hidden="1">{#N/A,#N/A,FALSE,"Aging Summary";#N/A,#N/A,FALSE,"Ratio Analysis";#N/A,#N/A,FALSE,"Test 120 Day Accts";#N/A,#N/A,FALSE,"Tickmarks"}</definedName>
    <definedName name="_28T3_" localSheetId="5" hidden="1">{#N/A,#N/A,FALSE,"단축1";#N/A,#N/A,FALSE,"단축2";#N/A,#N/A,FALSE,"단축3";#N/A,#N/A,FALSE,"장축";#N/A,#N/A,FALSE,"4WD"}</definedName>
    <definedName name="_28T3_" localSheetId="4" hidden="1">{#N/A,#N/A,FALSE,"단축1";#N/A,#N/A,FALSE,"단축2";#N/A,#N/A,FALSE,"단축3";#N/A,#N/A,FALSE,"장축";#N/A,#N/A,FALSE,"4WD"}</definedName>
    <definedName name="_28T3_" localSheetId="3" hidden="1">{#N/A,#N/A,FALSE,"단축1";#N/A,#N/A,FALSE,"단축2";#N/A,#N/A,FALSE,"단축3";#N/A,#N/A,FALSE,"장축";#N/A,#N/A,FALSE,"4WD"}</definedName>
    <definedName name="_28T3_" localSheetId="1" hidden="1">{#N/A,#N/A,FALSE,"단축1";#N/A,#N/A,FALSE,"단축2";#N/A,#N/A,FALSE,"단축3";#N/A,#N/A,FALSE,"장축";#N/A,#N/A,FALSE,"4WD"}</definedName>
    <definedName name="_28T3_" hidden="1">{#N/A,#N/A,FALSE,"단축1";#N/A,#N/A,FALSE,"단축2";#N/A,#N/A,FALSE,"단축3";#N/A,#N/A,FALSE,"장축";#N/A,#N/A,FALSE,"4WD"}</definedName>
    <definedName name="_29Bp2_" localSheetId="5" hidden="1">{#N/A,#N/A,FALSE,"BS";#N/A,#N/A,FALSE,"PL";#N/A,#N/A,FALSE,"처분";#N/A,#N/A,FALSE,"현금";#N/A,#N/A,FALSE,"매출";#N/A,#N/A,FALSE,"원가";#N/A,#N/A,FALSE,"경영"}</definedName>
    <definedName name="_29Bp2_" localSheetId="4" hidden="1">{#N/A,#N/A,FALSE,"BS";#N/A,#N/A,FALSE,"PL";#N/A,#N/A,FALSE,"처분";#N/A,#N/A,FALSE,"현금";#N/A,#N/A,FALSE,"매출";#N/A,#N/A,FALSE,"원가";#N/A,#N/A,FALSE,"경영"}</definedName>
    <definedName name="_29Bp2_" localSheetId="3" hidden="1">{#N/A,#N/A,FALSE,"BS";#N/A,#N/A,FALSE,"PL";#N/A,#N/A,FALSE,"처분";#N/A,#N/A,FALSE,"현금";#N/A,#N/A,FALSE,"매출";#N/A,#N/A,FALSE,"원가";#N/A,#N/A,FALSE,"경영"}</definedName>
    <definedName name="_29Bp2_" localSheetId="1" hidden="1">{#N/A,#N/A,FALSE,"BS";#N/A,#N/A,FALSE,"PL";#N/A,#N/A,FALSE,"처분";#N/A,#N/A,FALSE,"현금";#N/A,#N/A,FALSE,"매출";#N/A,#N/A,FALSE,"원가";#N/A,#N/A,FALSE,"경영"}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 localSheetId="5">#REF!</definedName>
    <definedName name="_29uÞOUðuueßAÞAIee_YA" localSheetId="4">#REF!</definedName>
    <definedName name="_29uÞOUðuueßAÞAIee_YA" localSheetId="3">#REF!</definedName>
    <definedName name="_29uÞOUðuueßAÞAIee_YA" localSheetId="1">#REF!</definedName>
    <definedName name="_29uÞOUðuueßAÞAIee_YA">#REF!</definedName>
    <definedName name="_2A20000_" localSheetId="3">#REF!</definedName>
    <definedName name="_2A20000_" localSheetId="1">#REF!</definedName>
    <definedName name="_2A20000_">#REF!</definedName>
    <definedName name="_2FM2_" localSheetId="5">BlankMacro1</definedName>
    <definedName name="_2FM2_" localSheetId="4">BlankMacro1</definedName>
    <definedName name="_2FM2_" localSheetId="3">BlankMacro1</definedName>
    <definedName name="_2FM2_" localSheetId="2">BlankMacro1</definedName>
    <definedName name="_2FM2_" localSheetId="1">BlankMacro1</definedName>
    <definedName name="_2FM2_" localSheetId="0">BlankMacro1</definedName>
    <definedName name="_2FM2_">BlankMacro1</definedName>
    <definedName name="_2MatInverse" localSheetId="5" hidden="1">#REF!</definedName>
    <definedName name="_2MatInverse" localSheetId="4" hidden="1">#REF!</definedName>
    <definedName name="_2MatInverse" localSheetId="3" hidden="1">#REF!</definedName>
    <definedName name="_2MatInverse" localSheetId="1" hidden="1">#REF!</definedName>
    <definedName name="_2MatInverse" hidden="1">#REF!</definedName>
    <definedName name="_3" localSheetId="3">#REF!</definedName>
    <definedName name="_3" localSheetId="1">#REF!</definedName>
    <definedName name="_3">#REF!</definedName>
    <definedName name="_3_" localSheetId="5">#REF!</definedName>
    <definedName name="_3_" localSheetId="4">#REF!</definedName>
    <definedName name="_3_" localSheetId="3">#REF!</definedName>
    <definedName name="_3_" localSheetId="1">#REF!</definedName>
    <definedName name="_3_">#REF!</definedName>
    <definedName name="_3_?" localSheetId="3">#REF!</definedName>
    <definedName name="_3_?" localSheetId="1">#REF!</definedName>
    <definedName name="_3_?">#REF!</definedName>
    <definedName name="_3_?춮tb" localSheetId="5">#REF!</definedName>
    <definedName name="_3_?춮tb" localSheetId="4">#REF!</definedName>
    <definedName name="_3_?춮tb" localSheetId="3">#REF!</definedName>
    <definedName name="_3_?춮tb" localSheetId="1">#REF!</definedName>
    <definedName name="_3_?춮tb">#REF!</definedName>
    <definedName name="_3_0_0SANGD" localSheetId="3">#REF!</definedName>
    <definedName name="_3_0_0SANGD" localSheetId="1">#REF!</definedName>
    <definedName name="_3_0_0SANGD">#REF!</definedName>
    <definedName name="_30__0_S" localSheetId="3">#REF!</definedName>
    <definedName name="_30__0_S" localSheetId="1">#REF!</definedName>
    <definedName name="_30__0_S">#REF!</definedName>
    <definedName name="_32Ａ４_" localSheetId="5">#REF!</definedName>
    <definedName name="_32Ａ４_" localSheetId="4">#REF!</definedName>
    <definedName name="_32Ａ４_" localSheetId="3">#REF!</definedName>
    <definedName name="_32Ａ４_" localSheetId="1">#REF!</definedName>
    <definedName name="_32Ａ４_">#REF!</definedName>
    <definedName name="_3311" localSheetId="3">#REF!</definedName>
    <definedName name="_3311" localSheetId="1">#REF!</definedName>
    <definedName name="_3311">#REF!</definedName>
    <definedName name="_3331" localSheetId="3">#REF!</definedName>
    <definedName name="_3331" localSheetId="1">#REF!</definedName>
    <definedName name="_3331">#REF!</definedName>
    <definedName name="_33310" localSheetId="3">#REF!</definedName>
    <definedName name="_33310" localSheetId="1">#REF!</definedName>
    <definedName name="_33310">#REF!</definedName>
    <definedName name="_35P2_" localSheetId="5" hidden="1">{#N/A,#N/A,FALSE,"단축1";#N/A,#N/A,FALSE,"단축2";#N/A,#N/A,FALSE,"단축3";#N/A,#N/A,FALSE,"장축";#N/A,#N/A,FALSE,"4WD"}</definedName>
    <definedName name="_35P2_" localSheetId="4" hidden="1">{#N/A,#N/A,FALSE,"단축1";#N/A,#N/A,FALSE,"단축2";#N/A,#N/A,FALSE,"단축3";#N/A,#N/A,FALSE,"장축";#N/A,#N/A,FALSE,"4WD"}</definedName>
    <definedName name="_35P2_" localSheetId="3" hidden="1">{#N/A,#N/A,FALSE,"단축1";#N/A,#N/A,FALSE,"단축2";#N/A,#N/A,FALSE,"단축3";#N/A,#N/A,FALSE,"장축";#N/A,#N/A,FALSE,"4WD"}</definedName>
    <definedName name="_35P2_" localSheetId="1" hidden="1">{#N/A,#N/A,FALSE,"단축1";#N/A,#N/A,FALSE,"단축2";#N/A,#N/A,FALSE,"단축3";#N/A,#N/A,FALSE,"장축";#N/A,#N/A,FALSE,"4WD"}</definedName>
    <definedName name="_35P2_" hidden="1">{#N/A,#N/A,FALSE,"단축1";#N/A,#N/A,FALSE,"단축2";#N/A,#N/A,FALSE,"단축3";#N/A,#N/A,FALSE,"장축";#N/A,#N/A,FALSE,"4WD"}</definedName>
    <definedName name="_3Ａ４_" localSheetId="5">#REF!</definedName>
    <definedName name="_3Ａ４_" localSheetId="4">#REF!</definedName>
    <definedName name="_3Ａ４_" localSheetId="3">#REF!</definedName>
    <definedName name="_3Ａ４_" localSheetId="1">#REF!</definedName>
    <definedName name="_3Ａ４_">#REF!</definedName>
    <definedName name="_4" localSheetId="3">#REF!</definedName>
    <definedName name="_4" localSheetId="1">#REF!</definedName>
    <definedName name="_4">#REF!</definedName>
    <definedName name="_4_" localSheetId="5">#REF!</definedName>
    <definedName name="_4_" localSheetId="4">#REF!</definedName>
    <definedName name="_4_" localSheetId="3">#REF!</definedName>
    <definedName name="_4_" localSheetId="1">#REF!</definedName>
    <definedName name="_4_">#REF!</definedName>
    <definedName name="_4_?춑_TOTAL" localSheetId="5">#REF!</definedName>
    <definedName name="_4_?춑_TOTAL" localSheetId="4">#REF!</definedName>
    <definedName name="_4_?춑_TOTAL" localSheetId="3">#REF!</definedName>
    <definedName name="_4_?춑_TOTAL" localSheetId="1">#REF!</definedName>
    <definedName name="_4_?춑_TOTAL">#REF!</definedName>
    <definedName name="_4_0" localSheetId="5">#REF!</definedName>
    <definedName name="_4_0" localSheetId="4">#REF!</definedName>
    <definedName name="_4_0" localSheetId="3">#REF!</definedName>
    <definedName name="_4_0" localSheetId="1">#REF!</definedName>
    <definedName name="_4_0">#REF!</definedName>
    <definedName name="_4_0_0_MatInverse" localSheetId="5" hidden="1">#REF!</definedName>
    <definedName name="_4_0_0_MatInverse" localSheetId="4" hidden="1">#REF!</definedName>
    <definedName name="_4_0_0_MatInverse" localSheetId="3" hidden="1">#REF!</definedName>
    <definedName name="_4_0_0_MatInverse" localSheetId="1" hidden="1">#REF!</definedName>
    <definedName name="_4_0_0_MatInverse" hidden="1">#REF!</definedName>
    <definedName name="_4_0_0SANGD" localSheetId="3">#REF!</definedName>
    <definedName name="_4_0_0SANGD" localSheetId="1">#REF!</definedName>
    <definedName name="_4_0_0SANGD">#REF!</definedName>
    <definedName name="_4_0실마" localSheetId="3">#REF!</definedName>
    <definedName name="_4_0실마" localSheetId="1">#REF!</definedName>
    <definedName name="_4_0실마">#REF!</definedName>
    <definedName name="_4_5_0__123Grap" localSheetId="5" hidden="1">#REF!</definedName>
    <definedName name="_4_5_0__123Grap" localSheetId="4" hidden="1">#REF!</definedName>
    <definedName name="_4_5_0__123Grap" localSheetId="3" hidden="1">#REF!</definedName>
    <definedName name="_4_5_0__123Grap" localSheetId="1" hidden="1">#REF!</definedName>
    <definedName name="_4_5_0__123Grap" hidden="1">#REF!</definedName>
    <definedName name="_40SANGD" localSheetId="3">#REF!</definedName>
    <definedName name="_40SANGD" localSheetId="1">#REF!</definedName>
    <definedName name="_40SANGD">#REF!</definedName>
    <definedName name="_43T2_" localSheetId="5" hidden="1">{#N/A,#N/A,FALSE,"단축1";#N/A,#N/A,FALSE,"단축2";#N/A,#N/A,FALSE,"단축3";#N/A,#N/A,FALSE,"장축";#N/A,#N/A,FALSE,"4WD"}</definedName>
    <definedName name="_43T2_" localSheetId="4" hidden="1">{#N/A,#N/A,FALSE,"단축1";#N/A,#N/A,FALSE,"단축2";#N/A,#N/A,FALSE,"단축3";#N/A,#N/A,FALSE,"장축";#N/A,#N/A,FALSE,"4WD"}</definedName>
    <definedName name="_43T2_" localSheetId="3" hidden="1">{#N/A,#N/A,FALSE,"단축1";#N/A,#N/A,FALSE,"단축2";#N/A,#N/A,FALSE,"단축3";#N/A,#N/A,FALSE,"장축";#N/A,#N/A,FALSE,"4WD"}</definedName>
    <definedName name="_43T2_" localSheetId="1" hidden="1">{#N/A,#N/A,FALSE,"단축1";#N/A,#N/A,FALSE,"단축2";#N/A,#N/A,FALSE,"단축3";#N/A,#N/A,FALSE,"장축";#N/A,#N/A,FALSE,"4WD"}</definedName>
    <definedName name="_43T2_" hidden="1">{#N/A,#N/A,FALSE,"단축1";#N/A,#N/A,FALSE,"단축2";#N/A,#N/A,FALSE,"단축3";#N/A,#N/A,FALSE,"장축";#N/A,#N/A,FALSE,"4WD"}</definedName>
    <definedName name="_44" localSheetId="5">#REF!</definedName>
    <definedName name="_44" localSheetId="4">#REF!</definedName>
    <definedName name="_44" localSheetId="3">#REF!</definedName>
    <definedName name="_44" localSheetId="1">#REF!</definedName>
    <definedName name="_44">#REF!</definedName>
    <definedName name="_44T3_" localSheetId="5" hidden="1">{#N/A,#N/A,FALSE,"단축1";#N/A,#N/A,FALSE,"단축2";#N/A,#N/A,FALSE,"단축3";#N/A,#N/A,FALSE,"장축";#N/A,#N/A,FALSE,"4WD"}</definedName>
    <definedName name="_44T3_" localSheetId="4" hidden="1">{#N/A,#N/A,FALSE,"단축1";#N/A,#N/A,FALSE,"단축2";#N/A,#N/A,FALSE,"단축3";#N/A,#N/A,FALSE,"장축";#N/A,#N/A,FALSE,"4WD"}</definedName>
    <definedName name="_44T3_" localSheetId="3" hidden="1">{#N/A,#N/A,FALSE,"단축1";#N/A,#N/A,FALSE,"단축2";#N/A,#N/A,FALSE,"단축3";#N/A,#N/A,FALSE,"장축";#N/A,#N/A,FALSE,"4WD"}</definedName>
    <definedName name="_44T3_" localSheetId="1" hidden="1">{#N/A,#N/A,FALSE,"단축1";#N/A,#N/A,FALSE,"단축2";#N/A,#N/A,FALSE,"단축3";#N/A,#N/A,FALSE,"장축";#N/A,#N/A,FALSE,"4WD"}</definedName>
    <definedName name="_44T3_" hidden="1">{#N/A,#N/A,FALSE,"단축1";#N/A,#N/A,FALSE,"단축2";#N/A,#N/A,FALSE,"단축3";#N/A,#N/A,FALSE,"장축";#N/A,#N/A,FALSE,"4WD"}</definedName>
    <definedName name="_45T5_" localSheetId="5" hidden="1">{#N/A,#N/A,FALSE,"단축1";#N/A,#N/A,FALSE,"단축2";#N/A,#N/A,FALSE,"단축3";#N/A,#N/A,FALSE,"장축";#N/A,#N/A,FALSE,"4WD"}</definedName>
    <definedName name="_45T5_" localSheetId="4" hidden="1">{#N/A,#N/A,FALSE,"단축1";#N/A,#N/A,FALSE,"단축2";#N/A,#N/A,FALSE,"단축3";#N/A,#N/A,FALSE,"장축";#N/A,#N/A,FALSE,"4WD"}</definedName>
    <definedName name="_45T5_" localSheetId="3" hidden="1">{#N/A,#N/A,FALSE,"단축1";#N/A,#N/A,FALSE,"단축2";#N/A,#N/A,FALSE,"단축3";#N/A,#N/A,FALSE,"장축";#N/A,#N/A,FALSE,"4WD"}</definedName>
    <definedName name="_45T5_" localSheetId="1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localSheetId="5" hidden="1">#REF!</definedName>
    <definedName name="_47____S" localSheetId="4" hidden="1">#REF!</definedName>
    <definedName name="_47____S" localSheetId="3" hidden="1">#REF!</definedName>
    <definedName name="_47____S" localSheetId="1" hidden="1">#REF!</definedName>
    <definedName name="_47____S" hidden="1">#REF!</definedName>
    <definedName name="_48__0_S" localSheetId="3" hidden="1">#REF!</definedName>
    <definedName name="_48__0_S" localSheetId="1" hidden="1">#REF!</definedName>
    <definedName name="_48__0_S" hidden="1">#REF!</definedName>
    <definedName name="_4Ａ４_" localSheetId="5">#REF!</definedName>
    <definedName name="_4Ａ４_" localSheetId="4">#REF!</definedName>
    <definedName name="_4Ａ４_" localSheetId="3">#REF!</definedName>
    <definedName name="_4Ａ４_" localSheetId="1">#REF!</definedName>
    <definedName name="_4Ａ４_">#REF!</definedName>
    <definedName name="_4SANGD" localSheetId="3">#REF!</definedName>
    <definedName name="_4SANGD" localSheetId="1">#REF!</definedName>
    <definedName name="_4SANGD">#REF!</definedName>
    <definedName name="_5" localSheetId="3">#REF!</definedName>
    <definedName name="_5" localSheetId="1">#REF!</definedName>
    <definedName name="_5">#REF!</definedName>
    <definedName name="_5_" localSheetId="5">#REF!</definedName>
    <definedName name="_5_" localSheetId="4">#REF!</definedName>
    <definedName name="_5_" localSheetId="3">#REF!</definedName>
    <definedName name="_5_" localSheetId="1">#REF!</definedName>
    <definedName name="_5_">#REF!</definedName>
    <definedName name="_5__123Graph_A차트_1" localSheetId="3" hidden="1">#REF!</definedName>
    <definedName name="_5__123Graph_A차트_1" localSheetId="1" hidden="1">#REF!</definedName>
    <definedName name="_5__123Graph_A차트_1" hidden="1">#REF!</definedName>
    <definedName name="_5_0" localSheetId="3">#REF!</definedName>
    <definedName name="_5_0" localSheetId="1">#REF!</definedName>
    <definedName name="_5_0">#REF!</definedName>
    <definedName name="_5A19999_" localSheetId="3">#REF!</definedName>
    <definedName name="_5A19999_" localSheetId="1">#REF!</definedName>
    <definedName name="_5A19999_">#REF!</definedName>
    <definedName name="_5A3_" localSheetId="5" hidden="1">{#N/A,#N/A,FALSE,"단축1";#N/A,#N/A,FALSE,"단축2";#N/A,#N/A,FALSE,"단축3";#N/A,#N/A,FALSE,"장축";#N/A,#N/A,FALSE,"4WD"}</definedName>
    <definedName name="_5A3_" localSheetId="4" hidden="1">{#N/A,#N/A,FALSE,"단축1";#N/A,#N/A,FALSE,"단축2";#N/A,#N/A,FALSE,"단축3";#N/A,#N/A,FALSE,"장축";#N/A,#N/A,FALSE,"4WD"}</definedName>
    <definedName name="_5A3_" localSheetId="3" hidden="1">{#N/A,#N/A,FALSE,"단축1";#N/A,#N/A,FALSE,"단축2";#N/A,#N/A,FALSE,"단축3";#N/A,#N/A,FALSE,"장축";#N/A,#N/A,FALSE,"4WD"}</definedName>
    <definedName name="_5A3_" localSheetId="1" hidden="1">{#N/A,#N/A,FALSE,"단축1";#N/A,#N/A,FALSE,"단축2";#N/A,#N/A,FALSE,"단축3";#N/A,#N/A,FALSE,"장축";#N/A,#N/A,FALSE,"4WD"}</definedName>
    <definedName name="_5A3_" hidden="1">{#N/A,#N/A,FALSE,"단축1";#N/A,#N/A,FALSE,"단축2";#N/A,#N/A,FALSE,"단축3";#N/A,#N/A,FALSE,"장축";#N/A,#N/A,FALSE,"4WD"}</definedName>
    <definedName name="_5Ａ４_" localSheetId="5">#REF!</definedName>
    <definedName name="_5Ａ４_" localSheetId="4">#REF!</definedName>
    <definedName name="_5Ａ４_" localSheetId="3">#REF!</definedName>
    <definedName name="_5Ａ４_" localSheetId="1">#REF!</definedName>
    <definedName name="_5Ａ４_">#REF!</definedName>
    <definedName name="_5SANGD" localSheetId="3">#REF!</definedName>
    <definedName name="_5SANGD" localSheetId="1">#REF!</definedName>
    <definedName name="_5SANGD">#REF!</definedName>
    <definedName name="_6" localSheetId="3">#REF!</definedName>
    <definedName name="_6" localSheetId="1">#REF!</definedName>
    <definedName name="_6">#REF!</definedName>
    <definedName name="_6_" localSheetId="5">#REF!</definedName>
    <definedName name="_6_" localSheetId="4">#REF!</definedName>
    <definedName name="_6_" localSheetId="3">#REF!</definedName>
    <definedName name="_6_" localSheetId="1">#REF!</definedName>
    <definedName name="_6_">#REF!</definedName>
    <definedName name="_6_?춑_TOTAL" localSheetId="5">#REF!</definedName>
    <definedName name="_6_?춑_TOTAL" localSheetId="4">#REF!</definedName>
    <definedName name="_6_?춑_TOTAL" localSheetId="3">#REF!</definedName>
    <definedName name="_6_?춑_TOTAL" localSheetId="1">#REF!</definedName>
    <definedName name="_6_?춑_TOTAL">#REF!</definedName>
    <definedName name="_6__123Graph_B차트_1" localSheetId="3" hidden="1">#REF!</definedName>
    <definedName name="_6__123Graph_B차트_1" localSheetId="1" hidden="1">#REF!</definedName>
    <definedName name="_6__123Graph_B차트_1" hidden="1">#REF!</definedName>
    <definedName name="_6_0_0SANGD" localSheetId="3">#REF!</definedName>
    <definedName name="_6_0_0SANGD" localSheetId="1">#REF!</definedName>
    <definedName name="_6_0_0SANGD">#REF!</definedName>
    <definedName name="_6_01" localSheetId="5">#REF!</definedName>
    <definedName name="_6_01" localSheetId="4">#REF!</definedName>
    <definedName name="_6_01" localSheetId="3">#REF!</definedName>
    <definedName name="_6_01" localSheetId="1">#REF!</definedName>
    <definedName name="_6_01">#REF!</definedName>
    <definedName name="_6_0실적" localSheetId="3">#REF!</definedName>
    <definedName name="_6_0실적" localSheetId="1">#REF!</definedName>
    <definedName name="_6_0실적">#REF!</definedName>
    <definedName name="_6Ａ４_" localSheetId="5">#REF!</definedName>
    <definedName name="_6Ａ４_" localSheetId="4">#REF!</definedName>
    <definedName name="_6Ａ４_" localSheetId="3">#REF!</definedName>
    <definedName name="_6Ａ４_" localSheetId="1">#REF!</definedName>
    <definedName name="_6Ａ４_">#REF!</definedName>
    <definedName name="_6aa1_" localSheetId="5" hidden="1">{#N/A,#N/A,FALSE,"Aging Summary";#N/A,#N/A,FALSE,"Ratio Analysis";#N/A,#N/A,FALSE,"Test 120 Day Accts";#N/A,#N/A,FALSE,"Tickmarks"}</definedName>
    <definedName name="_6aa1_" localSheetId="4" hidden="1">{#N/A,#N/A,FALSE,"Aging Summary";#N/A,#N/A,FALSE,"Ratio Analysis";#N/A,#N/A,FALSE,"Test 120 Day Accts";#N/A,#N/A,FALSE,"Tickmarks"}</definedName>
    <definedName name="_6aa1_" localSheetId="3" hidden="1">{#N/A,#N/A,FALSE,"Aging Summary";#N/A,#N/A,FALSE,"Ratio Analysis";#N/A,#N/A,FALSE,"Test 120 Day Accts";#N/A,#N/A,FALSE,"Tickmarks"}</definedName>
    <definedName name="_6aa1_" localSheetId="1" hidden="1">{#N/A,#N/A,FALSE,"Aging Summary";#N/A,#N/A,FALSE,"Ratio Analysis";#N/A,#N/A,FALSE,"Test 120 Day Accts";#N/A,#N/A,FALSE,"Tickmarks"}</definedName>
    <definedName name="_6aa1_" hidden="1">{#N/A,#N/A,FALSE,"Aging Summary";#N/A,#N/A,FALSE,"Ratio Analysis";#N/A,#N/A,FALSE,"Test 120 Day Accts";#N/A,#N/A,FALSE,"Tickmarks"}</definedName>
    <definedName name="_6SANGD" localSheetId="5">#REF!</definedName>
    <definedName name="_6SANGD" localSheetId="4">#REF!</definedName>
    <definedName name="_6SANGD" localSheetId="3">#REF!</definedName>
    <definedName name="_6SANGD" localSheetId="1">#REF!</definedName>
    <definedName name="_6SANGD">#REF!</definedName>
    <definedName name="_7" localSheetId="3">#REF!</definedName>
    <definedName name="_7" localSheetId="1">#REF!</definedName>
    <definedName name="_7">#REF!</definedName>
    <definedName name="_7__123Graph_C차트_1" localSheetId="3" hidden="1">#REF!</definedName>
    <definedName name="_7__123Graph_C차트_1" localSheetId="1" hidden="1">#REF!</definedName>
    <definedName name="_7__123Graph_C차트_1" hidden="1">#REF!</definedName>
    <definedName name="_7_02" localSheetId="5">#REF!</definedName>
    <definedName name="_7_02" localSheetId="4">#REF!</definedName>
    <definedName name="_7_02" localSheetId="3">#REF!</definedName>
    <definedName name="_7_02" localSheetId="1">#REF!</definedName>
    <definedName name="_7_02">#REF!</definedName>
    <definedName name="_77" localSheetId="3">#REF!</definedName>
    <definedName name="_77" localSheetId="1">#REF!</definedName>
    <definedName name="_77">#REF!</definedName>
    <definedName name="_7Bp2_" localSheetId="5" hidden="1">{#N/A,#N/A,FALSE,"BS";#N/A,#N/A,FALSE,"PL";#N/A,#N/A,FALSE,"처분";#N/A,#N/A,FALSE,"현금";#N/A,#N/A,FALSE,"매출";#N/A,#N/A,FALSE,"원가";#N/A,#N/A,FALSE,"경영"}</definedName>
    <definedName name="_7Bp2_" localSheetId="4" hidden="1">{#N/A,#N/A,FALSE,"BS";#N/A,#N/A,FALSE,"PL";#N/A,#N/A,FALSE,"처분";#N/A,#N/A,FALSE,"현금";#N/A,#N/A,FALSE,"매출";#N/A,#N/A,FALSE,"원가";#N/A,#N/A,FALSE,"경영"}</definedName>
    <definedName name="_7Bp2_" localSheetId="3" hidden="1">{#N/A,#N/A,FALSE,"BS";#N/A,#N/A,FALSE,"PL";#N/A,#N/A,FALSE,"처분";#N/A,#N/A,FALSE,"현금";#N/A,#N/A,FALSE,"매출";#N/A,#N/A,FALSE,"원가";#N/A,#N/A,FALSE,"경영"}</definedName>
    <definedName name="_7Bp2_" localSheetId="1" hidden="1">{#N/A,#N/A,FALSE,"BS";#N/A,#N/A,FALSE,"PL";#N/A,#N/A,FALSE,"처분";#N/A,#N/A,FALSE,"현금";#N/A,#N/A,FALSE,"매출";#N/A,#N/A,FALSE,"원가";#N/A,#N/A,FALSE,"경영"}</definedName>
    <definedName name="_7Bp2_" hidden="1">{#N/A,#N/A,FALSE,"BS";#N/A,#N/A,FALSE,"PL";#N/A,#N/A,FALSE,"처분";#N/A,#N/A,FALSE,"현금";#N/A,#N/A,FALSE,"매출";#N/A,#N/A,FALSE,"원가";#N/A,#N/A,FALSE,"경영"}</definedName>
    <definedName name="_8" localSheetId="5">#REF!</definedName>
    <definedName name="_8" localSheetId="4">#REF!</definedName>
    <definedName name="_8" localSheetId="3">#REF!</definedName>
    <definedName name="_8" localSheetId="1">#REF!</definedName>
    <definedName name="_8">#REF!</definedName>
    <definedName name="_8_?" localSheetId="3">#REF!</definedName>
    <definedName name="_8_?" localSheetId="1">#REF!</definedName>
    <definedName name="_8_?">#REF!</definedName>
    <definedName name="_8__123Graph_X차트_1" localSheetId="3" hidden="1">#REF!</definedName>
    <definedName name="_8__123Graph_X차트_1" localSheetId="1" hidden="1">#REF!</definedName>
    <definedName name="_8__123Graph_X차트_1" hidden="1">#REF!</definedName>
    <definedName name="_8_03" localSheetId="5">#REF!</definedName>
    <definedName name="_8_03" localSheetId="4">#REF!</definedName>
    <definedName name="_8_03" localSheetId="3">#REF!</definedName>
    <definedName name="_8_03" localSheetId="1">#REF!</definedName>
    <definedName name="_8_03">#REF!</definedName>
    <definedName name="_8_7_0__123Grap" localSheetId="5" hidden="1">#REF!</definedName>
    <definedName name="_8_7_0__123Grap" localSheetId="4" hidden="1">#REF!</definedName>
    <definedName name="_8_7_0__123Grap" localSheetId="3" hidden="1">#REF!</definedName>
    <definedName name="_8_7_0__123Grap" localSheetId="1" hidden="1">#REF!</definedName>
    <definedName name="_8_7_0__123Grap" hidden="1">#REF!</definedName>
    <definedName name="_8Ａ４_" localSheetId="5">#REF!</definedName>
    <definedName name="_8Ａ４_" localSheetId="4">#REF!</definedName>
    <definedName name="_8Ａ４_" localSheetId="3">#REF!</definedName>
    <definedName name="_8Ａ４_" localSheetId="1">#REF!</definedName>
    <definedName name="_8Ａ４_">#REF!</definedName>
    <definedName name="_8P2_" localSheetId="5" hidden="1">{#N/A,#N/A,FALSE,"단축1";#N/A,#N/A,FALSE,"단축2";#N/A,#N/A,FALSE,"단축3";#N/A,#N/A,FALSE,"장축";#N/A,#N/A,FALSE,"4WD"}</definedName>
    <definedName name="_8P2_" localSheetId="4" hidden="1">{#N/A,#N/A,FALSE,"단축1";#N/A,#N/A,FALSE,"단축2";#N/A,#N/A,FALSE,"단축3";#N/A,#N/A,FALSE,"장축";#N/A,#N/A,FALSE,"4WD"}</definedName>
    <definedName name="_8P2_" localSheetId="3" hidden="1">{#N/A,#N/A,FALSE,"단축1";#N/A,#N/A,FALSE,"단축2";#N/A,#N/A,FALSE,"단축3";#N/A,#N/A,FALSE,"장축";#N/A,#N/A,FALSE,"4WD"}</definedName>
    <definedName name="_8P2_" localSheetId="1" hidden="1">{#N/A,#N/A,FALSE,"단축1";#N/A,#N/A,FALSE,"단축2";#N/A,#N/A,FALSE,"단축3";#N/A,#N/A,FALSE,"장축";#N/A,#N/A,FALSE,"4WD"}</definedName>
    <definedName name="_8P2_" hidden="1">{#N/A,#N/A,FALSE,"단축1";#N/A,#N/A,FALSE,"단축2";#N/A,#N/A,FALSE,"단축3";#N/A,#N/A,FALSE,"장축";#N/A,#N/A,FALSE,"4WD"}</definedName>
    <definedName name="_8SANGD" localSheetId="5">#REF!</definedName>
    <definedName name="_8SANGD" localSheetId="4">#REF!</definedName>
    <definedName name="_8SANGD" localSheetId="3">#REF!</definedName>
    <definedName name="_8SANGD" localSheetId="1">#REF!</definedName>
    <definedName name="_8SANGD">#REF!</definedName>
    <definedName name="_9" localSheetId="3">#REF!</definedName>
    <definedName name="_9" localSheetId="1">#REF!</definedName>
    <definedName name="_9">#REF!</definedName>
    <definedName name="_9_04" localSheetId="5">#REF!</definedName>
    <definedName name="_9_04" localSheetId="4">#REF!</definedName>
    <definedName name="_9_04" localSheetId="3">#REF!</definedName>
    <definedName name="_9_04" localSheetId="1">#REF!</definedName>
    <definedName name="_9_04">#REF!</definedName>
    <definedName name="_90045769" localSheetId="3">#REF!</definedName>
    <definedName name="_90045769" localSheetId="1">#REF!</definedName>
    <definedName name="_90045769">#REF!</definedName>
    <definedName name="_96BUD" localSheetId="3">#REF!</definedName>
    <definedName name="_96BUD" localSheetId="1">#REF!</definedName>
    <definedName name="_96BUD">#REF!</definedName>
    <definedName name="_9T2_" localSheetId="5" hidden="1">{#N/A,#N/A,FALSE,"단축1";#N/A,#N/A,FALSE,"단축2";#N/A,#N/A,FALSE,"단축3";#N/A,#N/A,FALSE,"장축";#N/A,#N/A,FALSE,"4WD"}</definedName>
    <definedName name="_9T2_" localSheetId="4" hidden="1">{#N/A,#N/A,FALSE,"단축1";#N/A,#N/A,FALSE,"단축2";#N/A,#N/A,FALSE,"단축3";#N/A,#N/A,FALSE,"장축";#N/A,#N/A,FALSE,"4WD"}</definedName>
    <definedName name="_9T2_" localSheetId="3" hidden="1">{#N/A,#N/A,FALSE,"단축1";#N/A,#N/A,FALSE,"단축2";#N/A,#N/A,FALSE,"단축3";#N/A,#N/A,FALSE,"장축";#N/A,#N/A,FALSE,"4WD"}</definedName>
    <definedName name="_9T2_" localSheetId="1" hidden="1">{#N/A,#N/A,FALSE,"단축1";#N/A,#N/A,FALSE,"단축2";#N/A,#N/A,FALSE,"단축3";#N/A,#N/A,FALSE,"장축";#N/A,#N/A,FALSE,"4WD"}</definedName>
    <definedName name="_9T2_" hidden="1">{#N/A,#N/A,FALSE,"단축1";#N/A,#N/A,FALSE,"단축2";#N/A,#N/A,FALSE,"단축3";#N/A,#N/A,FALSE,"장축";#N/A,#N/A,FALSE,"4WD"}</definedName>
    <definedName name="_A" localSheetId="5">#REF!</definedName>
    <definedName name="_A" localSheetId="4">#REF!</definedName>
    <definedName name="_A" localSheetId="3">#REF!</definedName>
    <definedName name="_A" localSheetId="1">#REF!</definedName>
    <definedName name="_A">#REF!</definedName>
    <definedName name="_A1" localSheetId="3">#REF!</definedName>
    <definedName name="_A1" localSheetId="1">#REF!</definedName>
    <definedName name="_A1">#REF!</definedName>
    <definedName name="_A100" localSheetId="5">#REF!</definedName>
    <definedName name="_A100" localSheetId="4">#REF!</definedName>
    <definedName name="_A100" localSheetId="3">#REF!</definedName>
    <definedName name="_A100" localSheetId="1">#REF!</definedName>
    <definedName name="_A100">#REF!</definedName>
    <definedName name="_A101" localSheetId="5">#REF!</definedName>
    <definedName name="_A101" localSheetId="4">#REF!</definedName>
    <definedName name="_A101" localSheetId="3">#REF!</definedName>
    <definedName name="_A101" localSheetId="1">#REF!</definedName>
    <definedName name="_A101">#REF!</definedName>
    <definedName name="_A19999" localSheetId="3">#REF!</definedName>
    <definedName name="_A19999" localSheetId="1">#REF!</definedName>
    <definedName name="_A19999">#REF!</definedName>
    <definedName name="_A20000" localSheetId="3">#REF!</definedName>
    <definedName name="_A20000" localSheetId="1">#REF!</definedName>
    <definedName name="_A20000">#REF!</definedName>
    <definedName name="_A25000" localSheetId="3">#REF!</definedName>
    <definedName name="_A25000" localSheetId="1">#REF!</definedName>
    <definedName name="_A25000">#REF!</definedName>
    <definedName name="_A3" localSheetId="5" hidden="1">{#N/A,#N/A,FALSE,"단축1";#N/A,#N/A,FALSE,"단축2";#N/A,#N/A,FALSE,"단축3";#N/A,#N/A,FALSE,"장축";#N/A,#N/A,FALSE,"4WD"}</definedName>
    <definedName name="_A3" localSheetId="4" hidden="1">{#N/A,#N/A,FALSE,"단축1";#N/A,#N/A,FALSE,"단축2";#N/A,#N/A,FALSE,"단축3";#N/A,#N/A,FALSE,"장축";#N/A,#N/A,FALSE,"4WD"}</definedName>
    <definedName name="_A3" localSheetId="3" hidden="1">{#N/A,#N/A,FALSE,"단축1";#N/A,#N/A,FALSE,"단축2";#N/A,#N/A,FALSE,"단축3";#N/A,#N/A,FALSE,"장축";#N/A,#N/A,FALSE,"4WD"}</definedName>
    <definedName name="_A3" localSheetId="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Ａ４" localSheetId="5">#REF!</definedName>
    <definedName name="_Ａ４" localSheetId="4">#REF!</definedName>
    <definedName name="_Ａ４" localSheetId="3">#REF!</definedName>
    <definedName name="_Ａ４" localSheetId="1">#REF!</definedName>
    <definedName name="_Ａ４">#REF!</definedName>
    <definedName name="_Ａ４1">#N/A</definedName>
    <definedName name="_Ａ４2" localSheetId="5">#REF!</definedName>
    <definedName name="_Ａ４2" localSheetId="4">#REF!</definedName>
    <definedName name="_Ａ４2" localSheetId="3">#REF!</definedName>
    <definedName name="_Ａ４2" localSheetId="1">#REF!</definedName>
    <definedName name="_Ａ４2">#REF!</definedName>
    <definedName name="_Ａ４3" localSheetId="5">#REF!</definedName>
    <definedName name="_Ａ４3" localSheetId="4">#REF!</definedName>
    <definedName name="_Ａ４3" localSheetId="3">#REF!</definedName>
    <definedName name="_Ａ４3" localSheetId="1">#REF!</definedName>
    <definedName name="_Ａ４3">#REF!</definedName>
    <definedName name="_A99999" localSheetId="3">#REF!</definedName>
    <definedName name="_A99999" localSheetId="1">#REF!</definedName>
    <definedName name="_A99999">#REF!</definedName>
    <definedName name="_aa1" localSheetId="5" hidden="1">{#N/A,#N/A,FALSE,"Aging Summary";#N/A,#N/A,FALSE,"Ratio Analysis";#N/A,#N/A,FALSE,"Test 120 Day Accts";#N/A,#N/A,FALSE,"Tickmarks"}</definedName>
    <definedName name="_aa1" localSheetId="4" hidden="1">{#N/A,#N/A,FALSE,"Aging Summary";#N/A,#N/A,FALSE,"Ratio Analysis";#N/A,#N/A,FALSE,"Test 120 Day Accts";#N/A,#N/A,FALSE,"Tickmarks"}</definedName>
    <definedName name="_aa1" localSheetId="3" hidden="1">{#N/A,#N/A,FALSE,"Aging Summary";#N/A,#N/A,FALSE,"Ratio Analysis";#N/A,#N/A,FALSE,"Test 120 Day Accts";#N/A,#N/A,FALSE,"Tickmarks"}</definedName>
    <definedName name="_aa1" localSheetId="1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aa2" localSheetId="5" hidden="1">{#N/A,#N/A,FALSE,"Aging Summary";#N/A,#N/A,FALSE,"Ratio Analysis";#N/A,#N/A,FALSE,"Test 120 Day Accts";#N/A,#N/A,FALSE,"Tickmarks"}</definedName>
    <definedName name="_aaa2" localSheetId="4" hidden="1">{#N/A,#N/A,FALSE,"Aging Summary";#N/A,#N/A,FALSE,"Ratio Analysis";#N/A,#N/A,FALSE,"Test 120 Day Accts";#N/A,#N/A,FALSE,"Tickmarks"}</definedName>
    <definedName name="_aaa2" localSheetId="3" hidden="1">{#N/A,#N/A,FALSE,"Aging Summary";#N/A,#N/A,FALSE,"Ratio Analysis";#N/A,#N/A,FALSE,"Test 120 Day Accts";#N/A,#N/A,FALSE,"Tickmarks"}</definedName>
    <definedName name="_aaa2" localSheetId="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 localSheetId="5">#REF!</definedName>
    <definedName name="_active_nylon_satin" localSheetId="4">#REF!</definedName>
    <definedName name="_active_nylon_satin" localSheetId="3">#REF!</definedName>
    <definedName name="_active_nylon_satin" localSheetId="1">#REF!</definedName>
    <definedName name="_active_nylon_satin">#REF!</definedName>
    <definedName name="_active_nylon_taffeta__" localSheetId="5">#REF!</definedName>
    <definedName name="_active_nylon_taffeta__" localSheetId="4">#REF!</definedName>
    <definedName name="_active_nylon_taffeta__" localSheetId="3">#REF!</definedName>
    <definedName name="_active_nylon_taffeta__" localSheetId="1">#REF!</definedName>
    <definedName name="_active_nylon_taffeta__">#REF!</definedName>
    <definedName name="_active_poplin" localSheetId="5">#REF!</definedName>
    <definedName name="_active_poplin" localSheetId="4">#REF!</definedName>
    <definedName name="_active_poplin" localSheetId="3">#REF!</definedName>
    <definedName name="_active_poplin" localSheetId="1">#REF!</definedName>
    <definedName name="_active_poplin">#REF!</definedName>
    <definedName name="_AU100000" localSheetId="3">#REF!</definedName>
    <definedName name="_AU100000" localSheetId="1">#REF!</definedName>
    <definedName name="_AU100000">#REF!</definedName>
    <definedName name="_AU66000" localSheetId="3">#REF!</definedName>
    <definedName name="_AU66000" localSheetId="1">#REF!</definedName>
    <definedName name="_AU66000">#REF!</definedName>
    <definedName name="_AU69999" localSheetId="3">#REF!</definedName>
    <definedName name="_AU69999" localSheetId="1">#REF!</definedName>
    <definedName name="_AU69999">#REF!</definedName>
    <definedName name="_AU70000" localSheetId="3">#REF!</definedName>
    <definedName name="_AU70000" localSheetId="1">#REF!</definedName>
    <definedName name="_AU70000">#REF!</definedName>
    <definedName name="_aZ">#N/A</definedName>
    <definedName name="_basic_ctn_twill" localSheetId="5">#REF!</definedName>
    <definedName name="_basic_ctn_twill" localSheetId="4">#REF!</definedName>
    <definedName name="_basic_ctn_twill" localSheetId="3">#REF!</definedName>
    <definedName name="_basic_ctn_twill" localSheetId="1">#REF!</definedName>
    <definedName name="_basic_ctn_twill">#REF!</definedName>
    <definedName name="_bdm.394f88709a624112bb885dcdf9bb9c89.edm" localSheetId="3" hidden="1">#REF!</definedName>
    <definedName name="_bdm.394f88709a624112bb885dcdf9bb9c89.edm" localSheetId="1" hidden="1">#REF!</definedName>
    <definedName name="_bdm.394f88709a624112bb885dcdf9bb9c89.edm" hidden="1">#REF!</definedName>
    <definedName name="_bdm.395863AB53644336B2056A5F6DA9A188.edm" localSheetId="3" hidden="1">#REF!</definedName>
    <definedName name="_bdm.395863AB53644336B2056A5F6DA9A188.edm" localSheetId="1" hidden="1">#REF!</definedName>
    <definedName name="_bdm.395863AB53644336B2056A5F6DA9A188.edm" hidden="1">#REF!</definedName>
    <definedName name="_bdm.4CDCAF1D094941E5A339B526095ADADE.edm" localSheetId="3" hidden="1">#REF!</definedName>
    <definedName name="_bdm.4CDCAF1D094941E5A339B526095ADADE.edm" localSheetId="1" hidden="1">#REF!</definedName>
    <definedName name="_bdm.4CDCAF1D094941E5A339B526095ADADE.edm" hidden="1">#REF!</definedName>
    <definedName name="_bdm.6015505EF38F4EA9A7A64CA91A7AC823.edm" localSheetId="3" hidden="1">#REF!</definedName>
    <definedName name="_bdm.6015505EF38F4EA9A7A64CA91A7AC823.edm" localSheetId="1" hidden="1">#REF!</definedName>
    <definedName name="_bdm.6015505EF38F4EA9A7A64CA91A7AC823.edm" hidden="1">#REF!</definedName>
    <definedName name="_bdm.65A2DF797C9F439DA6CD915BD1D09038.edm" localSheetId="3" hidden="1">#REF!</definedName>
    <definedName name="_bdm.65A2DF797C9F439DA6CD915BD1D09038.edm" localSheetId="1" hidden="1">#REF!</definedName>
    <definedName name="_bdm.65A2DF797C9F439DA6CD915BD1D09038.edm" hidden="1">#REF!</definedName>
    <definedName name="_bdm.672ED8E030734C3691D809C0CF43A024.edm" localSheetId="3" hidden="1">#REF!</definedName>
    <definedName name="_bdm.672ED8E030734C3691D809C0CF43A024.edm" localSheetId="1" hidden="1">#REF!</definedName>
    <definedName name="_bdm.672ED8E030734C3691D809C0CF43A024.edm" hidden="1">#REF!</definedName>
    <definedName name="_bdm.75DBE4F245204851BA3A62A106421643.edm" localSheetId="3" hidden="1">#REF!</definedName>
    <definedName name="_bdm.75DBE4F245204851BA3A62A106421643.edm" localSheetId="1" hidden="1">#REF!</definedName>
    <definedName name="_bdm.75DBE4F245204851BA3A62A106421643.edm" hidden="1">#REF!</definedName>
    <definedName name="_bdm.D23A8C01A3644FD396E2171ACDAE427A.edm" localSheetId="3" hidden="1">#REF!</definedName>
    <definedName name="_bdm.D23A8C01A3644FD396E2171ACDAE427A.edm" localSheetId="1" hidden="1">#REF!</definedName>
    <definedName name="_bdm.D23A8C01A3644FD396E2171ACDAE427A.edm" hidden="1">#REF!</definedName>
    <definedName name="_Bondex_Stretch" localSheetId="5">#REF!</definedName>
    <definedName name="_Bondex_Stretch" localSheetId="4">#REF!</definedName>
    <definedName name="_Bondex_Stretch" localSheetId="3">#REF!</definedName>
    <definedName name="_Bondex_Stretch" localSheetId="1">#REF!</definedName>
    <definedName name="_Bondex_Stretch">#REF!</definedName>
    <definedName name="_Bp2" localSheetId="5" hidden="1">{#N/A,#N/A,FALSE,"BS";#N/A,#N/A,FALSE,"PL";#N/A,#N/A,FALSE,"처분";#N/A,#N/A,FALSE,"현금";#N/A,#N/A,FALSE,"매출";#N/A,#N/A,FALSE,"원가";#N/A,#N/A,FALSE,"경영"}</definedName>
    <definedName name="_Bp2" localSheetId="4" hidden="1">{#N/A,#N/A,FALSE,"BS";#N/A,#N/A,FALSE,"PL";#N/A,#N/A,FALSE,"처분";#N/A,#N/A,FALSE,"현금";#N/A,#N/A,FALSE,"매출";#N/A,#N/A,FALSE,"원가";#N/A,#N/A,FALSE,"경영"}</definedName>
    <definedName name="_Bp2" localSheetId="3" hidden="1">{#N/A,#N/A,FALSE,"BS";#N/A,#N/A,FALSE,"PL";#N/A,#N/A,FALSE,"처분";#N/A,#N/A,FALSE,"현금";#N/A,#N/A,FALSE,"매출";#N/A,#N/A,FALSE,"원가";#N/A,#N/A,FALSE,"경영"}</definedName>
    <definedName name="_Bp2" localSheetId="1" hidden="1">{#N/A,#N/A,FALSE,"BS";#N/A,#N/A,FALSE,"PL";#N/A,#N/A,FALSE,"처분";#N/A,#N/A,FALSE,"현금";#N/A,#N/A,FALSE,"매출";#N/A,#N/A,FALSE,"원가";#N/A,#N/A,FALSE,"경영"}</definedName>
    <definedName name="_Bp2" hidden="1">{#N/A,#N/A,FALSE,"BS";#N/A,#N/A,FALSE,"PL";#N/A,#N/A,FALSE,"처분";#N/A,#N/A,FALSE,"현금";#N/A,#N/A,FALSE,"매출";#N/A,#N/A,FALSE,"원가";#N/A,#N/A,FALSE,"경영"}</definedName>
    <definedName name="_C1244ㅁ1430" localSheetId="5">#REF!</definedName>
    <definedName name="_C1244ㅁ1430" localSheetId="4">#REF!</definedName>
    <definedName name="_C1244ㅁ1430" localSheetId="3">#REF!</definedName>
    <definedName name="_C1244ㅁ1430" localSheetId="1">#REF!</definedName>
    <definedName name="_C1244ㅁ1430">#REF!</definedName>
    <definedName name="_C332897" localSheetId="3">#REF!</definedName>
    <definedName name="_C332897" localSheetId="1">#REF!</definedName>
    <definedName name="_C332897">#REF!</definedName>
    <definedName name="_clean_denim" localSheetId="5">#REF!</definedName>
    <definedName name="_clean_denim" localSheetId="4">#REF!</definedName>
    <definedName name="_clean_denim" localSheetId="3">#REF!</definedName>
    <definedName name="_clean_denim" localSheetId="1">#REF!</definedName>
    <definedName name="_clean_denim">#REF!</definedName>
    <definedName name="_color_denim" localSheetId="5">#REF!</definedName>
    <definedName name="_color_denim" localSheetId="4">#REF!</definedName>
    <definedName name="_color_denim" localSheetId="3">#REF!</definedName>
    <definedName name="_color_denim" localSheetId="1">#REF!</definedName>
    <definedName name="_color_denim">#REF!</definedName>
    <definedName name="_Commander" localSheetId="5">#REF!</definedName>
    <definedName name="_Commander" localSheetId="4">#REF!</definedName>
    <definedName name="_Commander" localSheetId="3">#REF!</definedName>
    <definedName name="_Commander" localSheetId="1">#REF!</definedName>
    <definedName name="_Commander">#REF!</definedName>
    <definedName name="_compact_wool_blend_o_w" localSheetId="5">#REF!</definedName>
    <definedName name="_compact_wool_blend_o_w" localSheetId="4">#REF!</definedName>
    <definedName name="_compact_wool_blend_o_w" localSheetId="3">#REF!</definedName>
    <definedName name="_compact_wool_blend_o_w" localSheetId="1">#REF!</definedName>
    <definedName name="_compact_wool_blend_o_w">#REF!</definedName>
    <definedName name="_cracked___distressed_leather" localSheetId="5">#REF!</definedName>
    <definedName name="_cracked___distressed_leather" localSheetId="4">#REF!</definedName>
    <definedName name="_cracked___distressed_leather" localSheetId="3">#REF!</definedName>
    <definedName name="_cracked___distressed_leather" localSheetId="1">#REF!</definedName>
    <definedName name="_cracked___distressed_leather">#REF!</definedName>
    <definedName name="_Crossroads" localSheetId="5">#REF!</definedName>
    <definedName name="_Crossroads" localSheetId="4">#REF!</definedName>
    <definedName name="_Crossroads" localSheetId="3">#REF!</definedName>
    <definedName name="_Crossroads" localSheetId="1">#REF!</definedName>
    <definedName name="_Crossroads">#REF!</definedName>
    <definedName name="_ctn_sateen" localSheetId="5">#REF!</definedName>
    <definedName name="_ctn_sateen" localSheetId="4">#REF!</definedName>
    <definedName name="_ctn_sateen" localSheetId="3">#REF!</definedName>
    <definedName name="_ctn_sateen" localSheetId="1">#REF!</definedName>
    <definedName name="_ctn_sateen">#REF!</definedName>
    <definedName name="_Dark_blue_denim" localSheetId="5">#REF!</definedName>
    <definedName name="_Dark_blue_denim" localSheetId="4">#REF!</definedName>
    <definedName name="_Dark_blue_denim" localSheetId="3">#REF!</definedName>
    <definedName name="_Dark_blue_denim" localSheetId="1">#REF!</definedName>
    <definedName name="_Dark_blue_denim">#REF!</definedName>
    <definedName name="_DAT1" localSheetId="3">#REF!</definedName>
    <definedName name="_DAT1" localSheetId="1">#REF!</definedName>
    <definedName name="_DAT1">#REF!</definedName>
    <definedName name="_DAT10" localSheetId="3">#REF!</definedName>
    <definedName name="_DAT10" localSheetId="1">#REF!</definedName>
    <definedName name="_DAT10">#REF!</definedName>
    <definedName name="_DAT11" localSheetId="3">#REF!</definedName>
    <definedName name="_DAT11" localSheetId="1">#REF!</definedName>
    <definedName name="_DAT11">#REF!</definedName>
    <definedName name="_DAT12" localSheetId="3">#REF!</definedName>
    <definedName name="_DAT12" localSheetId="1">#REF!</definedName>
    <definedName name="_DAT12">#REF!</definedName>
    <definedName name="_DAT13" localSheetId="3">#REF!</definedName>
    <definedName name="_DAT13" localSheetId="1">#REF!</definedName>
    <definedName name="_DAT13">#REF!</definedName>
    <definedName name="_DAT14" localSheetId="3">#REF!</definedName>
    <definedName name="_DAT14" localSheetId="1">#REF!</definedName>
    <definedName name="_DAT14">#REF!</definedName>
    <definedName name="_DAT15" localSheetId="3">#REF!</definedName>
    <definedName name="_DAT15" localSheetId="1">#REF!</definedName>
    <definedName name="_DAT15">#REF!</definedName>
    <definedName name="_DAT16" localSheetId="3">#REF!</definedName>
    <definedName name="_DAT16" localSheetId="1">#REF!</definedName>
    <definedName name="_DAT16">#REF!</definedName>
    <definedName name="_DAT17" localSheetId="3">#REF!</definedName>
    <definedName name="_DAT17" localSheetId="1">#REF!</definedName>
    <definedName name="_DAT17">#REF!</definedName>
    <definedName name="_DAT18" localSheetId="3">#REF!</definedName>
    <definedName name="_DAT18" localSheetId="1">#REF!</definedName>
    <definedName name="_DAT18">#REF!</definedName>
    <definedName name="_DAT19" localSheetId="3">#REF!</definedName>
    <definedName name="_DAT19" localSheetId="1">#REF!</definedName>
    <definedName name="_DAT19">#REF!</definedName>
    <definedName name="_DAT2" localSheetId="3">#REF!</definedName>
    <definedName name="_DAT2" localSheetId="1">#REF!</definedName>
    <definedName name="_DAT2">#REF!</definedName>
    <definedName name="_DAT20" localSheetId="3">#REF!</definedName>
    <definedName name="_DAT20" localSheetId="1">#REF!</definedName>
    <definedName name="_DAT20">#REF!</definedName>
    <definedName name="_DAT21" localSheetId="3">#REF!</definedName>
    <definedName name="_DAT21" localSheetId="1">#REF!</definedName>
    <definedName name="_DAT21">#REF!</definedName>
    <definedName name="_DAT22" localSheetId="3">#REF!</definedName>
    <definedName name="_DAT22" localSheetId="1">#REF!</definedName>
    <definedName name="_DAT22">#REF!</definedName>
    <definedName name="_DAT23" localSheetId="3">#REF!</definedName>
    <definedName name="_DAT23" localSheetId="1">#REF!</definedName>
    <definedName name="_DAT23">#REF!</definedName>
    <definedName name="_DAT24" localSheetId="3">#REF!</definedName>
    <definedName name="_DAT24" localSheetId="1">#REF!</definedName>
    <definedName name="_DAT24">#REF!</definedName>
    <definedName name="_DAT25" localSheetId="3">#REF!</definedName>
    <definedName name="_DAT25" localSheetId="1">#REF!</definedName>
    <definedName name="_DAT25">#REF!</definedName>
    <definedName name="_DAT26" localSheetId="3">#REF!</definedName>
    <definedName name="_DAT26" localSheetId="1">#REF!</definedName>
    <definedName name="_DAT26">#REF!</definedName>
    <definedName name="_DAT27" localSheetId="3">#REF!</definedName>
    <definedName name="_DAT27" localSheetId="1">#REF!</definedName>
    <definedName name="_DAT27">#REF!</definedName>
    <definedName name="_DAT28" localSheetId="3">#REF!</definedName>
    <definedName name="_DAT28" localSheetId="1">#REF!</definedName>
    <definedName name="_DAT28">#REF!</definedName>
    <definedName name="_DAT29" localSheetId="3">#REF!</definedName>
    <definedName name="_DAT29" localSheetId="1">#REF!</definedName>
    <definedName name="_DAT29">#REF!</definedName>
    <definedName name="_DAT3" localSheetId="3">#REF!</definedName>
    <definedName name="_DAT3" localSheetId="1">#REF!</definedName>
    <definedName name="_DAT3">#REF!</definedName>
    <definedName name="_DAT30" localSheetId="3">#REF!</definedName>
    <definedName name="_DAT30" localSheetId="1">#REF!</definedName>
    <definedName name="_DAT30">#REF!</definedName>
    <definedName name="_DAT31" localSheetId="3">#REF!</definedName>
    <definedName name="_DAT31" localSheetId="1">#REF!</definedName>
    <definedName name="_DAT31">#REF!</definedName>
    <definedName name="_DAT32" localSheetId="3">#REF!</definedName>
    <definedName name="_DAT32" localSheetId="1">#REF!</definedName>
    <definedName name="_DAT32">#REF!</definedName>
    <definedName name="_DAT33" localSheetId="3">#REF!</definedName>
    <definedName name="_DAT33" localSheetId="1">#REF!</definedName>
    <definedName name="_DAT33">#REF!</definedName>
    <definedName name="_DAT34" localSheetId="3">#REF!</definedName>
    <definedName name="_DAT34" localSheetId="1">#REF!</definedName>
    <definedName name="_DAT34">#REF!</definedName>
    <definedName name="_DAT35" localSheetId="3">#REF!</definedName>
    <definedName name="_DAT35" localSheetId="1">#REF!</definedName>
    <definedName name="_DAT35">#REF!</definedName>
    <definedName name="_DAT36" localSheetId="3">#REF!</definedName>
    <definedName name="_DAT36" localSheetId="1">#REF!</definedName>
    <definedName name="_DAT36">#REF!</definedName>
    <definedName name="_DAT37" localSheetId="3">#REF!</definedName>
    <definedName name="_DAT37" localSheetId="1">#REF!</definedName>
    <definedName name="_DAT37">#REF!</definedName>
    <definedName name="_DAT38" localSheetId="3">#REF!</definedName>
    <definedName name="_DAT38" localSheetId="1">#REF!</definedName>
    <definedName name="_DAT38">#REF!</definedName>
    <definedName name="_DAT39" localSheetId="3">#REF!</definedName>
    <definedName name="_DAT39" localSheetId="1">#REF!</definedName>
    <definedName name="_DAT39">#REF!</definedName>
    <definedName name="_DAT4" localSheetId="3">#REF!</definedName>
    <definedName name="_DAT4" localSheetId="1">#REF!</definedName>
    <definedName name="_DAT4">#REF!</definedName>
    <definedName name="_DAT40" localSheetId="3">#REF!</definedName>
    <definedName name="_DAT40" localSheetId="1">#REF!</definedName>
    <definedName name="_DAT40">#REF!</definedName>
    <definedName name="_DAT41" localSheetId="3">#REF!</definedName>
    <definedName name="_DAT41" localSheetId="1">#REF!</definedName>
    <definedName name="_DAT41">#REF!</definedName>
    <definedName name="_DAT5" localSheetId="3">#REF!</definedName>
    <definedName name="_DAT5" localSheetId="1">#REF!</definedName>
    <definedName name="_DAT5">#REF!</definedName>
    <definedName name="_DAT6" localSheetId="3">#REF!</definedName>
    <definedName name="_DAT6" localSheetId="1">#REF!</definedName>
    <definedName name="_DAT6">#REF!</definedName>
    <definedName name="_DAT7" localSheetId="3">#REF!</definedName>
    <definedName name="_DAT7" localSheetId="1">#REF!</definedName>
    <definedName name="_DAT7">#REF!</definedName>
    <definedName name="_DAT8" localSheetId="3">#REF!</definedName>
    <definedName name="_DAT8" localSheetId="1">#REF!</definedName>
    <definedName name="_DAT8">#REF!</definedName>
    <definedName name="_DAT9" localSheetId="3">#REF!</definedName>
    <definedName name="_DAT9" localSheetId="1">#REF!</definedName>
    <definedName name="_DAT9">#REF!</definedName>
    <definedName name="_DIR1" localSheetId="3">#REF!</definedName>
    <definedName name="_DIR1" localSheetId="1">#REF!</definedName>
    <definedName name="_DIR1">#REF!</definedName>
    <definedName name="_DIR2" localSheetId="3">#REF!</definedName>
    <definedName name="_DIR2" localSheetId="1">#REF!</definedName>
    <definedName name="_DIR2">#REF!</definedName>
    <definedName name="_Dist_Bin" localSheetId="5" hidden="1">#REF!</definedName>
    <definedName name="_Dist_Bin" localSheetId="4" hidden="1">#REF!</definedName>
    <definedName name="_Dist_Bin" localSheetId="3" hidden="1">#REF!</definedName>
    <definedName name="_Dist_Bin" localSheetId="1" hidden="1">#REF!</definedName>
    <definedName name="_Dist_Bin" hidden="1">#REF!</definedName>
    <definedName name="_Dist_Bin2" localSheetId="3" hidden="1">#REF!</definedName>
    <definedName name="_Dist_Bin2" localSheetId="1" hidden="1">#REF!</definedName>
    <definedName name="_Dist_Bin2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Dist_Values2" localSheetId="3" hidden="1">#REF!</definedName>
    <definedName name="_Dist_Values2" localSheetId="1" hidden="1">#REF!</definedName>
    <definedName name="_Dist_Values2" hidden="1">#REF!</definedName>
    <definedName name="_dressy_satin" localSheetId="5">#REF!</definedName>
    <definedName name="_dressy_satin" localSheetId="4">#REF!</definedName>
    <definedName name="_dressy_satin" localSheetId="3">#REF!</definedName>
    <definedName name="_dressy_satin" localSheetId="1">#REF!</definedName>
    <definedName name="_dressy_satin">#REF!</definedName>
    <definedName name="_E65954" localSheetId="3">#REF!</definedName>
    <definedName name="_E65954" localSheetId="1">#REF!</definedName>
    <definedName name="_E65954">#REF!</definedName>
    <definedName name="_Exp97" localSheetId="3">#REF!</definedName>
    <definedName name="_Exp97" localSheetId="1">#REF!</definedName>
    <definedName name="_Exp97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localSheetId="1" hidden="1">#REF!</definedName>
    <definedName name="_Fill" hidden="1">#REF!</definedName>
    <definedName name="_Fill2" localSheetId="5" hidden="1">#REF!</definedName>
    <definedName name="_Fill2" localSheetId="4" hidden="1">#REF!</definedName>
    <definedName name="_Fill2" localSheetId="3" hidden="1">#REF!</definedName>
    <definedName name="_Fill2" localSheetId="1" hidden="1">#REF!</definedName>
    <definedName name="_Fill2" hidden="1">#REF!</definedName>
    <definedName name="_Fill3" localSheetId="3" hidden="1">#REF!</definedName>
    <definedName name="_Fill3" localSheetId="1" hidden="1">#REF!</definedName>
    <definedName name="_Fill3" hidden="1">#REF!</definedName>
    <definedName name="_xlnm._FilterDatabase" localSheetId="5" hidden="1">Cash_after!$B$3:$AF$45</definedName>
    <definedName name="_xlnm._FilterDatabase" localSheetId="4" hidden="1">Cash_before!$B$3:$AF$45</definedName>
    <definedName name="_xlnm._FilterDatabase" localSheetId="3" hidden="1">#REF!</definedName>
    <definedName name="_xlnm._FilterDatabase" localSheetId="1" hidden="1">#REF!</definedName>
    <definedName name="_xlnm._FilterDatabase" hidden="1">#REF!</definedName>
    <definedName name="_fine_nylon_faille" localSheetId="5">#REF!</definedName>
    <definedName name="_fine_nylon_faille" localSheetId="4">#REF!</definedName>
    <definedName name="_fine_nylon_faille" localSheetId="3">#REF!</definedName>
    <definedName name="_fine_nylon_faille" localSheetId="1">#REF!</definedName>
    <definedName name="_fine_nylon_faille">#REF!</definedName>
    <definedName name="_flower_print_cord" localSheetId="5">#REF!</definedName>
    <definedName name="_flower_print_cord" localSheetId="4">#REF!</definedName>
    <definedName name="_flower_print_cord" localSheetId="3">#REF!</definedName>
    <definedName name="_flower_print_cord" localSheetId="1">#REF!</definedName>
    <definedName name="_flower_print_cord">#REF!</definedName>
    <definedName name="_gap1" localSheetId="5">#REF!,#REF!</definedName>
    <definedName name="_gap1" localSheetId="4">#REF!,#REF!</definedName>
    <definedName name="_gap1" localSheetId="3">#REF!,#REF!</definedName>
    <definedName name="_gap1" localSheetId="1">#REF!,#REF!</definedName>
    <definedName name="_gap1">#REF!,#REF!</definedName>
    <definedName name="_GEL10" localSheetId="5">#REF!</definedName>
    <definedName name="_GEL10" localSheetId="4">#REF!</definedName>
    <definedName name="_GEL10" localSheetId="3">#REF!</definedName>
    <definedName name="_GEL10" localSheetId="1">#REF!</definedName>
    <definedName name="_GEL10">#REF!</definedName>
    <definedName name="_GG1" localSheetId="3">#REF!</definedName>
    <definedName name="_GG1" localSheetId="1">#REF!</definedName>
    <definedName name="_GG1">#REF!</definedName>
    <definedName name="_gold_stnd_ctn_poplin" localSheetId="5">#REF!</definedName>
    <definedName name="_gold_stnd_ctn_poplin" localSheetId="4">#REF!</definedName>
    <definedName name="_gold_stnd_ctn_poplin" localSheetId="3">#REF!</definedName>
    <definedName name="_gold_stnd_ctn_poplin" localSheetId="1">#REF!</definedName>
    <definedName name="_gold_stnd_ctn_poplin">#REF!</definedName>
    <definedName name="_GTE10" localSheetId="3">#REF!</definedName>
    <definedName name="_GTE10" localSheetId="1">#REF!</definedName>
    <definedName name="_GTE10">#REF!</definedName>
    <definedName name="_Harrison" localSheetId="5">#REF!</definedName>
    <definedName name="_Harrison" localSheetId="4">#REF!</definedName>
    <definedName name="_Harrison" localSheetId="3">#REF!</definedName>
    <definedName name="_Harrison" localSheetId="1">#REF!</definedName>
    <definedName name="_Harrison">#REF!</definedName>
    <definedName name="_heavy_poly_microfiber_" localSheetId="5">#REF!</definedName>
    <definedName name="_heavy_poly_microfiber_" localSheetId="4">#REF!</definedName>
    <definedName name="_heavy_poly_microfiber_" localSheetId="3">#REF!</definedName>
    <definedName name="_heavy_poly_microfiber_" localSheetId="1">#REF!</definedName>
    <definedName name="_heavy_poly_microfiber_">#REF!</definedName>
    <definedName name="_Huh?" localSheetId="5" hidden="1">#REF!</definedName>
    <definedName name="_Huh?" localSheetId="4" hidden="1">#REF!</definedName>
    <definedName name="_Huh?" localSheetId="3" hidden="1">#REF!</definedName>
    <definedName name="_Huh?" localSheetId="1" hidden="1">#REF!</definedName>
    <definedName name="_Huh?" hidden="1">#REF!</definedName>
    <definedName name="_indigo__yarn_dyed_stripe" localSheetId="5">#REF!</definedName>
    <definedName name="_indigo__yarn_dyed_stripe" localSheetId="4">#REF!</definedName>
    <definedName name="_indigo__yarn_dyed_stripe" localSheetId="3">#REF!</definedName>
    <definedName name="_indigo__yarn_dyed_stripe" localSheetId="1">#REF!</definedName>
    <definedName name="_indigo__yarn_dyed_stripe">#REF!</definedName>
    <definedName name="_INT2" localSheetId="5" hidden="1">{#N/A,#N/A,TRUE,"일정"}</definedName>
    <definedName name="_INT2" localSheetId="4" hidden="1">{#N/A,#N/A,TRUE,"일정"}</definedName>
    <definedName name="_INT2" localSheetId="3" hidden="1">{#N/A,#N/A,TRUE,"일정"}</definedName>
    <definedName name="_INT2" localSheetId="1" hidden="1">{#N/A,#N/A,TRUE,"일정"}</definedName>
    <definedName name="_INT2" hidden="1">{#N/A,#N/A,TRUE,"일정"}</definedName>
    <definedName name="_IRR2" localSheetId="5" hidden="1">#REF!</definedName>
    <definedName name="_IRR2" localSheetId="4" hidden="1">#REF!</definedName>
    <definedName name="_IRR2" localSheetId="3" hidden="1">#REF!</definedName>
    <definedName name="_IRR2" localSheetId="1" hidden="1">#REF!</definedName>
    <definedName name="_IRR2" hidden="1">#REF!</definedName>
    <definedName name="_je2" localSheetId="3">#REF!</definedName>
    <definedName name="_je2" localSheetId="1">#REF!</definedName>
    <definedName name="_je2">#REF!</definedName>
    <definedName name="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 localSheetId="5">#REF!</definedName>
    <definedName name="_KD1" localSheetId="4">#REF!</definedName>
    <definedName name="_KD1" localSheetId="3">#REF!</definedName>
    <definedName name="_KD1" localSheetId="1">#REF!</definedName>
    <definedName name="_KD1">#REF!</definedName>
    <definedName name="_Key1" localSheetId="5" hidden="1">#REF!</definedName>
    <definedName name="_Key1" localSheetId="4" hidden="1">#REF!</definedName>
    <definedName name="_Key1" localSheetId="3" hidden="1">#REF!</definedName>
    <definedName name="_Key1" localSheetId="1" hidden="1">#REF!</definedName>
    <definedName name="_Key1" hidden="1">#REF!</definedName>
    <definedName name="_Key11" localSheetId="3" hidden="1">#REF!</definedName>
    <definedName name="_Key11" localSheetId="1" hidden="1">#REF!</definedName>
    <definedName name="_Key11" hidden="1">#REF!</definedName>
    <definedName name="_Key2" localSheetId="5" hidden="1">#REF!</definedName>
    <definedName name="_Key2" localSheetId="4" hidden="1">#REF!</definedName>
    <definedName name="_Key2" localSheetId="3" hidden="1">#REF!</definedName>
    <definedName name="_Key2" localSheetId="1" hidden="1">#REF!</definedName>
    <definedName name="_Key2" hidden="1">#REF!</definedName>
    <definedName name="_Key22" localSheetId="3" hidden="1">#REF!</definedName>
    <definedName name="_Key22" localSheetId="1" hidden="1">#REF!</definedName>
    <definedName name="_Key22" hidden="1">#REF!</definedName>
    <definedName name="_Key3" localSheetId="3" hidden="1">#REF!</definedName>
    <definedName name="_Key3" localSheetId="1" hidden="1">#REF!</definedName>
    <definedName name="_Key3" hidden="1">#REF!</definedName>
    <definedName name="_kz4" localSheetId="5" hidden="1">#REF!</definedName>
    <definedName name="_kz4" localSheetId="4" hidden="1">#REF!</definedName>
    <definedName name="_kz4" localSheetId="3" hidden="1">#REF!</definedName>
    <definedName name="_kz4" localSheetId="1" hidden="1">#REF!</definedName>
    <definedName name="_kz4" hidden="1">#REF!</definedName>
    <definedName name="_kz5" localSheetId="5" hidden="1">#REF!</definedName>
    <definedName name="_kz5" localSheetId="4" hidden="1">#REF!</definedName>
    <definedName name="_kz5" localSheetId="3" hidden="1">#REF!</definedName>
    <definedName name="_kz5" localSheetId="1" hidden="1">#REF!</definedName>
    <definedName name="_kz5" hidden="1">#REF!</definedName>
    <definedName name="_kz6" localSheetId="5" hidden="1">#REF!</definedName>
    <definedName name="_kz6" localSheetId="4" hidden="1">#REF!</definedName>
    <definedName name="_kz6" localSheetId="3" hidden="1">#REF!</definedName>
    <definedName name="_kz6" localSheetId="1" hidden="1">#REF!</definedName>
    <definedName name="_kz6" hidden="1">#REF!</definedName>
    <definedName name="_kz7" localSheetId="5" hidden="1">#REF!</definedName>
    <definedName name="_kz7" localSheetId="4" hidden="1">#REF!</definedName>
    <definedName name="_kz7" localSheetId="3" hidden="1">#REF!</definedName>
    <definedName name="_kz7" localSheetId="1" hidden="1">#REF!</definedName>
    <definedName name="_kz7" hidden="1">#REF!</definedName>
    <definedName name="_kz8" localSheetId="5" hidden="1">#REF!</definedName>
    <definedName name="_kz8" localSheetId="4" hidden="1">#REF!</definedName>
    <definedName name="_kz8" localSheetId="3" hidden="1">#REF!</definedName>
    <definedName name="_kz8" localSheetId="1" hidden="1">#REF!</definedName>
    <definedName name="_kz8" hidden="1">#REF!</definedName>
    <definedName name="_lbg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localSheetId="5" hidden="1">{#N/A,#N/A,TRUE,"매출진척-1";#N/A,#N/A,TRUE,"매출진척-2";#N/A,#N/A,TRUE,"제품실적";#N/A,#N/A,TRUE,"RAC";#N/A,#N/A,TRUE,"PAC ";#N/A,#N/A,TRUE,"재고현황";#N/A,#N/A,TRUE,"공지사항"}</definedName>
    <definedName name="_LG2" localSheetId="4" hidden="1">{#N/A,#N/A,TRUE,"매출진척-1";#N/A,#N/A,TRUE,"매출진척-2";#N/A,#N/A,TRUE,"제품실적";#N/A,#N/A,TRUE,"RAC";#N/A,#N/A,TRUE,"PAC ";#N/A,#N/A,TRUE,"재고현황";#N/A,#N/A,TRUE,"공지사항"}</definedName>
    <definedName name="_LG2" localSheetId="3" hidden="1">{#N/A,#N/A,TRUE,"매출진척-1";#N/A,#N/A,TRUE,"매출진척-2";#N/A,#N/A,TRUE,"제품실적";#N/A,#N/A,TRUE,"RAC";#N/A,#N/A,TRUE,"PAC ";#N/A,#N/A,TRUE,"재고현황";#N/A,#N/A,TRUE,"공지사항"}</definedName>
    <definedName name="_LG2" localSheetId="1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 localSheetId="5">#REF!</definedName>
    <definedName name="_light_ripstop" localSheetId="4">#REF!</definedName>
    <definedName name="_light_ripstop" localSheetId="3">#REF!</definedName>
    <definedName name="_light_ripstop" localSheetId="1">#REF!</definedName>
    <definedName name="_light_ripstop">#REF!</definedName>
    <definedName name="_LNF1" localSheetId="3">OFFSET(#REF!,0,0,COUNTA(#REF!)-1,1)</definedName>
    <definedName name="_LNF1" localSheetId="1">OFFSET(#REF!,0,0,COUNTA(#REF!)-1,1)</definedName>
    <definedName name="_LNF1">OFFSET(#REF!,0,0,COUNTA(#REF!)-1,1)</definedName>
    <definedName name="_loose_outerwear_poplin" localSheetId="5">#REF!</definedName>
    <definedName name="_loose_outerwear_poplin" localSheetId="4">#REF!</definedName>
    <definedName name="_loose_outerwear_poplin" localSheetId="3">#REF!</definedName>
    <definedName name="_loose_outerwear_poplin" localSheetId="1">#REF!</definedName>
    <definedName name="_loose_outerwear_poplin">#REF!</definedName>
    <definedName name="_lskfj" localSheetId="5" hidden="1">#REF!</definedName>
    <definedName name="_lskfj" localSheetId="4" hidden="1">#REF!</definedName>
    <definedName name="_lskfj" localSheetId="3" hidden="1">#REF!</definedName>
    <definedName name="_lskfj" localSheetId="1" hidden="1">#REF!</definedName>
    <definedName name="_lskfj" hidden="1">#REF!</definedName>
    <definedName name="_lt_wt_ctn_moleskin" localSheetId="5">#REF!</definedName>
    <definedName name="_lt_wt_ctn_moleskin" localSheetId="4">#REF!</definedName>
    <definedName name="_lt_wt_ctn_moleskin" localSheetId="3">#REF!</definedName>
    <definedName name="_lt_wt_ctn_moleskin" localSheetId="1">#REF!</definedName>
    <definedName name="_lt_wt_ctn_moleskin">#REF!</definedName>
    <definedName name="_MatInverse_In" localSheetId="5" hidden="1">#REF!</definedName>
    <definedName name="_MatInverse_In" localSheetId="4" hidden="1">#REF!</definedName>
    <definedName name="_MatInverse_In" localSheetId="3" hidden="1">#REF!</definedName>
    <definedName name="_MatInverse_In" localSheetId="1" hidden="1">#REF!</definedName>
    <definedName name="_MatInverse_In" hidden="1">#REF!</definedName>
    <definedName name="_MatInverse_Out" localSheetId="3" hidden="1">#REF!</definedName>
    <definedName name="_MatInverse_Out" localSheetId="1" hidden="1">#REF!</definedName>
    <definedName name="_MatInverse_Out" hidden="1">#REF!</definedName>
    <definedName name="_multi_count_warp_denim" localSheetId="5">#REF!</definedName>
    <definedName name="_multi_count_warp_denim" localSheetId="4">#REF!</definedName>
    <definedName name="_multi_count_warp_denim" localSheetId="3">#REF!</definedName>
    <definedName name="_multi_count_warp_denim" localSheetId="1">#REF!</definedName>
    <definedName name="_multi_count_warp_denim">#REF!</definedName>
    <definedName name="_multicount_warp_denim" localSheetId="5">#REF!</definedName>
    <definedName name="_multicount_warp_denim" localSheetId="4">#REF!</definedName>
    <definedName name="_multicount_warp_denim" localSheetId="3">#REF!</definedName>
    <definedName name="_multicount_warp_denim" localSheetId="1">#REF!</definedName>
    <definedName name="_multicount_warp_denim">#REF!</definedName>
    <definedName name="_novelty_ctn_twill" localSheetId="5">#REF!</definedName>
    <definedName name="_novelty_ctn_twill" localSheetId="4">#REF!</definedName>
    <definedName name="_novelty_ctn_twill" localSheetId="3">#REF!</definedName>
    <definedName name="_novelty_ctn_twill" localSheetId="1">#REF!</definedName>
    <definedName name="_novelty_ctn_twill">#REF!</definedName>
    <definedName name="_nylon_faille___coated" localSheetId="5">#REF!</definedName>
    <definedName name="_nylon_faille___coated" localSheetId="4">#REF!</definedName>
    <definedName name="_nylon_faille___coated" localSheetId="3">#REF!</definedName>
    <definedName name="_nylon_faille___coated" localSheetId="1">#REF!</definedName>
    <definedName name="_nylon_faille___coated">#REF!</definedName>
    <definedName name="_nylon_taffeta" localSheetId="5">#REF!</definedName>
    <definedName name="_nylon_taffeta" localSheetId="4">#REF!</definedName>
    <definedName name="_nylon_taffeta" localSheetId="3">#REF!</definedName>
    <definedName name="_nylon_taffeta" localSheetId="1">#REF!</definedName>
    <definedName name="_nylon_taffeta">#REF!</definedName>
    <definedName name="_opt1" localSheetId="5">#REF!</definedName>
    <definedName name="_opt1" localSheetId="4">#REF!</definedName>
    <definedName name="_opt1" localSheetId="3">#REF!</definedName>
    <definedName name="_opt1" localSheetId="1">#REF!</definedName>
    <definedName name="_opt1">#REF!</definedName>
    <definedName name="_opt10" localSheetId="5">#REF!</definedName>
    <definedName name="_opt10" localSheetId="4">#REF!</definedName>
    <definedName name="_opt10" localSheetId="3">#REF!</definedName>
    <definedName name="_opt10" localSheetId="1">#REF!</definedName>
    <definedName name="_opt10">#REF!</definedName>
    <definedName name="_opt11" localSheetId="5">#REF!</definedName>
    <definedName name="_opt11" localSheetId="4">#REF!</definedName>
    <definedName name="_opt11" localSheetId="3">#REF!</definedName>
    <definedName name="_opt11" localSheetId="1">#REF!</definedName>
    <definedName name="_opt11">#REF!</definedName>
    <definedName name="_opt12" localSheetId="5">#REF!</definedName>
    <definedName name="_opt12" localSheetId="4">#REF!</definedName>
    <definedName name="_opt12" localSheetId="3">#REF!</definedName>
    <definedName name="_opt12" localSheetId="1">#REF!</definedName>
    <definedName name="_opt12">#REF!</definedName>
    <definedName name="_opt13" localSheetId="5">#REF!</definedName>
    <definedName name="_opt13" localSheetId="4">#REF!</definedName>
    <definedName name="_opt13" localSheetId="3">#REF!</definedName>
    <definedName name="_opt13" localSheetId="1">#REF!</definedName>
    <definedName name="_opt13">#REF!</definedName>
    <definedName name="_opt14" localSheetId="5">#REF!</definedName>
    <definedName name="_opt14" localSheetId="4">#REF!</definedName>
    <definedName name="_opt14" localSheetId="3">#REF!</definedName>
    <definedName name="_opt14" localSheetId="1">#REF!</definedName>
    <definedName name="_opt14">#REF!</definedName>
    <definedName name="_opt15" localSheetId="5">#REF!</definedName>
    <definedName name="_opt15" localSheetId="4">#REF!</definedName>
    <definedName name="_opt15" localSheetId="3">#REF!</definedName>
    <definedName name="_opt15" localSheetId="1">#REF!</definedName>
    <definedName name="_opt15">#REF!</definedName>
    <definedName name="_opt16" localSheetId="5">#REF!</definedName>
    <definedName name="_opt16" localSheetId="4">#REF!</definedName>
    <definedName name="_opt16" localSheetId="3">#REF!</definedName>
    <definedName name="_opt16" localSheetId="1">#REF!</definedName>
    <definedName name="_opt16">#REF!</definedName>
    <definedName name="_opt17" localSheetId="5">#REF!</definedName>
    <definedName name="_opt17" localSheetId="4">#REF!</definedName>
    <definedName name="_opt17" localSheetId="3">#REF!</definedName>
    <definedName name="_opt17" localSheetId="1">#REF!</definedName>
    <definedName name="_opt17">#REF!</definedName>
    <definedName name="_opt18" localSheetId="5">#REF!</definedName>
    <definedName name="_opt18" localSheetId="4">#REF!</definedName>
    <definedName name="_opt18" localSheetId="3">#REF!</definedName>
    <definedName name="_opt18" localSheetId="1">#REF!</definedName>
    <definedName name="_opt18">#REF!</definedName>
    <definedName name="_opt19" localSheetId="5">#REF!</definedName>
    <definedName name="_opt19" localSheetId="4">#REF!</definedName>
    <definedName name="_opt19" localSheetId="3">#REF!</definedName>
    <definedName name="_opt19" localSheetId="1">#REF!</definedName>
    <definedName name="_opt19">#REF!</definedName>
    <definedName name="_opt2" localSheetId="5">#REF!</definedName>
    <definedName name="_opt2" localSheetId="4">#REF!</definedName>
    <definedName name="_opt2" localSheetId="3">#REF!</definedName>
    <definedName name="_opt2" localSheetId="1">#REF!</definedName>
    <definedName name="_opt2">#REF!</definedName>
    <definedName name="_opt20" localSheetId="5">#REF!</definedName>
    <definedName name="_opt20" localSheetId="4">#REF!</definedName>
    <definedName name="_opt20" localSheetId="3">#REF!</definedName>
    <definedName name="_opt20" localSheetId="1">#REF!</definedName>
    <definedName name="_opt20">#REF!</definedName>
    <definedName name="_opt21" localSheetId="5">#REF!</definedName>
    <definedName name="_opt21" localSheetId="4">#REF!</definedName>
    <definedName name="_opt21" localSheetId="3">#REF!</definedName>
    <definedName name="_opt21" localSheetId="1">#REF!</definedName>
    <definedName name="_opt21">#REF!</definedName>
    <definedName name="_OPT22" localSheetId="5">#REF!</definedName>
    <definedName name="_OPT22" localSheetId="4">#REF!</definedName>
    <definedName name="_OPT22" localSheetId="3">#REF!</definedName>
    <definedName name="_OPT22" localSheetId="1">#REF!</definedName>
    <definedName name="_OPT22">#REF!</definedName>
    <definedName name="_opt23" localSheetId="5">#REF!</definedName>
    <definedName name="_opt23" localSheetId="4">#REF!</definedName>
    <definedName name="_opt23" localSheetId="3">#REF!</definedName>
    <definedName name="_opt23" localSheetId="1">#REF!</definedName>
    <definedName name="_opt23">#REF!</definedName>
    <definedName name="_opt3" localSheetId="5">#REF!</definedName>
    <definedName name="_opt3" localSheetId="4">#REF!</definedName>
    <definedName name="_opt3" localSheetId="3">#REF!</definedName>
    <definedName name="_opt3" localSheetId="1">#REF!</definedName>
    <definedName name="_opt3">#REF!</definedName>
    <definedName name="_opt4" localSheetId="5">#REF!</definedName>
    <definedName name="_opt4" localSheetId="4">#REF!</definedName>
    <definedName name="_opt4" localSheetId="3">#REF!</definedName>
    <definedName name="_opt4" localSheetId="1">#REF!</definedName>
    <definedName name="_opt4">#REF!</definedName>
    <definedName name="_opt5" localSheetId="5">#REF!</definedName>
    <definedName name="_opt5" localSheetId="4">#REF!</definedName>
    <definedName name="_opt5" localSheetId="3">#REF!</definedName>
    <definedName name="_opt5" localSheetId="1">#REF!</definedName>
    <definedName name="_opt5">#REF!</definedName>
    <definedName name="_opt6" localSheetId="5">#REF!</definedName>
    <definedName name="_opt6" localSheetId="4">#REF!</definedName>
    <definedName name="_opt6" localSheetId="3">#REF!</definedName>
    <definedName name="_opt6" localSheetId="1">#REF!</definedName>
    <definedName name="_opt6">#REF!</definedName>
    <definedName name="_opt7" localSheetId="5">#REF!</definedName>
    <definedName name="_opt7" localSheetId="4">#REF!</definedName>
    <definedName name="_opt7" localSheetId="3">#REF!</definedName>
    <definedName name="_opt7" localSheetId="1">#REF!</definedName>
    <definedName name="_opt7">#REF!</definedName>
    <definedName name="_opt8" localSheetId="5">#REF!</definedName>
    <definedName name="_opt8" localSheetId="4">#REF!</definedName>
    <definedName name="_opt8" localSheetId="3">#REF!</definedName>
    <definedName name="_opt8" localSheetId="1">#REF!</definedName>
    <definedName name="_opt8">#REF!</definedName>
    <definedName name="_opt9" localSheetId="5">#REF!</definedName>
    <definedName name="_opt9" localSheetId="4">#REF!</definedName>
    <definedName name="_opt9" localSheetId="3">#REF!</definedName>
    <definedName name="_opt9" localSheetId="1">#REF!</definedName>
    <definedName name="_opt9">#REF!</definedName>
    <definedName name="_Order1" localSheetId="5" hidden="1">255</definedName>
    <definedName name="_Order1" localSheetId="4" hidden="1">255</definedName>
    <definedName name="_Order1" localSheetId="3" hidden="1">#REF!</definedName>
    <definedName name="_Order1" localSheetId="1" hidden="1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localSheetId="5" hidden="1">{#N/A,#N/A,FALSE,"단축1";#N/A,#N/A,FALSE,"단축2";#N/A,#N/A,FALSE,"단축3";#N/A,#N/A,FALSE,"장축";#N/A,#N/A,FALSE,"4WD"}</definedName>
    <definedName name="_P2" localSheetId="4" hidden="1">{#N/A,#N/A,FALSE,"단축1";#N/A,#N/A,FALSE,"단축2";#N/A,#N/A,FALSE,"단축3";#N/A,#N/A,FALSE,"장축";#N/A,#N/A,FALSE,"4WD"}</definedName>
    <definedName name="_P2" localSheetId="3" hidden="1">{#N/A,#N/A,FALSE,"단축1";#N/A,#N/A,FALSE,"단축2";#N/A,#N/A,FALSE,"단축3";#N/A,#N/A,FALSE,"장축";#N/A,#N/A,FALSE,"4WD"}</definedName>
    <definedName name="_P2" localSheetId="1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arse_In" localSheetId="5" hidden="1">#REF!</definedName>
    <definedName name="_Parse_In" localSheetId="4" hidden="1">#REF!</definedName>
    <definedName name="_Parse_In" localSheetId="3" hidden="1">#REF!</definedName>
    <definedName name="_Parse_In" localSheetId="1" hidden="1">#REF!</definedName>
    <definedName name="_Parse_In" hidden="1">#REF!</definedName>
    <definedName name="_Parse_Out" localSheetId="3" hidden="1">#REF!</definedName>
    <definedName name="_Parse_Out" localSheetId="1" hidden="1">#REF!</definedName>
    <definedName name="_Parse_Out" hidden="1">#REF!</definedName>
    <definedName name="_peach_ctn_satin_shirting" localSheetId="5">#REF!</definedName>
    <definedName name="_peach_ctn_satin_shirting" localSheetId="4">#REF!</definedName>
    <definedName name="_peach_ctn_satin_shirting" localSheetId="3">#REF!</definedName>
    <definedName name="_peach_ctn_satin_shirting" localSheetId="1">#REF!</definedName>
    <definedName name="_peach_ctn_satin_shirting">#REF!</definedName>
    <definedName name="_pigment_coated_face_nylon_oxford" localSheetId="5">#REF!</definedName>
    <definedName name="_pigment_coated_face_nylon_oxford" localSheetId="4">#REF!</definedName>
    <definedName name="_pigment_coated_face_nylon_oxford" localSheetId="3">#REF!</definedName>
    <definedName name="_pigment_coated_face_nylon_oxford" localSheetId="1">#REF!</definedName>
    <definedName name="_pigment_coated_face_nylon_oxford">#REF!</definedName>
    <definedName name="_pl0201" localSheetId="3">#REF!</definedName>
    <definedName name="_pl0201" localSheetId="1">#REF!</definedName>
    <definedName name="_pl0201">#REF!</definedName>
    <definedName name="_pl0202" localSheetId="3">#REF!</definedName>
    <definedName name="_pl0202" localSheetId="1">#REF!</definedName>
    <definedName name="_pl0202">#REF!</definedName>
    <definedName name="_pl0203" localSheetId="3">#REF!</definedName>
    <definedName name="_pl0203" localSheetId="1">#REF!</definedName>
    <definedName name="_pl0203">#REF!</definedName>
    <definedName name="_pl0204" localSheetId="3">#REF!</definedName>
    <definedName name="_pl0204" localSheetId="1">#REF!</definedName>
    <definedName name="_pl0204">#REF!</definedName>
    <definedName name="_pl0205" localSheetId="3">#REF!</definedName>
    <definedName name="_pl0205" localSheetId="1">#REF!</definedName>
    <definedName name="_pl0205">#REF!</definedName>
    <definedName name="_pl0206" localSheetId="3">#REF!</definedName>
    <definedName name="_pl0206" localSheetId="1">#REF!</definedName>
    <definedName name="_pl0206">#REF!</definedName>
    <definedName name="_pl0207" localSheetId="3">#REF!</definedName>
    <definedName name="_pl0207" localSheetId="1">#REF!</definedName>
    <definedName name="_pl0207">#REF!</definedName>
    <definedName name="_pl0208" localSheetId="3">#REF!</definedName>
    <definedName name="_pl0208" localSheetId="1">#REF!</definedName>
    <definedName name="_pl0208">#REF!</definedName>
    <definedName name="_pl0209" localSheetId="3">#REF!</definedName>
    <definedName name="_pl0209" localSheetId="1">#REF!</definedName>
    <definedName name="_pl0209">#REF!</definedName>
    <definedName name="_pl0210" localSheetId="3">#REF!</definedName>
    <definedName name="_pl0210" localSheetId="1">#REF!</definedName>
    <definedName name="_pl0210">#REF!</definedName>
    <definedName name="_PL7" localSheetId="5" hidden="1">{#N/A,#N/A,TRUE,"대 차 대 조 표"}</definedName>
    <definedName name="_PL7" localSheetId="4" hidden="1">{#N/A,#N/A,TRUE,"대 차 대 조 표"}</definedName>
    <definedName name="_PL7" localSheetId="3" hidden="1">{#N/A,#N/A,TRUE,"대 차 대 조 표"}</definedName>
    <definedName name="_PL7" localSheetId="1" hidden="1">{#N/A,#N/A,TRUE,"대 차 대 조 표"}</definedName>
    <definedName name="_PL7" hidden="1">{#N/A,#N/A,TRUE,"대 차 대 조 표"}</definedName>
    <definedName name="_PL7_1" localSheetId="5" hidden="1">{#N/A,#N/A,TRUE,"대 차 대 조 표"}</definedName>
    <definedName name="_PL7_1" localSheetId="4" hidden="1">{#N/A,#N/A,TRUE,"대 차 대 조 표"}</definedName>
    <definedName name="_PL7_1" localSheetId="3" hidden="1">{#N/A,#N/A,TRUE,"대 차 대 조 표"}</definedName>
    <definedName name="_PL7_1" localSheetId="1" hidden="1">{#N/A,#N/A,TRUE,"대 차 대 조 표"}</definedName>
    <definedName name="_PL7_1" hidden="1">{#N/A,#N/A,TRUE,"대 차 대 조 표"}</definedName>
    <definedName name="_PM1" localSheetId="5">#REF!</definedName>
    <definedName name="_PM1" localSheetId="4">#REF!</definedName>
    <definedName name="_PM1" localSheetId="3">#REF!</definedName>
    <definedName name="_PM1" localSheetId="1">#REF!</definedName>
    <definedName name="_PM1">#REF!</definedName>
    <definedName name="_PnP1" localSheetId="3">#REF!</definedName>
    <definedName name="_PnP1" localSheetId="1">#REF!</definedName>
    <definedName name="_PnP1">#REF!</definedName>
    <definedName name="_PNT1" localSheetId="3">#REF!</definedName>
    <definedName name="_PNT1" localSheetId="1">#REF!</definedName>
    <definedName name="_PNT1">#REF!</definedName>
    <definedName name="_PNT2" localSheetId="3">#REF!</definedName>
    <definedName name="_PNT2" localSheetId="1">#REF!</definedName>
    <definedName name="_PNT2">#REF!</definedName>
    <definedName name="_PNT3">#N/A</definedName>
    <definedName name="_PNT4">#N/A</definedName>
    <definedName name="_q1" localSheetId="5" hidden="1">#REF!</definedName>
    <definedName name="_q1" localSheetId="4" hidden="1">#REF!</definedName>
    <definedName name="_q1" localSheetId="3" hidden="1">#REF!</definedName>
    <definedName name="_q1" localSheetId="1" hidden="1">#REF!</definedName>
    <definedName name="_q1" hidden="1">#REF!</definedName>
    <definedName name="_q2" localSheetId="3" hidden="1">#REF!</definedName>
    <definedName name="_q2" localSheetId="1" hidden="1">#REF!</definedName>
    <definedName name="_q2" hidden="1">#REF!</definedName>
    <definedName name="_q3" localSheetId="3" hidden="1">#REF!</definedName>
    <definedName name="_q3" localSheetId="1" hidden="1">#REF!</definedName>
    <definedName name="_q3" hidden="1">#REF!</definedName>
    <definedName name="_q4" localSheetId="3" hidden="1">#REF!</definedName>
    <definedName name="_q4" localSheetId="1" hidden="1">#REF!</definedName>
    <definedName name="_q4" hidden="1">#REF!</definedName>
    <definedName name="_real_suede" localSheetId="5">#REF!</definedName>
    <definedName name="_real_suede" localSheetId="4">#REF!</definedName>
    <definedName name="_real_suede" localSheetId="3">#REF!</definedName>
    <definedName name="_real_suede" localSheetId="1">#REF!</definedName>
    <definedName name="_real_suede">#REF!</definedName>
    <definedName name="_Regression_Int" hidden="1">1</definedName>
    <definedName name="_Regression_Y" localSheetId="5" hidden="1">#REF!</definedName>
    <definedName name="_Regression_Y" localSheetId="4" hidden="1">#REF!</definedName>
    <definedName name="_Regression_Y" localSheetId="3" hidden="1">#REF!</definedName>
    <definedName name="_Regression_Y" localSheetId="1" hidden="1">#REF!</definedName>
    <definedName name="_Regression_Y" hidden="1">#REF!</definedName>
    <definedName name="_SA1" localSheetId="3">#REF!</definedName>
    <definedName name="_SA1" localSheetId="1">#REF!</definedName>
    <definedName name="_SA1">#REF!</definedName>
    <definedName name="_SCF4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 localSheetId="5">#REF!</definedName>
    <definedName name="_SCM02" localSheetId="4">#REF!</definedName>
    <definedName name="_SCM02" localSheetId="3">#REF!</definedName>
    <definedName name="_SCM02" localSheetId="1">#REF!</definedName>
    <definedName name="_SCM02">#REF!</definedName>
    <definedName name="_shiney_taffeta__core_" localSheetId="5">#REF!</definedName>
    <definedName name="_shiney_taffeta__core_" localSheetId="4">#REF!</definedName>
    <definedName name="_shiney_taffeta__core_" localSheetId="3">#REF!</definedName>
    <definedName name="_shiney_taffeta__core_" localSheetId="1">#REF!</definedName>
    <definedName name="_shiney_taffeta__core_">#REF!</definedName>
    <definedName name="_SHR1" localSheetId="3">#REF!</definedName>
    <definedName name="_SHR1" localSheetId="1">#REF!</definedName>
    <definedName name="_SHR1">#REF!</definedName>
    <definedName name="_SHR2" localSheetId="3">#REF!</definedName>
    <definedName name="_SHR2" localSheetId="1">#REF!</definedName>
    <definedName name="_SHR2">#REF!</definedName>
    <definedName name="_solid_ctn_poplin" localSheetId="5">#REF!</definedName>
    <definedName name="_solid_ctn_poplin" localSheetId="4">#REF!</definedName>
    <definedName name="_solid_ctn_poplin" localSheetId="3">#REF!</definedName>
    <definedName name="_solid_ctn_poplin" localSheetId="1">#REF!</definedName>
    <definedName name="_solid_ctn_poplin">#REF!</definedName>
    <definedName name="_Sort" localSheetId="3" hidden="1">#REF!</definedName>
    <definedName name="_Sort" localSheetId="1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 localSheetId="5">#REF!</definedName>
    <definedName name="_STJ2" localSheetId="4">#REF!</definedName>
    <definedName name="_STJ2" localSheetId="3">#REF!</definedName>
    <definedName name="_STJ2" localSheetId="1">#REF!</definedName>
    <definedName name="_STJ2">#REF!</definedName>
    <definedName name="_stretch_cotton_cord" localSheetId="5">#REF!</definedName>
    <definedName name="_stretch_cotton_cord" localSheetId="4">#REF!</definedName>
    <definedName name="_stretch_cotton_cord" localSheetId="3">#REF!</definedName>
    <definedName name="_stretch_cotton_cord" localSheetId="1">#REF!</definedName>
    <definedName name="_stretch_cotton_cord">#REF!</definedName>
    <definedName name="_stretch_rht" localSheetId="5">#REF!</definedName>
    <definedName name="_stretch_rht" localSheetId="4">#REF!</definedName>
    <definedName name="_stretch_rht" localSheetId="3">#REF!</definedName>
    <definedName name="_stretch_rht" localSheetId="1">#REF!</definedName>
    <definedName name="_stretch_rht">#REF!</definedName>
    <definedName name="_SUM1" localSheetId="5" hidden="1">{#N/A,#N/A,FALSE,"단축1";#N/A,#N/A,FALSE,"단축2";#N/A,#N/A,FALSE,"단축3";#N/A,#N/A,FALSE,"장축";#N/A,#N/A,FALSE,"4WD"}</definedName>
    <definedName name="_SUM1" localSheetId="4" hidden="1">{#N/A,#N/A,FALSE,"단축1";#N/A,#N/A,FALSE,"단축2";#N/A,#N/A,FALSE,"단축3";#N/A,#N/A,FALSE,"장축";#N/A,#N/A,FALSE,"4WD"}</definedName>
    <definedName name="_SUM1" localSheetId="3" hidden="1">{#N/A,#N/A,FALSE,"단축1";#N/A,#N/A,FALSE,"단축2";#N/A,#N/A,FALSE,"단축3";#N/A,#N/A,FALSE,"장축";#N/A,#N/A,FALSE,"4WD"}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2" localSheetId="5" hidden="1">{#N/A,#N/A,FALSE,"단축1";#N/A,#N/A,FALSE,"단축2";#N/A,#N/A,FALSE,"단축3";#N/A,#N/A,FALSE,"장축";#N/A,#N/A,FALSE,"4WD"}</definedName>
    <definedName name="_T2" localSheetId="4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localSheetId="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5" hidden="1">{#N/A,#N/A,FALSE,"단축1";#N/A,#N/A,FALSE,"단축2";#N/A,#N/A,FALSE,"단축3";#N/A,#N/A,FALSE,"장축";#N/A,#N/A,FALSE,"4WD"}</definedName>
    <definedName name="_T3" localSheetId="4" hidden="1">{#N/A,#N/A,FALSE,"단축1";#N/A,#N/A,FALSE,"단축2";#N/A,#N/A,FALSE,"단축3";#N/A,#N/A,FALSE,"장축";#N/A,#N/A,FALSE,"4WD"}</definedName>
    <definedName name="_T3" localSheetId="3" hidden="1">{#N/A,#N/A,FALSE,"단축1";#N/A,#N/A,FALSE,"단축2";#N/A,#N/A,FALSE,"단축3";#N/A,#N/A,FALSE,"장축";#N/A,#N/A,FALSE,"4WD"}</definedName>
    <definedName name="_T3" localSheetId="1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5" hidden="1">{#N/A,#N/A,FALSE,"단축1";#N/A,#N/A,FALSE,"단축2";#N/A,#N/A,FALSE,"단축3";#N/A,#N/A,FALSE,"장축";#N/A,#N/A,FALSE,"4WD"}</definedName>
    <definedName name="_T5" localSheetId="4" hidden="1">{#N/A,#N/A,FALSE,"단축1";#N/A,#N/A,FALSE,"단축2";#N/A,#N/A,FALSE,"단축3";#N/A,#N/A,FALSE,"장축";#N/A,#N/A,FALSE,"4WD"}</definedName>
    <definedName name="_T5" localSheetId="3" hidden="1">{#N/A,#N/A,FALSE,"단축1";#N/A,#N/A,FALSE,"단축2";#N/A,#N/A,FALSE,"단축3";#N/A,#N/A,FALSE,"장축";#N/A,#N/A,FALSE,"4WD"}</definedName>
    <definedName name="_T5" localSheetId="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localSheetId="5" hidden="1">#REF!</definedName>
    <definedName name="_Table1_In1" localSheetId="4" hidden="1">#REF!</definedName>
    <definedName name="_Table1_In1" localSheetId="3" hidden="1">#REF!</definedName>
    <definedName name="_Table1_In1" localSheetId="1" hidden="1">#REF!</definedName>
    <definedName name="_Table1_In1" hidden="1">#REF!</definedName>
    <definedName name="_Table1_Out" localSheetId="3" hidden="1">#REF!</definedName>
    <definedName name="_Table1_Out" localSheetId="1" hidden="1">#REF!</definedName>
    <definedName name="_Table1_Out" hidden="1">#REF!</definedName>
    <definedName name="_Table2_In1" localSheetId="3" hidden="1">#REF!</definedName>
    <definedName name="_Table2_In1" localSheetId="1" hidden="1">#REF!</definedName>
    <definedName name="_Table2_In1" hidden="1">#REF!</definedName>
    <definedName name="_Table2_In2" localSheetId="3" hidden="1">#REF!</definedName>
    <definedName name="_Table2_In2" localSheetId="1" hidden="1">#REF!</definedName>
    <definedName name="_Table2_In2" hidden="1">#REF!</definedName>
    <definedName name="_Table2_Out" localSheetId="3" hidden="1">#REF!</definedName>
    <definedName name="_Table2_Out" localSheetId="1" hidden="1">#REF!</definedName>
    <definedName name="_Table2_Out" hidden="1">#REF!</definedName>
    <definedName name="_TB111" localSheetId="3">#REF!</definedName>
    <definedName name="_TB111" localSheetId="1">#REF!</definedName>
    <definedName name="_TB111">#REF!</definedName>
    <definedName name="_TB112" localSheetId="3">#REF!</definedName>
    <definedName name="_TB112" localSheetId="1">#REF!</definedName>
    <definedName name="_TB112">#REF!</definedName>
    <definedName name="_TB113" localSheetId="3">#REF!</definedName>
    <definedName name="_TB113" localSheetId="1">#REF!</definedName>
    <definedName name="_TB113">#REF!</definedName>
    <definedName name="_TB114" localSheetId="3">#REF!</definedName>
    <definedName name="_TB114" localSheetId="1">#REF!</definedName>
    <definedName name="_TB114">#REF!</definedName>
    <definedName name="_TB115" localSheetId="3">#REF!</definedName>
    <definedName name="_TB115" localSheetId="1">#REF!</definedName>
    <definedName name="_TB115">#REF!</definedName>
    <definedName name="_TB116" localSheetId="3">#REF!</definedName>
    <definedName name="_TB116" localSheetId="1">#REF!</definedName>
    <definedName name="_TB116">#REF!</definedName>
    <definedName name="_TB117" localSheetId="3">#REF!</definedName>
    <definedName name="_TB117" localSheetId="1">#REF!</definedName>
    <definedName name="_TB117">#REF!</definedName>
    <definedName name="_TB121" localSheetId="3">#REF!</definedName>
    <definedName name="_TB121" localSheetId="1">#REF!</definedName>
    <definedName name="_TB121">#REF!</definedName>
    <definedName name="_TB122" localSheetId="3">#REF!</definedName>
    <definedName name="_TB122" localSheetId="1">#REF!</definedName>
    <definedName name="_TB122">#REF!</definedName>
    <definedName name="_TB123" localSheetId="3">#REF!</definedName>
    <definedName name="_TB123" localSheetId="1">#REF!</definedName>
    <definedName name="_TB123">#REF!</definedName>
    <definedName name="_TB124" localSheetId="3">#REF!</definedName>
    <definedName name="_TB124" localSheetId="1">#REF!</definedName>
    <definedName name="_TB124">#REF!</definedName>
    <definedName name="_TB125" localSheetId="3">#REF!</definedName>
    <definedName name="_TB125" localSheetId="1">#REF!</definedName>
    <definedName name="_TB125">#REF!</definedName>
    <definedName name="_TB126" localSheetId="3">#REF!</definedName>
    <definedName name="_TB126" localSheetId="1">#REF!</definedName>
    <definedName name="_TB126">#REF!</definedName>
    <definedName name="_TB131" localSheetId="3">#REF!</definedName>
    <definedName name="_TB131" localSheetId="1">#REF!</definedName>
    <definedName name="_TB131">#REF!</definedName>
    <definedName name="_TB132" localSheetId="3">#REF!</definedName>
    <definedName name="_TB132" localSheetId="1">#REF!</definedName>
    <definedName name="_TB132">#REF!</definedName>
    <definedName name="_TB211" localSheetId="3">#REF!</definedName>
    <definedName name="_TB211" localSheetId="1">#REF!</definedName>
    <definedName name="_TB211">#REF!</definedName>
    <definedName name="_TB212" localSheetId="3">#REF!</definedName>
    <definedName name="_TB212" localSheetId="1">#REF!</definedName>
    <definedName name="_TB212">#REF!</definedName>
    <definedName name="_TB213" localSheetId="3">#REF!</definedName>
    <definedName name="_TB213" localSheetId="1">#REF!</definedName>
    <definedName name="_TB213">#REF!</definedName>
    <definedName name="_TB214" localSheetId="3">#REF!</definedName>
    <definedName name="_TB214" localSheetId="1">#REF!</definedName>
    <definedName name="_TB214">#REF!</definedName>
    <definedName name="_TB215" localSheetId="3">#REF!</definedName>
    <definedName name="_TB215" localSheetId="1">#REF!</definedName>
    <definedName name="_TB215">#REF!</definedName>
    <definedName name="_TB221" localSheetId="3">#REF!</definedName>
    <definedName name="_TB221" localSheetId="1">#REF!</definedName>
    <definedName name="_TB221">#REF!</definedName>
    <definedName name="_TB2210" localSheetId="3">#REF!</definedName>
    <definedName name="_TB2210" localSheetId="1">#REF!</definedName>
    <definedName name="_TB2210">#REF!</definedName>
    <definedName name="_TB222" localSheetId="3">#REF!</definedName>
    <definedName name="_TB222" localSheetId="1">#REF!</definedName>
    <definedName name="_TB222">#REF!</definedName>
    <definedName name="_TB223" localSheetId="3">#REF!</definedName>
    <definedName name="_TB223" localSheetId="1">#REF!</definedName>
    <definedName name="_TB223">#REF!</definedName>
    <definedName name="_TB224" localSheetId="3">#REF!</definedName>
    <definedName name="_TB224" localSheetId="1">#REF!</definedName>
    <definedName name="_TB224">#REF!</definedName>
    <definedName name="_TB225" localSheetId="3">#REF!</definedName>
    <definedName name="_TB225" localSheetId="1">#REF!</definedName>
    <definedName name="_TB225">#REF!</definedName>
    <definedName name="_TB226" localSheetId="3">#REF!</definedName>
    <definedName name="_TB226" localSheetId="1">#REF!</definedName>
    <definedName name="_TB226">#REF!</definedName>
    <definedName name="_TB227" localSheetId="3">#REF!</definedName>
    <definedName name="_TB227" localSheetId="1">#REF!</definedName>
    <definedName name="_TB227">#REF!</definedName>
    <definedName name="_TB228" localSheetId="3">#REF!</definedName>
    <definedName name="_TB228" localSheetId="1">#REF!</definedName>
    <definedName name="_TB228">#REF!</definedName>
    <definedName name="_TB229" localSheetId="3">#REF!</definedName>
    <definedName name="_TB229" localSheetId="1">#REF!</definedName>
    <definedName name="_TB229">#REF!</definedName>
    <definedName name="_TB311" localSheetId="3">#REF!</definedName>
    <definedName name="_TB311" localSheetId="1">#REF!</definedName>
    <definedName name="_TB311">#REF!</definedName>
    <definedName name="_TB312" localSheetId="3">#REF!</definedName>
    <definedName name="_TB312" localSheetId="1">#REF!</definedName>
    <definedName name="_TB312">#REF!</definedName>
    <definedName name="_TB313" localSheetId="3">#REF!</definedName>
    <definedName name="_TB313" localSheetId="1">#REF!</definedName>
    <definedName name="_TB313">#REF!</definedName>
    <definedName name="_TB314" localSheetId="3">#REF!</definedName>
    <definedName name="_TB314" localSheetId="1">#REF!</definedName>
    <definedName name="_TB314">#REF!</definedName>
    <definedName name="_TB315" localSheetId="3">#REF!</definedName>
    <definedName name="_TB315" localSheetId="1">#REF!</definedName>
    <definedName name="_TB315">#REF!</definedName>
    <definedName name="_TB316" localSheetId="3">#REF!</definedName>
    <definedName name="_TB316" localSheetId="1">#REF!</definedName>
    <definedName name="_TB316">#REF!</definedName>
    <definedName name="_TB317" localSheetId="3">#REF!</definedName>
    <definedName name="_TB317" localSheetId="1">#REF!</definedName>
    <definedName name="_TB317">#REF!</definedName>
    <definedName name="_TB318" localSheetId="3">#REF!</definedName>
    <definedName name="_TB318" localSheetId="1">#REF!</definedName>
    <definedName name="_TB318">#REF!</definedName>
    <definedName name="_TB319" localSheetId="3">#REF!</definedName>
    <definedName name="_TB319" localSheetId="1">#REF!</definedName>
    <definedName name="_TB319">#REF!</definedName>
    <definedName name="_TB321" localSheetId="3">#REF!</definedName>
    <definedName name="_TB321" localSheetId="1">#REF!</definedName>
    <definedName name="_TB321">#REF!</definedName>
    <definedName name="_TB322" localSheetId="3">#REF!</definedName>
    <definedName name="_TB322" localSheetId="1">#REF!</definedName>
    <definedName name="_TB322">#REF!</definedName>
    <definedName name="_TB323" localSheetId="3">#REF!</definedName>
    <definedName name="_TB323" localSheetId="1">#REF!</definedName>
    <definedName name="_TB323">#REF!</definedName>
    <definedName name="_TB324" localSheetId="3">#REF!</definedName>
    <definedName name="_TB324" localSheetId="1">#REF!</definedName>
    <definedName name="_TB324">#REF!</definedName>
    <definedName name="_TB325" localSheetId="3">#REF!</definedName>
    <definedName name="_TB325" localSheetId="1">#REF!</definedName>
    <definedName name="_TB325">#REF!</definedName>
    <definedName name="_TB401" localSheetId="3">#REF!</definedName>
    <definedName name="_TB401" localSheetId="1">#REF!</definedName>
    <definedName name="_TB401">#REF!</definedName>
    <definedName name="_TB402" localSheetId="3">#REF!</definedName>
    <definedName name="_TB402" localSheetId="1">#REF!</definedName>
    <definedName name="_TB402">#REF!</definedName>
    <definedName name="_TB403" localSheetId="3">#REF!</definedName>
    <definedName name="_TB403" localSheetId="1">#REF!</definedName>
    <definedName name="_TB403">#REF!</definedName>
    <definedName name="_TB404" localSheetId="3">#REF!</definedName>
    <definedName name="_TB404" localSheetId="1">#REF!</definedName>
    <definedName name="_TB404">#REF!</definedName>
    <definedName name="_TB405" localSheetId="3">#REF!</definedName>
    <definedName name="_TB405" localSheetId="1">#REF!</definedName>
    <definedName name="_TB405">#REF!</definedName>
    <definedName name="_TB501" localSheetId="3">#REF!</definedName>
    <definedName name="_TB501" localSheetId="1">#REF!</definedName>
    <definedName name="_TB501">#REF!</definedName>
    <definedName name="_TB502" localSheetId="3">#REF!</definedName>
    <definedName name="_TB502" localSheetId="1">#REF!</definedName>
    <definedName name="_TB502">#REF!</definedName>
    <definedName name="_TB503" localSheetId="3">#REF!</definedName>
    <definedName name="_TB503" localSheetId="1">#REF!</definedName>
    <definedName name="_TB503">#REF!</definedName>
    <definedName name="_TB504" localSheetId="3">#REF!</definedName>
    <definedName name="_TB504" localSheetId="1">#REF!</definedName>
    <definedName name="_TB504">#REF!</definedName>
    <definedName name="_TB505" localSheetId="3">#REF!</definedName>
    <definedName name="_TB505" localSheetId="1">#REF!</definedName>
    <definedName name="_TB505">#REF!</definedName>
    <definedName name="_TB506" localSheetId="3">#REF!</definedName>
    <definedName name="_TB506" localSheetId="1">#REF!</definedName>
    <definedName name="_TB506">#REF!</definedName>
    <definedName name="_TB507" localSheetId="3">#REF!</definedName>
    <definedName name="_TB507" localSheetId="1">#REF!</definedName>
    <definedName name="_TB507">#REF!</definedName>
    <definedName name="_TB508" localSheetId="3">#REF!</definedName>
    <definedName name="_TB508" localSheetId="1">#REF!</definedName>
    <definedName name="_TB508">#REF!</definedName>
    <definedName name="_TB509" localSheetId="3">#REF!</definedName>
    <definedName name="_TB509" localSheetId="1">#REF!</definedName>
    <definedName name="_TB509">#REF!</definedName>
    <definedName name="_TB510" localSheetId="3">#REF!</definedName>
    <definedName name="_TB510" localSheetId="1">#REF!</definedName>
    <definedName name="_TB510">#REF!</definedName>
    <definedName name="_TB511" localSheetId="3">#REF!</definedName>
    <definedName name="_TB511" localSheetId="1">#REF!</definedName>
    <definedName name="_TB511">#REF!</definedName>
    <definedName name="_TB512" localSheetId="3">#REF!</definedName>
    <definedName name="_TB512" localSheetId="1">#REF!</definedName>
    <definedName name="_TB512">#REF!</definedName>
    <definedName name="_TB513" localSheetId="3">#REF!</definedName>
    <definedName name="_TB513" localSheetId="1">#REF!</definedName>
    <definedName name="_TB513">#REF!</definedName>
    <definedName name="_TB601" localSheetId="3">#REF!</definedName>
    <definedName name="_TB601" localSheetId="1">#REF!</definedName>
    <definedName name="_TB601">#REF!</definedName>
    <definedName name="_TB602" localSheetId="3">#REF!</definedName>
    <definedName name="_TB602" localSheetId="1">#REF!</definedName>
    <definedName name="_TB602">#REF!</definedName>
    <definedName name="_TB603" localSheetId="3">#REF!</definedName>
    <definedName name="_TB603" localSheetId="1">#REF!</definedName>
    <definedName name="_TB603">#REF!</definedName>
    <definedName name="_TB604" localSheetId="3">#REF!</definedName>
    <definedName name="_TB604" localSheetId="1">#REF!</definedName>
    <definedName name="_TB604">#REF!</definedName>
    <definedName name="_TB605" localSheetId="3">#REF!</definedName>
    <definedName name="_TB605" localSheetId="1">#REF!</definedName>
    <definedName name="_TB605">#REF!</definedName>
    <definedName name="_TB701" localSheetId="3">#REF!</definedName>
    <definedName name="_TB701" localSheetId="1">#REF!</definedName>
    <definedName name="_TB701">#REF!</definedName>
    <definedName name="_TB811" localSheetId="3">#REF!</definedName>
    <definedName name="_TB811" localSheetId="1">#REF!</definedName>
    <definedName name="_TB811">#REF!</definedName>
    <definedName name="_TB812" localSheetId="3">#REF!</definedName>
    <definedName name="_TB812" localSheetId="1">#REF!</definedName>
    <definedName name="_TB812">#REF!</definedName>
    <definedName name="_TB813" localSheetId="3">#REF!</definedName>
    <definedName name="_TB813" localSheetId="1">#REF!</definedName>
    <definedName name="_TB813">#REF!</definedName>
    <definedName name="_TB814" localSheetId="3">#REF!</definedName>
    <definedName name="_TB814" localSheetId="1">#REF!</definedName>
    <definedName name="_TB814">#REF!</definedName>
    <definedName name="_TB820" localSheetId="3">#REF!</definedName>
    <definedName name="_TB820" localSheetId="1">#REF!</definedName>
    <definedName name="_TB820">#REF!</definedName>
    <definedName name="_TB901" localSheetId="3">#REF!</definedName>
    <definedName name="_TB901" localSheetId="1">#REF!</definedName>
    <definedName name="_TB901">#REF!</definedName>
    <definedName name="_TB902" localSheetId="3">#REF!</definedName>
    <definedName name="_TB902" localSheetId="1">#REF!</definedName>
    <definedName name="_TB902">#REF!</definedName>
    <definedName name="_TB903" localSheetId="3">#REF!</definedName>
    <definedName name="_TB903" localSheetId="1">#REF!</definedName>
    <definedName name="_TB903">#REF!</definedName>
    <definedName name="_TB904" localSheetId="3">#REF!</definedName>
    <definedName name="_TB904" localSheetId="1">#REF!</definedName>
    <definedName name="_TB904">#REF!</definedName>
    <definedName name="_TBI1001" localSheetId="3">#REF!</definedName>
    <definedName name="_TBI1001" localSheetId="1">#REF!</definedName>
    <definedName name="_TBI1001">#REF!</definedName>
    <definedName name="_TBI1002" localSheetId="3">#REF!</definedName>
    <definedName name="_TBI1002" localSheetId="1">#REF!</definedName>
    <definedName name="_TBI1002">#REF!</definedName>
    <definedName name="_TBI1003" localSheetId="3">#REF!</definedName>
    <definedName name="_TBI1003" localSheetId="1">#REF!</definedName>
    <definedName name="_TBI1003">#REF!</definedName>
    <definedName name="_TBI1004" localSheetId="3">#REF!</definedName>
    <definedName name="_TBI1004" localSheetId="1">#REF!</definedName>
    <definedName name="_TBI1004">#REF!</definedName>
    <definedName name="_TBI1005" localSheetId="3">#REF!</definedName>
    <definedName name="_TBI1005" localSheetId="1">#REF!</definedName>
    <definedName name="_TBI1005">#REF!</definedName>
    <definedName name="_TBI101" localSheetId="3">#REF!</definedName>
    <definedName name="_TBI101" localSheetId="1">#REF!</definedName>
    <definedName name="_TBI101">#REF!</definedName>
    <definedName name="_TBI102" localSheetId="3">#REF!</definedName>
    <definedName name="_TBI102" localSheetId="1">#REF!</definedName>
    <definedName name="_TBI102">#REF!</definedName>
    <definedName name="_TBI1100" localSheetId="3">#REF!</definedName>
    <definedName name="_TBI1100" localSheetId="1">#REF!</definedName>
    <definedName name="_TBI1100">#REF!</definedName>
    <definedName name="_TBI1200" localSheetId="3">#REF!</definedName>
    <definedName name="_TBI1200" localSheetId="1">#REF!</definedName>
    <definedName name="_TBI1200">#REF!</definedName>
    <definedName name="_TBI201" localSheetId="3">#REF!</definedName>
    <definedName name="_TBI201" localSheetId="1">#REF!</definedName>
    <definedName name="_TBI201">#REF!</definedName>
    <definedName name="_TBI202" localSheetId="3">#REF!</definedName>
    <definedName name="_TBI202" localSheetId="1">#REF!</definedName>
    <definedName name="_TBI202">#REF!</definedName>
    <definedName name="_TBI203" localSheetId="3">#REF!</definedName>
    <definedName name="_TBI203" localSheetId="1">#REF!</definedName>
    <definedName name="_TBI203">#REF!</definedName>
    <definedName name="_TBI401" localSheetId="3">#REF!</definedName>
    <definedName name="_TBI401" localSheetId="1">#REF!</definedName>
    <definedName name="_TBI401">#REF!</definedName>
    <definedName name="_TBI402" localSheetId="3">#REF!</definedName>
    <definedName name="_TBI402" localSheetId="1">#REF!</definedName>
    <definedName name="_TBI402">#REF!</definedName>
    <definedName name="_TBI403" localSheetId="3">#REF!</definedName>
    <definedName name="_TBI403" localSheetId="1">#REF!</definedName>
    <definedName name="_TBI403">#REF!</definedName>
    <definedName name="_TBI404" localSheetId="3">#REF!</definedName>
    <definedName name="_TBI404" localSheetId="1">#REF!</definedName>
    <definedName name="_TBI404">#REF!</definedName>
    <definedName name="_TBI405" localSheetId="3">#REF!</definedName>
    <definedName name="_TBI405" localSheetId="1">#REF!</definedName>
    <definedName name="_TBI405">#REF!</definedName>
    <definedName name="_TBI406" localSheetId="3">#REF!</definedName>
    <definedName name="_TBI406" localSheetId="1">#REF!</definedName>
    <definedName name="_TBI406">#REF!</definedName>
    <definedName name="_TBI407" localSheetId="3">#REF!</definedName>
    <definedName name="_TBI407" localSheetId="1">#REF!</definedName>
    <definedName name="_TBI407">#REF!</definedName>
    <definedName name="_TBI408" localSheetId="3">#REF!</definedName>
    <definedName name="_TBI408" localSheetId="1">#REF!</definedName>
    <definedName name="_TBI408">#REF!</definedName>
    <definedName name="_TBI409" localSheetId="3">#REF!</definedName>
    <definedName name="_TBI409" localSheetId="1">#REF!</definedName>
    <definedName name="_TBI409">#REF!</definedName>
    <definedName name="_TBI410" localSheetId="3">#REF!</definedName>
    <definedName name="_TBI410" localSheetId="1">#REF!</definedName>
    <definedName name="_TBI410">#REF!</definedName>
    <definedName name="_TBI411" localSheetId="3">#REF!</definedName>
    <definedName name="_TBI411" localSheetId="1">#REF!</definedName>
    <definedName name="_TBI411">#REF!</definedName>
    <definedName name="_TBI412" localSheetId="3">#REF!</definedName>
    <definedName name="_TBI412" localSheetId="1">#REF!</definedName>
    <definedName name="_TBI412">#REF!</definedName>
    <definedName name="_TBI413" localSheetId="3">#REF!</definedName>
    <definedName name="_TBI413" localSheetId="1">#REF!</definedName>
    <definedName name="_TBI413">#REF!</definedName>
    <definedName name="_TBI414" localSheetId="3">#REF!</definedName>
    <definedName name="_TBI414" localSheetId="1">#REF!</definedName>
    <definedName name="_TBI414">#REF!</definedName>
    <definedName name="_TBI415" localSheetId="3">#REF!</definedName>
    <definedName name="_TBI415" localSheetId="1">#REF!</definedName>
    <definedName name="_TBI415">#REF!</definedName>
    <definedName name="_TBI416" localSheetId="3">#REF!</definedName>
    <definedName name="_TBI416" localSheetId="1">#REF!</definedName>
    <definedName name="_TBI416">#REF!</definedName>
    <definedName name="_TBI417" localSheetId="3">#REF!</definedName>
    <definedName name="_TBI417" localSheetId="1">#REF!</definedName>
    <definedName name="_TBI417">#REF!</definedName>
    <definedName name="_TBI418" localSheetId="3">#REF!</definedName>
    <definedName name="_TBI418" localSheetId="1">#REF!</definedName>
    <definedName name="_TBI418">#REF!</definedName>
    <definedName name="_TBI419" localSheetId="3">#REF!</definedName>
    <definedName name="_TBI419" localSheetId="1">#REF!</definedName>
    <definedName name="_TBI419">#REF!</definedName>
    <definedName name="_TBI420" localSheetId="3">#REF!</definedName>
    <definedName name="_TBI420" localSheetId="1">#REF!</definedName>
    <definedName name="_TBI420">#REF!</definedName>
    <definedName name="_TBI421" localSheetId="3">#REF!</definedName>
    <definedName name="_TBI421" localSheetId="1">#REF!</definedName>
    <definedName name="_TBI421">#REF!</definedName>
    <definedName name="_TBI422" localSheetId="3">#REF!</definedName>
    <definedName name="_TBI422" localSheetId="1">#REF!</definedName>
    <definedName name="_TBI422">#REF!</definedName>
    <definedName name="_TBI423" localSheetId="3">#REF!</definedName>
    <definedName name="_TBI423" localSheetId="1">#REF!</definedName>
    <definedName name="_TBI423">#REF!</definedName>
    <definedName name="_TBI424" localSheetId="3">#REF!</definedName>
    <definedName name="_TBI424" localSheetId="1">#REF!</definedName>
    <definedName name="_TBI424">#REF!</definedName>
    <definedName name="_TBI425" localSheetId="3">#REF!</definedName>
    <definedName name="_TBI425" localSheetId="1">#REF!</definedName>
    <definedName name="_TBI425">#REF!</definedName>
    <definedName name="_TBI601" localSheetId="3">#REF!</definedName>
    <definedName name="_TBI601" localSheetId="1">#REF!</definedName>
    <definedName name="_TBI601">#REF!</definedName>
    <definedName name="_TBI602" localSheetId="3">#REF!</definedName>
    <definedName name="_TBI602" localSheetId="1">#REF!</definedName>
    <definedName name="_TBI602">#REF!</definedName>
    <definedName name="_TBI603" localSheetId="3">#REF!</definedName>
    <definedName name="_TBI603" localSheetId="1">#REF!</definedName>
    <definedName name="_TBI603">#REF!</definedName>
    <definedName name="_TBI604" localSheetId="3">#REF!</definedName>
    <definedName name="_TBI604" localSheetId="1">#REF!</definedName>
    <definedName name="_TBI604">#REF!</definedName>
    <definedName name="_TBI605" localSheetId="3">#REF!</definedName>
    <definedName name="_TBI605" localSheetId="1">#REF!</definedName>
    <definedName name="_TBI605">#REF!</definedName>
    <definedName name="_TBI606" localSheetId="3">#REF!</definedName>
    <definedName name="_TBI606" localSheetId="1">#REF!</definedName>
    <definedName name="_TBI606">#REF!</definedName>
    <definedName name="_TBI607" localSheetId="3">#REF!</definedName>
    <definedName name="_TBI607" localSheetId="1">#REF!</definedName>
    <definedName name="_TBI607">#REF!</definedName>
    <definedName name="_TBI608" localSheetId="3">#REF!</definedName>
    <definedName name="_TBI608" localSheetId="1">#REF!</definedName>
    <definedName name="_TBI608">#REF!</definedName>
    <definedName name="_TBI609" localSheetId="3">#REF!</definedName>
    <definedName name="_TBI609" localSheetId="1">#REF!</definedName>
    <definedName name="_TBI609">#REF!</definedName>
    <definedName name="_TBI610" localSheetId="3">#REF!</definedName>
    <definedName name="_TBI610" localSheetId="1">#REF!</definedName>
    <definedName name="_TBI610">#REF!</definedName>
    <definedName name="_TBI611" localSheetId="3">#REF!</definedName>
    <definedName name="_TBI611" localSheetId="1">#REF!</definedName>
    <definedName name="_TBI611">#REF!</definedName>
    <definedName name="_TBI612" localSheetId="3">#REF!</definedName>
    <definedName name="_TBI612" localSheetId="1">#REF!</definedName>
    <definedName name="_TBI612">#REF!</definedName>
    <definedName name="_TBI613" localSheetId="3">#REF!</definedName>
    <definedName name="_TBI613" localSheetId="1">#REF!</definedName>
    <definedName name="_TBI613">#REF!</definedName>
    <definedName name="_TBI614" localSheetId="3">#REF!</definedName>
    <definedName name="_TBI614" localSheetId="1">#REF!</definedName>
    <definedName name="_TBI614">#REF!</definedName>
    <definedName name="_TBI701" localSheetId="3">#REF!</definedName>
    <definedName name="_TBI701" localSheetId="1">#REF!</definedName>
    <definedName name="_TBI701">#REF!</definedName>
    <definedName name="_TBI702" localSheetId="3">#REF!</definedName>
    <definedName name="_TBI702" localSheetId="1">#REF!</definedName>
    <definedName name="_TBI702">#REF!</definedName>
    <definedName name="_TBI703" localSheetId="3">#REF!</definedName>
    <definedName name="_TBI703" localSheetId="1">#REF!</definedName>
    <definedName name="_TBI703">#REF!</definedName>
    <definedName name="_TBI704" localSheetId="3">#REF!</definedName>
    <definedName name="_TBI704" localSheetId="1">#REF!</definedName>
    <definedName name="_TBI704">#REF!</definedName>
    <definedName name="_TBI705" localSheetId="3">#REF!</definedName>
    <definedName name="_TBI705" localSheetId="1">#REF!</definedName>
    <definedName name="_TBI705">#REF!</definedName>
    <definedName name="_TBI706" localSheetId="3">#REF!</definedName>
    <definedName name="_TBI706" localSheetId="1">#REF!</definedName>
    <definedName name="_TBI706">#REF!</definedName>
    <definedName name="_TBI707" localSheetId="3">#REF!</definedName>
    <definedName name="_TBI707" localSheetId="1">#REF!</definedName>
    <definedName name="_TBI707">#REF!</definedName>
    <definedName name="_TBI708" localSheetId="3">#REF!</definedName>
    <definedName name="_TBI708" localSheetId="1">#REF!</definedName>
    <definedName name="_TBI708">#REF!</definedName>
    <definedName name="_TBI709" localSheetId="3">#REF!</definedName>
    <definedName name="_TBI709" localSheetId="1">#REF!</definedName>
    <definedName name="_TBI709">#REF!</definedName>
    <definedName name="_TBI710" localSheetId="3">#REF!</definedName>
    <definedName name="_TBI710" localSheetId="1">#REF!</definedName>
    <definedName name="_TBI710">#REF!</definedName>
    <definedName name="_TBI711" localSheetId="3">#REF!</definedName>
    <definedName name="_TBI711" localSheetId="1">#REF!</definedName>
    <definedName name="_TBI711">#REF!</definedName>
    <definedName name="_TBI712" localSheetId="3">#REF!</definedName>
    <definedName name="_TBI712" localSheetId="1">#REF!</definedName>
    <definedName name="_TBI712">#REF!</definedName>
    <definedName name="_TBI713" localSheetId="3">#REF!</definedName>
    <definedName name="_TBI713" localSheetId="1">#REF!</definedName>
    <definedName name="_TBI713">#REF!</definedName>
    <definedName name="_TBI714" localSheetId="3">#REF!</definedName>
    <definedName name="_TBI714" localSheetId="1">#REF!</definedName>
    <definedName name="_TBI714">#REF!</definedName>
    <definedName name="_TBI715" localSheetId="3">#REF!</definedName>
    <definedName name="_TBI715" localSheetId="1">#REF!</definedName>
    <definedName name="_TBI715">#REF!</definedName>
    <definedName name="_TBI716" localSheetId="3">#REF!</definedName>
    <definedName name="_TBI716" localSheetId="1">#REF!</definedName>
    <definedName name="_TBI716">#REF!</definedName>
    <definedName name="_TBI717" localSheetId="3">#REF!</definedName>
    <definedName name="_TBI717" localSheetId="1">#REF!</definedName>
    <definedName name="_TBI717">#REF!</definedName>
    <definedName name="_TBI718" localSheetId="3">#REF!</definedName>
    <definedName name="_TBI718" localSheetId="1">#REF!</definedName>
    <definedName name="_TBI718">#REF!</definedName>
    <definedName name="_TBI719" localSheetId="3">#REF!</definedName>
    <definedName name="_TBI719" localSheetId="1">#REF!</definedName>
    <definedName name="_TBI719">#REF!</definedName>
    <definedName name="_TBI901" localSheetId="3">#REF!</definedName>
    <definedName name="_TBI901" localSheetId="1">#REF!</definedName>
    <definedName name="_TBI901">#REF!</definedName>
    <definedName name="_TBI902" localSheetId="3">#REF!</definedName>
    <definedName name="_TBI902" localSheetId="1">#REF!</definedName>
    <definedName name="_TBI902">#REF!</definedName>
    <definedName name="_TBI903" localSheetId="3">#REF!</definedName>
    <definedName name="_TBI903" localSheetId="1">#REF!</definedName>
    <definedName name="_TBI903">#REF!</definedName>
    <definedName name="_TBI904" localSheetId="3">#REF!</definedName>
    <definedName name="_TBI904" localSheetId="1">#REF!</definedName>
    <definedName name="_TBI904">#REF!</definedName>
    <definedName name="_TBI905" localSheetId="3">#REF!</definedName>
    <definedName name="_TBI905" localSheetId="1">#REF!</definedName>
    <definedName name="_TBI905">#REF!</definedName>
    <definedName name="_TBI906" localSheetId="3">#REF!</definedName>
    <definedName name="_TBI906" localSheetId="1">#REF!</definedName>
    <definedName name="_TBI906">#REF!</definedName>
    <definedName name="_TBI907" localSheetId="3">#REF!</definedName>
    <definedName name="_TBI907" localSheetId="1">#REF!</definedName>
    <definedName name="_TBI907">#REF!</definedName>
    <definedName name="_tea_tined_chambray" localSheetId="5">#REF!</definedName>
    <definedName name="_tea_tined_chambray" localSheetId="4">#REF!</definedName>
    <definedName name="_tea_tined_chambray" localSheetId="3">#REF!</definedName>
    <definedName name="_tea_tined_chambray" localSheetId="1">#REF!</definedName>
    <definedName name="_tea_tined_chambray">#REF!</definedName>
    <definedName name="_TRT11" localSheetId="5" hidden="1">{#N/A,#N/A,FALSE,"표지";#N/A,#N/A,FALSE,"전제";#N/A,#N/A,FALSE,"손익-자 (2)";#N/A,#N/A,FALSE,"손익-자";#N/A,#N/A,FALSE,"손익-마 (2)";#N/A,#N/A,FALSE,"손익-마";#N/A,#N/A,FALSE,"총손최종"}</definedName>
    <definedName name="_TRT11" localSheetId="4" hidden="1">{#N/A,#N/A,FALSE,"표지";#N/A,#N/A,FALSE,"전제";#N/A,#N/A,FALSE,"손익-자 (2)";#N/A,#N/A,FALSE,"손익-자";#N/A,#N/A,FALSE,"손익-마 (2)";#N/A,#N/A,FALSE,"손익-마";#N/A,#N/A,FALSE,"총손최종"}</definedName>
    <definedName name="_TRT11" localSheetId="3" hidden="1">{#N/A,#N/A,FALSE,"표지";#N/A,#N/A,FALSE,"전제";#N/A,#N/A,FALSE,"손익-자 (2)";#N/A,#N/A,FALSE,"손익-자";#N/A,#N/A,FALSE,"손익-마 (2)";#N/A,#N/A,FALSE,"손익-마";#N/A,#N/A,FALSE,"총손최종"}</definedName>
    <definedName name="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 localSheetId="5">#REF!</definedName>
    <definedName name="_TXD1" localSheetId="4">#REF!</definedName>
    <definedName name="_TXD1" localSheetId="3">#REF!</definedName>
    <definedName name="_TXD1" localSheetId="1">#REF!</definedName>
    <definedName name="_TXD1">#REF!</definedName>
    <definedName name="_uncut_cord" localSheetId="5">#REF!</definedName>
    <definedName name="_uncut_cord" localSheetId="4">#REF!</definedName>
    <definedName name="_uncut_cord" localSheetId="3">#REF!</definedName>
    <definedName name="_uncut_cord" localSheetId="1">#REF!</definedName>
    <definedName name="_uncut_cord">#REF!</definedName>
    <definedName name="_VOC2" hidden="1">255</definedName>
    <definedName name="_wide_wale_cord" localSheetId="5">#REF!</definedName>
    <definedName name="_wide_wale_cord" localSheetId="4">#REF!</definedName>
    <definedName name="_wide_wale_cord" localSheetId="3">#REF!</definedName>
    <definedName name="_wide_wale_cord" localSheetId="1">#REF!</definedName>
    <definedName name="_wide_wale_cord">#REF!</definedName>
    <definedName name="_wool_blend_skirt" localSheetId="5">#REF!</definedName>
    <definedName name="_wool_blend_skirt" localSheetId="4">#REF!</definedName>
    <definedName name="_wool_blend_skirt" localSheetId="3">#REF!</definedName>
    <definedName name="_wool_blend_skirt" localSheetId="1">#REF!</definedName>
    <definedName name="_wool_blend_skirt">#REF!</definedName>
    <definedName name="_wool_coating___solid" localSheetId="5">#REF!</definedName>
    <definedName name="_wool_coating___solid" localSheetId="4">#REF!</definedName>
    <definedName name="_wool_coating___solid" localSheetId="3">#REF!</definedName>
    <definedName name="_wool_coating___solid" localSheetId="1">#REF!</definedName>
    <definedName name="_wool_coating___solid">#REF!</definedName>
    <definedName name="_wpl2" localSheetId="5" hidden="1">{#N/A,#N/A,FALSE,"Aging Summary";#N/A,#N/A,FALSE,"Ratio Analysis";#N/A,#N/A,FALSE,"Test 120 Day Accts";#N/A,#N/A,FALSE,"Tickmarks"}</definedName>
    <definedName name="_wpl2" localSheetId="4" hidden="1">{#N/A,#N/A,FALSE,"Aging Summary";#N/A,#N/A,FALSE,"Ratio Analysis";#N/A,#N/A,FALSE,"Test 120 Day Accts";#N/A,#N/A,FALSE,"Tickmarks"}</definedName>
    <definedName name="_wpl2" localSheetId="3" hidden="1">{#N/A,#N/A,FALSE,"Aging Summary";#N/A,#N/A,FALSE,"Ratio Analysis";#N/A,#N/A,FALSE,"Test 120 Day Accts";#N/A,#N/A,FALSE,"Tickmarks"}</definedName>
    <definedName name="_wpl2" localSheetId="1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y_d_wool_twill_coating" localSheetId="5">#REF!</definedName>
    <definedName name="_y_d_wool_twill_coating" localSheetId="4">#REF!</definedName>
    <definedName name="_y_d_wool_twill_coating" localSheetId="3">#REF!</definedName>
    <definedName name="_y_d_wool_twill_coating" localSheetId="1">#REF!</definedName>
    <definedName name="_y_d_wool_twill_coating">#REF!</definedName>
    <definedName name="_y_dye_cording_multi_stripe" localSheetId="5">#REF!</definedName>
    <definedName name="_y_dye_cording_multi_stripe" localSheetId="4">#REF!</definedName>
    <definedName name="_y_dye_cording_multi_stripe" localSheetId="3">#REF!</definedName>
    <definedName name="_y_dye_cording_multi_stripe" localSheetId="1">#REF!</definedName>
    <definedName name="_y_dye_cording_multi_stripe">#REF!</definedName>
    <definedName name="_YEAR" localSheetId="3">#REF!</definedName>
    <definedName name="_YEAR" localSheetId="1">#REF!</definedName>
    <definedName name="_YEAR">#REF!</definedName>
    <definedName name="_z123" localSheetId="3">#REF!</definedName>
    <definedName name="_z123" localSheetId="1">#REF!</definedName>
    <definedName name="_z123">#REF!</definedName>
    <definedName name="_ZZ16384" localSheetId="3">#REF!</definedName>
    <definedName name="_ZZ16384" localSheetId="1">#REF!</definedName>
    <definedName name="_ZZ16384">#REF!</definedName>
    <definedName name="_첨부" localSheetId="3">#REF!</definedName>
    <definedName name="_첨부" localSheetId="1">#REF!</definedName>
    <definedName name="_첨부">#REF!</definedName>
    <definedName name="´cAE°eE¹" localSheetId="3" hidden="1">#REF!</definedName>
    <definedName name="´cAE°eE¹" localSheetId="1" hidden="1">#REF!</definedName>
    <definedName name="´cAE°eE¹" hidden="1">#REF!</definedName>
    <definedName name="￠￥cAE¡ÆeEⓒo" localSheetId="3" hidden="1">#REF!</definedName>
    <definedName name="￠￥cAE¡ÆeEⓒo" localSheetId="1" hidden="1">#REF!</definedName>
    <definedName name="￠￥cAE¡ÆeEⓒo" hidden="1">#REF!</definedName>
    <definedName name="¤A¤A" localSheetId="3">#REF!</definedName>
    <definedName name="¤A¤A" localSheetId="1">#REF!</definedName>
    <definedName name="¤A¤A">#REF!</definedName>
    <definedName name="¤μ¤μ" localSheetId="3">#REF!</definedName>
    <definedName name="¤μ¤μ" localSheetId="1">#REF!</definedName>
    <definedName name="¤μ¤μ">#REF!</definedName>
    <definedName name="￥" localSheetId="5">#REF!</definedName>
    <definedName name="￥" localSheetId="4">#REF!</definedName>
    <definedName name="￥" localSheetId="3">#REF!</definedName>
    <definedName name="￥" localSheetId="1">#REF!</definedName>
    <definedName name="￥">#REF!</definedName>
    <definedName name="\" localSheetId="3">#REF!</definedName>
    <definedName name="\" localSheetId="1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 localSheetId="5">#REF!</definedName>
    <definedName name="\c" localSheetId="4">#REF!</definedName>
    <definedName name="\c" localSheetId="3">#REF!</definedName>
    <definedName name="\c" localSheetId="1">#REF!</definedName>
    <definedName name="\c">#REF!</definedName>
    <definedName name="\d" localSheetId="3">#REF!</definedName>
    <definedName name="\d" localSheetId="1">#REF!</definedName>
    <definedName name="\d">#REF!</definedName>
    <definedName name="\E" localSheetId="3">#REF!</definedName>
    <definedName name="\E" localSheetId="1">#REF!</definedName>
    <definedName name="\E">#REF!</definedName>
    <definedName name="\f">#N/A</definedName>
    <definedName name="\g" localSheetId="5">#REF!</definedName>
    <definedName name="\g" localSheetId="4">#REF!</definedName>
    <definedName name="\g" localSheetId="3">#REF!</definedName>
    <definedName name="\g" localSheetId="1">#REF!</definedName>
    <definedName name="\g">#REF!</definedName>
    <definedName name="\h" localSheetId="3">#REF!</definedName>
    <definedName name="\h" localSheetId="1">#REF!</definedName>
    <definedName name="\h">#REF!</definedName>
    <definedName name="\i">#N/A</definedName>
    <definedName name="\j">#N/A</definedName>
    <definedName name="\k">#N/A</definedName>
    <definedName name="\L" localSheetId="5">#REF!</definedName>
    <definedName name="\L" localSheetId="4">#REF!</definedName>
    <definedName name="\L" localSheetId="3">#REF!</definedName>
    <definedName name="\L" localSheetId="1">#REF!</definedName>
    <definedName name="\L">#REF!</definedName>
    <definedName name="\m">#N/A</definedName>
    <definedName name="\n" localSheetId="5">#REF!</definedName>
    <definedName name="\n" localSheetId="4">#REF!</definedName>
    <definedName name="\n" localSheetId="3">#REF!</definedName>
    <definedName name="\n" localSheetId="1">#REF!</definedName>
    <definedName name="\n">#REF!</definedName>
    <definedName name="\o">#N/A</definedName>
    <definedName name="\P" localSheetId="5">#REF!</definedName>
    <definedName name="\P" localSheetId="4">#REF!</definedName>
    <definedName name="\P" localSheetId="3">#REF!</definedName>
    <definedName name="\P" localSheetId="1">#REF!</definedName>
    <definedName name="\P">#REF!</definedName>
    <definedName name="\q" localSheetId="3">#REF!</definedName>
    <definedName name="\q" localSheetId="1">#REF!</definedName>
    <definedName name="\q">#REF!</definedName>
    <definedName name="\r" localSheetId="3">#REF!</definedName>
    <definedName name="\r" localSheetId="1">#REF!</definedName>
    <definedName name="\r">#REF!</definedName>
    <definedName name="\S" localSheetId="3">#REF!</definedName>
    <definedName name="\S" localSheetId="1">#REF!</definedName>
    <definedName name="\S">#REF!</definedName>
    <definedName name="\t">#N/A</definedName>
    <definedName name="\u" localSheetId="5">#REF!</definedName>
    <definedName name="\u" localSheetId="4">#REF!</definedName>
    <definedName name="\u" localSheetId="3">#REF!</definedName>
    <definedName name="\u" localSheetId="1">#REF!</definedName>
    <definedName name="\u">#REF!</definedName>
    <definedName name="\v">#N/A</definedName>
    <definedName name="\W" localSheetId="5">#REF!</definedName>
    <definedName name="\W" localSheetId="4">#REF!</definedName>
    <definedName name="\W" localSheetId="3">#REF!</definedName>
    <definedName name="\W" localSheetId="1">#REF!</definedName>
    <definedName name="\W">#REF!</definedName>
    <definedName name="\X" localSheetId="3">#REF!</definedName>
    <definedName name="\X" localSheetId="1">#REF!</definedName>
    <definedName name="\X">#REF!</definedName>
    <definedName name="\Y" localSheetId="3">#REF!</definedName>
    <definedName name="\Y" localSheetId="1">#REF!</definedName>
    <definedName name="\Y">#REF!</definedName>
    <definedName name="\z" localSheetId="3">#REF!</definedName>
    <definedName name="\z" localSheetId="1">#REF!</definedName>
    <definedName name="\z">#REF!</definedName>
    <definedName name="√">"SQRT"</definedName>
    <definedName name="●_기존_체계" localSheetId="5">#REF!</definedName>
    <definedName name="●_기존_체계" localSheetId="4">#REF!</definedName>
    <definedName name="●_기존_체계" localSheetId="3">#REF!</definedName>
    <definedName name="●_기존_체계" localSheetId="1">#REF!</definedName>
    <definedName name="●_기존_체계">#REF!</definedName>
    <definedName name="●_판매관리비_및_영업이익_2002년" localSheetId="5">#REF!</definedName>
    <definedName name="●_판매관리비_및_영업이익_2002년" localSheetId="4">#REF!</definedName>
    <definedName name="●_판매관리비_및_영업이익_2002년" localSheetId="3">#REF!</definedName>
    <definedName name="●_판매관리비_및_영업이익_2002년" localSheetId="1">#REF!</definedName>
    <definedName name="●_판매관리비_및_영업이익_2002년">#REF!</definedName>
    <definedName name="↑" localSheetId="3">#REF!</definedName>
    <definedName name="↑" localSheetId="1">#REF!</definedName>
    <definedName name="↑">#REF!</definedName>
    <definedName name="°a°u" localSheetId="3">#REF!</definedName>
    <definedName name="°a°u" localSheetId="1">#REF!</definedName>
    <definedName name="°a°u">#REF!</definedName>
    <definedName name="※_BGA_직접재료비_변동추이" localSheetId="3">#REF!</definedName>
    <definedName name="※_BGA_직접재료비_변동추이" localSheetId="1">#REF!</definedName>
    <definedName name="※_BGA_직접재료비_변동추이">#REF!</definedName>
    <definedName name="※_추후_NAVA__PROJECT는__부품_" localSheetId="3">#REF!</definedName>
    <definedName name="※_추후_NAVA__PROJECT는__부품_" localSheetId="1">#REF!</definedName>
    <definedName name="※_추후_NAVA__PROJECT는__부품_">#REF!</definedName>
    <definedName name="¹ß" localSheetId="3">#REF!</definedName>
    <definedName name="¹ß" localSheetId="1">#REF!</definedName>
    <definedName name="¹ß">#REF!</definedName>
    <definedName name="¹Uº¸" localSheetId="3">#REF!</definedName>
    <definedName name="¹Uº¸" localSheetId="1">#REF!</definedName>
    <definedName name="¹Uº¸">#REF!</definedName>
    <definedName name="³²¼R" localSheetId="3">#REF!</definedName>
    <definedName name="³²¼R" localSheetId="1">#REF!</definedName>
    <definedName name="³²¼R">#REF!</definedName>
    <definedName name="A" localSheetId="3">#REF!</definedName>
    <definedName name="A" localSheetId="1">#REF!</definedName>
    <definedName name="A">#REF!</definedName>
    <definedName name="a_1" localSheetId="5" hidden="1">{"MonthlyRentRoll",#N/A,FALSE,"RentRoll"}</definedName>
    <definedName name="a_1" localSheetId="4" hidden="1">{"MonthlyRentRoll",#N/A,FALSE,"RentRoll"}</definedName>
    <definedName name="a_1" localSheetId="3" hidden="1">{"MonthlyRentRoll",#N/A,FALSE,"RentRoll"}</definedName>
    <definedName name="a_1" localSheetId="1" hidden="1">{"MonthlyRentRoll",#N/A,FALSE,"RentRoll"}</definedName>
    <definedName name="a_1" hidden="1">{"MonthlyRentRoll",#N/A,FALSE,"RentRoll"}</definedName>
    <definedName name="A_123" localSheetId="5">#REF!,#REF!,#REF!</definedName>
    <definedName name="A_123" localSheetId="4">#REF!,#REF!,#REF!</definedName>
    <definedName name="A_123" localSheetId="3">#REF!,#REF!,#REF!</definedName>
    <definedName name="A_123" localSheetId="1">#REF!,#REF!,#REF!</definedName>
    <definedName name="A_123">#REF!,#REF!,#REF!</definedName>
    <definedName name="a_123_error_10" localSheetId="5">#REF!</definedName>
    <definedName name="a_123_error_10" localSheetId="4">#REF!</definedName>
    <definedName name="a_123_error_10" localSheetId="3">#REF!</definedName>
    <definedName name="a_123_error_10" localSheetId="1">#REF!</definedName>
    <definedName name="a_123_error_10">#REF!</definedName>
    <definedName name="a_123_error_2" localSheetId="3">#REF!</definedName>
    <definedName name="a_123_error_2" localSheetId="1">#REF!</definedName>
    <definedName name="a_123_error_2">#REF!</definedName>
    <definedName name="a_123_error_4" localSheetId="5">#REF!,#REF!,#REF!,#REF!</definedName>
    <definedName name="a_123_error_4" localSheetId="4">#REF!,#REF!,#REF!,#REF!</definedName>
    <definedName name="a_123_error_4" localSheetId="3">#REF!,#REF!,#REF!,#REF!</definedName>
    <definedName name="a_123_error_4" localSheetId="1">#REF!,#REF!,#REF!,#REF!</definedName>
    <definedName name="a_123_error_4">#REF!,#REF!,#REF!,#REF!</definedName>
    <definedName name="a_123_error_5" localSheetId="5">#REF!</definedName>
    <definedName name="a_123_error_5" localSheetId="4">#REF!</definedName>
    <definedName name="a_123_error_5" localSheetId="3">#REF!</definedName>
    <definedName name="a_123_error_5" localSheetId="1">#REF!</definedName>
    <definedName name="a_123_error_5">#REF!</definedName>
    <definedName name="a_123_error_7" localSheetId="3">#REF!</definedName>
    <definedName name="a_123_error_7" localSheetId="1">#REF!</definedName>
    <definedName name="a_123_error_7">#REF!</definedName>
    <definedName name="a_123_error_8" localSheetId="3">#REF!</definedName>
    <definedName name="a_123_error_8" localSheetId="1">#REF!</definedName>
    <definedName name="a_123_error_8">#REF!</definedName>
    <definedName name="a_123_error_9" localSheetId="3">#REF!</definedName>
    <definedName name="a_123_error_9" localSheetId="1">#REF!</definedName>
    <definedName name="a_123_error_9">#REF!</definedName>
    <definedName name="A_I" localSheetId="5">#REF!</definedName>
    <definedName name="A_I" localSheetId="4">#REF!</definedName>
    <definedName name="A_I" localSheetId="3">#REF!</definedName>
    <definedName name="A_I" localSheetId="1">#REF!</definedName>
    <definedName name="A_I">#REF!</definedName>
    <definedName name="A_I1" localSheetId="5">#REF!</definedName>
    <definedName name="A_I1" localSheetId="4">#REF!</definedName>
    <definedName name="A_I1" localSheetId="3">#REF!</definedName>
    <definedName name="A_I1" localSheetId="1">#REF!</definedName>
    <definedName name="A_I1">#REF!</definedName>
    <definedName name="A_I2" localSheetId="5">#REF!</definedName>
    <definedName name="A_I2" localSheetId="4">#REF!</definedName>
    <definedName name="A_I2" localSheetId="3">#REF!</definedName>
    <definedName name="A_I2" localSheetId="1">#REF!</definedName>
    <definedName name="A_I2">#REF!</definedName>
    <definedName name="A_P" localSheetId="5">#REF!</definedName>
    <definedName name="A_P" localSheetId="4">#REF!</definedName>
    <definedName name="A_P" localSheetId="3">#REF!</definedName>
    <definedName name="A_P" localSheetId="1">#REF!</definedName>
    <definedName name="A_P">#REF!</definedName>
    <definedName name="a_z_error_1" localSheetId="5">#REF!,#REF!,#REF!,#REF!,#REF!,#REF!</definedName>
    <definedName name="a_z_error_1" localSheetId="4">#REF!,#REF!,#REF!,#REF!,#REF!,#REF!</definedName>
    <definedName name="a_z_error_1" localSheetId="3">#REF!,#REF!,#REF!,#REF!,#REF!,#REF!</definedName>
    <definedName name="a_z_error_1" localSheetId="1">#REF!,#REF!,#REF!,#REF!,#REF!,#REF!</definedName>
    <definedName name="a_z_error_1">#REF!,#REF!,#REF!,#REF!,#REF!,#REF!</definedName>
    <definedName name="a_z_error_10" localSheetId="3">#REF!,#REF!,#REF!,#REF!,#REF!,#REF!</definedName>
    <definedName name="a_z_error_10" localSheetId="1">#REF!,#REF!,#REF!,#REF!,#REF!,#REF!</definedName>
    <definedName name="a_z_error_10">#REF!,#REF!,#REF!,#REF!,#REF!,#REF!</definedName>
    <definedName name="a_z_error_2" localSheetId="5">#REF!</definedName>
    <definedName name="a_z_error_2" localSheetId="4">#REF!</definedName>
    <definedName name="a_z_error_2" localSheetId="3">#REF!</definedName>
    <definedName name="a_z_error_2" localSheetId="1">#REF!</definedName>
    <definedName name="a_z_error_2">#REF!</definedName>
    <definedName name="a_z_error_5" localSheetId="5">#REF!,#REF!,#REF!,#REF!,#REF!,#REF!,#REF!,#REF!,#REF!,#REF!,#REF!,#REF!,#REF!,#REF!,#REF!,#REF!,#REF!,#REF!,#REF!,#REF!,#REF!,#REF!,#REF!,#REF!,#REF!,#REF!,#REF!,#REF!,#REF!,#REF!,#REF!,#REF!,#REF!</definedName>
    <definedName name="a_z_error_5" localSheetId="4">#REF!,#REF!,#REF!,#REF!,#REF!,#REF!,#REF!,#REF!,#REF!,#REF!,#REF!,#REF!,#REF!,#REF!,#REF!,#REF!,#REF!,#REF!,#REF!,#REF!,#REF!,#REF!,#REF!,#REF!,#REF!,#REF!,#REF!,#REF!,#REF!,#REF!,#REF!,#REF!,#REF!</definedName>
    <definedName name="a_z_error_5" localSheetId="3">#REF!,#REF!,#REF!,#REF!,#REF!,#REF!,#REF!,#REF!,#REF!,#REF!,#REF!,#REF!,#REF!,#REF!,#REF!,#REF!,#REF!,#REF!,#REF!,#REF!,#REF!,#REF!,#REF!,#REF!,#REF!,#REF!,#REF!,#REF!,#REF!,#REF!,#REF!,#REF!,#REF!</definedName>
    <definedName name="a_z_error_5" localSheetId="1">#REF!,#REF!,#REF!,#REF!,#REF!,#REF!,#REF!,#REF!,#REF!,#REF!,#REF!,#REF!,#REF!,#REF!,#REF!,#REF!,#REF!,#REF!,#REF!,#REF!,#REF!,#REF!,#REF!,#REF!,#REF!,#REF!,#REF!,#REF!,#REF!,#REF!,#REF!,#REF!,#REF!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 localSheetId="5">#REF!</definedName>
    <definedName name="a_z_error_7" localSheetId="4">#REF!</definedName>
    <definedName name="a_z_error_7" localSheetId="3">#REF!</definedName>
    <definedName name="a_z_error_7" localSheetId="1">#REF!</definedName>
    <definedName name="a_z_error_7">#REF!</definedName>
    <definedName name="a_z_error_8" localSheetId="3">#REF!</definedName>
    <definedName name="a_z_error_8" localSheetId="1">#REF!</definedName>
    <definedName name="a_z_error_8">#REF!</definedName>
    <definedName name="a_z_error_9" localSheetId="5">#REF!,#REF!,#REF!,#REF!,#REF!,#REF!</definedName>
    <definedName name="a_z_error_9" localSheetId="4">#REF!,#REF!,#REF!,#REF!,#REF!,#REF!</definedName>
    <definedName name="a_z_error_9" localSheetId="3">#REF!,#REF!,#REF!,#REF!,#REF!,#REF!</definedName>
    <definedName name="a_z_error_9" localSheetId="1">#REF!,#REF!,#REF!,#REF!,#REF!,#REF!</definedName>
    <definedName name="a_z_error_9">#REF!,#REF!,#REF!,#REF!,#REF!,#REF!</definedName>
    <definedName name="A¶E¸AOE­¸e" localSheetId="5">#REF!</definedName>
    <definedName name="A¶E¸AOE­¸e" localSheetId="4">#REF!</definedName>
    <definedName name="A¶E¸AOE­¸e" localSheetId="3">#REF!</definedName>
    <definedName name="A¶E¸AOE­¸e" localSheetId="1">#REF!</definedName>
    <definedName name="A¶E¸AOE­¸e">#REF!</definedName>
    <definedName name="A1_00근거" localSheetId="5" hidden="1">{#N/A,#N/A,FALSE,"단축1";#N/A,#N/A,FALSE,"단축2";#N/A,#N/A,FALSE,"단축3";#N/A,#N/A,FALSE,"장축";#N/A,#N/A,FALSE,"4WD"}</definedName>
    <definedName name="A1_00근거" localSheetId="4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_" localSheetId="5">#REF!</definedName>
    <definedName name="a2_" localSheetId="4">#REF!</definedName>
    <definedName name="a2_" localSheetId="3">#REF!</definedName>
    <definedName name="a2_" localSheetId="1">#REF!</definedName>
    <definedName name="a2_">#REF!</definedName>
    <definedName name="AA" localSheetId="5">#REF!</definedName>
    <definedName name="AA" localSheetId="4">#REF!</definedName>
    <definedName name="AA" localSheetId="3">#REF!</definedName>
    <definedName name="AA" localSheetId="1">#REF!</definedName>
    <definedName name="AA">#REF!</definedName>
    <definedName name="AAA" localSheetId="3">#REF!</definedName>
    <definedName name="AAA" localSheetId="1">#REF!</definedName>
    <definedName name="AAA">#REF!</definedName>
    <definedName name="aaa_1" localSheetId="5" hidden="1">{"MonthlyRentRoll",#N/A,FALSE,"RentRoll"}</definedName>
    <definedName name="aaa_1" localSheetId="4" hidden="1">{"MonthlyRentRoll",#N/A,FALSE,"RentRoll"}</definedName>
    <definedName name="aaa_1" localSheetId="3" hidden="1">{"MonthlyRentRoll",#N/A,FALSE,"RentRoll"}</definedName>
    <definedName name="aaa_1" localSheetId="1" hidden="1">{"MonthlyRentRoll",#N/A,FALSE,"RentRoll"}</definedName>
    <definedName name="aaa_1" hidden="1">{"MonthlyRentRoll",#N/A,FALSE,"RentRoll"}</definedName>
    <definedName name="AAA_DOCTOPS" hidden="1">"AAA_SET"</definedName>
    <definedName name="AAA_duser" hidden="1">"OFF"</definedName>
    <definedName name="AAAA" localSheetId="5" hidden="1">{#N/A,#N/A,FALSE,"단축1";#N/A,#N/A,FALSE,"단축2";#N/A,#N/A,FALSE,"단축3";#N/A,#N/A,FALSE,"장축";#N/A,#N/A,FALSE,"4WD"}</definedName>
    <definedName name="AAAA" localSheetId="4" hidden="1">{#N/A,#N/A,FALSE,"단축1";#N/A,#N/A,FALSE,"단축2";#N/A,#N/A,FALSE,"단축3";#N/A,#N/A,FALSE,"장축";#N/A,#N/A,FALSE,"4WD"}</definedName>
    <definedName name="AAAA" localSheetId="3" hidden="1">{#N/A,#N/A,FALSE,"단축1";#N/A,#N/A,FALSE,"단축2";#N/A,#N/A,FALSE,"단축3";#N/A,#N/A,FALSE,"장축";#N/A,#N/A,FALSE,"4WD"}</definedName>
    <definedName name="AAAA" localSheetId="1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" localSheetId="5">#REF!</definedName>
    <definedName name="AAAAA" localSheetId="4">#REF!</definedName>
    <definedName name="AAAAA" localSheetId="3">#REF!</definedName>
    <definedName name="AAAAA" localSheetId="1">#REF!</definedName>
    <definedName name="AAAAA">#REF!</definedName>
    <definedName name="aaaaa_1" localSheetId="5" hidden="1">{"p",#N/A,FALSE,"Sheet1";"p 2",#N/A,FALSE,"Sheet1";"p 3",#N/A,FALSE,"Sheet1"}</definedName>
    <definedName name="aaaaa_1" localSheetId="4" hidden="1">{"p",#N/A,FALSE,"Sheet1";"p 2",#N/A,FALSE,"Sheet1";"p 3",#N/A,FALSE,"Sheet1"}</definedName>
    <definedName name="aaaaa_1" localSheetId="3" hidden="1">{"p",#N/A,FALSE,"Sheet1";"p 2",#N/A,FALSE,"Sheet1";"p 3",#N/A,FALSE,"Sheet1"}</definedName>
    <definedName name="aaaaa_1" localSheetId="1" hidden="1">{"p",#N/A,FALSE,"Sheet1";"p 2",#N/A,FALSE,"Sheet1";"p 3",#N/A,FALSE,"Sheet1"}</definedName>
    <definedName name="aaaaa_1" hidden="1">{"p",#N/A,FALSE,"Sheet1";"p 2",#N/A,FALSE,"Sheet1";"p 3",#N/A,FALSE,"Sheet1"}</definedName>
    <definedName name="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localSheetId="5">#REF!</definedName>
    <definedName name="aaaaaaa" localSheetId="4">#REF!</definedName>
    <definedName name="aaaaaaa" localSheetId="3">#REF!</definedName>
    <definedName name="aaaaaaa" localSheetId="1">#REF!</definedName>
    <definedName name="aaaaaaa">#REF!</definedName>
    <definedName name="AAAAAAAA" localSheetId="5">#REF!</definedName>
    <definedName name="AAAAAAAA" localSheetId="4">#REF!</definedName>
    <definedName name="AAAAAAAA" localSheetId="3">#REF!</definedName>
    <definedName name="AAAAAAAA" localSheetId="1">#REF!</definedName>
    <definedName name="AAAAAAAA">#REF!</definedName>
    <definedName name="AAAAAAAAAA" localSheetId="5">#REF!</definedName>
    <definedName name="AAAAAAAAAA" localSheetId="4">#REF!</definedName>
    <definedName name="AAAAAAAAAA" localSheetId="3">#REF!</definedName>
    <definedName name="AAAAAAAAAA" localSheetId="1">#REF!</definedName>
    <definedName name="AAAAAAAAAA">#REF!</definedName>
    <definedName name="aaaaaaaaaaa" localSheetId="5" hidden="1">{#N/A,#N/A,FALSE,"Aging Summary";#N/A,#N/A,FALSE,"Ratio Analysis";#N/A,#N/A,FALSE,"Test 120 Day Accts";#N/A,#N/A,FALSE,"Tickmarks"}</definedName>
    <definedName name="aaaaaaaaaaa" localSheetId="4" hidden="1">{#N/A,#N/A,FALSE,"Aging Summary";#N/A,#N/A,FALSE,"Ratio Analysis";#N/A,#N/A,FALSE,"Test 120 Day Accts";#N/A,#N/A,FALSE,"Tickmarks"}</definedName>
    <definedName name="aaaaaaaaaaa" localSheetId="3" hidden="1">{#N/A,#N/A,FALSE,"Aging Summary";#N/A,#N/A,FALSE,"Ratio Analysis";#N/A,#N/A,FALSE,"Test 120 Day Accts";#N/A,#N/A,FALSE,"Tickmarks"}</definedName>
    <definedName name="aaaaaaaaaaa" localSheetId="1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" localSheetId="5" hidden="1">{#N/A,#N/A,FALSE,"Aging Summary";#N/A,#N/A,FALSE,"Ratio Analysis";#N/A,#N/A,FALSE,"Test 120 Day Accts";#N/A,#N/A,FALSE,"Tickmarks"}</definedName>
    <definedName name="aaaaaaaaaaaaa" localSheetId="4" hidden="1">{#N/A,#N/A,FALSE,"Aging Summary";#N/A,#N/A,FALSE,"Ratio Analysis";#N/A,#N/A,FALSE,"Test 120 Day Accts";#N/A,#N/A,FALSE,"Tickmarks"}</definedName>
    <definedName name="aaaaaaaaaaaaa" localSheetId="3" hidden="1">{#N/A,#N/A,FALSE,"Aging Summary";#N/A,#N/A,FALSE,"Ratio Analysis";#N/A,#N/A,FALSE,"Test 120 Day Accts";#N/A,#N/A,FALSE,"Tickmarks"}</definedName>
    <definedName name="aaaaaaaaaaaaa" localSheetId="1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localSheetId="5" hidden="1">{#N/A,#N/A,FALSE,"Aging Summary";#N/A,#N/A,FALSE,"Ratio Analysis";#N/A,#N/A,FALSE,"Test 120 Day Accts";#N/A,#N/A,FALSE,"Tickmarks"}</definedName>
    <definedName name="aaaaaaaaaaaaa12" localSheetId="4" hidden="1">{#N/A,#N/A,FALSE,"Aging Summary";#N/A,#N/A,FALSE,"Ratio Analysis";#N/A,#N/A,FALSE,"Test 120 Day Accts";#N/A,#N/A,FALSE,"Tickmarks"}</definedName>
    <definedName name="aaaaaaaaaaaaa12" localSheetId="3" hidden="1">{#N/A,#N/A,FALSE,"Aging Summary";#N/A,#N/A,FALSE,"Ratio Analysis";#N/A,#N/A,FALSE,"Test 120 Day Accts";#N/A,#N/A,FALSE,"Tickmarks"}</definedName>
    <definedName name="aaaaaaaaaaaaa12" localSheetId="1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localSheetId="5" hidden="1">#REF!</definedName>
    <definedName name="AAAAAAAAAAAAAAAAAAAAAAAAAA" localSheetId="4" hidden="1">#REF!</definedName>
    <definedName name="AAAAAAAAAAAAAAAAAAAAAAAAAA" localSheetId="3" hidden="1">#REF!</definedName>
    <definedName name="AAAAAAAAAAAAAAAAAAAAAAAAAA" localSheetId="1" hidden="1">#REF!</definedName>
    <definedName name="AAAAAAAAAAAAAAAAAAAAAAAAAA" hidden="1">#REF!</definedName>
    <definedName name="aaaaaaaaaaaaaaaaaaaaaaaaaaaaaaaaaaaaaaaaaaaaaa" localSheetId="3">#REF!</definedName>
    <definedName name="aaaaaaaaaaaaaaaaaaaaaaaaaaaaaaaaaaaaaaaaaaaaaa" localSheetId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 localSheetId="5">#REF!</definedName>
    <definedName name="AAL" localSheetId="4">#REF!</definedName>
    <definedName name="AAL" localSheetId="3">#REF!</definedName>
    <definedName name="AAL" localSheetId="1">#REF!</definedName>
    <definedName name="AAL">#REF!</definedName>
    <definedName name="AAP" localSheetId="3">#REF!</definedName>
    <definedName name="AAP" localSheetId="1">#REF!</definedName>
    <definedName name="AAP">#REF!</definedName>
    <definedName name="AASSQQ" localSheetId="3" hidden="1">#REF!</definedName>
    <definedName name="AASSQQ" localSheetId="1" hidden="1">#REF!</definedName>
    <definedName name="AASSQQ" hidden="1">#REF!</definedName>
    <definedName name="aassss" localSheetId="5">#REF!</definedName>
    <definedName name="aassss" localSheetId="4">#REF!</definedName>
    <definedName name="aassss" localSheetId="3">#REF!</definedName>
    <definedName name="aassss" localSheetId="1">#REF!</definedName>
    <definedName name="aassss">#REF!</definedName>
    <definedName name="AB" localSheetId="3">#REF!</definedName>
    <definedName name="AB" localSheetId="1">#REF!</definedName>
    <definedName name="AB">#REF!</definedName>
    <definedName name="abbreviations" localSheetId="5" hidden="1">{"'매출'!$A$1:$I$22"}</definedName>
    <definedName name="abbreviations" localSheetId="4" hidden="1">{"'매출'!$A$1:$I$22"}</definedName>
    <definedName name="abbreviations" localSheetId="3" hidden="1">{"'매출'!$A$1:$I$22"}</definedName>
    <definedName name="abbreviations" localSheetId="1" hidden="1">{"'매출'!$A$1:$I$22"}</definedName>
    <definedName name="abbreviations" hidden="1">{"'매출'!$A$1:$I$22"}</definedName>
    <definedName name="ABC" localSheetId="5" hidden="1">{#N/A,#N/A,FALSE,"3가";#N/A,#N/A,FALSE,"3나";#N/A,#N/A,FALSE,"3다"}</definedName>
    <definedName name="ABC" localSheetId="4" hidden="1">{#N/A,#N/A,FALSE,"3가";#N/A,#N/A,FALSE,"3나";#N/A,#N/A,FALSE,"3다"}</definedName>
    <definedName name="ABC" localSheetId="3" hidden="1">{#N/A,#N/A,FALSE,"3가";#N/A,#N/A,FALSE,"3나";#N/A,#N/A,FALSE,"3다"}</definedName>
    <definedName name="ABC" localSheetId="1" hidden="1">{#N/A,#N/A,FALSE,"3가";#N/A,#N/A,FALSE,"3나";#N/A,#N/A,FALSE,"3다"}</definedName>
    <definedName name="ABC" hidden="1">{#N/A,#N/A,FALSE,"3가";#N/A,#N/A,FALSE,"3나";#N/A,#N/A,FALSE,"3다"}</definedName>
    <definedName name="abcc" localSheetId="5" hidden="1">{#N/A,#N/A,FALSE,"1.CRITERIA";#N/A,#N/A,FALSE,"2.IS";#N/A,#N/A,FALSE,"3.BS";#N/A,#N/A,FALSE,"4.PER PL";#N/A,#N/A,FALSE,"5.INVESTMENT";#N/A,#N/A,FALSE,"6.공문";#N/A,#N/A,FALSE,"7.netinvest"}</definedName>
    <definedName name="abcc" localSheetId="4" hidden="1">{#N/A,#N/A,FALSE,"1.CRITERIA";#N/A,#N/A,FALSE,"2.IS";#N/A,#N/A,FALSE,"3.BS";#N/A,#N/A,FALSE,"4.PER PL";#N/A,#N/A,FALSE,"5.INVESTMENT";#N/A,#N/A,FALSE,"6.공문";#N/A,#N/A,FALSE,"7.netinvest"}</definedName>
    <definedName name="abcc" localSheetId="3" hidden="1">{#N/A,#N/A,FALSE,"1.CRITERIA";#N/A,#N/A,FALSE,"2.IS";#N/A,#N/A,FALSE,"3.BS";#N/A,#N/A,FALSE,"4.PER PL";#N/A,#N/A,FALSE,"5.INVESTMENT";#N/A,#N/A,FALSE,"6.공문";#N/A,#N/A,FALSE,"7.netinvest"}</definedName>
    <definedName name="abcc" localSheetId="1" hidden="1">{#N/A,#N/A,FALSE,"1.CRITERIA";#N/A,#N/A,FALSE,"2.IS";#N/A,#N/A,FALSE,"3.BS";#N/A,#N/A,FALSE,"4.PER PL";#N/A,#N/A,FALSE,"5.INVESTMENT";#N/A,#N/A,FALSE,"6.공문";#N/A,#N/A,FALSE,"7.netinvest"}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 localSheetId="5">#REF!</definedName>
    <definedName name="abcd" localSheetId="4">#REF!</definedName>
    <definedName name="abcd" localSheetId="3">#REF!</definedName>
    <definedName name="abcd" localSheetId="1">#REF!</definedName>
    <definedName name="abcd">#REF!</definedName>
    <definedName name="ABJ">#N/A</definedName>
    <definedName name="ABL" localSheetId="5">#REF!</definedName>
    <definedName name="ABL" localSheetId="4">#REF!</definedName>
    <definedName name="ABL" localSheetId="3">#REF!</definedName>
    <definedName name="ABL" localSheetId="1">#REF!</definedName>
    <definedName name="ABL">#REF!</definedName>
    <definedName name="ABP" localSheetId="3">#REF!</definedName>
    <definedName name="ABP" localSheetId="1">#REF!</definedName>
    <definedName name="ABP">#REF!</definedName>
    <definedName name="abs" localSheetId="3">#REF!</definedName>
    <definedName name="abs" localSheetId="1">#REF!</definedName>
    <definedName name="abs">#REF!</definedName>
    <definedName name="AC" localSheetId="3">#REF!</definedName>
    <definedName name="AC" localSheetId="1">#REF!</definedName>
    <definedName name="AC">#REF!</definedName>
    <definedName name="ACB" localSheetId="5" hidden="1">{#N/A,#N/A,FALSE,"단축1";#N/A,#N/A,FALSE,"단축2";#N/A,#N/A,FALSE,"단축3";#N/A,#N/A,FALSE,"장축";#N/A,#N/A,FALSE,"4WD"}</definedName>
    <definedName name="ACB" localSheetId="4" hidden="1">{#N/A,#N/A,FALSE,"단축1";#N/A,#N/A,FALSE,"단축2";#N/A,#N/A,FALSE,"단축3";#N/A,#N/A,FALSE,"장축";#N/A,#N/A,FALSE,"4WD"}</definedName>
    <definedName name="ACB" localSheetId="3" hidden="1">{#N/A,#N/A,FALSE,"단축1";#N/A,#N/A,FALSE,"단축2";#N/A,#N/A,FALSE,"단축3";#N/A,#N/A,FALSE,"장축";#N/A,#N/A,FALSE,"4WD"}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 localSheetId="5">#REF!</definedName>
    <definedName name="AccOn1" localSheetId="4">#REF!</definedName>
    <definedName name="AccOn1" localSheetId="3">#REF!</definedName>
    <definedName name="AccOn1" localSheetId="1">#REF!</definedName>
    <definedName name="AccOn1">#REF!</definedName>
    <definedName name="ACCR1" localSheetId="3">#REF!</definedName>
    <definedName name="ACCR1" localSheetId="1">#REF!</definedName>
    <definedName name="ACCR1">#REF!</definedName>
    <definedName name="accruals" localSheetId="3">#REF!</definedName>
    <definedName name="accruals" localSheetId="1">#REF!</definedName>
    <definedName name="accruals">#REF!</definedName>
    <definedName name="ACL" localSheetId="3">#REF!</definedName>
    <definedName name="ACL" localSheetId="1">#REF!</definedName>
    <definedName name="ACL">#REF!</definedName>
    <definedName name="ACON" localSheetId="5" hidden="1">{#N/A,#N/A,TRUE,"일정"}</definedName>
    <definedName name="ACON" localSheetId="4" hidden="1">{#N/A,#N/A,TRUE,"일정"}</definedName>
    <definedName name="ACON" localSheetId="3" hidden="1">{#N/A,#N/A,TRUE,"일정"}</definedName>
    <definedName name="ACON" localSheetId="1" hidden="1">{#N/A,#N/A,TRUE,"일정"}</definedName>
    <definedName name="ACON" hidden="1">{#N/A,#N/A,TRUE,"일정"}</definedName>
    <definedName name="ACP" localSheetId="5">#REF!</definedName>
    <definedName name="ACP" localSheetId="4">#REF!</definedName>
    <definedName name="ACP" localSheetId="3">#REF!</definedName>
    <definedName name="ACP" localSheetId="1">#REF!</definedName>
    <definedName name="ACP">#REF!</definedName>
    <definedName name="Acquiror" localSheetId="3">#REF!</definedName>
    <definedName name="Acquiror" localSheetId="1">#REF!</definedName>
    <definedName name="Acquiror">#REF!</definedName>
    <definedName name="Acquisition_Cost" localSheetId="3">#REF!</definedName>
    <definedName name="Acquisition_Cost" localSheetId="1">#REF!</definedName>
    <definedName name="Acquisition_Cost">#REF!</definedName>
    <definedName name="ACR4차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 localSheetId="5">#REF!</definedName>
    <definedName name="ACSPEC" localSheetId="4">#REF!</definedName>
    <definedName name="ACSPEC" localSheetId="3">#REF!</definedName>
    <definedName name="ACSPEC" localSheetId="1">#REF!</definedName>
    <definedName name="ACSPEC">#REF!</definedName>
    <definedName name="ACTWK" localSheetId="5">#REF!</definedName>
    <definedName name="ACTWK" localSheetId="4">#REF!</definedName>
    <definedName name="ACTWK" localSheetId="3">#REF!</definedName>
    <definedName name="ACTWK" localSheetId="1">#REF!</definedName>
    <definedName name="ACTWK">#REF!</definedName>
    <definedName name="ACY_M1" localSheetId="3">#REF!</definedName>
    <definedName name="ACY_M1" localSheetId="1">#REF!</definedName>
    <definedName name="ACY_M1">#REF!</definedName>
    <definedName name="ACY_M2" localSheetId="3">#REF!</definedName>
    <definedName name="ACY_M2" localSheetId="1">#REF!</definedName>
    <definedName name="ACY_M2">#REF!</definedName>
    <definedName name="ACY_P1" localSheetId="3">#REF!</definedName>
    <definedName name="ACY_P1" localSheetId="1">#REF!</definedName>
    <definedName name="ACY_P1">#REF!</definedName>
    <definedName name="ACY_P10" localSheetId="3">#REF!</definedName>
    <definedName name="ACY_P10" localSheetId="1">#REF!</definedName>
    <definedName name="ACY_P10">#REF!</definedName>
    <definedName name="ACY_P2" localSheetId="3">#REF!</definedName>
    <definedName name="ACY_P2" localSheetId="1">#REF!</definedName>
    <definedName name="ACY_P2">#REF!</definedName>
    <definedName name="ACY_P3" localSheetId="3">#REF!</definedName>
    <definedName name="ACY_P3" localSheetId="1">#REF!</definedName>
    <definedName name="ACY_P3">#REF!</definedName>
    <definedName name="ACY_P4" localSheetId="3">#REF!</definedName>
    <definedName name="ACY_P4" localSheetId="1">#REF!</definedName>
    <definedName name="ACY_P4">#REF!</definedName>
    <definedName name="ACY_P5" localSheetId="3">#REF!</definedName>
    <definedName name="ACY_P5" localSheetId="1">#REF!</definedName>
    <definedName name="ACY_P5">#REF!</definedName>
    <definedName name="ACY_P6" localSheetId="3">#REF!</definedName>
    <definedName name="ACY_P6" localSheetId="1">#REF!</definedName>
    <definedName name="ACY_P6">#REF!</definedName>
    <definedName name="ACY_P7" localSheetId="3">#REF!</definedName>
    <definedName name="ACY_P7" localSheetId="1">#REF!</definedName>
    <definedName name="ACY_P7">#REF!</definedName>
    <definedName name="ACY_P8" localSheetId="3">#REF!</definedName>
    <definedName name="ACY_P8" localSheetId="1">#REF!</definedName>
    <definedName name="ACY_P8">#REF!</definedName>
    <definedName name="ACY_P9" localSheetId="3">#REF!</definedName>
    <definedName name="ACY_P9" localSheetId="1">#REF!</definedName>
    <definedName name="ACY_P9">#REF!</definedName>
    <definedName name="AD" localSheetId="3">#REF!</definedName>
    <definedName name="AD" localSheetId="1">#REF!</definedName>
    <definedName name="AD">#REF!</definedName>
    <definedName name="Add_AcqCost" localSheetId="3">#REF!</definedName>
    <definedName name="Add_AcqCost" localSheetId="1">#REF!</definedName>
    <definedName name="Add_AcqCost">#REF!</definedName>
    <definedName name="Add_ExitCost" localSheetId="3">#REF!</definedName>
    <definedName name="Add_ExitCost" localSheetId="1">#REF!</definedName>
    <definedName name="Add_ExitCost">#REF!</definedName>
    <definedName name="Add_HedgeCost" localSheetId="3">#REF!</definedName>
    <definedName name="Add_HedgeCost" localSheetId="1">#REF!</definedName>
    <definedName name="Add_HedgeCost">#REF!</definedName>
    <definedName name="Add_OperatingExp" localSheetId="3">#REF!</definedName>
    <definedName name="Add_OperatingExp" localSheetId="1">#REF!</definedName>
    <definedName name="Add_OperatingExp">#REF!</definedName>
    <definedName name="Add_OtherInc" localSheetId="3">#REF!</definedName>
    <definedName name="Add_OtherInc" localSheetId="1">#REF!</definedName>
    <definedName name="Add_OtherInc">#REF!</definedName>
    <definedName name="Add_RentalInc" localSheetId="3">#REF!</definedName>
    <definedName name="Add_RentalInc" localSheetId="1">#REF!</definedName>
    <definedName name="Add_RentalInc">#REF!</definedName>
    <definedName name="adf" localSheetId="3">#REF!</definedName>
    <definedName name="adf" localSheetId="1">#REF!</definedName>
    <definedName name="adf">#REF!</definedName>
    <definedName name="adf_1" localSheetId="5" hidden="1">{"MonthlyRentRoll",#N/A,FALSE,"RentRoll"}</definedName>
    <definedName name="adf_1" localSheetId="4" hidden="1">{"MonthlyRentRoll",#N/A,FALSE,"RentRoll"}</definedName>
    <definedName name="adf_1" localSheetId="3" hidden="1">{"MonthlyRentRoll",#N/A,FALSE,"RentRoll"}</definedName>
    <definedName name="adf_1" localSheetId="1" hidden="1">{"MonthlyRentRoll",#N/A,FALSE,"RentRoll"}</definedName>
    <definedName name="adf_1" hidden="1">{"MonthlyRentRoll",#N/A,FALSE,"RentRoll"}</definedName>
    <definedName name="adf3qrqer" localSheetId="5" hidden="1">{#N/A,#N/A,FALSE,"Aging Summary";#N/A,#N/A,FALSE,"Ratio Analysis";#N/A,#N/A,FALSE,"Test 120 Day Accts";#N/A,#N/A,FALSE,"Tickmarks"}</definedName>
    <definedName name="adf3qrqer" localSheetId="4" hidden="1">{#N/A,#N/A,FALSE,"Aging Summary";#N/A,#N/A,FALSE,"Ratio Analysis";#N/A,#N/A,FALSE,"Test 120 Day Accts";#N/A,#N/A,FALSE,"Tickmarks"}</definedName>
    <definedName name="adf3qrqer" localSheetId="3" hidden="1">{#N/A,#N/A,FALSE,"Aging Summary";#N/A,#N/A,FALSE,"Ratio Analysis";#N/A,#N/A,FALSE,"Test 120 Day Accts";#N/A,#N/A,FALSE,"Tickmarks"}</definedName>
    <definedName name="adf3qrqer" localSheetId="1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j" localSheetId="5">#REF!</definedName>
    <definedName name="adj" localSheetId="4">#REF!</definedName>
    <definedName name="adj" localSheetId="3">#REF!</definedName>
    <definedName name="adj" localSheetId="1">#REF!</definedName>
    <definedName name="adj">#REF!</definedName>
    <definedName name="ADJ_SHARE" localSheetId="3">#REF!</definedName>
    <definedName name="ADJ_SHARE" localSheetId="1">#REF!</definedName>
    <definedName name="ADJ_SHARE">#REF!</definedName>
    <definedName name="ADL" localSheetId="3">#REF!</definedName>
    <definedName name="ADL" localSheetId="1">#REF!</definedName>
    <definedName name="ADL">#REF!</definedName>
    <definedName name="ADLJFJDJ" localSheetId="5" hidden="1">{#N/A,#N/A,TRUE,"일정"}</definedName>
    <definedName name="ADLJFJDJ" localSheetId="4" hidden="1">{#N/A,#N/A,TRUE,"일정"}</definedName>
    <definedName name="ADLJFJDJ" localSheetId="3" hidden="1">{#N/A,#N/A,TRUE,"일정"}</definedName>
    <definedName name="ADLJFJDJ" localSheetId="1" hidden="1">{#N/A,#N/A,TRUE,"일정"}</definedName>
    <definedName name="ADLJFJDJ" hidden="1">{#N/A,#N/A,TRUE,"일정"}</definedName>
    <definedName name="ADP" localSheetId="5">#REF!</definedName>
    <definedName name="ADP" localSheetId="4">#REF!</definedName>
    <definedName name="ADP" localSheetId="3">#REF!</definedName>
    <definedName name="ADP" localSheetId="1">#REF!</definedName>
    <definedName name="ADP">#REF!</definedName>
    <definedName name="ads" localSheetId="5" hidden="1">{#N/A,#N/A,FALSE,"표지";#N/A,#N/A,FALSE,"전제";#N/A,#N/A,FALSE,"손익-자 (2)";#N/A,#N/A,FALSE,"손익-자";#N/A,#N/A,FALSE,"손익-마 (2)";#N/A,#N/A,FALSE,"손익-마";#N/A,#N/A,FALSE,"총손최종"}</definedName>
    <definedName name="ads" localSheetId="4" hidden="1">{#N/A,#N/A,FALSE,"표지";#N/A,#N/A,FALSE,"전제";#N/A,#N/A,FALSE,"손익-자 (2)";#N/A,#N/A,FALSE,"손익-자";#N/A,#N/A,FALSE,"손익-마 (2)";#N/A,#N/A,FALSE,"손익-마";#N/A,#N/A,FALSE,"총손최종"}</definedName>
    <definedName name="ads" localSheetId="3" hidden="1">{#N/A,#N/A,FALSE,"표지";#N/A,#N/A,FALSE,"전제";#N/A,#N/A,FALSE,"손익-자 (2)";#N/A,#N/A,FALSE,"손익-자";#N/A,#N/A,FALSE,"손익-마 (2)";#N/A,#N/A,FALSE,"손익-마";#N/A,#N/A,FALSE,"총손최종"}</definedName>
    <definedName name="ads" localSheetId="1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localSheetId="5" hidden="1">{#N/A,#N/A,FALSE,"Aging Summary";#N/A,#N/A,FALSE,"Ratio Analysis";#N/A,#N/A,FALSE,"Test 120 Day Accts";#N/A,#N/A,FALSE,"Tickmarks"}</definedName>
    <definedName name="adsas" localSheetId="4" hidden="1">{#N/A,#N/A,FALSE,"Aging Summary";#N/A,#N/A,FALSE,"Ratio Analysis";#N/A,#N/A,FALSE,"Test 120 Day Accts";#N/A,#N/A,FALSE,"Tickmarks"}</definedName>
    <definedName name="adsas" localSheetId="3" hidden="1">{#N/A,#N/A,FALSE,"Aging Summary";#N/A,#N/A,FALSE,"Ratio Analysis";#N/A,#N/A,FALSE,"Test 120 Day Accts";#N/A,#N/A,FALSE,"Tickmarks"}</definedName>
    <definedName name="adsas" localSheetId="1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5" hidden="1">{#N/A,#N/A,TRUE,"Y생산";#N/A,#N/A,TRUE,"Y판매";#N/A,#N/A,TRUE,"Y총물량";#N/A,#N/A,TRUE,"Y능력";#N/A,#N/A,TRUE,"YKD"}</definedName>
    <definedName name="ADSDF" localSheetId="4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DF_1" localSheetId="5" hidden="1">{#N/A,#N/A,TRUE,"Y생산";#N/A,#N/A,TRUE,"Y판매";#N/A,#N/A,TRUE,"Y총물량";#N/A,#N/A,TRUE,"Y능력";#N/A,#N/A,TRUE,"YKD"}</definedName>
    <definedName name="ADSDF_1" localSheetId="4" hidden="1">{#N/A,#N/A,TRUE,"Y생산";#N/A,#N/A,TRUE,"Y판매";#N/A,#N/A,TRUE,"Y총물량";#N/A,#N/A,TRUE,"Y능력";#N/A,#N/A,TRUE,"YKD"}</definedName>
    <definedName name="ADSDF_1" localSheetId="3" hidden="1">{#N/A,#N/A,TRUE,"Y생산";#N/A,#N/A,TRUE,"Y판매";#N/A,#N/A,TRUE,"Y총물량";#N/A,#N/A,TRUE,"Y능력";#N/A,#N/A,TRUE,"YKD"}</definedName>
    <definedName name="ADSDF_1" localSheetId="1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localSheetId="5" hidden="1">{#N/A,#N/A,TRUE,"매출진척-1";#N/A,#N/A,TRUE,"매출진척-2";#N/A,#N/A,TRUE,"제품실적";#N/A,#N/A,TRUE,"RAC";#N/A,#N/A,TRUE,"PAC ";#N/A,#N/A,TRUE,"재고현황";#N/A,#N/A,TRUE,"공지사항"}</definedName>
    <definedName name="ADSF" localSheetId="4" hidden="1">{#N/A,#N/A,TRUE,"매출진척-1";#N/A,#N/A,TRUE,"매출진척-2";#N/A,#N/A,TRUE,"제품실적";#N/A,#N/A,TRUE,"RAC";#N/A,#N/A,TRUE,"PAC ";#N/A,#N/A,TRUE,"재고현황";#N/A,#N/A,TRUE,"공지사항"}</definedName>
    <definedName name="ADSF" localSheetId="3" hidden="1">{#N/A,#N/A,TRUE,"매출진척-1";#N/A,#N/A,TRUE,"매출진척-2";#N/A,#N/A,TRUE,"제품실적";#N/A,#N/A,TRUE,"RAC";#N/A,#N/A,TRUE,"PAC ";#N/A,#N/A,TRUE,"재고현황";#N/A,#N/A,TRUE,"공지사항"}</definedName>
    <definedName name="ADSF" localSheetId="1" hidden="1">{#N/A,#N/A,TRUE,"매출진척-1";#N/A,#N/A,TRUE,"매출진척-2";#N/A,#N/A,TRUE,"제품실적";#N/A,#N/A,TRUE,"RAC";#N/A,#N/A,TRUE,"PAC ";#N/A,#N/A,TRUE,"재고현황";#N/A,#N/A,TRUE,"공지사항"}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 localSheetId="5">#REF!</definedName>
    <definedName name="ADVANCE" localSheetId="4">#REF!</definedName>
    <definedName name="ADVANCE" localSheetId="3">#REF!</definedName>
    <definedName name="ADVANCE" localSheetId="1">#REF!</definedName>
    <definedName name="ADVANCE">#REF!</definedName>
    <definedName name="aer" localSheetId="5">#REF!</definedName>
    <definedName name="aer" localSheetId="4">#REF!</definedName>
    <definedName name="aer" localSheetId="3">#REF!</definedName>
    <definedName name="aer" localSheetId="1">#REF!</definedName>
    <definedName name="aer">#REF!</definedName>
    <definedName name="afdasfa" localSheetId="5" hidden="1">{#N/A,#N/A,TRUE,"Assumptions";#N/A,#N/A,TRUE,"Sources of Revenue";#N/A,#N/A,TRUE,"P&amp;L";#N/A,#N/A,TRUE,"Bal. Sheet";#N/A,#N/A,TRUE,"Rights Issue &amp; X Adjustment";#N/A,#N/A,TRUE,"Transaction Model"}</definedName>
    <definedName name="afdasfa" localSheetId="4" hidden="1">{#N/A,#N/A,TRUE,"Assumptions";#N/A,#N/A,TRUE,"Sources of Revenue";#N/A,#N/A,TRUE,"P&amp;L";#N/A,#N/A,TRUE,"Bal. Sheet";#N/A,#N/A,TRUE,"Rights Issue &amp; X Adjustment";#N/A,#N/A,TRUE,"Transaction Model"}</definedName>
    <definedName name="afdasfa" localSheetId="3" hidden="1">{#N/A,#N/A,TRUE,"Assumptions";#N/A,#N/A,TRUE,"Sources of Revenue";#N/A,#N/A,TRUE,"P&amp;L";#N/A,#N/A,TRUE,"Bal. Sheet";#N/A,#N/A,TRUE,"Rights Issue &amp; X Adjustment";#N/A,#N/A,TRUE,"Transaction Model"}</definedName>
    <definedName name="afdasfa" localSheetId="1" hidden="1">{#N/A,#N/A,TRUE,"Assumptions";#N/A,#N/A,TRUE,"Sources of Revenue";#N/A,#N/A,TRUE,"P&amp;L";#N/A,#N/A,TRUE,"Bal. Sheet";#N/A,#N/A,TRUE,"Rights Issue &amp; X Adjustment";#N/A,#N/A,TRUE,"Transaction Model"}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5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4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3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1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5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4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3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1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5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4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3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1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localSheetId="5" hidden="1">{#N/A,#N/A,TRUE,"Assumptions";#N/A,#N/A,TRUE,"Sources of Revenue";#N/A,#N/A,TRUE,"P&amp;L";#N/A,#N/A,TRUE,"Bal. Sheet";#N/A,#N/A,TRUE,"Rights Issue &amp; X Adjustment";#N/A,#N/A,TRUE,"Transaction Model"}</definedName>
    <definedName name="afsafadsf" localSheetId="4" hidden="1">{#N/A,#N/A,TRUE,"Assumptions";#N/A,#N/A,TRUE,"Sources of Revenue";#N/A,#N/A,TRUE,"P&amp;L";#N/A,#N/A,TRUE,"Bal. Sheet";#N/A,#N/A,TRUE,"Rights Issue &amp; X Adjustment";#N/A,#N/A,TRUE,"Transaction Model"}</definedName>
    <definedName name="afsafadsf" localSheetId="3" hidden="1">{#N/A,#N/A,TRUE,"Assumptions";#N/A,#N/A,TRUE,"Sources of Revenue";#N/A,#N/A,TRUE,"P&amp;L";#N/A,#N/A,TRUE,"Bal. Sheet";#N/A,#N/A,TRUE,"Rights Issue &amp; X Adjustment";#N/A,#N/A,TRUE,"Transaction Model"}</definedName>
    <definedName name="afsafadsf" localSheetId="1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localSheetId="5" hidden="1">#REF!</definedName>
    <definedName name="afsasfdasdf" localSheetId="4" hidden="1">#REF!</definedName>
    <definedName name="afsasfdasdf" localSheetId="3" hidden="1">#REF!</definedName>
    <definedName name="afsasfdasdf" localSheetId="1" hidden="1">#REF!</definedName>
    <definedName name="afsasfdasdf" hidden="1">#REF!</definedName>
    <definedName name="Ag" localSheetId="3">#REF!</definedName>
    <definedName name="Ag" localSheetId="1">#REF!</definedName>
    <definedName name="Ag">#REF!</definedName>
    <definedName name="ahffk" hidden="1">"AS2DocumentBrowse"</definedName>
    <definedName name="AI" localSheetId="5">#REF!</definedName>
    <definedName name="AI" localSheetId="4">#REF!</definedName>
    <definedName name="AI" localSheetId="3">#REF!</definedName>
    <definedName name="AI" localSheetId="1">#REF!</definedName>
    <definedName name="AI">#REF!</definedName>
    <definedName name="aldkjflasdjgladg" localSheetId="5">#N/A</definedName>
    <definedName name="aldkjflasdjgladg" localSheetId="4">#N/A</definedName>
    <definedName name="aldkjflasdjgladg" localSheetId="3">#REF!</definedName>
    <definedName name="aldkjflasdjgladg" localSheetId="1">#REF!</definedName>
    <definedName name="aldkjflasdjgladg">#REF!</definedName>
    <definedName name="all" localSheetId="5">#REF!</definedName>
    <definedName name="all" localSheetId="4">#REF!</definedName>
    <definedName name="all" localSheetId="3">#REF!</definedName>
    <definedName name="all" localSheetId="1">#REF!</definedName>
    <definedName name="all">#REF!</definedName>
    <definedName name="AllTables" localSheetId="5">{5}</definedName>
    <definedName name="AllTables" localSheetId="4">{5}</definedName>
    <definedName name="AllTables" localSheetId="3">{5}</definedName>
    <definedName name="AllTables" localSheetId="1">{5}</definedName>
    <definedName name="AllTables">{5}</definedName>
    <definedName name="alpha1" localSheetId="3">#REF!</definedName>
    <definedName name="alpha1" localSheetId="1">#REF!</definedName>
    <definedName name="alpha1">#REF!</definedName>
    <definedName name="alpha2" localSheetId="3">#REF!</definedName>
    <definedName name="alpha2" localSheetId="1">#REF!</definedName>
    <definedName name="alpha2">#REF!</definedName>
    <definedName name="alpha3" localSheetId="3">#REF!</definedName>
    <definedName name="alpha3" localSheetId="1">#REF!</definedName>
    <definedName name="alpha3">#REF!</definedName>
    <definedName name="Alt" localSheetId="3">#REF!</definedName>
    <definedName name="Alt" localSheetId="1">#REF!</definedName>
    <definedName name="Alt">#REF!</definedName>
    <definedName name="ALY_M1" localSheetId="3">#REF!</definedName>
    <definedName name="ALY_M1" localSheetId="1">#REF!</definedName>
    <definedName name="ALY_M1">#REF!</definedName>
    <definedName name="ALY_M2" localSheetId="3">#REF!</definedName>
    <definedName name="ALY_M2" localSheetId="1">#REF!</definedName>
    <definedName name="ALY_M2">#REF!</definedName>
    <definedName name="ALY_P1" localSheetId="3">#REF!</definedName>
    <definedName name="ALY_P1" localSheetId="1">#REF!</definedName>
    <definedName name="ALY_P1">#REF!</definedName>
    <definedName name="ALY_P10" localSheetId="3">#REF!</definedName>
    <definedName name="ALY_P10" localSheetId="1">#REF!</definedName>
    <definedName name="ALY_P10">#REF!</definedName>
    <definedName name="ALY_P2" localSheetId="3">#REF!</definedName>
    <definedName name="ALY_P2" localSheetId="1">#REF!</definedName>
    <definedName name="ALY_P2">#REF!</definedName>
    <definedName name="ALY_P3" localSheetId="3">#REF!</definedName>
    <definedName name="ALY_P3" localSheetId="1">#REF!</definedName>
    <definedName name="ALY_P3">#REF!</definedName>
    <definedName name="ALY_P4" localSheetId="3">#REF!</definedName>
    <definedName name="ALY_P4" localSheetId="1">#REF!</definedName>
    <definedName name="ALY_P4">#REF!</definedName>
    <definedName name="ALY_P5" localSheetId="3">#REF!</definedName>
    <definedName name="ALY_P5" localSheetId="1">#REF!</definedName>
    <definedName name="ALY_P5">#REF!</definedName>
    <definedName name="ALY_P6" localSheetId="3">#REF!</definedName>
    <definedName name="ALY_P6" localSheetId="1">#REF!</definedName>
    <definedName name="ALY_P6">#REF!</definedName>
    <definedName name="ALY_P7" localSheetId="3">#REF!</definedName>
    <definedName name="ALY_P7" localSheetId="1">#REF!</definedName>
    <definedName name="ALY_P7">#REF!</definedName>
    <definedName name="ALY_P8" localSheetId="3">#REF!</definedName>
    <definedName name="ALY_P8" localSheetId="1">#REF!</definedName>
    <definedName name="ALY_P8">#REF!</definedName>
    <definedName name="ALY_P9" localSheetId="3">#REF!</definedName>
    <definedName name="ALY_P9" localSheetId="1">#REF!</definedName>
    <definedName name="ALY_P9">#REF!</definedName>
    <definedName name="am_fee" localSheetId="3">#REF!</definedName>
    <definedName name="am_fee" localSheetId="1">#REF!</definedName>
    <definedName name="am_fee">#REF!</definedName>
    <definedName name="AMC_Fee" localSheetId="3">#REF!</definedName>
    <definedName name="AMC_Fee" localSheetId="1">#REF!</definedName>
    <definedName name="AMC_Fee">#REF!</definedName>
    <definedName name="AMC_Promote_Fee" localSheetId="3">#REF!</definedName>
    <definedName name="AMC_Promote_Fee" localSheetId="1">#REF!</definedName>
    <definedName name="AMC_Promote_Fee">#REF!</definedName>
    <definedName name="AMMORT" localSheetId="5">#REF!:#REF!</definedName>
    <definedName name="AMMORT" localSheetId="4">#REF!:#REF!</definedName>
    <definedName name="AMMORT" localSheetId="3">#REF!:#REF!</definedName>
    <definedName name="AMMORT" localSheetId="1">#REF!:#REF!</definedName>
    <definedName name="AMMORT">#REF!:#REF!</definedName>
    <definedName name="Ammortamenti" localSheetId="5">#REF!:#REF!</definedName>
    <definedName name="Ammortamenti" localSheetId="4">#REF!:#REF!</definedName>
    <definedName name="Ammortamenti" localSheetId="3">#REF!:#REF!</definedName>
    <definedName name="Ammortamenti" localSheetId="1">#REF!:#REF!</definedName>
    <definedName name="Ammortamenti">#REF!:#REF!</definedName>
    <definedName name="Amounts" localSheetId="5">#REF!</definedName>
    <definedName name="Amounts" localSheetId="4">#REF!</definedName>
    <definedName name="Amounts" localSheetId="3">#REF!</definedName>
    <definedName name="Amounts" localSheetId="1">#REF!</definedName>
    <definedName name="Amounts">#REF!</definedName>
    <definedName name="Annual_Allowance" localSheetId="3">#REF!</definedName>
    <definedName name="Annual_Allowance" localSheetId="1">#REF!</definedName>
    <definedName name="Annual_Allowance">#REF!</definedName>
    <definedName name="anscount" hidden="1">2</definedName>
    <definedName name="Ao¿￢" localSheetId="5">#REF!</definedName>
    <definedName name="Ao¿￢" localSheetId="4">#REF!</definedName>
    <definedName name="Ao¿￢" localSheetId="3">#REF!</definedName>
    <definedName name="Ao¿￢" localSheetId="1">#REF!</definedName>
    <definedName name="Ao¿￢">#REF!</definedName>
    <definedName name="AOP" localSheetId="5">#REF!</definedName>
    <definedName name="AOP" localSheetId="4">#REF!</definedName>
    <definedName name="AOP" localSheetId="3">#REF!</definedName>
    <definedName name="AOP" localSheetId="1">#REF!</definedName>
    <definedName name="AOP">#REF!</definedName>
    <definedName name="aoqtmwktksdnsdyd" localSheetId="5">#REF!</definedName>
    <definedName name="aoqtmwktksdnsdyd" localSheetId="4">#REF!</definedName>
    <definedName name="aoqtmwktksdnsdyd" localSheetId="3">#REF!</definedName>
    <definedName name="aoqtmwktksdnsdyd" localSheetId="1">#REF!</definedName>
    <definedName name="aoqtmwktksdnsdyd">#REF!</definedName>
    <definedName name="APCBF_Codes" localSheetId="5">#REF!</definedName>
    <definedName name="APCBF_Codes" localSheetId="4">#REF!</definedName>
    <definedName name="APCBF_Codes" localSheetId="3">#REF!</definedName>
    <definedName name="APCBF_Codes" localSheetId="1">#REF!</definedName>
    <definedName name="APCBF_Codes">#REF!</definedName>
    <definedName name="A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 localSheetId="5">#REF!</definedName>
    <definedName name="Approved_Gross_Area" localSheetId="4">#REF!</definedName>
    <definedName name="Approved_Gross_Area" localSheetId="3">#REF!</definedName>
    <definedName name="Approved_Gross_Area" localSheetId="1">#REF!</definedName>
    <definedName name="Approved_Gross_Area">#REF!</definedName>
    <definedName name="ARA_Threshold" localSheetId="5">#REF!</definedName>
    <definedName name="ARA_Threshold" localSheetId="4">#REF!</definedName>
    <definedName name="ARA_Threshold" localSheetId="3">#REF!</definedName>
    <definedName name="ARA_Threshold" localSheetId="1">#REF!</definedName>
    <definedName name="ARA_Threshold">#REF!</definedName>
    <definedName name="ARC" localSheetId="3">#REF!</definedName>
    <definedName name="ARC" localSheetId="1">#REF!</definedName>
    <definedName name="ARC">#REF!</definedName>
    <definedName name="are" localSheetId="5" hidden="1">{#N/A,#N/A,FALSE,"신규dep";#N/A,#N/A,FALSE,"신규dep-금형상각후";#N/A,#N/A,FALSE,"신규dep-연구비상각후";#N/A,#N/A,FALSE,"신규dep-기계,공구상각후"}</definedName>
    <definedName name="are" localSheetId="4" hidden="1">{#N/A,#N/A,FALSE,"신규dep";#N/A,#N/A,FALSE,"신규dep-금형상각후";#N/A,#N/A,FALSE,"신규dep-연구비상각후";#N/A,#N/A,FALSE,"신규dep-기계,공구상각후"}</definedName>
    <definedName name="are" localSheetId="3" hidden="1">{#N/A,#N/A,FALSE,"신규dep";#N/A,#N/A,FALSE,"신규dep-금형상각후";#N/A,#N/A,FALSE,"신규dep-연구비상각후";#N/A,#N/A,FALSE,"신규dep-기계,공구상각후"}</definedName>
    <definedName name="are" localSheetId="1" hidden="1">{#N/A,#N/A,FALSE,"신규dep";#N/A,#N/A,FALSE,"신규dep-금형상각후";#N/A,#N/A,FALSE,"신규dep-연구비상각후";#N/A,#N/A,FALSE,"신규dep-기계,공구상각후"}</definedName>
    <definedName name="are" hidden="1">{#N/A,#N/A,FALSE,"신규dep";#N/A,#N/A,FALSE,"신규dep-금형상각후";#N/A,#N/A,FALSE,"신규dep-연구비상각후";#N/A,#N/A,FALSE,"신규dep-기계,공구상각후"}</definedName>
    <definedName name="AREA" localSheetId="5">#REF!</definedName>
    <definedName name="AREA" localSheetId="4">#REF!</definedName>
    <definedName name="AREA" localSheetId="3">#REF!</definedName>
    <definedName name="AREA" localSheetId="1">#REF!</definedName>
    <definedName name="AREA">#REF!</definedName>
    <definedName name="Area_Chonsei" localSheetId="5">#REF!</definedName>
    <definedName name="Area_Chonsei" localSheetId="4">#REF!</definedName>
    <definedName name="Area_Chonsei" localSheetId="3">#REF!</definedName>
    <definedName name="Area_Chonsei" localSheetId="1">#REF!</definedName>
    <definedName name="Area_Chonsei">#REF!</definedName>
    <definedName name="Area_Office" localSheetId="3">#REF!</definedName>
    <definedName name="Area_Office" localSheetId="1">#REF!</definedName>
    <definedName name="Area_Office">#REF!</definedName>
    <definedName name="Area_Residential" localSheetId="3">#REF!</definedName>
    <definedName name="Area_Residential" localSheetId="1">#REF!</definedName>
    <definedName name="Area_Residential">#REF!</definedName>
    <definedName name="Area_Retail" localSheetId="3">#REF!</definedName>
    <definedName name="Area_Retail" localSheetId="1">#REF!</definedName>
    <definedName name="Area_Retail">#REF!</definedName>
    <definedName name="Area_Western" localSheetId="3">#REF!</definedName>
    <definedName name="Area_Western" localSheetId="1">#REF!</definedName>
    <definedName name="Area_Western">#REF!</definedName>
    <definedName name="areaunit" localSheetId="3">#REF!</definedName>
    <definedName name="areaunit" localSheetId="1">#REF!</definedName>
    <definedName name="areaunit">#REF!</definedName>
    <definedName name="areaunitname" localSheetId="3">#REF!</definedName>
    <definedName name="areaunitname" localSheetId="1">#REF!</definedName>
    <definedName name="areaunitname">#REF!</definedName>
    <definedName name="ARP_Threshold" localSheetId="5">#REF!</definedName>
    <definedName name="ARP_Threshold" localSheetId="4">#REF!</definedName>
    <definedName name="ARP_Threshold" localSheetId="3">#REF!</definedName>
    <definedName name="ARP_Threshold" localSheetId="1">#REF!</definedName>
    <definedName name="ARP_Threshold">#REF!</definedName>
    <definedName name="as" localSheetId="5">#REF!</definedName>
    <definedName name="as" localSheetId="4">#REF!</definedName>
    <definedName name="as" localSheetId="3">#REF!</definedName>
    <definedName name="as" localSheetId="1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5" hidden="1">#REF!</definedName>
    <definedName name="AS2StaticLS" localSheetId="4" hidden="1">#REF!</definedName>
    <definedName name="AS2StaticLS" localSheetId="3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hidden="1">#REF!</definedName>
    <definedName name="AS2VersionLS" hidden="1">300</definedName>
    <definedName name="ascxf" localSheetId="5" hidden="1">{#N/A,#N/A,FALSE,"Aging Summary";#N/A,#N/A,FALSE,"Ratio Analysis";#N/A,#N/A,FALSE,"Test 120 Day Accts";#N/A,#N/A,FALSE,"Tickmarks"}</definedName>
    <definedName name="ascxf" localSheetId="4" hidden="1">{#N/A,#N/A,FALSE,"Aging Summary";#N/A,#N/A,FALSE,"Ratio Analysis";#N/A,#N/A,FALSE,"Test 120 Day Accts";#N/A,#N/A,FALSE,"Tickmarks"}</definedName>
    <definedName name="ascxf" localSheetId="3" hidden="1">{#N/A,#N/A,FALSE,"Aging Summary";#N/A,#N/A,FALSE,"Ratio Analysis";#N/A,#N/A,FALSE,"Test 120 Day Accts";#N/A,#N/A,FALSE,"Tickmarks"}</definedName>
    <definedName name="ascxf" localSheetId="1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d" localSheetId="5">#REF!</definedName>
    <definedName name="asd" localSheetId="4">#REF!</definedName>
    <definedName name="asd" localSheetId="3">#REF!</definedName>
    <definedName name="asd" localSheetId="1">#REF!</definedName>
    <definedName name="asd">#REF!</definedName>
    <definedName name="asda" localSheetId="3">#REF!</definedName>
    <definedName name="asda" localSheetId="1">#REF!</definedName>
    <definedName name="asda">#REF!</definedName>
    <definedName name="asdasdasdad" localSheetId="5" hidden="1">{#N/A,#N/A,FALSE,"95FW"}</definedName>
    <definedName name="asdasdasdad" localSheetId="4" hidden="1">{#N/A,#N/A,FALSE,"95FW"}</definedName>
    <definedName name="asdasdasdad" localSheetId="3" hidden="1">{#N/A,#N/A,FALSE,"95FW"}</definedName>
    <definedName name="asdasdasdad" localSheetId="1" hidden="1">{#N/A,#N/A,FALSE,"95FW"}</definedName>
    <definedName name="asdasdasdad" hidden="1">{#N/A,#N/A,FALSE,"95FW"}</definedName>
    <definedName name="asdf" localSheetId="5">#REF!</definedName>
    <definedName name="asdf" localSheetId="4">#REF!</definedName>
    <definedName name="asdf" localSheetId="3">#REF!</definedName>
    <definedName name="asdf" localSheetId="1">#REF!</definedName>
    <definedName name="asdf">#REF!</definedName>
    <definedName name="asdfasdf" localSheetId="5" hidden="1">{#N/A,#N/A,TRUE,"Assumptions";#N/A,#N/A,TRUE,"Sources of Revenue";#N/A,#N/A,TRUE,"P&amp;L";#N/A,#N/A,TRUE,"Bal. Sheet";#N/A,#N/A,TRUE,"Rights Issue &amp; X Adjustment";#N/A,#N/A,TRUE,"Transaction Model"}</definedName>
    <definedName name="asdfasdf" localSheetId="4" hidden="1">{#N/A,#N/A,TRUE,"Assumptions";#N/A,#N/A,TRUE,"Sources of Revenue";#N/A,#N/A,TRUE,"P&amp;L";#N/A,#N/A,TRUE,"Bal. Sheet";#N/A,#N/A,TRUE,"Rights Issue &amp; X Adjustment";#N/A,#N/A,TRUE,"Transaction Model"}</definedName>
    <definedName name="asdfasdf" localSheetId="3" hidden="1">{#N/A,#N/A,TRUE,"Assumptions";#N/A,#N/A,TRUE,"Sources of Revenue";#N/A,#N/A,TRUE,"P&amp;L";#N/A,#N/A,TRUE,"Bal. Sheet";#N/A,#N/A,TRUE,"Rights Issue &amp; X Adjustment";#N/A,#N/A,TRUE,"Transaction Model"}</definedName>
    <definedName name="asdfasdf" localSheetId="1" hidden="1">{#N/A,#N/A,TRUE,"Assumptions";#N/A,#N/A,TRUE,"Sources of Revenue";#N/A,#N/A,TRUE,"P&amp;L";#N/A,#N/A,TRUE,"Bal. Sheet";#N/A,#N/A,TRUE,"Rights Issue &amp; X Adjustment";#N/A,#N/A,TRUE,"Transaction Model"}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localSheetId="5" hidden="1">#REF!</definedName>
    <definedName name="asdfasdfsdfa" localSheetId="4" hidden="1">#REF!</definedName>
    <definedName name="asdfasdfsdfa" localSheetId="3" hidden="1">#REF!</definedName>
    <definedName name="asdfasdfsdfa" localSheetId="1" hidden="1">#REF!</definedName>
    <definedName name="asdfasdfsdfa" hidden="1">#REF!</definedName>
    <definedName name="asdfasfgasdf" localSheetId="3" hidden="1">#REF!</definedName>
    <definedName name="asdfasfgasdf" localSheetId="1" hidden="1">#REF!</definedName>
    <definedName name="asdfasfgasdf" hidden="1">#REF!</definedName>
    <definedName name="ASDFF" localSheetId="5" hidden="1">{#N/A,#N/A,FALSE,"표지";#N/A,#N/A,FALSE,"전제";#N/A,#N/A,FALSE,"손익-자 (2)";#N/A,#N/A,FALSE,"손익-자";#N/A,#N/A,FALSE,"손익-마 (2)";#N/A,#N/A,FALSE,"손익-마";#N/A,#N/A,FALSE,"총손최종"}</definedName>
    <definedName name="ASDFF" localSheetId="4" hidden="1">{#N/A,#N/A,FALSE,"표지";#N/A,#N/A,FALSE,"전제";#N/A,#N/A,FALSE,"손익-자 (2)";#N/A,#N/A,FALSE,"손익-자";#N/A,#N/A,FALSE,"손익-마 (2)";#N/A,#N/A,FALSE,"손익-마";#N/A,#N/A,FALSE,"총손최종"}</definedName>
    <definedName name="ASDFF" localSheetId="3" hidden="1">{#N/A,#N/A,FALSE,"표지";#N/A,#N/A,FALSE,"전제";#N/A,#N/A,FALSE,"손익-자 (2)";#N/A,#N/A,FALSE,"손익-자";#N/A,#N/A,FALSE,"손익-마 (2)";#N/A,#N/A,FALSE,"손익-마";#N/A,#N/A,FALSE,"총손최종"}</definedName>
    <definedName name="ASDFF" localSheetId="1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localSheetId="5" hidden="1">#REF!</definedName>
    <definedName name="asdfsdf" localSheetId="4" hidden="1">#REF!</definedName>
    <definedName name="asdfsdf" localSheetId="3" hidden="1">#REF!</definedName>
    <definedName name="asdfsdf" localSheetId="1" hidden="1">#REF!</definedName>
    <definedName name="asdfsdf" hidden="1">#REF!</definedName>
    <definedName name="asdgasdg" localSheetId="5" hidden="1">{#N/A,#N/A,TRUE,"Assumptions";#N/A,#N/A,TRUE,"Sources of Revenue";#N/A,#N/A,TRUE,"P&amp;L";#N/A,#N/A,TRUE,"Bal. Sheet";#N/A,#N/A,TRUE,"Rights Issue &amp; X Adjustment";#N/A,#N/A,TRUE,"Transaction Model"}</definedName>
    <definedName name="asdgasdg" localSheetId="4" hidden="1">{#N/A,#N/A,TRUE,"Assumptions";#N/A,#N/A,TRUE,"Sources of Revenue";#N/A,#N/A,TRUE,"P&amp;L";#N/A,#N/A,TRUE,"Bal. Sheet";#N/A,#N/A,TRUE,"Rights Issue &amp; X Adjustment";#N/A,#N/A,TRUE,"Transaction Model"}</definedName>
    <definedName name="asdgasdg" localSheetId="3" hidden="1">{#N/A,#N/A,TRUE,"Assumptions";#N/A,#N/A,TRUE,"Sources of Revenue";#N/A,#N/A,TRUE,"P&amp;L";#N/A,#N/A,TRUE,"Bal. Sheet";#N/A,#N/A,TRUE,"Rights Issue &amp; X Adjustment";#N/A,#N/A,TRUE,"Transaction Model"}</definedName>
    <definedName name="asdgasdg" localSheetId="1" hidden="1">{#N/A,#N/A,TRUE,"Assumptions";#N/A,#N/A,TRUE,"Sources of Revenue";#N/A,#N/A,TRUE,"P&amp;L";#N/A,#N/A,TRUE,"Bal. Sheet";#N/A,#N/A,TRUE,"Rights Issue &amp; X Adjustment";#N/A,#N/A,TRUE,"Transaction Model"}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 localSheetId="5">#REF!</definedName>
    <definedName name="ased" localSheetId="4">#REF!</definedName>
    <definedName name="ased" localSheetId="3">#REF!</definedName>
    <definedName name="ased" localSheetId="1">#REF!</definedName>
    <definedName name="ased">#REF!</definedName>
    <definedName name="asfasfasf" localSheetId="3" hidden="1">#REF!</definedName>
    <definedName name="asfasfasf" localSheetId="1" hidden="1">#REF!</definedName>
    <definedName name="asfasfasf" hidden="1">#REF!</definedName>
    <definedName name="asfasfasff" localSheetId="3" hidden="1">#REF!</definedName>
    <definedName name="asfasfasff" localSheetId="1" hidden="1">#REF!</definedName>
    <definedName name="asfasfasff" hidden="1">#REF!</definedName>
    <definedName name="asfasgasdg" localSheetId="3" hidden="1">#REF!</definedName>
    <definedName name="asfasgasdg" localSheetId="1" hidden="1">#REF!</definedName>
    <definedName name="asfasgasdg" hidden="1">#REF!</definedName>
    <definedName name="asfgasdgas" localSheetId="3" hidden="1">#REF!</definedName>
    <definedName name="asfgasdgas" localSheetId="1" hidden="1">#REF!</definedName>
    <definedName name="asfgasdgas" hidden="1">#REF!</definedName>
    <definedName name="asfsa" localSheetId="3" hidden="1">#REF!</definedName>
    <definedName name="asfsa" localSheetId="1" hidden="1">#REF!</definedName>
    <definedName name="asfsa" hidden="1">#REF!</definedName>
    <definedName name="asgf" localSheetId="5" hidden="1">#REF!</definedName>
    <definedName name="asgf" localSheetId="4" hidden="1">#REF!</definedName>
    <definedName name="asgf" localSheetId="3" hidden="1">#REF!</definedName>
    <definedName name="asgf" localSheetId="1" hidden="1">#REF!</definedName>
    <definedName name="asgf" hidden="1">#REF!</definedName>
    <definedName name="asr" localSheetId="3">+#REF!</definedName>
    <definedName name="asr" localSheetId="1">+#REF!</definedName>
    <definedName name="asr">+#REF!</definedName>
    <definedName name="assda" localSheetId="3">#REF!</definedName>
    <definedName name="assda" localSheetId="1">#REF!</definedName>
    <definedName name="assda">#REF!</definedName>
    <definedName name="Asset" localSheetId="5">#REF!</definedName>
    <definedName name="Asset" localSheetId="4">#REF!</definedName>
    <definedName name="Asset" localSheetId="3">#REF!</definedName>
    <definedName name="Asset" localSheetId="1">#REF!</definedName>
    <definedName name="Asset">#REF!</definedName>
    <definedName name="Asset_MgmtFee" localSheetId="5">#REF!</definedName>
    <definedName name="Asset_MgmtFee" localSheetId="4">#REF!</definedName>
    <definedName name="Asset_MgmtFee" localSheetId="3">#REF!</definedName>
    <definedName name="Asset_MgmtFee" localSheetId="1">#REF!</definedName>
    <definedName name="Asset_MgmtFee">#REF!</definedName>
    <definedName name="assetdebt" localSheetId="3">#REF!</definedName>
    <definedName name="assetdebt" localSheetId="1">#REF!</definedName>
    <definedName name="assetdebt">#REF!</definedName>
    <definedName name="ASSO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 localSheetId="5">#REF!</definedName>
    <definedName name="ASTA" localSheetId="4">#REF!</definedName>
    <definedName name="ASTA" localSheetId="3">#REF!</definedName>
    <definedName name="ASTA" localSheetId="1">#REF!</definedName>
    <definedName name="ASTA">#REF!</definedName>
    <definedName name="ASTL" localSheetId="3">#REF!</definedName>
    <definedName name="ASTL" localSheetId="1">#REF!</definedName>
    <definedName name="ASTL">#REF!</definedName>
    <definedName name="ASTR" localSheetId="3">#REF!</definedName>
    <definedName name="ASTR" localSheetId="1">#REF!</definedName>
    <definedName name="ASTR">#REF!</definedName>
    <definedName name="ASTX" localSheetId="3">#REF!</definedName>
    <definedName name="ASTX" localSheetId="1">#REF!</definedName>
    <definedName name="ASTX">#REF!</definedName>
    <definedName name="AS생산량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 localSheetId="5">#REF!</definedName>
    <definedName name="aut" localSheetId="4">#REF!</definedName>
    <definedName name="aut" localSheetId="3">#REF!</definedName>
    <definedName name="aut" localSheetId="1">#REF!</definedName>
    <definedName name="aut">#REF!</definedName>
    <definedName name="autoexec" localSheetId="5">#REF!</definedName>
    <definedName name="autoexec" localSheetId="4">#REF!</definedName>
    <definedName name="autoexec" localSheetId="3">#REF!</definedName>
    <definedName name="autoexec" localSheetId="1">#REF!</definedName>
    <definedName name="autoexec">#REF!</definedName>
    <definedName name="avrest" localSheetId="5">#N/A</definedName>
    <definedName name="avrest" localSheetId="4">#N/A</definedName>
    <definedName name="avrest" localSheetId="3">#REF!</definedName>
    <definedName name="avrest" localSheetId="1">#REF!</definedName>
    <definedName name="avrest">#REF!</definedName>
    <definedName name="awc" localSheetId="5">#REF!</definedName>
    <definedName name="awc" localSheetId="4">#REF!</definedName>
    <definedName name="awc" localSheetId="3">#REF!</definedName>
    <definedName name="awc" localSheetId="1">#REF!</definedName>
    <definedName name="awc">#REF!</definedName>
    <definedName name="AZ" localSheetId="5">#REF!</definedName>
    <definedName name="AZ" localSheetId="4">#REF!</definedName>
    <definedName name="AZ" localSheetId="3">#REF!</definedName>
    <definedName name="AZ" localSheetId="1">#REF!</definedName>
    <definedName name="AZ">#REF!</definedName>
    <definedName name="B" localSheetId="5">#REF!</definedName>
    <definedName name="B" localSheetId="4">#REF!</definedName>
    <definedName name="B" localSheetId="3">#REF!</definedName>
    <definedName name="B" localSheetId="1">#REF!</definedName>
    <definedName name="B">#REF!</definedName>
    <definedName name="b_t2" localSheetId="5">#REF!</definedName>
    <definedName name="b_t2" localSheetId="4">#REF!</definedName>
    <definedName name="b_t2" localSheetId="3">#REF!</definedName>
    <definedName name="b_t2" localSheetId="1">#REF!</definedName>
    <definedName name="b_t2">#REF!</definedName>
    <definedName name="BA" localSheetId="3">#REF!</definedName>
    <definedName name="BA" localSheetId="1">#REF!</definedName>
    <definedName name="BA">#REF!</definedName>
    <definedName name="BACK" localSheetId="5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 localSheetId="5">#REF!</definedName>
    <definedName name="Back_AGENCY_COFEE" localSheetId="4">#REF!</definedName>
    <definedName name="Back_AGENCY_COFEE" localSheetId="3">#REF!</definedName>
    <definedName name="Back_AGENCY_COFEE" localSheetId="1">#REF!</definedName>
    <definedName name="Back_AGENCY_COFEE">#REF!</definedName>
    <definedName name="BAck_AGENCY_EEFEE" localSheetId="5">#REF!</definedName>
    <definedName name="BAck_AGENCY_EEFEE" localSheetId="4">#REF!</definedName>
    <definedName name="BAck_AGENCY_EEFEE" localSheetId="3">#REF!</definedName>
    <definedName name="BAck_AGENCY_EEFEE" localSheetId="1">#REF!</definedName>
    <definedName name="BAck_AGENCY_EEFEE">#REF!</definedName>
    <definedName name="Back_ANN_BASE" localSheetId="5">#REF!</definedName>
    <definedName name="Back_ANN_BASE" localSheetId="4">#REF!</definedName>
    <definedName name="Back_ANN_BASE" localSheetId="3">#REF!</definedName>
    <definedName name="Back_ANN_BASE" localSheetId="1">#REF!</definedName>
    <definedName name="Back_ANN_BASE">#REF!</definedName>
    <definedName name="Back_ANN_EC_GIVEN" localSheetId="5">#REF!</definedName>
    <definedName name="Back_ANN_EC_GIVEN" localSheetId="4">#REF!</definedName>
    <definedName name="Back_ANN_EC_GIVEN" localSheetId="3">#REF!</definedName>
    <definedName name="Back_ANN_EC_GIVEN" localSheetId="1">#REF!</definedName>
    <definedName name="Back_ANN_EC_GIVEN">#REF!</definedName>
    <definedName name="Back_AREA_ALW" localSheetId="5">#REF!</definedName>
    <definedName name="Back_AREA_ALW" localSheetId="4">#REF!</definedName>
    <definedName name="Back_AREA_ALW" localSheetId="3">#REF!</definedName>
    <definedName name="Back_AREA_ALW" localSheetId="1">#REF!</definedName>
    <definedName name="Back_AREA_ALW">#REF!</definedName>
    <definedName name="Back_BON_ACT2" localSheetId="5">#REF!</definedName>
    <definedName name="Back_BON_ACT2" localSheetId="4">#REF!</definedName>
    <definedName name="Back_BON_ACT2" localSheetId="3">#REF!</definedName>
    <definedName name="Back_BON_ACT2" localSheetId="1">#REF!</definedName>
    <definedName name="Back_BON_ACT2">#REF!</definedName>
    <definedName name="Back_BON_TGT2" localSheetId="5">#REF!</definedName>
    <definedName name="Back_BON_TGT2" localSheetId="4">#REF!</definedName>
    <definedName name="Back_BON_TGT2" localSheetId="3">#REF!</definedName>
    <definedName name="Back_BON_TGT2" localSheetId="1">#REF!</definedName>
    <definedName name="Back_BON_TGT2">#REF!</definedName>
    <definedName name="Back_BURN_ALW" localSheetId="5">#REF!</definedName>
    <definedName name="Back_BURN_ALW" localSheetId="4">#REF!</definedName>
    <definedName name="Back_BURN_ALW" localSheetId="3">#REF!</definedName>
    <definedName name="Back_BURN_ALW" localSheetId="1">#REF!</definedName>
    <definedName name="Back_BURN_ALW">#REF!</definedName>
    <definedName name="Back_CAR_PLAN" localSheetId="5">#REF!</definedName>
    <definedName name="Back_CAR_PLAN" localSheetId="4">#REF!</definedName>
    <definedName name="Back_CAR_PLAN" localSheetId="3">#REF!</definedName>
    <definedName name="Back_CAR_PLAN" localSheetId="1">#REF!</definedName>
    <definedName name="Back_CAR_PLAN">#REF!</definedName>
    <definedName name="Back_CAR_PRK" localSheetId="5">#REF!</definedName>
    <definedName name="Back_CAR_PRK" localSheetId="4">#REF!</definedName>
    <definedName name="Back_CAR_PRK" localSheetId="3">#REF!</definedName>
    <definedName name="Back_CAR_PRK" localSheetId="1">#REF!</definedName>
    <definedName name="Back_CAR_PRK">#REF!</definedName>
    <definedName name="Back_Class_of_Lawyer" localSheetId="5">#REF!</definedName>
    <definedName name="Back_Class_of_Lawyer" localSheetId="4">#REF!</definedName>
    <definedName name="Back_Class_of_Lawyer" localSheetId="3">#REF!</definedName>
    <definedName name="Back_Class_of_Lawyer" localSheetId="1">#REF!</definedName>
    <definedName name="Back_Class_of_Lawyer">#REF!</definedName>
    <definedName name="Back_CLEAN_ALW" localSheetId="5">#REF!</definedName>
    <definedName name="Back_CLEAN_ALW" localSheetId="4">#REF!</definedName>
    <definedName name="Back_CLEAN_ALW" localSheetId="3">#REF!</definedName>
    <definedName name="Back_CLEAN_ALW" localSheetId="1">#REF!</definedName>
    <definedName name="Back_CLEAN_ALW">#REF!</definedName>
    <definedName name="Back_CLOTH_ALW" localSheetId="5">#REF!</definedName>
    <definedName name="Back_CLOTH_ALW" localSheetId="4">#REF!</definedName>
    <definedName name="Back_CLOTH_ALW" localSheetId="3">#REF!</definedName>
    <definedName name="Back_CLOTH_ALW" localSheetId="1">#REF!</definedName>
    <definedName name="Back_CLOTH_ALW">#REF!</definedName>
    <definedName name="Back_DEEMOT_ALW" localSheetId="5">#REF!</definedName>
    <definedName name="Back_DEEMOT_ALW" localSheetId="4">#REF!</definedName>
    <definedName name="Back_DEEMOT_ALW" localSheetId="3">#REF!</definedName>
    <definedName name="Back_DEEMOT_ALW" localSheetId="1">#REF!</definedName>
    <definedName name="Back_DEEMOT_ALW">#REF!</definedName>
    <definedName name="Back_DEEMOT_PRO" localSheetId="5">#REF!</definedName>
    <definedName name="Back_DEEMOT_PRO" localSheetId="4">#REF!</definedName>
    <definedName name="Back_DEEMOT_PRO" localSheetId="3">#REF!</definedName>
    <definedName name="Back_DEEMOT_PRO" localSheetId="1">#REF!</definedName>
    <definedName name="Back_DEEMOT_PRO">#REF!</definedName>
    <definedName name="Back_DRIVER_SAL" localSheetId="5">#REF!</definedName>
    <definedName name="Back_DRIVER_SAL" localSheetId="4">#REF!</definedName>
    <definedName name="Back_DRIVER_SAL" localSheetId="3">#REF!</definedName>
    <definedName name="Back_DRIVER_SAL" localSheetId="1">#REF!</definedName>
    <definedName name="Back_DRIVER_SAL">#REF!</definedName>
    <definedName name="Back_EPI_RATE" localSheetId="5">#REF!</definedName>
    <definedName name="Back_EPI_RATE" localSheetId="4">#REF!</definedName>
    <definedName name="Back_EPI_RATE" localSheetId="3">#REF!</definedName>
    <definedName name="Back_EPI_RATE" localSheetId="1">#REF!</definedName>
    <definedName name="Back_EPI_RATE">#REF!</definedName>
    <definedName name="Back_FAMILY_ALW" localSheetId="5">#REF!</definedName>
    <definedName name="Back_FAMILY_ALW" localSheetId="4">#REF!</definedName>
    <definedName name="Back_FAMILY_ALW" localSheetId="3">#REF!</definedName>
    <definedName name="Back_FAMILY_ALW" localSheetId="1">#REF!</definedName>
    <definedName name="Back_FAMILY_ALW">#REF!</definedName>
    <definedName name="Back_FBT_ITEMS" localSheetId="5">#REF!</definedName>
    <definedName name="Back_FBT_ITEMS" localSheetId="4">#REF!</definedName>
    <definedName name="Back_FBT_ITEMS" localSheetId="3">#REF!</definedName>
    <definedName name="Back_FBT_ITEMS" localSheetId="1">#REF!</definedName>
    <definedName name="Back_FBT_ITEMS">#REF!</definedName>
    <definedName name="Back_FEST_BON" localSheetId="5">#REF!</definedName>
    <definedName name="Back_FEST_BON" localSheetId="4">#REF!</definedName>
    <definedName name="Back_FEST_BON" localSheetId="3">#REF!</definedName>
    <definedName name="Back_FEST_BON" localSheetId="1">#REF!</definedName>
    <definedName name="Back_FEST_BON">#REF!</definedName>
    <definedName name="Back_FIXED_BON" localSheetId="5">#REF!</definedName>
    <definedName name="Back_FIXED_BON" localSheetId="4">#REF!</definedName>
    <definedName name="Back_FIXED_BON" localSheetId="3">#REF!</definedName>
    <definedName name="Back_FIXED_BON" localSheetId="1">#REF!</definedName>
    <definedName name="Back_FIXED_BON">#REF!</definedName>
    <definedName name="Back_FIXEMP_TEC" localSheetId="5">#REF!</definedName>
    <definedName name="Back_FIXEMP_TEC" localSheetId="4">#REF!</definedName>
    <definedName name="Back_FIXEMP_TEC" localSheetId="3">#REF!</definedName>
    <definedName name="Back_FIXEMP_TEC" localSheetId="1">#REF!</definedName>
    <definedName name="Back_FIXEMP_TEC">#REF!</definedName>
    <definedName name="Back_FLEX_ALW" localSheetId="5">#REF!</definedName>
    <definedName name="Back_FLEX_ALW" localSheetId="4">#REF!</definedName>
    <definedName name="Back_FLEX_ALW" localSheetId="3">#REF!</definedName>
    <definedName name="Back_FLEX_ALW" localSheetId="1">#REF!</definedName>
    <definedName name="Back_FLEX_ALW">#REF!</definedName>
    <definedName name="Back_GRATUITY" localSheetId="5">#REF!</definedName>
    <definedName name="Back_GRATUITY" localSheetId="4">#REF!</definedName>
    <definedName name="Back_GRATUITY" localSheetId="3">#REF!</definedName>
    <definedName name="Back_GRATUITY" localSheetId="1">#REF!</definedName>
    <definedName name="Back_GRATUITY">#REF!</definedName>
    <definedName name="Back_HI_RATE" localSheetId="5">#REF!</definedName>
    <definedName name="Back_HI_RATE" localSheetId="4">#REF!</definedName>
    <definedName name="Back_HI_RATE" localSheetId="3">#REF!</definedName>
    <definedName name="Back_HI_RATE" localSheetId="1">#REF!</definedName>
    <definedName name="Back_HI_RATE">#REF!</definedName>
    <definedName name="Back_HLTH_PREM" localSheetId="5">#REF!</definedName>
    <definedName name="Back_HLTH_PREM" localSheetId="4">#REF!</definedName>
    <definedName name="Back_HLTH_PREM" localSheetId="3">#REF!</definedName>
    <definedName name="Back_HLTH_PREM" localSheetId="1">#REF!</definedName>
    <definedName name="Back_HLTH_PREM">#REF!</definedName>
    <definedName name="Back_HRD_BEN" localSheetId="5">#REF!</definedName>
    <definedName name="Back_HRD_BEN" localSheetId="4">#REF!</definedName>
    <definedName name="Back_HRD_BEN" localSheetId="3">#REF!</definedName>
    <definedName name="Back_HRD_BEN" localSheetId="1">#REF!</definedName>
    <definedName name="Back_HRD_BEN">#REF!</definedName>
    <definedName name="Back_INCENT_ACT2" localSheetId="5">#REF!</definedName>
    <definedName name="Back_INCENT_ACT2" localSheetId="4">#REF!</definedName>
    <definedName name="Back_INCENT_ACT2" localSheetId="3">#REF!</definedName>
    <definedName name="Back_INCENT_ACT2" localSheetId="1">#REF!</definedName>
    <definedName name="Back_INCENT_ACT2">#REF!</definedName>
    <definedName name="Back_INCENT_TGT2" localSheetId="5">#REF!</definedName>
    <definedName name="Back_INCENT_TGT2" localSheetId="4">#REF!</definedName>
    <definedName name="Back_INCENT_TGT2" localSheetId="3">#REF!</definedName>
    <definedName name="Back_INCENT_TGT2" localSheetId="1">#REF!</definedName>
    <definedName name="Back_INCENT_TGT2">#REF!</definedName>
    <definedName name="Back_KIWI_CONVAL" localSheetId="5">#REF!</definedName>
    <definedName name="Back_KIWI_CONVAL" localSheetId="4">#REF!</definedName>
    <definedName name="Back_KIWI_CONVAL" localSheetId="3">#REF!</definedName>
    <definedName name="Back_KIWI_CONVAL" localSheetId="1">#REF!</definedName>
    <definedName name="Back_KIWI_CONVAL">#REF!</definedName>
    <definedName name="Back_KIWI_FUND" localSheetId="5">#REF!</definedName>
    <definedName name="Back_KIWI_FUND" localSheetId="4">#REF!</definedName>
    <definedName name="Back_KIWI_FUND" localSheetId="3">#REF!</definedName>
    <definedName name="Back_KIWI_FUND" localSheetId="1">#REF!</definedName>
    <definedName name="Back_KIWI_FUND">#REF!</definedName>
    <definedName name="Back_KIWI_OTHER" localSheetId="5">#REF!</definedName>
    <definedName name="Back_KIWI_OTHER" localSheetId="4">#REF!</definedName>
    <definedName name="Back_KIWI_OTHER" localSheetId="3">#REF!</definedName>
    <definedName name="Back_KIWI_OTHER" localSheetId="1">#REF!</definedName>
    <definedName name="Back_KIWI_OTHER">#REF!</definedName>
    <definedName name="Back_KIWI_TEC" localSheetId="5">#REF!</definedName>
    <definedName name="Back_KIWI_TEC" localSheetId="4">#REF!</definedName>
    <definedName name="Back_KIWI_TEC" localSheetId="3">#REF!</definedName>
    <definedName name="Back_KIWI_TEC" localSheetId="1">#REF!</definedName>
    <definedName name="Back_KIWI_TEC">#REF!</definedName>
    <definedName name="Back_KR_Actual_Title" localSheetId="5">#REF!</definedName>
    <definedName name="Back_KR_Actual_Title" localSheetId="4">#REF!</definedName>
    <definedName name="Back_KR_Actual_Title" localSheetId="3">#REF!</definedName>
    <definedName name="Back_KR_Actual_Title" localSheetId="1">#REF!</definedName>
    <definedName name="Back_KR_Actual_Title">#REF!</definedName>
    <definedName name="Back_KR_Code_Title" localSheetId="5">#REF!</definedName>
    <definedName name="Back_KR_Code_Title" localSheetId="4">#REF!</definedName>
    <definedName name="Back_KR_Code_Title" localSheetId="3">#REF!</definedName>
    <definedName name="Back_KR_Code_Title" localSheetId="1">#REF!</definedName>
    <definedName name="Back_KR_Code_Title">#REF!</definedName>
    <definedName name="Back_LEASEPRICE2" localSheetId="5">#REF!</definedName>
    <definedName name="Back_LEASEPRICE2" localSheetId="4">#REF!</definedName>
    <definedName name="Back_LEASEPRICE2" localSheetId="3">#REF!</definedName>
    <definedName name="Back_LEASEPRICE2" localSheetId="1">#REF!</definedName>
    <definedName name="Back_LEASEPRICE2">#REF!</definedName>
    <definedName name="Back_LEASEPRICEFBT" localSheetId="5">#REF!</definedName>
    <definedName name="Back_LEASEPRICEFBT" localSheetId="4">#REF!</definedName>
    <definedName name="Back_LEASEPRICEFBT" localSheetId="3">#REF!</definedName>
    <definedName name="Back_LEASEPRICEFBT" localSheetId="1">#REF!</definedName>
    <definedName name="Back_LEASEPRICEFBT">#REF!</definedName>
    <definedName name="Back_LEAVE_LOAD" localSheetId="5">#REF!</definedName>
    <definedName name="Back_LEAVE_LOAD" localSheetId="4">#REF!</definedName>
    <definedName name="Back_LEAVE_LOAD" localSheetId="3">#REF!</definedName>
    <definedName name="Back_LEAVE_LOAD" localSheetId="1">#REF!</definedName>
    <definedName name="Back_LEAVE_LOAD">#REF!</definedName>
    <definedName name="Back_MED_ALW" localSheetId="5">#REF!</definedName>
    <definedName name="Back_MED_ALW" localSheetId="4">#REF!</definedName>
    <definedName name="Back_MED_ALW" localSheetId="3">#REF!</definedName>
    <definedName name="Back_MED_ALW" localSheetId="1">#REF!</definedName>
    <definedName name="Back_MED_ALW">#REF!</definedName>
    <definedName name="BAck_MEDCARE_BEN" localSheetId="5">#REF!</definedName>
    <definedName name="BAck_MEDCARE_BEN" localSheetId="4">#REF!</definedName>
    <definedName name="BAck_MEDCARE_BEN" localSheetId="3">#REF!</definedName>
    <definedName name="BAck_MEDCARE_BEN" localSheetId="1">#REF!</definedName>
    <definedName name="BAck_MEDCARE_BEN">#REF!</definedName>
    <definedName name="Back_MSU_INSURE" localSheetId="5">#REF!</definedName>
    <definedName name="Back_MSU_INSURE" localSheetId="4">#REF!</definedName>
    <definedName name="Back_MSU_INSURE" localSheetId="3">#REF!</definedName>
    <definedName name="Back_MSU_INSURE" localSheetId="1">#REF!</definedName>
    <definedName name="Back_MSU_INSURE">#REF!</definedName>
    <definedName name="Back_NFBT_ITEMS" localSheetId="5">#REF!</definedName>
    <definedName name="Back_NFBT_ITEMS" localSheetId="4">#REF!</definedName>
    <definedName name="Back_NFBT_ITEMS" localSheetId="3">#REF!</definedName>
    <definedName name="Back_NFBT_ITEMS" localSheetId="1">#REF!</definedName>
    <definedName name="Back_NFBT_ITEMS">#REF!</definedName>
    <definedName name="Back_NUM_MTH2" localSheetId="5">#REF!</definedName>
    <definedName name="Back_NUM_MTH2" localSheetId="4">#REF!</definedName>
    <definedName name="Back_NUM_MTH2" localSheetId="3">#REF!</definedName>
    <definedName name="Back_NUM_MTH2" localSheetId="1">#REF!</definedName>
    <definedName name="Back_NUM_MTH2">#REF!</definedName>
    <definedName name="Back_OTH_BEN" localSheetId="5">#REF!</definedName>
    <definedName name="Back_OTH_BEN" localSheetId="4">#REF!</definedName>
    <definedName name="Back_OTH_BEN" localSheetId="3">#REF!</definedName>
    <definedName name="Back_OTH_BEN" localSheetId="1">#REF!</definedName>
    <definedName name="Back_OTH_BEN">#REF!</definedName>
    <definedName name="Back_OTHBON_ACT2" localSheetId="5">#REF!</definedName>
    <definedName name="Back_OTHBON_ACT2" localSheetId="4">#REF!</definedName>
    <definedName name="Back_OTHBON_ACT2" localSheetId="3">#REF!</definedName>
    <definedName name="Back_OTHBON_ACT2" localSheetId="1">#REF!</definedName>
    <definedName name="Back_OTHBON_ACT2">#REF!</definedName>
    <definedName name="Back_OTHBON_TGT2" localSheetId="5">#REF!</definedName>
    <definedName name="Back_OTHBON_TGT2" localSheetId="4">#REF!</definedName>
    <definedName name="Back_OTHBON_TGT2" localSheetId="3">#REF!</definedName>
    <definedName name="Back_OTHBON_TGT2" localSheetId="1">#REF!</definedName>
    <definedName name="Back_OTHBON_TGT2">#REF!</definedName>
    <definedName name="Back_OTHSUP_TEC" localSheetId="5">#REF!</definedName>
    <definedName name="Back_OTHSUP_TEC" localSheetId="4">#REF!</definedName>
    <definedName name="Back_OTHSUP_TEC" localSheetId="3">#REF!</definedName>
    <definedName name="Back_OTHSUP_TEC" localSheetId="1">#REF!</definedName>
    <definedName name="Back_OTHSUP_TEC">#REF!</definedName>
    <definedName name="Back_PAG_IBIG" localSheetId="5">#REF!</definedName>
    <definedName name="Back_PAG_IBIG" localSheetId="4">#REF!</definedName>
    <definedName name="Back_PAG_IBIG" localSheetId="3">#REF!</definedName>
    <definedName name="Back_PAG_IBIG" localSheetId="1">#REF!</definedName>
    <definedName name="Back_PAG_IBIG">#REF!</definedName>
    <definedName name="Back_PERSONALUSE" localSheetId="5">#REF!</definedName>
    <definedName name="Back_PERSONALUSE" localSheetId="4">#REF!</definedName>
    <definedName name="Back_PERSONALUSE" localSheetId="3">#REF!</definedName>
    <definedName name="Back_PERSONALUSE" localSheetId="1">#REF!</definedName>
    <definedName name="Back_PERSONALUSE">#REF!</definedName>
    <definedName name="Back_PREVENT_HLTH" localSheetId="5">#REF!</definedName>
    <definedName name="Back_PREVENT_HLTH" localSheetId="4">#REF!</definedName>
    <definedName name="Back_PREVENT_HLTH" localSheetId="3">#REF!</definedName>
    <definedName name="Back_PREVENT_HLTH" localSheetId="1">#REF!</definedName>
    <definedName name="Back_PREVENT_HLTH">#REF!</definedName>
    <definedName name="Back_PRICE2" localSheetId="5">#REF!</definedName>
    <definedName name="Back_PRICE2" localSheetId="4">#REF!</definedName>
    <definedName name="Back_PRICE2" localSheetId="3">#REF!</definedName>
    <definedName name="Back_PRICE2" localSheetId="1">#REF!</definedName>
    <definedName name="Back_PRICE2">#REF!</definedName>
    <definedName name="Back_PURCHASEDISCOUNT" localSheetId="5">#REF!</definedName>
    <definedName name="Back_PURCHASEDISCOUNT" localSheetId="4">#REF!</definedName>
    <definedName name="Back_PURCHASEDISCOUNT" localSheetId="3">#REF!</definedName>
    <definedName name="Back_PURCHASEDISCOUNT" localSheetId="1">#REF!</definedName>
    <definedName name="Back_PURCHASEDISCOUNT">#REF!</definedName>
    <definedName name="Back_RET_BENVAL" localSheetId="5">#REF!</definedName>
    <definedName name="Back_RET_BENVAL" localSheetId="4">#REF!</definedName>
    <definedName name="Back_RET_BENVAL" localSheetId="3">#REF!</definedName>
    <definedName name="Back_RET_BENVAL" localSheetId="1">#REF!</definedName>
    <definedName name="Back_RET_BENVAL">#REF!</definedName>
    <definedName name="Back_RET_CONVAL" localSheetId="5">#REF!</definedName>
    <definedName name="Back_RET_CONVAL" localSheetId="4">#REF!</definedName>
    <definedName name="Back_RET_CONVAL" localSheetId="3">#REF!</definedName>
    <definedName name="Back_RET_CONVAL" localSheetId="1">#REF!</definedName>
    <definedName name="Back_RET_CONVAL">#REF!</definedName>
    <definedName name="Back_SCOPE_ALW" localSheetId="5">#REF!</definedName>
    <definedName name="Back_SCOPE_ALW" localSheetId="4">#REF!</definedName>
    <definedName name="Back_SCOPE_ALW" localSheetId="3">#REF!</definedName>
    <definedName name="Back_SCOPE_ALW" localSheetId="1">#REF!</definedName>
    <definedName name="Back_SCOPE_ALW">#REF!</definedName>
    <definedName name="Back_SITEOFF_ALW" localSheetId="5">#REF!</definedName>
    <definedName name="Back_SITEOFF_ALW" localSheetId="4">#REF!</definedName>
    <definedName name="Back_SITEOFF_ALW" localSheetId="3">#REF!</definedName>
    <definedName name="Back_SITEOFF_ALW" localSheetId="1">#REF!</definedName>
    <definedName name="Back_SITEOFF_ALW">#REF!</definedName>
    <definedName name="Back_SLSMAN_ALW" localSheetId="5">#REF!</definedName>
    <definedName name="Back_SLSMAN_ALW" localSheetId="4">#REF!</definedName>
    <definedName name="Back_SLSMAN_ALW" localSheetId="3">#REF!</definedName>
    <definedName name="Back_SLSMAN_ALW" localSheetId="1">#REF!</definedName>
    <definedName name="Back_SLSMAN_ALW">#REF!</definedName>
    <definedName name="Back_SS_BEN" localSheetId="5">#REF!</definedName>
    <definedName name="Back_SS_BEN" localSheetId="4">#REF!</definedName>
    <definedName name="Back_SS_BEN" localSheetId="3">#REF!</definedName>
    <definedName name="Back_SS_BEN" localSheetId="1">#REF!</definedName>
    <definedName name="Back_SS_BEN">#REF!</definedName>
    <definedName name="Back_SS_RATE" localSheetId="5">#REF!</definedName>
    <definedName name="Back_SS_RATE" localSheetId="4">#REF!</definedName>
    <definedName name="Back_SS_RATE" localSheetId="3">#REF!</definedName>
    <definedName name="Back_SS_RATE" localSheetId="1">#REF!</definedName>
    <definedName name="Back_SS_RATE">#REF!</definedName>
    <definedName name="Back_Store_Type" localSheetId="5">#REF!</definedName>
    <definedName name="Back_Store_Type" localSheetId="4">#REF!</definedName>
    <definedName name="Back_Store_Type" localSheetId="3">#REF!</definedName>
    <definedName name="Back_Store_Type" localSheetId="1">#REF!</definedName>
    <definedName name="Back_Store_Type">#REF!</definedName>
    <definedName name="Back_TRAVEL_ALW" localSheetId="5">#REF!</definedName>
    <definedName name="Back_TRAVEL_ALW" localSheetId="4">#REF!</definedName>
    <definedName name="Back_TRAVEL_ALW" localSheetId="3">#REF!</definedName>
    <definedName name="Back_TRAVEL_ALW" localSheetId="1">#REF!</definedName>
    <definedName name="Back_TRAVEL_ALW">#REF!</definedName>
    <definedName name="Back_Type_of_Empl" localSheetId="5">#REF!</definedName>
    <definedName name="Back_Type_of_Empl" localSheetId="4">#REF!</definedName>
    <definedName name="Back_Type_of_Empl" localSheetId="3">#REF!</definedName>
    <definedName name="Back_Type_of_Empl" localSheetId="1">#REF!</definedName>
    <definedName name="Back_Type_of_Empl">#REF!</definedName>
    <definedName name="Back_UNION_COFEE" localSheetId="5">#REF!</definedName>
    <definedName name="Back_UNION_COFEE" localSheetId="4">#REF!</definedName>
    <definedName name="Back_UNION_COFEE" localSheetId="3">#REF!</definedName>
    <definedName name="Back_UNION_COFEE" localSheetId="1">#REF!</definedName>
    <definedName name="Back_UNION_COFEE">#REF!</definedName>
    <definedName name="Back_UNION_EEFEE" localSheetId="5">#REF!</definedName>
    <definedName name="Back_UNION_EEFEE" localSheetId="4">#REF!</definedName>
    <definedName name="Back_UNION_EEFEE" localSheetId="3">#REF!</definedName>
    <definedName name="Back_UNION_EEFEE" localSheetId="1">#REF!</definedName>
    <definedName name="Back_UNION_EEFEE">#REF!</definedName>
    <definedName name="BadLink" localSheetId="5" hidden="1">#REF!</definedName>
    <definedName name="BadLink" localSheetId="4" hidden="1">#REF!</definedName>
    <definedName name="BadLink" localSheetId="3" hidden="1">#REF!</definedName>
    <definedName name="BadLink" localSheetId="1" hidden="1">#REF!</definedName>
    <definedName name="BadLink" hidden="1">#REF!</definedName>
    <definedName name="BAL" localSheetId="3">#REF!</definedName>
    <definedName name="BAL" localSheetId="1">#REF!</definedName>
    <definedName name="BAL">#REF!</definedName>
    <definedName name="BalanceSheet" localSheetId="3">#REF!</definedName>
    <definedName name="BalanceSheet" localSheetId="1">#REF!</definedName>
    <definedName name="BalanceSheet">#REF!</definedName>
    <definedName name="BalanceSheet97" localSheetId="3">#REF!</definedName>
    <definedName name="BalanceSheet97" localSheetId="1">#REF!</definedName>
    <definedName name="BalanceSheet97">#REF!</definedName>
    <definedName name="BalanceSheetDates" localSheetId="3">#REF!</definedName>
    <definedName name="BalanceSheetDates" localSheetId="1">#REF!</definedName>
    <definedName name="BalanceSheetDates">#REF!</definedName>
    <definedName name="BANCA1" localSheetId="3">#REF!</definedName>
    <definedName name="BANCA1" localSheetId="1">#REF!</definedName>
    <definedName name="BANCA1">#REF!</definedName>
    <definedName name="banka" localSheetId="5">#REF!</definedName>
    <definedName name="banka" localSheetId="4">#REF!</definedName>
    <definedName name="banka" localSheetId="3">#REF!</definedName>
    <definedName name="banka" localSheetId="1">#REF!</definedName>
    <definedName name="banka">#REF!</definedName>
    <definedName name="bankb" localSheetId="3">#REF!</definedName>
    <definedName name="bankb" localSheetId="1">#REF!</definedName>
    <definedName name="bankb">#REF!</definedName>
    <definedName name="BAP" localSheetId="3">#REF!</definedName>
    <definedName name="BAP" localSheetId="1">#REF!</definedName>
    <definedName name="BAP">#REF!</definedName>
    <definedName name="BASE" localSheetId="3">#REF!</definedName>
    <definedName name="BASE" localSheetId="1">#REF!</definedName>
    <definedName name="BASE">#REF!</definedName>
    <definedName name="basebalance" localSheetId="3">#REF!</definedName>
    <definedName name="basebalance" localSheetId="1">#REF!</definedName>
    <definedName name="basebalance">#REF!</definedName>
    <definedName name="BASECARR">#N/A</definedName>
    <definedName name="BASEDOC">#N/A</definedName>
    <definedName name="Basic" localSheetId="5">#REF!</definedName>
    <definedName name="Basic" localSheetId="4">#REF!</definedName>
    <definedName name="Basic" localSheetId="3">#REF!</definedName>
    <definedName name="Basic" localSheetId="1">#REF!</definedName>
    <definedName name="Basic">#REF!</definedName>
    <definedName name="BatchName" localSheetId="3">#REF!</definedName>
    <definedName name="BatchName" localSheetId="1">#REF!</definedName>
    <definedName name="BatchName">#REF!</definedName>
    <definedName name="BB" localSheetId="3">#REF!</definedName>
    <definedName name="BB" localSheetId="1">#REF!</definedName>
    <definedName name="BB">#REF!</definedName>
    <definedName name="BBB" localSheetId="5" hidden="1">#REF!</definedName>
    <definedName name="BBB" localSheetId="4" hidden="1">#REF!</definedName>
    <definedName name="BBB" localSheetId="3" hidden="1">#REF!</definedName>
    <definedName name="BBB" localSheetId="1" hidden="1">#REF!</definedName>
    <definedName name="BBB" hidden="1">#REF!</definedName>
    <definedName name="BBBB" localSheetId="5" hidden="1">{"'호선별현황(방식)'!$K$22:$P$22","'호선별현황(방식)'!$K$22:$P$22"}</definedName>
    <definedName name="BBBB" localSheetId="4" hidden="1">{"'호선별현황(방식)'!$K$22:$P$22","'호선별현황(방식)'!$K$22:$P$22"}</definedName>
    <definedName name="BBBB" localSheetId="3" hidden="1">{"'호선별현황(방식)'!$K$22:$P$22","'호선별현황(방식)'!$K$22:$P$22"}</definedName>
    <definedName name="BBBB" localSheetId="1" hidden="1">{"'호선별현황(방식)'!$K$22:$P$22","'호선별현황(방식)'!$K$22:$P$22"}</definedName>
    <definedName name="BBBB" hidden="1">{"'호선별현황(방식)'!$K$22:$P$22","'호선별현황(방식)'!$K$22:$P$22"}</definedName>
    <definedName name="bbbbb" localSheetId="5" hidden="1">{#N/A,#N/A,FALSE,"Aging Summary";#N/A,#N/A,FALSE,"Ratio Analysis";#N/A,#N/A,FALSE,"Test 120 Day Accts";#N/A,#N/A,FALSE,"Tickmarks"}</definedName>
    <definedName name="bbbbb" localSheetId="4" hidden="1">{#N/A,#N/A,FALSE,"Aging Summary";#N/A,#N/A,FALSE,"Ratio Analysis";#N/A,#N/A,FALSE,"Test 120 Day Accts";#N/A,#N/A,FALSE,"Tickmarks"}</definedName>
    <definedName name="bbbbb" localSheetId="3" hidden="1">{#N/A,#N/A,FALSE,"Aging Summary";#N/A,#N/A,FALSE,"Ratio Analysis";#N/A,#N/A,FALSE,"Test 120 Day Accts";#N/A,#N/A,FALSE,"Tickmarks"}</definedName>
    <definedName name="bbbbb" localSheetId="1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bb" localSheetId="5">#REF!</definedName>
    <definedName name="bbbbbbbbb" localSheetId="4">#REF!</definedName>
    <definedName name="bbbbbbbbb" localSheetId="3">#REF!</definedName>
    <definedName name="bbbbbbbbb" localSheetId="1">#REF!</definedName>
    <definedName name="bbbbbbbbb">#REF!</definedName>
    <definedName name="bbbbbbbbbbbbbbb" localSheetId="5" hidden="1">{#N/A,#N/A,FALSE,"Aging Summary";#N/A,#N/A,FALSE,"Ratio Analysis";#N/A,#N/A,FALSE,"Test 120 Day Accts";#N/A,#N/A,FALSE,"Tickmarks"}</definedName>
    <definedName name="bbbbbbbbbbbbbbb" localSheetId="4" hidden="1">{#N/A,#N/A,FALSE,"Aging Summary";#N/A,#N/A,FALSE,"Ratio Analysis";#N/A,#N/A,FALSE,"Test 120 Day Accts";#N/A,#N/A,FALSE,"Tickmarks"}</definedName>
    <definedName name="bbbbbbbbbbbbbbb" localSheetId="3" hidden="1">{#N/A,#N/A,FALSE,"Aging Summary";#N/A,#N/A,FALSE,"Ratio Analysis";#N/A,#N/A,FALSE,"Test 120 Day Accts";#N/A,#N/A,FALSE,"Tickmarks"}</definedName>
    <definedName name="bbbbbbbbbbbbbbb" localSheetId="1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L" localSheetId="5">#REF!</definedName>
    <definedName name="BBL" localSheetId="4">#REF!</definedName>
    <definedName name="BBL" localSheetId="3">#REF!</definedName>
    <definedName name="BBL" localSheetId="1">#REF!</definedName>
    <definedName name="BBL">#REF!</definedName>
    <definedName name="BBP" localSheetId="3">#REF!</definedName>
    <definedName name="BBP" localSheetId="1">#REF!</definedName>
    <definedName name="BBP">#REF!</definedName>
    <definedName name="bc" localSheetId="3">#REF!</definedName>
    <definedName name="bc" localSheetId="1">#REF!</definedName>
    <definedName name="bc">#REF!</definedName>
    <definedName name="BCL" localSheetId="3">#REF!</definedName>
    <definedName name="BCL" localSheetId="1">#REF!</definedName>
    <definedName name="BCL">#REF!</definedName>
    <definedName name="BCP" localSheetId="3">#REF!</definedName>
    <definedName name="BCP" localSheetId="1">#REF!</definedName>
    <definedName name="BCP">#REF!</definedName>
    <definedName name="bcrclcl100rt" localSheetId="5">#REF!</definedName>
    <definedName name="bcrclcl100rt" localSheetId="4">#REF!</definedName>
    <definedName name="bcrclcl100rt" localSheetId="3">#REF!</definedName>
    <definedName name="bcrclcl100rt" localSheetId="1">#REF!</definedName>
    <definedName name="bcrclcl100rt">#REF!</definedName>
    <definedName name="bcrclcl100rtrkrk" localSheetId="5">#REF!</definedName>
    <definedName name="bcrclcl100rtrkrk" localSheetId="4">#REF!</definedName>
    <definedName name="bcrclcl100rtrkrk" localSheetId="3">#REF!</definedName>
    <definedName name="bcrclcl100rtrkrk" localSheetId="1">#REF!</definedName>
    <definedName name="bcrclcl100rtrkrk">#REF!</definedName>
    <definedName name="BCY_M1" localSheetId="3">#REF!</definedName>
    <definedName name="BCY_M1" localSheetId="1">#REF!</definedName>
    <definedName name="BCY_M1">#REF!</definedName>
    <definedName name="BCY_M2" localSheetId="3">#REF!</definedName>
    <definedName name="BCY_M2" localSheetId="1">#REF!</definedName>
    <definedName name="BCY_M2">#REF!</definedName>
    <definedName name="BCY_P1" localSheetId="3">#REF!</definedName>
    <definedName name="BCY_P1" localSheetId="1">#REF!</definedName>
    <definedName name="BCY_P1">#REF!</definedName>
    <definedName name="BCY_P10" localSheetId="3">#REF!</definedName>
    <definedName name="BCY_P10" localSheetId="1">#REF!</definedName>
    <definedName name="BCY_P10">#REF!</definedName>
    <definedName name="BCY_P2" localSheetId="3">#REF!</definedName>
    <definedName name="BCY_P2" localSheetId="1">#REF!</definedName>
    <definedName name="BCY_P2">#REF!</definedName>
    <definedName name="BCY_P3" localSheetId="3">#REF!</definedName>
    <definedName name="BCY_P3" localSheetId="1">#REF!</definedName>
    <definedName name="BCY_P3">#REF!</definedName>
    <definedName name="BCY_P4" localSheetId="3">#REF!</definedName>
    <definedName name="BCY_P4" localSheetId="1">#REF!</definedName>
    <definedName name="BCY_P4">#REF!</definedName>
    <definedName name="BCY_P5" localSheetId="3">#REF!</definedName>
    <definedName name="BCY_P5" localSheetId="1">#REF!</definedName>
    <definedName name="BCY_P5">#REF!</definedName>
    <definedName name="BCY_P6" localSheetId="3">#REF!</definedName>
    <definedName name="BCY_P6" localSheetId="1">#REF!</definedName>
    <definedName name="BCY_P6">#REF!</definedName>
    <definedName name="BCY_P7" localSheetId="3">#REF!</definedName>
    <definedName name="BCY_P7" localSheetId="1">#REF!</definedName>
    <definedName name="BCY_P7">#REF!</definedName>
    <definedName name="BCY_P8" localSheetId="3">#REF!</definedName>
    <definedName name="BCY_P8" localSheetId="1">#REF!</definedName>
    <definedName name="BCY_P8">#REF!</definedName>
    <definedName name="BCY_P9" localSheetId="3">#REF!</definedName>
    <definedName name="BCY_P9" localSheetId="1">#REF!</definedName>
    <definedName name="BCY_P9">#REF!</definedName>
    <definedName name="BD" localSheetId="3">#REF!</definedName>
    <definedName name="BD" localSheetId="1">#REF!</definedName>
    <definedName name="BD">#REF!</definedName>
    <definedName name="BDL" localSheetId="3">#REF!</definedName>
    <definedName name="BDL" localSheetId="1">#REF!</definedName>
    <definedName name="BDL">#REF!</definedName>
    <definedName name="BDP" localSheetId="3">#REF!</definedName>
    <definedName name="BDP" localSheetId="1">#REF!</definedName>
    <definedName name="BDP">#REF!</definedName>
    <definedName name="Beachwood" localSheetId="5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localSheetId="3" hidden="1">{"p",#N/A,FALSE,"Sheet1";"p 2",#N/A,FALSE,"Sheet1";"p 3",#N/A,FALSE,"Sheet1"}</definedName>
    <definedName name="Beachwood" localSheetId="1" hidden="1">{"p",#N/A,FALSE,"Sheet1";"p 2",#N/A,FALSE,"Sheet1";"p 3",#N/A,FALSE,"Sheet1"}</definedName>
    <definedName name="Beachwood" hidden="1">{"p",#N/A,FALSE,"Sheet1";"p 2",#N/A,FALSE,"Sheet1";"p 3",#N/A,FALSE,"Sheet1"}</definedName>
    <definedName name="Beachwood_1" localSheetId="5" hidden="1">{"p",#N/A,FALSE,"Sheet1";"p 2",#N/A,FALSE,"Sheet1";"p 3",#N/A,FALSE,"Sheet1"}</definedName>
    <definedName name="Beachwood_1" localSheetId="4" hidden="1">{"p",#N/A,FALSE,"Sheet1";"p 2",#N/A,FALSE,"Sheet1";"p 3",#N/A,FALSE,"Sheet1"}</definedName>
    <definedName name="Beachwood_1" localSheetId="3" hidden="1">{"p",#N/A,FALSE,"Sheet1";"p 2",#N/A,FALSE,"Sheet1";"p 3",#N/A,FALSE,"Sheet1"}</definedName>
    <definedName name="Beachwood_1" localSheetId="1" hidden="1">{"p",#N/A,FALSE,"Sheet1";"p 2",#N/A,FALSE,"Sheet1";"p 3",#N/A,FALSE,"Sheet1"}</definedName>
    <definedName name="Beachwood_1" hidden="1">{"p",#N/A,FALSE,"Sheet1";"p 2",#N/A,FALSE,"Sheet1";"p 3",#N/A,FALSE,"Sheet1"}</definedName>
    <definedName name="BEG_MISC" localSheetId="5">#REF!</definedName>
    <definedName name="BEG_MISC" localSheetId="4">#REF!</definedName>
    <definedName name="BEG_MISC" localSheetId="3">#REF!</definedName>
    <definedName name="BEG_MISC" localSheetId="1">#REF!</definedName>
    <definedName name="BEG_MISC">#REF!</definedName>
    <definedName name="Ben_LA2" localSheetId="5">#REF!</definedName>
    <definedName name="Ben_LA2" localSheetId="4">#REF!</definedName>
    <definedName name="Ben_LA2" localSheetId="3">#REF!</definedName>
    <definedName name="Ben_LA2" localSheetId="1">#REF!</definedName>
    <definedName name="Ben_LA2">#REF!</definedName>
    <definedName name="Ben_PM2" localSheetId="5">#REF!</definedName>
    <definedName name="Ben_PM2" localSheetId="4">#REF!</definedName>
    <definedName name="Ben_PM2" localSheetId="3">#REF!</definedName>
    <definedName name="Ben_PM2" localSheetId="1">#REF!</definedName>
    <definedName name="Ben_PM2">#REF!</definedName>
    <definedName name="Benchmark" localSheetId="5">#REF!</definedName>
    <definedName name="Benchmark" localSheetId="4">#REF!</definedName>
    <definedName name="Benchmark" localSheetId="3">#REF!</definedName>
    <definedName name="Benchmark" localSheetId="1">#REF!</definedName>
    <definedName name="Benchmark">#REF!</definedName>
    <definedName name="beta" localSheetId="3">#REF!</definedName>
    <definedName name="beta" localSheetId="1">#REF!</definedName>
    <definedName name="beta">#REF!</definedName>
    <definedName name="BG_Del" hidden="1">15</definedName>
    <definedName name="BG_Ins" hidden="1">4</definedName>
    <definedName name="BG_Mod" hidden="1">6</definedName>
    <definedName name="bn" localSheetId="5" hidden="1">{#N/A,#N/A,FALSE,"Aging Summary";#N/A,#N/A,FALSE,"Ratio Analysis";#N/A,#N/A,FALSE,"Test 120 Day Accts";#N/A,#N/A,FALSE,"Tickmarks"}</definedName>
    <definedName name="bn" localSheetId="4" hidden="1">{#N/A,#N/A,FALSE,"Aging Summary";#N/A,#N/A,FALSE,"Ratio Analysis";#N/A,#N/A,FALSE,"Test 120 Day Accts";#N/A,#N/A,FALSE,"Tickmarks"}</definedName>
    <definedName name="bn" localSheetId="3" hidden="1">{#N/A,#N/A,FALSE,"Aging Summary";#N/A,#N/A,FALSE,"Ratio Analysis";#N/A,#N/A,FALSE,"Test 120 Day Accts";#N/A,#N/A,FALSE,"Tickmarks"}</definedName>
    <definedName name="bn" localSheetId="1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Y_M1" localSheetId="5">#REF!</definedName>
    <definedName name="BNY_M1" localSheetId="4">#REF!</definedName>
    <definedName name="BNY_M1" localSheetId="3">#REF!</definedName>
    <definedName name="BNY_M1" localSheetId="1">#REF!</definedName>
    <definedName name="BNY_M1">#REF!</definedName>
    <definedName name="BNY_M2" localSheetId="3">#REF!</definedName>
    <definedName name="BNY_M2" localSheetId="1">#REF!</definedName>
    <definedName name="BNY_M2">#REF!</definedName>
    <definedName name="BNY_P1" localSheetId="3">#REF!</definedName>
    <definedName name="BNY_P1" localSheetId="1">#REF!</definedName>
    <definedName name="BNY_P1">#REF!</definedName>
    <definedName name="BNY_P10" localSheetId="3">#REF!</definedName>
    <definedName name="BNY_P10" localSheetId="1">#REF!</definedName>
    <definedName name="BNY_P10">#REF!</definedName>
    <definedName name="BNY_P2" localSheetId="3">#REF!</definedName>
    <definedName name="BNY_P2" localSheetId="1">#REF!</definedName>
    <definedName name="BNY_P2">#REF!</definedName>
    <definedName name="BNY_P3" localSheetId="3">#REF!</definedName>
    <definedName name="BNY_P3" localSheetId="1">#REF!</definedName>
    <definedName name="BNY_P3">#REF!</definedName>
    <definedName name="BNY_P4" localSheetId="3">#REF!</definedName>
    <definedName name="BNY_P4" localSheetId="1">#REF!</definedName>
    <definedName name="BNY_P4">#REF!</definedName>
    <definedName name="BNY_P5" localSheetId="3">#REF!</definedName>
    <definedName name="BNY_P5" localSheetId="1">#REF!</definedName>
    <definedName name="BNY_P5">#REF!</definedName>
    <definedName name="BNY_P6" localSheetId="3">#REF!</definedName>
    <definedName name="BNY_P6" localSheetId="1">#REF!</definedName>
    <definedName name="BNY_P6">#REF!</definedName>
    <definedName name="BNY_P7" localSheetId="3">#REF!</definedName>
    <definedName name="BNY_P7" localSheetId="1">#REF!</definedName>
    <definedName name="BNY_P7">#REF!</definedName>
    <definedName name="BNY_P8" localSheetId="3">#REF!</definedName>
    <definedName name="BNY_P8" localSheetId="1">#REF!</definedName>
    <definedName name="BNY_P8">#REF!</definedName>
    <definedName name="BNY_P9" localSheetId="3">#REF!</definedName>
    <definedName name="BNY_P9" localSheetId="1">#REF!</definedName>
    <definedName name="BNY_P9">#REF!</definedName>
    <definedName name="BODY" localSheetId="5">#REF!</definedName>
    <definedName name="BODY" localSheetId="4">#REF!</definedName>
    <definedName name="BODY" localSheetId="3">#REF!</definedName>
    <definedName name="BODY" localSheetId="1">#REF!</definedName>
    <definedName name="BODY">#REF!</definedName>
    <definedName name="Book_2002" localSheetId="3">#REF!</definedName>
    <definedName name="Book_2002" localSheetId="1">#REF!</definedName>
    <definedName name="Book_2002">#REF!</definedName>
    <definedName name="book1" localSheetId="5" hidden="1">{#N/A,#N/A,TRUE,"Y생산";#N/A,#N/A,TRUE,"Y판매";#N/A,#N/A,TRUE,"Y총물량";#N/A,#N/A,TRUE,"Y능력";#N/A,#N/A,TRUE,"YKD"}</definedName>
    <definedName name="book1" localSheetId="4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localSheetId="1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rrow_Cost" localSheetId="5">#REF!</definedName>
    <definedName name="Borrow_Cost" localSheetId="4">#REF!</definedName>
    <definedName name="Borrow_Cost" localSheetId="3">#REF!</definedName>
    <definedName name="Borrow_Cost" localSheetId="1">#REF!</definedName>
    <definedName name="Borrow_Cost">#REF!</definedName>
    <definedName name="BPR_01" localSheetId="5" hidden="1">{#N/A,#N/A,FALSE,"BS";#N/A,#N/A,FALSE,"PL";#N/A,#N/A,FALSE,"처분";#N/A,#N/A,FALSE,"현금";#N/A,#N/A,FALSE,"매출";#N/A,#N/A,FALSE,"원가";#N/A,#N/A,FALSE,"경영"}</definedName>
    <definedName name="BPR_01" localSheetId="4" hidden="1">{#N/A,#N/A,FALSE,"BS";#N/A,#N/A,FALSE,"PL";#N/A,#N/A,FALSE,"처분";#N/A,#N/A,FALSE,"현금";#N/A,#N/A,FALSE,"매출";#N/A,#N/A,FALSE,"원가";#N/A,#N/A,FALSE,"경영"}</definedName>
    <definedName name="BPR_01" localSheetId="3" hidden="1">{#N/A,#N/A,FALSE,"BS";#N/A,#N/A,FALSE,"PL";#N/A,#N/A,FALSE,"처분";#N/A,#N/A,FALSE,"현금";#N/A,#N/A,FALSE,"매출";#N/A,#N/A,FALSE,"원가";#N/A,#N/A,FALSE,"경영"}</definedName>
    <definedName name="BPR_01" localSheetId="1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ranch" localSheetId="5">#REF!</definedName>
    <definedName name="Branch" localSheetId="4">#REF!</definedName>
    <definedName name="Branch" localSheetId="3">#REF!</definedName>
    <definedName name="Branch" localSheetId="1">#REF!</definedName>
    <definedName name="Branch">#REF!</definedName>
    <definedName name="BRCOD" localSheetId="5">#REF!</definedName>
    <definedName name="BRCOD" localSheetId="4">#REF!</definedName>
    <definedName name="BRCOD" localSheetId="3">#REF!</definedName>
    <definedName name="BRCOD" localSheetId="1">#REF!</definedName>
    <definedName name="BRCOD">#REF!</definedName>
    <definedName name="bridge" localSheetId="3">#REF!</definedName>
    <definedName name="bridge" localSheetId="1">#REF!</definedName>
    <definedName name="bridge">#REF!</definedName>
    <definedName name="BRK" localSheetId="3">#REF!</definedName>
    <definedName name="BRK" localSheetId="1">#REF!</definedName>
    <definedName name="BRK">#REF!</definedName>
    <definedName name="brougham" localSheetId="3">#REF!</definedName>
    <definedName name="brougham" localSheetId="1">#REF!</definedName>
    <definedName name="brougham">#REF!</definedName>
    <definedName name="bs" localSheetId="5" hidden="1">{#N/A,#N/A,FALSE,"Aging Summary";#N/A,#N/A,FALSE,"Ratio Analysis";#N/A,#N/A,FALSE,"Test 120 Day Accts";#N/A,#N/A,FALSE,"Tickmarks"}</definedName>
    <definedName name="bs" localSheetId="4" hidden="1">{#N/A,#N/A,FALSE,"Aging Summary";#N/A,#N/A,FALSE,"Ratio Analysis";#N/A,#N/A,FALSE,"Test 120 Day Accts";#N/A,#N/A,FALSE,"Tickmarks"}</definedName>
    <definedName name="bs" localSheetId="3" hidden="1">{#N/A,#N/A,FALSE,"Aging Summary";#N/A,#N/A,FALSE,"Ratio Analysis";#N/A,#N/A,FALSE,"Test 120 Day Accts";#N/A,#N/A,FALSE,"Tickmarks"}</definedName>
    <definedName name="bs" localSheetId="1" hidden="1">{#N/A,#N/A,FALSE,"Aging Summary";#N/A,#N/A,FALSE,"Ratio Analysis";#N/A,#N/A,FALSE,"Test 120 Day Accts";#N/A,#N/A,FALSE,"Tickmarks"}</definedName>
    <definedName name="bs" hidden="1">{#N/A,#N/A,FALSE,"Aging Summary";#N/A,#N/A,FALSE,"Ratio Analysis";#N/A,#N/A,FALSE,"Test 120 Day Accts";#N/A,#N/A,FALSE,"Tickmarks"}</definedName>
    <definedName name="BS_Co" localSheetId="5">#REF!</definedName>
    <definedName name="BS_Co" localSheetId="4">#REF!</definedName>
    <definedName name="BS_Co" localSheetId="3">#REF!</definedName>
    <definedName name="BS_Co" localSheetId="1">#REF!</definedName>
    <definedName name="BS_Co">#REF!</definedName>
    <definedName name="bsbalance" localSheetId="3">#REF!</definedName>
    <definedName name="bsbalance" localSheetId="1">#REF!</definedName>
    <definedName name="bsbalance">#REF!</definedName>
    <definedName name="bsNote">#N/A</definedName>
    <definedName name="BSTA" localSheetId="5">#REF!</definedName>
    <definedName name="BSTA" localSheetId="4">#REF!</definedName>
    <definedName name="BSTA" localSheetId="3">#REF!</definedName>
    <definedName name="BSTA" localSheetId="1">#REF!</definedName>
    <definedName name="BSTA">#REF!</definedName>
    <definedName name="BSTL" localSheetId="3">#REF!</definedName>
    <definedName name="BSTL" localSheetId="1">#REF!</definedName>
    <definedName name="BSTL">#REF!</definedName>
    <definedName name="BSTR" localSheetId="3">#REF!</definedName>
    <definedName name="BSTR" localSheetId="1">#REF!</definedName>
    <definedName name="BSTR">#REF!</definedName>
    <definedName name="BSTX" localSheetId="3">#REF!</definedName>
    <definedName name="BSTX" localSheetId="1">#REF!</definedName>
    <definedName name="BSTX">#REF!</definedName>
    <definedName name="BTC_List1_100" localSheetId="3">#REF!</definedName>
    <definedName name="BTC_List1_100" localSheetId="1">#REF!</definedName>
    <definedName name="BTC_List1_100">#REF!</definedName>
    <definedName name="BTC_List1_110" localSheetId="3">#REF!</definedName>
    <definedName name="BTC_List1_110" localSheetId="1">#REF!</definedName>
    <definedName name="BTC_List1_110">#REF!</definedName>
    <definedName name="BTC_List1_120" localSheetId="3">#REF!</definedName>
    <definedName name="BTC_List1_120" localSheetId="1">#REF!</definedName>
    <definedName name="BTC_List1_120">#REF!</definedName>
    <definedName name="BTC_List1_123" localSheetId="3">#REF!</definedName>
    <definedName name="BTC_List1_123" localSheetId="1">#REF!</definedName>
    <definedName name="BTC_List1_123">#REF!</definedName>
    <definedName name="BTC_List1_130" localSheetId="3">#REF!</definedName>
    <definedName name="BTC_List1_130" localSheetId="1">#REF!</definedName>
    <definedName name="BTC_List1_130">#REF!</definedName>
    <definedName name="BTC_List1_140" localSheetId="3">#REF!</definedName>
    <definedName name="BTC_List1_140" localSheetId="1">#REF!</definedName>
    <definedName name="BTC_List1_140">#REF!</definedName>
    <definedName name="BTC_List1_150" localSheetId="3">#REF!</definedName>
    <definedName name="BTC_List1_150" localSheetId="1">#REF!</definedName>
    <definedName name="BTC_List1_150">#REF!</definedName>
    <definedName name="BTC_List1_155" localSheetId="3">#REF!</definedName>
    <definedName name="BTC_List1_155" localSheetId="1">#REF!</definedName>
    <definedName name="BTC_List1_155">#REF!</definedName>
    <definedName name="BTC_List1_160" localSheetId="3">#REF!</definedName>
    <definedName name="BTC_List1_160" localSheetId="1">#REF!</definedName>
    <definedName name="BTC_List1_160">#REF!</definedName>
    <definedName name="BTC_List1_162" localSheetId="3">#REF!</definedName>
    <definedName name="BTC_List1_162" localSheetId="1">#REF!</definedName>
    <definedName name="BTC_List1_162">#REF!</definedName>
    <definedName name="BTC_List1_166" localSheetId="3">#REF!</definedName>
    <definedName name="BTC_List1_166" localSheetId="1">#REF!</definedName>
    <definedName name="BTC_List1_166">#REF!</definedName>
    <definedName name="BTC_List1_170" localSheetId="3">#REF!</definedName>
    <definedName name="BTC_List1_170" localSheetId="1">#REF!</definedName>
    <definedName name="BTC_List1_170">#REF!</definedName>
    <definedName name="BTC_List1_180" localSheetId="3">#REF!</definedName>
    <definedName name="BTC_List1_180" localSheetId="1">#REF!</definedName>
    <definedName name="BTC_List1_180">#REF!</definedName>
    <definedName name="BTC_List1_187" localSheetId="3">#REF!</definedName>
    <definedName name="BTC_List1_187" localSheetId="1">#REF!</definedName>
    <definedName name="BTC_List1_187">#REF!</definedName>
    <definedName name="BTC_List1_190" localSheetId="3">#REF!</definedName>
    <definedName name="BTC_List1_190" localSheetId="1">#REF!</definedName>
    <definedName name="BTC_List1_190">#REF!</definedName>
    <definedName name="BTC_List1_200" localSheetId="3">#REF!</definedName>
    <definedName name="BTC_List1_200" localSheetId="1">#REF!</definedName>
    <definedName name="BTC_List1_200">#REF!</definedName>
    <definedName name="BTC_List1_210" localSheetId="3">#REF!</definedName>
    <definedName name="BTC_List1_210" localSheetId="1">#REF!</definedName>
    <definedName name="BTC_List1_210">#REF!</definedName>
    <definedName name="BTC_List1_220" localSheetId="3">#REF!</definedName>
    <definedName name="BTC_List1_220" localSheetId="1">#REF!</definedName>
    <definedName name="BTC_List1_220">#REF!</definedName>
    <definedName name="BTC_List1_501" localSheetId="3">#REF!</definedName>
    <definedName name="BTC_List1_501" localSheetId="1">#REF!</definedName>
    <definedName name="BTC_List1_501">#REF!</definedName>
    <definedName name="BTC_List1_510" localSheetId="3">#REF!</definedName>
    <definedName name="BTC_List1_510" localSheetId="1">#REF!</definedName>
    <definedName name="BTC_List1_510">#REF!</definedName>
    <definedName name="BTC_List1_520" localSheetId="3">#REF!</definedName>
    <definedName name="BTC_List1_520" localSheetId="1">#REF!</definedName>
    <definedName name="BTC_List1_520">#REF!</definedName>
    <definedName name="BTC_List1_530" localSheetId="3">#REF!</definedName>
    <definedName name="BTC_List1_530" localSheetId="1">#REF!</definedName>
    <definedName name="BTC_List1_530">#REF!</definedName>
    <definedName name="BTC_List1_541" localSheetId="3">#REF!</definedName>
    <definedName name="BTC_List1_541" localSheetId="1">#REF!</definedName>
    <definedName name="BTC_List1_541">#REF!</definedName>
    <definedName name="BTC_List1_542" localSheetId="3">#REF!</definedName>
    <definedName name="BTC_List1_542" localSheetId="1">#REF!</definedName>
    <definedName name="BTC_List1_542">#REF!</definedName>
    <definedName name="BTC_List1_543" localSheetId="3">#REF!</definedName>
    <definedName name="BTC_List1_543" localSheetId="1">#REF!</definedName>
    <definedName name="BTC_List1_543">#REF!</definedName>
    <definedName name="BTC_List1_560" localSheetId="3">#REF!</definedName>
    <definedName name="BTC_List1_560" localSheetId="1">#REF!</definedName>
    <definedName name="BTC_List1_560">#REF!</definedName>
    <definedName name="BTC_List1_570" localSheetId="3">#REF!</definedName>
    <definedName name="BTC_List1_570" localSheetId="1">#REF!</definedName>
    <definedName name="BTC_List1_570">#REF!</definedName>
    <definedName name="BTC_List1_600" localSheetId="3">#REF!</definedName>
    <definedName name="BTC_List1_600" localSheetId="1">#REF!</definedName>
    <definedName name="BTC_List1_600">#REF!</definedName>
    <definedName name="BTC_List1_610" localSheetId="3">#REF!</definedName>
    <definedName name="BTC_List1_610" localSheetId="1">#REF!</definedName>
    <definedName name="BTC_List1_610">#REF!</definedName>
    <definedName name="BTC_List1_642" localSheetId="3">#REF!</definedName>
    <definedName name="BTC_List1_642" localSheetId="1">#REF!</definedName>
    <definedName name="BTC_List1_642">#REF!</definedName>
    <definedName name="BTC_List1_671" localSheetId="3">#REF!</definedName>
    <definedName name="BTC_List1_671" localSheetId="1">#REF!</definedName>
    <definedName name="BTC_List1_671">#REF!</definedName>
    <definedName name="BTC_List1_672" localSheetId="3">#REF!</definedName>
    <definedName name="BTC_List1_672" localSheetId="1">#REF!</definedName>
    <definedName name="BTC_List1_672">#REF!</definedName>
    <definedName name="BTC_List1_690" localSheetId="3">#REF!</definedName>
    <definedName name="BTC_List1_690" localSheetId="1">#REF!</definedName>
    <definedName name="BTC_List1_690">#REF!</definedName>
    <definedName name="BTC_List1_701" localSheetId="3">#REF!</definedName>
    <definedName name="BTC_List1_701" localSheetId="1">#REF!</definedName>
    <definedName name="BTC_List1_701">#REF!</definedName>
    <definedName name="BTC_List1_702" localSheetId="3">#REF!</definedName>
    <definedName name="BTC_List1_702" localSheetId="1">#REF!</definedName>
    <definedName name="BTC_List1_702">#REF!</definedName>
    <definedName name="BTC_List1_All" localSheetId="3">#REF!</definedName>
    <definedName name="BTC_List1_All" localSheetId="1">#REF!</definedName>
    <definedName name="BTC_List1_All">#REF!</definedName>
    <definedName name="BTC_List2" localSheetId="3">#REF!</definedName>
    <definedName name="BTC_List2" localSheetId="1">#REF!</definedName>
    <definedName name="BTC_List2">#REF!</definedName>
    <definedName name="BTCs_Generic" localSheetId="5">#REF!</definedName>
    <definedName name="BTCs_Generic" localSheetId="4">#REF!</definedName>
    <definedName name="BTCs_Generic" localSheetId="3">#REF!</definedName>
    <definedName name="BTCs_Generic" localSheetId="1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 localSheetId="5">#REF!</definedName>
    <definedName name="bumwi" localSheetId="4">#REF!</definedName>
    <definedName name="bumwi" localSheetId="3">#REF!</definedName>
    <definedName name="bumwi" localSheetId="1">#REF!</definedName>
    <definedName name="bumwi">#REF!</definedName>
    <definedName name="BUTTON_N" localSheetId="3">#REF!</definedName>
    <definedName name="BUTTON_N" localSheetId="1">#REF!</definedName>
    <definedName name="BUTTON_N">#REF!</definedName>
    <definedName name="BUTTON_T" localSheetId="3">#REF!</definedName>
    <definedName name="BUTTON_T" localSheetId="1">#REF!</definedName>
    <definedName name="BUTTON_T">#REF!</definedName>
    <definedName name="Buy_Price" localSheetId="3">#REF!</definedName>
    <definedName name="Buy_Price" localSheetId="1">#REF!</definedName>
    <definedName name="Buy_Price">#REF!</definedName>
    <definedName name="bv" localSheetId="5" hidden="1">{#N/A,#N/A,FALSE,"1.CRITERIA";#N/A,#N/A,FALSE,"2.IS";#N/A,#N/A,FALSE,"3.BS";#N/A,#N/A,FALSE,"4.PER PL";#N/A,#N/A,FALSE,"5.INVESTMENT";#N/A,#N/A,FALSE,"6.공문";#N/A,#N/A,FALSE,"7.netinvest"}</definedName>
    <definedName name="bv" localSheetId="4" hidden="1">{#N/A,#N/A,FALSE,"1.CRITERIA";#N/A,#N/A,FALSE,"2.IS";#N/A,#N/A,FALSE,"3.BS";#N/A,#N/A,FALSE,"4.PER PL";#N/A,#N/A,FALSE,"5.INVESTMENT";#N/A,#N/A,FALSE,"6.공문";#N/A,#N/A,FALSE,"7.netinvest"}</definedName>
    <definedName name="bv" localSheetId="3" hidden="1">{#N/A,#N/A,FALSE,"1.CRITERIA";#N/A,#N/A,FALSE,"2.IS";#N/A,#N/A,FALSE,"3.BS";#N/A,#N/A,FALSE,"4.PER PL";#N/A,#N/A,FALSE,"5.INVESTMENT";#N/A,#N/A,FALSE,"6.공문";#N/A,#N/A,FALSE,"7.netinvest"}</definedName>
    <definedName name="bv" localSheetId="1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 localSheetId="5">#REF!</definedName>
    <definedName name="CA" localSheetId="4">#REF!</definedName>
    <definedName name="CA" localSheetId="3">#REF!</definedName>
    <definedName name="CA" localSheetId="1">#REF!</definedName>
    <definedName name="CA">#REF!</definedName>
    <definedName name="CAE해석" localSheetId="5" hidden="1">{#N/A,#N/A,FALSE,"단축1";#N/A,#N/A,FALSE,"단축2";#N/A,#N/A,FALSE,"단축3";#N/A,#N/A,FALSE,"장축";#N/A,#N/A,FALSE,"4WD"}</definedName>
    <definedName name="CAE해석" localSheetId="4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" localSheetId="5">#REF!</definedName>
    <definedName name="CAL" localSheetId="4">#REF!</definedName>
    <definedName name="CAL" localSheetId="3">#REF!</definedName>
    <definedName name="CAL" localSheetId="1">#REF!</definedName>
    <definedName name="CAL">#REF!</definedName>
    <definedName name="can" localSheetId="3">#REF!</definedName>
    <definedName name="can" localSheetId="1">#REF!</definedName>
    <definedName name="can">#REF!</definedName>
    <definedName name="canestr" localSheetId="5">#REF!:#REF!</definedName>
    <definedName name="canestr" localSheetId="4">#REF!:#REF!</definedName>
    <definedName name="canestr" localSheetId="3">#REF!:#REF!</definedName>
    <definedName name="canestr" localSheetId="1">#REF!:#REF!</definedName>
    <definedName name="canestr">#REF!:#REF!</definedName>
    <definedName name="CAP" localSheetId="5">#REF!</definedName>
    <definedName name="CAP" localSheetId="4">#REF!</definedName>
    <definedName name="CAP" localSheetId="3">#REF!</definedName>
    <definedName name="CAP" localSheetId="1">#REF!</definedName>
    <definedName name="CAP">#REF!</definedName>
    <definedName name="CAP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 localSheetId="5">#REF!</definedName>
    <definedName name="CapEx_A" localSheetId="4">#REF!</definedName>
    <definedName name="CapEx_A" localSheetId="3">#REF!</definedName>
    <definedName name="CapEx_A" localSheetId="1">#REF!</definedName>
    <definedName name="CapEx_A">#REF!</definedName>
    <definedName name="CapEx_B" localSheetId="3">#REF!</definedName>
    <definedName name="CapEx_B" localSheetId="1">#REF!</definedName>
    <definedName name="CapEx_B">#REF!</definedName>
    <definedName name="CapEx_C" localSheetId="3">#REF!</definedName>
    <definedName name="CapEx_C" localSheetId="1">#REF!</definedName>
    <definedName name="CapEx_C">#REF!</definedName>
    <definedName name="CapEx_D" localSheetId="3">#REF!</definedName>
    <definedName name="CapEx_D" localSheetId="1">#REF!</definedName>
    <definedName name="CapEx_D">#REF!</definedName>
    <definedName name="CapEx_E" localSheetId="3">#REF!</definedName>
    <definedName name="CapEx_E" localSheetId="1">#REF!</definedName>
    <definedName name="CapEx_E">#REF!</definedName>
    <definedName name="CapEx_F" localSheetId="3">#REF!</definedName>
    <definedName name="CapEx_F" localSheetId="1">#REF!</definedName>
    <definedName name="CapEx_F">#REF!</definedName>
    <definedName name="CapEx_G" localSheetId="3">#REF!</definedName>
    <definedName name="CapEx_G" localSheetId="1">#REF!</definedName>
    <definedName name="CapEx_G">#REF!</definedName>
    <definedName name="CapEx_H" localSheetId="3">#REF!</definedName>
    <definedName name="CapEx_H" localSheetId="1">#REF!</definedName>
    <definedName name="CapEx_H">#REF!</definedName>
    <definedName name="Capital_Reserve" localSheetId="3">#REF!</definedName>
    <definedName name="Capital_Reserve" localSheetId="1">#REF!</definedName>
    <definedName name="Capital_Reserve">#REF!</definedName>
    <definedName name="Car_List" localSheetId="3">#REF!</definedName>
    <definedName name="Car_List" localSheetId="1">#REF!</definedName>
    <definedName name="Car_List">#REF!</definedName>
    <definedName name="CARCODE" localSheetId="3">#REF!</definedName>
    <definedName name="CARCODE" localSheetId="1">#REF!</definedName>
    <definedName name="CARCODE">#REF!</definedName>
    <definedName name="Carpark_Revenue" localSheetId="3">#REF!</definedName>
    <definedName name="Carpark_Revenue" localSheetId="1">#REF!</definedName>
    <definedName name="Carpark_Revenue">#REF!</definedName>
    <definedName name="Case_Rev" localSheetId="3">#REF!</definedName>
    <definedName name="Case_Rev" localSheetId="1">#REF!</definedName>
    <definedName name="Case_Rev">#REF!</definedName>
    <definedName name="CASE1" localSheetId="3">#REF!</definedName>
    <definedName name="CASE1" localSheetId="1">#REF!</definedName>
    <definedName name="CASE1">#REF!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 localSheetId="5">#REF!</definedName>
    <definedName name="CASE3" localSheetId="4">#REF!</definedName>
    <definedName name="CASE3" localSheetId="3">#REF!</definedName>
    <definedName name="CASE3" localSheetId="1">#REF!</definedName>
    <definedName name="CASE3">#REF!</definedName>
    <definedName name="CASE4" localSheetId="3">#REF!</definedName>
    <definedName name="CASE4" localSheetId="1">#REF!</definedName>
    <definedName name="CASE4">#REF!</definedName>
    <definedName name="cash">#N/A</definedName>
    <definedName name="Cashflow" localSheetId="5">#REF!</definedName>
    <definedName name="Cashflow" localSheetId="4">#REF!</definedName>
    <definedName name="Cashflow" localSheetId="3">#REF!</definedName>
    <definedName name="Cashflow" localSheetId="1">#REF!</definedName>
    <definedName name="Cashflow">#REF!</definedName>
    <definedName name="CashFlow_Button1_Click">#N/A</definedName>
    <definedName name="CashFlow97" localSheetId="5">#REF!</definedName>
    <definedName name="CashFlow97" localSheetId="4">#REF!</definedName>
    <definedName name="CashFlow97" localSheetId="3">#REF!</definedName>
    <definedName name="CashFlow97" localSheetId="1">#REF!</definedName>
    <definedName name="CashFlow97">#REF!</definedName>
    <definedName name="CashflowStt" localSheetId="3">#REF!</definedName>
    <definedName name="CashflowStt" localSheetId="1">#REF!</definedName>
    <definedName name="CashflowStt">#REF!</definedName>
    <definedName name="cashIndex">#N/A</definedName>
    <definedName name="CB" localSheetId="5">#REF!</definedName>
    <definedName name="CB" localSheetId="4">#REF!</definedName>
    <definedName name="CB" localSheetId="3">#REF!</definedName>
    <definedName name="CB" localSheetId="1">#REF!</definedName>
    <definedName name="CB">#REF!</definedName>
    <definedName name="CBL" localSheetId="3">#REF!</definedName>
    <definedName name="CBL" localSheetId="1">#REF!</definedName>
    <definedName name="CBL">#REF!</definedName>
    <definedName name="CBP" localSheetId="3">#REF!</definedName>
    <definedName name="CBP" localSheetId="1">#REF!</definedName>
    <definedName name="CBP">#REF!</definedName>
    <definedName name="cc" localSheetId="3">#REF!</definedName>
    <definedName name="cc" localSheetId="1">#REF!</definedName>
    <definedName name="cc">#REF!</definedName>
    <definedName name="CC.QQ" localSheetId="3">#REF!</definedName>
    <definedName name="CC.QQ" localSheetId="1">#REF!</definedName>
    <definedName name="CC.QQ">#REF!</definedName>
    <definedName name="CCC" localSheetId="3">#REF!</definedName>
    <definedName name="CCC" localSheetId="1">#REF!</definedName>
    <definedName name="CCC">#REF!</definedName>
    <definedName name="cccccccㅊㅊㅊㅊㅊㅊㅊㅊㅊㅊㅊㅊㅊ" localSheetId="3">#REF!</definedName>
    <definedName name="cccccccㅊㅊㅊㅊㅊㅊㅊㅊㅊㅊㅊㅊㅊ" localSheetId="1">#REF!</definedName>
    <definedName name="cccccccㅊㅊㅊㅊㅊㅊㅊㅊㅊㅊㅊㅊㅊ">#REF!</definedName>
    <definedName name="CCL" localSheetId="3">#REF!</definedName>
    <definedName name="CCL" localSheetId="1">#REF!</definedName>
    <definedName name="CCL">#REF!</definedName>
    <definedName name="CCP" localSheetId="3">#REF!</definedName>
    <definedName name="CCP" localSheetId="1">#REF!</definedName>
    <definedName name="CCP">#REF!</definedName>
    <definedName name="ccr" localSheetId="3">#REF!</definedName>
    <definedName name="ccr" localSheetId="1">#REF!</definedName>
    <definedName name="ccr">#REF!</definedName>
    <definedName name="Ccy" localSheetId="3">#REF!</definedName>
    <definedName name="Ccy" localSheetId="1">#REF!</definedName>
    <definedName name="Ccy">#REF!</definedName>
    <definedName name="CD" localSheetId="3">#REF!</definedName>
    <definedName name="CD" localSheetId="1">#REF!</definedName>
    <definedName name="CD">#REF!</definedName>
    <definedName name="Cday" localSheetId="3">#REF!</definedName>
    <definedName name="Cday" localSheetId="1">#REF!</definedName>
    <definedName name="Cday">#REF!</definedName>
    <definedName name="CDE" localSheetId="5" hidden="1">{#N/A,#N/A,TRUE,"일정"}</definedName>
    <definedName name="CDE" localSheetId="4" hidden="1">{#N/A,#N/A,TRUE,"일정"}</definedName>
    <definedName name="CDE" localSheetId="3" hidden="1">{#N/A,#N/A,TRUE,"일정"}</definedName>
    <definedName name="CDE" localSheetId="1" hidden="1">{#N/A,#N/A,TRUE,"일정"}</definedName>
    <definedName name="CDE" hidden="1">{#N/A,#N/A,TRUE,"일정"}</definedName>
    <definedName name="cdhbkjbkjnkjnlmmn" localSheetId="5" hidden="1">{#N/A,#N/A,TRUE,"일정"}</definedName>
    <definedName name="cdhbkjbkjnkjnlmmn" localSheetId="4" hidden="1">{#N/A,#N/A,TRUE,"일정"}</definedName>
    <definedName name="cdhbkjbkjnkjnlmmn" localSheetId="3" hidden="1">{#N/A,#N/A,TRUE,"일정"}</definedName>
    <definedName name="cdhbkjbkjnkjnlmmn" localSheetId="1" hidden="1">{#N/A,#N/A,TRUE,"일정"}</definedName>
    <definedName name="cdhbkjbkjnkjnlmmn" hidden="1">{#N/A,#N/A,TRUE,"일정"}</definedName>
    <definedName name="CDL" localSheetId="5">#REF!</definedName>
    <definedName name="CDL" localSheetId="4">#REF!</definedName>
    <definedName name="CDL" localSheetId="3">#REF!</definedName>
    <definedName name="CDL" localSheetId="1">#REF!</definedName>
    <definedName name="CDL">#REF!</definedName>
    <definedName name="CDP" localSheetId="3">#REF!</definedName>
    <definedName name="CDP" localSheetId="1">#REF!</definedName>
    <definedName name="CDP">#REF!</definedName>
    <definedName name="CELLNOTE10" localSheetId="3">#REF!</definedName>
    <definedName name="CELLNOTE10" localSheetId="1">#REF!</definedName>
    <definedName name="CELLNOTE10">#REF!</definedName>
    <definedName name="CELLNOTE4" localSheetId="3">#REF!</definedName>
    <definedName name="CELLNOTE4" localSheetId="1">#REF!</definedName>
    <definedName name="CELLNOTE4">#REF!</definedName>
    <definedName name="CELLNOTE5" localSheetId="3">#REF!</definedName>
    <definedName name="CELLNOTE5" localSheetId="1">#REF!</definedName>
    <definedName name="CELLNOTE5">#REF!</definedName>
    <definedName name="CELLNOTE6" localSheetId="3">#REF!</definedName>
    <definedName name="CELLNOTE6" localSheetId="1">#REF!</definedName>
    <definedName name="CELLNOTE6">#REF!</definedName>
    <definedName name="CellSize" localSheetId="5">#REF!</definedName>
    <definedName name="CellSize" localSheetId="4">#REF!</definedName>
    <definedName name="CellSize" localSheetId="3">#REF!</definedName>
    <definedName name="CellSize" localSheetId="1">#REF!</definedName>
    <definedName name="CellSize">#REF!</definedName>
    <definedName name="CF" localSheetId="3">#REF!</definedName>
    <definedName name="CF" localSheetId="1">#REF!</definedName>
    <definedName name="CF">#REF!</definedName>
    <definedName name="cf1fc1s4" localSheetId="5" hidden="1">{#N/A,#N/A,FALSE,"Aging Summary";#N/A,#N/A,FALSE,"Ratio Analysis";#N/A,#N/A,FALSE,"Test 120 Day Accts";#N/A,#N/A,FALSE,"Tickmarks"}</definedName>
    <definedName name="cf1fc1s4" localSheetId="4" hidden="1">{#N/A,#N/A,FALSE,"Aging Summary";#N/A,#N/A,FALSE,"Ratio Analysis";#N/A,#N/A,FALSE,"Test 120 Day Accts";#N/A,#N/A,FALSE,"Tickmarks"}</definedName>
    <definedName name="cf1fc1s4" localSheetId="3" hidden="1">{#N/A,#N/A,FALSE,"Aging Summary";#N/A,#N/A,FALSE,"Ratio Analysis";#N/A,#N/A,FALSE,"Test 120 Day Accts";#N/A,#N/A,FALSE,"Tickmarks"}</definedName>
    <definedName name="cf1fc1s4" localSheetId="1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clear" localSheetId="5" hidden="1">{#N/A,#N/A,FALSE,"BS";#N/A,#N/A,FALSE,"PL";#N/A,#N/A,FALSE,"처분";#N/A,#N/A,FALSE,"현금";#N/A,#N/A,FALSE,"매출";#N/A,#N/A,FALSE,"원가";#N/A,#N/A,FALSE,"경영"}</definedName>
    <definedName name="cfclear" localSheetId="4" hidden="1">{#N/A,#N/A,FALSE,"BS";#N/A,#N/A,FALSE,"PL";#N/A,#N/A,FALSE,"처분";#N/A,#N/A,FALSE,"현금";#N/A,#N/A,FALSE,"매출";#N/A,#N/A,FALSE,"원가";#N/A,#N/A,FALSE,"경영"}</definedName>
    <definedName name="cfclear" localSheetId="3" hidden="1">{#N/A,#N/A,FALSE,"BS";#N/A,#N/A,FALSE,"PL";#N/A,#N/A,FALSE,"처분";#N/A,#N/A,FALSE,"현금";#N/A,#N/A,FALSE,"매출";#N/A,#N/A,FALSE,"원가";#N/A,#N/A,FALSE,"경영"}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P" localSheetId="5">#REF!</definedName>
    <definedName name="CFP" localSheetId="4">#REF!</definedName>
    <definedName name="CFP" localSheetId="3">#REF!</definedName>
    <definedName name="CFP" localSheetId="1">#REF!</definedName>
    <definedName name="CFP">#REF!</definedName>
    <definedName name="CHECK" localSheetId="5">#REF!:#REF!</definedName>
    <definedName name="CHECK" localSheetId="4">#REF!:#REF!</definedName>
    <definedName name="CHECK" localSheetId="3">#REF!:#REF!</definedName>
    <definedName name="CHECK" localSheetId="1">#REF!:#REF!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 localSheetId="5">#REF!</definedName>
    <definedName name="Chonsei_Interest_Rate" localSheetId="4">#REF!</definedName>
    <definedName name="Chonsei_Interest_Rate" localSheetId="3">#REF!</definedName>
    <definedName name="Chonsei_Interest_Rate" localSheetId="1">#REF!</definedName>
    <definedName name="Chonsei_Interest_Rate">#REF!</definedName>
    <definedName name="Chonsei_Unit" localSheetId="3">#REF!</definedName>
    <definedName name="Chonsei_Unit" localSheetId="1">#REF!</definedName>
    <definedName name="Chonsei_Unit">#REF!</definedName>
    <definedName name="chopo">#N/A</definedName>
    <definedName name="choto">#N/A</definedName>
    <definedName name="ci" localSheetId="5" hidden="1">{#N/A,#N/A,FALSE,"단축1";#N/A,#N/A,FALSE,"단축2";#N/A,#N/A,FALSE,"단축3";#N/A,#N/A,FALSE,"장축";#N/A,#N/A,FALSE,"4WD"}</definedName>
    <definedName name="ci" localSheetId="4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localSheetId="5" hidden="1">"4157c11a-7dae-466b-8fb7-961bf876c311"</definedName>
    <definedName name="CIQWBGuid" localSheetId="4" hidden="1">"4157c11a-7dae-466b-8fb7-961bf876c311"</definedName>
    <definedName name="CIQWBGuid" hidden="1">"476f5d56-2f49-456f-b2f9-cd2c53c26ccd"</definedName>
    <definedName name="Circ" localSheetId="5">#REF!</definedName>
    <definedName name="Circ" localSheetId="4">#REF!</definedName>
    <definedName name="Circ" localSheetId="3">#REF!</definedName>
    <definedName name="Circ" localSheetId="1">#REF!</definedName>
    <definedName name="Circ">#REF!</definedName>
    <definedName name="Citi_Rent_Growth" localSheetId="3">#REF!</definedName>
    <definedName name="Citi_Rent_Growth" localSheetId="1">#REF!</definedName>
    <definedName name="Citi_Rent_Growth">#REF!</definedName>
    <definedName name="ckc" localSheetId="3">#REF!</definedName>
    <definedName name="ckc" localSheetId="1">#REF!</definedName>
    <definedName name="ckc">#REF!</definedName>
    <definedName name="closing" localSheetId="3">#REF!</definedName>
    <definedName name="closing" localSheetId="1">#REF!</definedName>
    <definedName name="closing">#REF!</definedName>
    <definedName name="Closing_Date" localSheetId="3">#REF!</definedName>
    <definedName name="Closing_Date" localSheetId="1">#REF!</definedName>
    <definedName name="Closing_Date">#REF!</definedName>
    <definedName name="Cmonth" localSheetId="3">#REF!</definedName>
    <definedName name="Cmonth" localSheetId="1">#REF!</definedName>
    <definedName name="Cmonth">#REF!</definedName>
    <definedName name="CoData_Link1" localSheetId="3">#REF!</definedName>
    <definedName name="CoData_Link1" localSheetId="1">#REF!</definedName>
    <definedName name="CoData_Link1">#REF!</definedName>
    <definedName name="Ｃｏｄｅ" localSheetId="5">#REF!</definedName>
    <definedName name="Ｃｏｄｅ" localSheetId="4">#REF!</definedName>
    <definedName name="Ｃｏｄｅ" localSheetId="3">#REF!</definedName>
    <definedName name="Ｃｏｄｅ" localSheetId="1">#REF!</definedName>
    <definedName name="Ｃｏｄｅ">#REF!</definedName>
    <definedName name="code1" localSheetId="5">#REF!</definedName>
    <definedName name="code1" localSheetId="4">#REF!</definedName>
    <definedName name="code1" localSheetId="3">#REF!</definedName>
    <definedName name="code1" localSheetId="1">#REF!</definedName>
    <definedName name="code1">#REF!</definedName>
    <definedName name="code2" localSheetId="5">#REF!</definedName>
    <definedName name="code2" localSheetId="4">#REF!</definedName>
    <definedName name="code2" localSheetId="3">#REF!</definedName>
    <definedName name="code2" localSheetId="1">#REF!</definedName>
    <definedName name="code2">#REF!</definedName>
    <definedName name="ColorNames" localSheetId="3">#REF!</definedName>
    <definedName name="ColorNames" localSheetId="1">#REF!</definedName>
    <definedName name="ColorNames">#REF!</definedName>
    <definedName name="Com" localSheetId="3">#REF!</definedName>
    <definedName name="Com" localSheetId="1">#REF!</definedName>
    <definedName name="Com">#REF!</definedName>
    <definedName name="comp" localSheetId="3">#REF!</definedName>
    <definedName name="comp" localSheetId="1">#REF!</definedName>
    <definedName name="comp">#REF!</definedName>
    <definedName name="Company_Code" localSheetId="5">#REF!</definedName>
    <definedName name="Company_Code" localSheetId="4">#REF!</definedName>
    <definedName name="Company_Code" localSheetId="3">#REF!</definedName>
    <definedName name="Company_Code" localSheetId="1">#REF!</definedName>
    <definedName name="Company_Code">#REF!</definedName>
    <definedName name="Company_Name" localSheetId="5">#REF!</definedName>
    <definedName name="Company_Name" localSheetId="4">#REF!</definedName>
    <definedName name="Company_Name" localSheetId="3">#REF!</definedName>
    <definedName name="Company_Name" localSheetId="1">#REF!</definedName>
    <definedName name="Company_Name">#REF!</definedName>
    <definedName name="Composite_Land_Tax" localSheetId="5">#REF!</definedName>
    <definedName name="Composite_Land_Tax" localSheetId="4">#REF!</definedName>
    <definedName name="Composite_Land_Tax" localSheetId="3">#REF!</definedName>
    <definedName name="Composite_Land_Tax" localSheetId="1">#REF!</definedName>
    <definedName name="Composite_Land_Tax">#REF!</definedName>
    <definedName name="con" localSheetId="5">#REF!</definedName>
    <definedName name="con" localSheetId="4">#REF!</definedName>
    <definedName name="con" localSheetId="3">#REF!</definedName>
    <definedName name="con" localSheetId="1">#REF!</definedName>
    <definedName name="con">#REF!</definedName>
    <definedName name="CoName1" localSheetId="3">#REF!</definedName>
    <definedName name="CoName1" localSheetId="1">#REF!</definedName>
    <definedName name="CoName1">#REF!</definedName>
    <definedName name="conb1" localSheetId="5">#REF!</definedName>
    <definedName name="conb1" localSheetId="4">#REF!</definedName>
    <definedName name="conb1" localSheetId="3">#REF!</definedName>
    <definedName name="conb1" localSheetId="1">#REF!</definedName>
    <definedName name="conb1">#REF!</definedName>
    <definedName name="conb10" localSheetId="5">#REF!</definedName>
    <definedName name="conb10" localSheetId="4">#REF!</definedName>
    <definedName name="conb10" localSheetId="3">#REF!</definedName>
    <definedName name="conb10" localSheetId="1">#REF!</definedName>
    <definedName name="conb10">#REF!</definedName>
    <definedName name="conb100" localSheetId="5">#REF!</definedName>
    <definedName name="conb100" localSheetId="4">#REF!</definedName>
    <definedName name="conb100" localSheetId="3">#REF!</definedName>
    <definedName name="conb100" localSheetId="1">#REF!</definedName>
    <definedName name="conb100">#REF!</definedName>
    <definedName name="conb101" localSheetId="5">#REF!</definedName>
    <definedName name="conb101" localSheetId="4">#REF!</definedName>
    <definedName name="conb101" localSheetId="3">#REF!</definedName>
    <definedName name="conb101" localSheetId="1">#REF!</definedName>
    <definedName name="conb101">#REF!</definedName>
    <definedName name="conb102" localSheetId="5">#REF!</definedName>
    <definedName name="conb102" localSheetId="4">#REF!</definedName>
    <definedName name="conb102" localSheetId="3">#REF!</definedName>
    <definedName name="conb102" localSheetId="1">#REF!</definedName>
    <definedName name="conb102">#REF!</definedName>
    <definedName name="conb103" localSheetId="5">#REF!</definedName>
    <definedName name="conb103" localSheetId="4">#REF!</definedName>
    <definedName name="conb103" localSheetId="3">#REF!</definedName>
    <definedName name="conb103" localSheetId="1">#REF!</definedName>
    <definedName name="conb103">#REF!</definedName>
    <definedName name="conb104" localSheetId="5">#REF!</definedName>
    <definedName name="conb104" localSheetId="4">#REF!</definedName>
    <definedName name="conb104" localSheetId="3">#REF!</definedName>
    <definedName name="conb104" localSheetId="1">#REF!</definedName>
    <definedName name="conb104">#REF!</definedName>
    <definedName name="conb105" localSheetId="5">#REF!</definedName>
    <definedName name="conb105" localSheetId="4">#REF!</definedName>
    <definedName name="conb105" localSheetId="3">#REF!</definedName>
    <definedName name="conb105" localSheetId="1">#REF!</definedName>
    <definedName name="conb105">#REF!</definedName>
    <definedName name="conb106" localSheetId="5">#REF!</definedName>
    <definedName name="conb106" localSheetId="4">#REF!</definedName>
    <definedName name="conb106" localSheetId="3">#REF!</definedName>
    <definedName name="conb106" localSheetId="1">#REF!</definedName>
    <definedName name="conb106">#REF!</definedName>
    <definedName name="conb107" localSheetId="5">#REF!</definedName>
    <definedName name="conb107" localSheetId="4">#REF!</definedName>
    <definedName name="conb107" localSheetId="3">#REF!</definedName>
    <definedName name="conb107" localSheetId="1">#REF!</definedName>
    <definedName name="conb107">#REF!</definedName>
    <definedName name="conb108" localSheetId="5">#REF!</definedName>
    <definedName name="conb108" localSheetId="4">#REF!</definedName>
    <definedName name="conb108" localSheetId="3">#REF!</definedName>
    <definedName name="conb108" localSheetId="1">#REF!</definedName>
    <definedName name="conb108">#REF!</definedName>
    <definedName name="conb109" localSheetId="5">#REF!</definedName>
    <definedName name="conb109" localSheetId="4">#REF!</definedName>
    <definedName name="conb109" localSheetId="3">#REF!</definedName>
    <definedName name="conb109" localSheetId="1">#REF!</definedName>
    <definedName name="conb109">#REF!</definedName>
    <definedName name="conb11" localSheetId="5">#REF!</definedName>
    <definedName name="conb11" localSheetId="4">#REF!</definedName>
    <definedName name="conb11" localSheetId="3">#REF!</definedName>
    <definedName name="conb11" localSheetId="1">#REF!</definedName>
    <definedName name="conb11">#REF!</definedName>
    <definedName name="conb110" localSheetId="5">#REF!</definedName>
    <definedName name="conb110" localSheetId="4">#REF!</definedName>
    <definedName name="conb110" localSheetId="3">#REF!</definedName>
    <definedName name="conb110" localSheetId="1">#REF!</definedName>
    <definedName name="conb110">#REF!</definedName>
    <definedName name="conb111" localSheetId="5">#REF!</definedName>
    <definedName name="conb111" localSheetId="4">#REF!</definedName>
    <definedName name="conb111" localSheetId="3">#REF!</definedName>
    <definedName name="conb111" localSheetId="1">#REF!</definedName>
    <definedName name="conb111">#REF!</definedName>
    <definedName name="conb112" localSheetId="5">#REF!</definedName>
    <definedName name="conb112" localSheetId="4">#REF!</definedName>
    <definedName name="conb112" localSheetId="3">#REF!</definedName>
    <definedName name="conb112" localSheetId="1">#REF!</definedName>
    <definedName name="conb112">#REF!</definedName>
    <definedName name="conb113" localSheetId="5">#REF!</definedName>
    <definedName name="conb113" localSheetId="4">#REF!</definedName>
    <definedName name="conb113" localSheetId="3">#REF!</definedName>
    <definedName name="conb113" localSheetId="1">#REF!</definedName>
    <definedName name="conb113">#REF!</definedName>
    <definedName name="conb114" localSheetId="5">#REF!</definedName>
    <definedName name="conb114" localSheetId="4">#REF!</definedName>
    <definedName name="conb114" localSheetId="3">#REF!</definedName>
    <definedName name="conb114" localSheetId="1">#REF!</definedName>
    <definedName name="conb114">#REF!</definedName>
    <definedName name="conb115" localSheetId="5">#REF!</definedName>
    <definedName name="conb115" localSheetId="4">#REF!</definedName>
    <definedName name="conb115" localSheetId="3">#REF!</definedName>
    <definedName name="conb115" localSheetId="1">#REF!</definedName>
    <definedName name="conb115">#REF!</definedName>
    <definedName name="conb116" localSheetId="5">#REF!</definedName>
    <definedName name="conb116" localSheetId="4">#REF!</definedName>
    <definedName name="conb116" localSheetId="3">#REF!</definedName>
    <definedName name="conb116" localSheetId="1">#REF!</definedName>
    <definedName name="conb116">#REF!</definedName>
    <definedName name="conb117" localSheetId="5">#REF!</definedName>
    <definedName name="conb117" localSheetId="4">#REF!</definedName>
    <definedName name="conb117" localSheetId="3">#REF!</definedName>
    <definedName name="conb117" localSheetId="1">#REF!</definedName>
    <definedName name="conb117">#REF!</definedName>
    <definedName name="conb118" localSheetId="5">#REF!</definedName>
    <definedName name="conb118" localSheetId="4">#REF!</definedName>
    <definedName name="conb118" localSheetId="3">#REF!</definedName>
    <definedName name="conb118" localSheetId="1">#REF!</definedName>
    <definedName name="conb118">#REF!</definedName>
    <definedName name="conb119" localSheetId="5">#REF!</definedName>
    <definedName name="conb119" localSheetId="4">#REF!</definedName>
    <definedName name="conb119" localSheetId="3">#REF!</definedName>
    <definedName name="conb119" localSheetId="1">#REF!</definedName>
    <definedName name="conb119">#REF!</definedName>
    <definedName name="conb12" localSheetId="5">#REF!</definedName>
    <definedName name="conb12" localSheetId="4">#REF!</definedName>
    <definedName name="conb12" localSheetId="3">#REF!</definedName>
    <definedName name="conb12" localSheetId="1">#REF!</definedName>
    <definedName name="conb12">#REF!</definedName>
    <definedName name="conb120" localSheetId="5">#REF!</definedName>
    <definedName name="conb120" localSheetId="4">#REF!</definedName>
    <definedName name="conb120" localSheetId="3">#REF!</definedName>
    <definedName name="conb120" localSheetId="1">#REF!</definedName>
    <definedName name="conb120">#REF!</definedName>
    <definedName name="conb121" localSheetId="5">#REF!</definedName>
    <definedName name="conb121" localSheetId="4">#REF!</definedName>
    <definedName name="conb121" localSheetId="3">#REF!</definedName>
    <definedName name="conb121" localSheetId="1">#REF!</definedName>
    <definedName name="conb121">#REF!</definedName>
    <definedName name="conb13" localSheetId="5">#REF!</definedName>
    <definedName name="conb13" localSheetId="4">#REF!</definedName>
    <definedName name="conb13" localSheetId="3">#REF!</definedName>
    <definedName name="conb13" localSheetId="1">#REF!</definedName>
    <definedName name="conb13">#REF!</definedName>
    <definedName name="conb14" localSheetId="5">#REF!</definedName>
    <definedName name="conb14" localSheetId="4">#REF!</definedName>
    <definedName name="conb14" localSheetId="3">#REF!</definedName>
    <definedName name="conb14" localSheetId="1">#REF!</definedName>
    <definedName name="conb14">#REF!</definedName>
    <definedName name="conb15" localSheetId="5">#REF!</definedName>
    <definedName name="conb15" localSheetId="4">#REF!</definedName>
    <definedName name="conb15" localSheetId="3">#REF!</definedName>
    <definedName name="conb15" localSheetId="1">#REF!</definedName>
    <definedName name="conb15">#REF!</definedName>
    <definedName name="conb16" localSheetId="5">#REF!</definedName>
    <definedName name="conb16" localSheetId="4">#REF!</definedName>
    <definedName name="conb16" localSheetId="3">#REF!</definedName>
    <definedName name="conb16" localSheetId="1">#REF!</definedName>
    <definedName name="conb16">#REF!</definedName>
    <definedName name="conb17" localSheetId="5">#REF!</definedName>
    <definedName name="conb17" localSheetId="4">#REF!</definedName>
    <definedName name="conb17" localSheetId="3">#REF!</definedName>
    <definedName name="conb17" localSheetId="1">#REF!</definedName>
    <definedName name="conb17">#REF!</definedName>
    <definedName name="conb18" localSheetId="5">#REF!</definedName>
    <definedName name="conb18" localSheetId="4">#REF!</definedName>
    <definedName name="conb18" localSheetId="3">#REF!</definedName>
    <definedName name="conb18" localSheetId="1">#REF!</definedName>
    <definedName name="conb18">#REF!</definedName>
    <definedName name="conb19" localSheetId="5">#REF!</definedName>
    <definedName name="conb19" localSheetId="4">#REF!</definedName>
    <definedName name="conb19" localSheetId="3">#REF!</definedName>
    <definedName name="conb19" localSheetId="1">#REF!</definedName>
    <definedName name="conb19">#REF!</definedName>
    <definedName name="conb2" localSheetId="5">#REF!</definedName>
    <definedName name="conb2" localSheetId="4">#REF!</definedName>
    <definedName name="conb2" localSheetId="3">#REF!</definedName>
    <definedName name="conb2" localSheetId="1">#REF!</definedName>
    <definedName name="conb2">#REF!</definedName>
    <definedName name="conb20" localSheetId="5">#REF!</definedName>
    <definedName name="conb20" localSheetId="4">#REF!</definedName>
    <definedName name="conb20" localSheetId="3">#REF!</definedName>
    <definedName name="conb20" localSheetId="1">#REF!</definedName>
    <definedName name="conb20">#REF!</definedName>
    <definedName name="conb21" localSheetId="5">#REF!</definedName>
    <definedName name="conb21" localSheetId="4">#REF!</definedName>
    <definedName name="conb21" localSheetId="3">#REF!</definedName>
    <definedName name="conb21" localSheetId="1">#REF!</definedName>
    <definedName name="conb21">#REF!</definedName>
    <definedName name="conb22" localSheetId="5">#REF!</definedName>
    <definedName name="conb22" localSheetId="4">#REF!</definedName>
    <definedName name="conb22" localSheetId="3">#REF!</definedName>
    <definedName name="conb22" localSheetId="1">#REF!</definedName>
    <definedName name="conb22">#REF!</definedName>
    <definedName name="conb23" localSheetId="5">#REF!</definedName>
    <definedName name="conb23" localSheetId="4">#REF!</definedName>
    <definedName name="conb23" localSheetId="3">#REF!</definedName>
    <definedName name="conb23" localSheetId="1">#REF!</definedName>
    <definedName name="conb23">#REF!</definedName>
    <definedName name="conb24" localSheetId="5">#REF!</definedName>
    <definedName name="conb24" localSheetId="4">#REF!</definedName>
    <definedName name="conb24" localSheetId="3">#REF!</definedName>
    <definedName name="conb24" localSheetId="1">#REF!</definedName>
    <definedName name="conb24">#REF!</definedName>
    <definedName name="conb25" localSheetId="5">#REF!</definedName>
    <definedName name="conb25" localSheetId="4">#REF!</definedName>
    <definedName name="conb25" localSheetId="3">#REF!</definedName>
    <definedName name="conb25" localSheetId="1">#REF!</definedName>
    <definedName name="conb25">#REF!</definedName>
    <definedName name="conb26" localSheetId="5">#REF!</definedName>
    <definedName name="conb26" localSheetId="4">#REF!</definedName>
    <definedName name="conb26" localSheetId="3">#REF!</definedName>
    <definedName name="conb26" localSheetId="1">#REF!</definedName>
    <definedName name="conb26">#REF!</definedName>
    <definedName name="conb27" localSheetId="5">#REF!</definedName>
    <definedName name="conb27" localSheetId="4">#REF!</definedName>
    <definedName name="conb27" localSheetId="3">#REF!</definedName>
    <definedName name="conb27" localSheetId="1">#REF!</definedName>
    <definedName name="conb27">#REF!</definedName>
    <definedName name="conb28" localSheetId="5">#REF!</definedName>
    <definedName name="conb28" localSheetId="4">#REF!</definedName>
    <definedName name="conb28" localSheetId="3">#REF!</definedName>
    <definedName name="conb28" localSheetId="1">#REF!</definedName>
    <definedName name="conb28">#REF!</definedName>
    <definedName name="conb29" localSheetId="5">#REF!</definedName>
    <definedName name="conb29" localSheetId="4">#REF!</definedName>
    <definedName name="conb29" localSheetId="3">#REF!</definedName>
    <definedName name="conb29" localSheetId="1">#REF!</definedName>
    <definedName name="conb29">#REF!</definedName>
    <definedName name="conb3" localSheetId="5">#REF!</definedName>
    <definedName name="conb3" localSheetId="4">#REF!</definedName>
    <definedName name="conb3" localSheetId="3">#REF!</definedName>
    <definedName name="conb3" localSheetId="1">#REF!</definedName>
    <definedName name="conb3">#REF!</definedName>
    <definedName name="conb30" localSheetId="5">#REF!</definedName>
    <definedName name="conb30" localSheetId="4">#REF!</definedName>
    <definedName name="conb30" localSheetId="3">#REF!</definedName>
    <definedName name="conb30" localSheetId="1">#REF!</definedName>
    <definedName name="conb30">#REF!</definedName>
    <definedName name="conb31" localSheetId="5">#REF!</definedName>
    <definedName name="conb31" localSheetId="4">#REF!</definedName>
    <definedName name="conb31" localSheetId="3">#REF!</definedName>
    <definedName name="conb31" localSheetId="1">#REF!</definedName>
    <definedName name="conb31">#REF!</definedName>
    <definedName name="conb33" localSheetId="5">#REF!</definedName>
    <definedName name="conb33" localSheetId="4">#REF!</definedName>
    <definedName name="conb33" localSheetId="3">#REF!</definedName>
    <definedName name="conb33" localSheetId="1">#REF!</definedName>
    <definedName name="conb33">#REF!</definedName>
    <definedName name="conb34" localSheetId="5">#REF!</definedName>
    <definedName name="conb34" localSheetId="4">#REF!</definedName>
    <definedName name="conb34" localSheetId="3">#REF!</definedName>
    <definedName name="conb34" localSheetId="1">#REF!</definedName>
    <definedName name="conb34">#REF!</definedName>
    <definedName name="conb36" localSheetId="5">#REF!</definedName>
    <definedName name="conb36" localSheetId="4">#REF!</definedName>
    <definedName name="conb36" localSheetId="3">#REF!</definedName>
    <definedName name="conb36" localSheetId="1">#REF!</definedName>
    <definedName name="conb36">#REF!</definedName>
    <definedName name="conb37" localSheetId="5">#REF!</definedName>
    <definedName name="conb37" localSheetId="4">#REF!</definedName>
    <definedName name="conb37" localSheetId="3">#REF!</definedName>
    <definedName name="conb37" localSheetId="1">#REF!</definedName>
    <definedName name="conb37">#REF!</definedName>
    <definedName name="conb38" localSheetId="5">#REF!</definedName>
    <definedName name="conb38" localSheetId="4">#REF!</definedName>
    <definedName name="conb38" localSheetId="3">#REF!</definedName>
    <definedName name="conb38" localSheetId="1">#REF!</definedName>
    <definedName name="conb38">#REF!</definedName>
    <definedName name="conb39" localSheetId="5">#REF!</definedName>
    <definedName name="conb39" localSheetId="4">#REF!</definedName>
    <definedName name="conb39" localSheetId="3">#REF!</definedName>
    <definedName name="conb39" localSheetId="1">#REF!</definedName>
    <definedName name="conb39">#REF!</definedName>
    <definedName name="conb4" localSheetId="5">#REF!</definedName>
    <definedName name="conb4" localSheetId="4">#REF!</definedName>
    <definedName name="conb4" localSheetId="3">#REF!</definedName>
    <definedName name="conb4" localSheetId="1">#REF!</definedName>
    <definedName name="conb4">#REF!</definedName>
    <definedName name="conb40" localSheetId="5">#REF!</definedName>
    <definedName name="conb40" localSheetId="4">#REF!</definedName>
    <definedName name="conb40" localSheetId="3">#REF!</definedName>
    <definedName name="conb40" localSheetId="1">#REF!</definedName>
    <definedName name="conb40">#REF!</definedName>
    <definedName name="conb41" localSheetId="5">#REF!</definedName>
    <definedName name="conb41" localSheetId="4">#REF!</definedName>
    <definedName name="conb41" localSheetId="3">#REF!</definedName>
    <definedName name="conb41" localSheetId="1">#REF!</definedName>
    <definedName name="conb41">#REF!</definedName>
    <definedName name="conb42" localSheetId="5">#REF!</definedName>
    <definedName name="conb42" localSheetId="4">#REF!</definedName>
    <definedName name="conb42" localSheetId="3">#REF!</definedName>
    <definedName name="conb42" localSheetId="1">#REF!</definedName>
    <definedName name="conb42">#REF!</definedName>
    <definedName name="conb43" localSheetId="5">#REF!</definedName>
    <definedName name="conb43" localSheetId="4">#REF!</definedName>
    <definedName name="conb43" localSheetId="3">#REF!</definedName>
    <definedName name="conb43" localSheetId="1">#REF!</definedName>
    <definedName name="conb43">#REF!</definedName>
    <definedName name="conb44" localSheetId="5">#REF!</definedName>
    <definedName name="conb44" localSheetId="4">#REF!</definedName>
    <definedName name="conb44" localSheetId="3">#REF!</definedName>
    <definedName name="conb44" localSheetId="1">#REF!</definedName>
    <definedName name="conb44">#REF!</definedName>
    <definedName name="conb45" localSheetId="5">#REF!</definedName>
    <definedName name="conb45" localSheetId="4">#REF!</definedName>
    <definedName name="conb45" localSheetId="3">#REF!</definedName>
    <definedName name="conb45" localSheetId="1">#REF!</definedName>
    <definedName name="conb45">#REF!</definedName>
    <definedName name="conb46" localSheetId="5">#REF!</definedName>
    <definedName name="conb46" localSheetId="4">#REF!</definedName>
    <definedName name="conb46" localSheetId="3">#REF!</definedName>
    <definedName name="conb46" localSheetId="1">#REF!</definedName>
    <definedName name="conb46">#REF!</definedName>
    <definedName name="conb47" localSheetId="5">#REF!</definedName>
    <definedName name="conb47" localSheetId="4">#REF!</definedName>
    <definedName name="conb47" localSheetId="3">#REF!</definedName>
    <definedName name="conb47" localSheetId="1">#REF!</definedName>
    <definedName name="conb47">#REF!</definedName>
    <definedName name="conb48" localSheetId="5">#REF!</definedName>
    <definedName name="conb48" localSheetId="4">#REF!</definedName>
    <definedName name="conb48" localSheetId="3">#REF!</definedName>
    <definedName name="conb48" localSheetId="1">#REF!</definedName>
    <definedName name="conb48">#REF!</definedName>
    <definedName name="conb49" localSheetId="5">#REF!</definedName>
    <definedName name="conb49" localSheetId="4">#REF!</definedName>
    <definedName name="conb49" localSheetId="3">#REF!</definedName>
    <definedName name="conb49" localSheetId="1">#REF!</definedName>
    <definedName name="conb49">#REF!</definedName>
    <definedName name="conb5" localSheetId="5">#REF!</definedName>
    <definedName name="conb5" localSheetId="4">#REF!</definedName>
    <definedName name="conb5" localSheetId="3">#REF!</definedName>
    <definedName name="conb5" localSheetId="1">#REF!</definedName>
    <definedName name="conb5">#REF!</definedName>
    <definedName name="conb50" localSheetId="5">#REF!</definedName>
    <definedName name="conb50" localSheetId="4">#REF!</definedName>
    <definedName name="conb50" localSheetId="3">#REF!</definedName>
    <definedName name="conb50" localSheetId="1">#REF!</definedName>
    <definedName name="conb50">#REF!</definedName>
    <definedName name="conb51" localSheetId="5">#REF!</definedName>
    <definedName name="conb51" localSheetId="4">#REF!</definedName>
    <definedName name="conb51" localSheetId="3">#REF!</definedName>
    <definedName name="conb51" localSheetId="1">#REF!</definedName>
    <definedName name="conb51">#REF!</definedName>
    <definedName name="conb52" localSheetId="5">#REF!</definedName>
    <definedName name="conb52" localSheetId="4">#REF!</definedName>
    <definedName name="conb52" localSheetId="3">#REF!</definedName>
    <definedName name="conb52" localSheetId="1">#REF!</definedName>
    <definedName name="conb52">#REF!</definedName>
    <definedName name="conb53" localSheetId="5">#REF!</definedName>
    <definedName name="conb53" localSheetId="4">#REF!</definedName>
    <definedName name="conb53" localSheetId="3">#REF!</definedName>
    <definedName name="conb53" localSheetId="1">#REF!</definedName>
    <definedName name="conb53">#REF!</definedName>
    <definedName name="conb54" localSheetId="5">#REF!</definedName>
    <definedName name="conb54" localSheetId="4">#REF!</definedName>
    <definedName name="conb54" localSheetId="3">#REF!</definedName>
    <definedName name="conb54" localSheetId="1">#REF!</definedName>
    <definedName name="conb54">#REF!</definedName>
    <definedName name="conb55" localSheetId="5">#REF!</definedName>
    <definedName name="conb55" localSheetId="4">#REF!</definedName>
    <definedName name="conb55" localSheetId="3">#REF!</definedName>
    <definedName name="conb55" localSheetId="1">#REF!</definedName>
    <definedName name="conb55">#REF!</definedName>
    <definedName name="conb58" localSheetId="5">#REF!</definedName>
    <definedName name="conb58" localSheetId="4">#REF!</definedName>
    <definedName name="conb58" localSheetId="3">#REF!</definedName>
    <definedName name="conb58" localSheetId="1">#REF!</definedName>
    <definedName name="conb58">#REF!</definedName>
    <definedName name="conb59" localSheetId="5">#REF!</definedName>
    <definedName name="conb59" localSheetId="4">#REF!</definedName>
    <definedName name="conb59" localSheetId="3">#REF!</definedName>
    <definedName name="conb59" localSheetId="1">#REF!</definedName>
    <definedName name="conb59">#REF!</definedName>
    <definedName name="conb6" localSheetId="5">#REF!</definedName>
    <definedName name="conb6" localSheetId="4">#REF!</definedName>
    <definedName name="conb6" localSheetId="3">#REF!</definedName>
    <definedName name="conb6" localSheetId="1">#REF!</definedName>
    <definedName name="conb6">#REF!</definedName>
    <definedName name="conb60" localSheetId="5">#REF!</definedName>
    <definedName name="conb60" localSheetId="4">#REF!</definedName>
    <definedName name="conb60" localSheetId="3">#REF!</definedName>
    <definedName name="conb60" localSheetId="1">#REF!</definedName>
    <definedName name="conb60">#REF!</definedName>
    <definedName name="conb61" localSheetId="5">#REF!</definedName>
    <definedName name="conb61" localSheetId="4">#REF!</definedName>
    <definedName name="conb61" localSheetId="3">#REF!</definedName>
    <definedName name="conb61" localSheetId="1">#REF!</definedName>
    <definedName name="conb61">#REF!</definedName>
    <definedName name="conb62" localSheetId="5">#REF!</definedName>
    <definedName name="conb62" localSheetId="4">#REF!</definedName>
    <definedName name="conb62" localSheetId="3">#REF!</definedName>
    <definedName name="conb62" localSheetId="1">#REF!</definedName>
    <definedName name="conb62">#REF!</definedName>
    <definedName name="conb63" localSheetId="5">#REF!</definedName>
    <definedName name="conb63" localSheetId="4">#REF!</definedName>
    <definedName name="conb63" localSheetId="3">#REF!</definedName>
    <definedName name="conb63" localSheetId="1">#REF!</definedName>
    <definedName name="conb63">#REF!</definedName>
    <definedName name="conb64" localSheetId="5">#REF!</definedName>
    <definedName name="conb64" localSheetId="4">#REF!</definedName>
    <definedName name="conb64" localSheetId="3">#REF!</definedName>
    <definedName name="conb64" localSheetId="1">#REF!</definedName>
    <definedName name="conb64">#REF!</definedName>
    <definedName name="conb65" localSheetId="5">#REF!</definedName>
    <definedName name="conb65" localSheetId="4">#REF!</definedName>
    <definedName name="conb65" localSheetId="3">#REF!</definedName>
    <definedName name="conb65" localSheetId="1">#REF!</definedName>
    <definedName name="conb65">#REF!</definedName>
    <definedName name="conb66" localSheetId="5">#REF!</definedName>
    <definedName name="conb66" localSheetId="4">#REF!</definedName>
    <definedName name="conb66" localSheetId="3">#REF!</definedName>
    <definedName name="conb66" localSheetId="1">#REF!</definedName>
    <definedName name="conb66">#REF!</definedName>
    <definedName name="conb67" localSheetId="5">#REF!</definedName>
    <definedName name="conb67" localSheetId="4">#REF!</definedName>
    <definedName name="conb67" localSheetId="3">#REF!</definedName>
    <definedName name="conb67" localSheetId="1">#REF!</definedName>
    <definedName name="conb67">#REF!</definedName>
    <definedName name="conb68" localSheetId="5">#REF!</definedName>
    <definedName name="conb68" localSheetId="4">#REF!</definedName>
    <definedName name="conb68" localSheetId="3">#REF!</definedName>
    <definedName name="conb68" localSheetId="1">#REF!</definedName>
    <definedName name="conb68">#REF!</definedName>
    <definedName name="conb69" localSheetId="5">#REF!</definedName>
    <definedName name="conb69" localSheetId="4">#REF!</definedName>
    <definedName name="conb69" localSheetId="3">#REF!</definedName>
    <definedName name="conb69" localSheetId="1">#REF!</definedName>
    <definedName name="conb69">#REF!</definedName>
    <definedName name="conb7" localSheetId="5">#REF!</definedName>
    <definedName name="conb7" localSheetId="4">#REF!</definedName>
    <definedName name="conb7" localSheetId="3">#REF!</definedName>
    <definedName name="conb7" localSheetId="1">#REF!</definedName>
    <definedName name="conb7">#REF!</definedName>
    <definedName name="conb70" localSheetId="5">#REF!</definedName>
    <definedName name="conb70" localSheetId="4">#REF!</definedName>
    <definedName name="conb70" localSheetId="3">#REF!</definedName>
    <definedName name="conb70" localSheetId="1">#REF!</definedName>
    <definedName name="conb70">#REF!</definedName>
    <definedName name="conb71" localSheetId="5">#REF!</definedName>
    <definedName name="conb71" localSheetId="4">#REF!</definedName>
    <definedName name="conb71" localSheetId="3">#REF!</definedName>
    <definedName name="conb71" localSheetId="1">#REF!</definedName>
    <definedName name="conb71">#REF!</definedName>
    <definedName name="conb72" localSheetId="5">#REF!</definedName>
    <definedName name="conb72" localSheetId="4">#REF!</definedName>
    <definedName name="conb72" localSheetId="3">#REF!</definedName>
    <definedName name="conb72" localSheetId="1">#REF!</definedName>
    <definedName name="conb72">#REF!</definedName>
    <definedName name="conb73" localSheetId="5">#REF!</definedName>
    <definedName name="conb73" localSheetId="4">#REF!</definedName>
    <definedName name="conb73" localSheetId="3">#REF!</definedName>
    <definedName name="conb73" localSheetId="1">#REF!</definedName>
    <definedName name="conb73">#REF!</definedName>
    <definedName name="conb74" localSheetId="5">#REF!</definedName>
    <definedName name="conb74" localSheetId="4">#REF!</definedName>
    <definedName name="conb74" localSheetId="3">#REF!</definedName>
    <definedName name="conb74" localSheetId="1">#REF!</definedName>
    <definedName name="conb74">#REF!</definedName>
    <definedName name="conb75" localSheetId="5">#REF!</definedName>
    <definedName name="conb75" localSheetId="4">#REF!</definedName>
    <definedName name="conb75" localSheetId="3">#REF!</definedName>
    <definedName name="conb75" localSheetId="1">#REF!</definedName>
    <definedName name="conb75">#REF!</definedName>
    <definedName name="conb76" localSheetId="5">#REF!</definedName>
    <definedName name="conb76" localSheetId="4">#REF!</definedName>
    <definedName name="conb76" localSheetId="3">#REF!</definedName>
    <definedName name="conb76" localSheetId="1">#REF!</definedName>
    <definedName name="conb76">#REF!</definedName>
    <definedName name="conb77" localSheetId="5">#REF!</definedName>
    <definedName name="conb77" localSheetId="4">#REF!</definedName>
    <definedName name="conb77" localSheetId="3">#REF!</definedName>
    <definedName name="conb77" localSheetId="1">#REF!</definedName>
    <definedName name="conb77">#REF!</definedName>
    <definedName name="conb78" localSheetId="5">#REF!</definedName>
    <definedName name="conb78" localSheetId="4">#REF!</definedName>
    <definedName name="conb78" localSheetId="3">#REF!</definedName>
    <definedName name="conb78" localSheetId="1">#REF!</definedName>
    <definedName name="conb78">#REF!</definedName>
    <definedName name="conb79" localSheetId="5">#REF!</definedName>
    <definedName name="conb79" localSheetId="4">#REF!</definedName>
    <definedName name="conb79" localSheetId="3">#REF!</definedName>
    <definedName name="conb79" localSheetId="1">#REF!</definedName>
    <definedName name="conb79">#REF!</definedName>
    <definedName name="conb8" localSheetId="5">#REF!</definedName>
    <definedName name="conb8" localSheetId="4">#REF!</definedName>
    <definedName name="conb8" localSheetId="3">#REF!</definedName>
    <definedName name="conb8" localSheetId="1">#REF!</definedName>
    <definedName name="conb8">#REF!</definedName>
    <definedName name="conb80" localSheetId="5">#REF!</definedName>
    <definedName name="conb80" localSheetId="4">#REF!</definedName>
    <definedName name="conb80" localSheetId="3">#REF!</definedName>
    <definedName name="conb80" localSheetId="1">#REF!</definedName>
    <definedName name="conb80">#REF!</definedName>
    <definedName name="conb81" localSheetId="5">#REF!</definedName>
    <definedName name="conb81" localSheetId="4">#REF!</definedName>
    <definedName name="conb81" localSheetId="3">#REF!</definedName>
    <definedName name="conb81" localSheetId="1">#REF!</definedName>
    <definedName name="conb81">#REF!</definedName>
    <definedName name="conb82" localSheetId="5">#REF!</definedName>
    <definedName name="conb82" localSheetId="4">#REF!</definedName>
    <definedName name="conb82" localSheetId="3">#REF!</definedName>
    <definedName name="conb82" localSheetId="1">#REF!</definedName>
    <definedName name="conb82">#REF!</definedName>
    <definedName name="conb83" localSheetId="5">#REF!</definedName>
    <definedName name="conb83" localSheetId="4">#REF!</definedName>
    <definedName name="conb83" localSheetId="3">#REF!</definedName>
    <definedName name="conb83" localSheetId="1">#REF!</definedName>
    <definedName name="conb83">#REF!</definedName>
    <definedName name="conb84" localSheetId="5">#REF!</definedName>
    <definedName name="conb84" localSheetId="4">#REF!</definedName>
    <definedName name="conb84" localSheetId="3">#REF!</definedName>
    <definedName name="conb84" localSheetId="1">#REF!</definedName>
    <definedName name="conb84">#REF!</definedName>
    <definedName name="conb85" localSheetId="5">#REF!</definedName>
    <definedName name="conb85" localSheetId="4">#REF!</definedName>
    <definedName name="conb85" localSheetId="3">#REF!</definedName>
    <definedName name="conb85" localSheetId="1">#REF!</definedName>
    <definedName name="conb85">#REF!</definedName>
    <definedName name="conb86" localSheetId="5">#REF!</definedName>
    <definedName name="conb86" localSheetId="4">#REF!</definedName>
    <definedName name="conb86" localSheetId="3">#REF!</definedName>
    <definedName name="conb86" localSheetId="1">#REF!</definedName>
    <definedName name="conb86">#REF!</definedName>
    <definedName name="conb87" localSheetId="5">#REF!</definedName>
    <definedName name="conb87" localSheetId="4">#REF!</definedName>
    <definedName name="conb87" localSheetId="3">#REF!</definedName>
    <definedName name="conb87" localSheetId="1">#REF!</definedName>
    <definedName name="conb87">#REF!</definedName>
    <definedName name="conb88" localSheetId="5">#REF!</definedName>
    <definedName name="conb88" localSheetId="4">#REF!</definedName>
    <definedName name="conb88" localSheetId="3">#REF!</definedName>
    <definedName name="conb88" localSheetId="1">#REF!</definedName>
    <definedName name="conb88">#REF!</definedName>
    <definedName name="conb89" localSheetId="5">#REF!</definedName>
    <definedName name="conb89" localSheetId="4">#REF!</definedName>
    <definedName name="conb89" localSheetId="3">#REF!</definedName>
    <definedName name="conb89" localSheetId="1">#REF!</definedName>
    <definedName name="conb89">#REF!</definedName>
    <definedName name="conb9" localSheetId="5">#REF!</definedName>
    <definedName name="conb9" localSheetId="4">#REF!</definedName>
    <definedName name="conb9" localSheetId="3">#REF!</definedName>
    <definedName name="conb9" localSheetId="1">#REF!</definedName>
    <definedName name="conb9">#REF!</definedName>
    <definedName name="conb90" localSheetId="5">#REF!</definedName>
    <definedName name="conb90" localSheetId="4">#REF!</definedName>
    <definedName name="conb90" localSheetId="3">#REF!</definedName>
    <definedName name="conb90" localSheetId="1">#REF!</definedName>
    <definedName name="conb90">#REF!</definedName>
    <definedName name="conb91" localSheetId="5">#REF!</definedName>
    <definedName name="conb91" localSheetId="4">#REF!</definedName>
    <definedName name="conb91" localSheetId="3">#REF!</definedName>
    <definedName name="conb91" localSheetId="1">#REF!</definedName>
    <definedName name="conb91">#REF!</definedName>
    <definedName name="conb92" localSheetId="5">#REF!</definedName>
    <definedName name="conb92" localSheetId="4">#REF!</definedName>
    <definedName name="conb92" localSheetId="3">#REF!</definedName>
    <definedName name="conb92" localSheetId="1">#REF!</definedName>
    <definedName name="conb92">#REF!</definedName>
    <definedName name="conb93" localSheetId="5">#REF!</definedName>
    <definedName name="conb93" localSheetId="4">#REF!</definedName>
    <definedName name="conb93" localSheetId="3">#REF!</definedName>
    <definedName name="conb93" localSheetId="1">#REF!</definedName>
    <definedName name="conb93">#REF!</definedName>
    <definedName name="conb94" localSheetId="5">#REF!</definedName>
    <definedName name="conb94" localSheetId="4">#REF!</definedName>
    <definedName name="conb94" localSheetId="3">#REF!</definedName>
    <definedName name="conb94" localSheetId="1">#REF!</definedName>
    <definedName name="conb94">#REF!</definedName>
    <definedName name="conb95" localSheetId="5">#REF!</definedName>
    <definedName name="conb95" localSheetId="4">#REF!</definedName>
    <definedName name="conb95" localSheetId="3">#REF!</definedName>
    <definedName name="conb95" localSheetId="1">#REF!</definedName>
    <definedName name="conb95">#REF!</definedName>
    <definedName name="conb96" localSheetId="5">#REF!</definedName>
    <definedName name="conb96" localSheetId="4">#REF!</definedName>
    <definedName name="conb96" localSheetId="3">#REF!</definedName>
    <definedName name="conb96" localSheetId="1">#REF!</definedName>
    <definedName name="conb96">#REF!</definedName>
    <definedName name="conb97" localSheetId="5">#REF!</definedName>
    <definedName name="conb97" localSheetId="4">#REF!</definedName>
    <definedName name="conb97" localSheetId="3">#REF!</definedName>
    <definedName name="conb97" localSheetId="1">#REF!</definedName>
    <definedName name="conb97">#REF!</definedName>
    <definedName name="conb98" localSheetId="5">#REF!</definedName>
    <definedName name="conb98" localSheetId="4">#REF!</definedName>
    <definedName name="conb98" localSheetId="3">#REF!</definedName>
    <definedName name="conb98" localSheetId="1">#REF!</definedName>
    <definedName name="conb98">#REF!</definedName>
    <definedName name="conb99" localSheetId="5">#REF!</definedName>
    <definedName name="conb99" localSheetId="4">#REF!</definedName>
    <definedName name="conb99" localSheetId="3">#REF!</definedName>
    <definedName name="conb99" localSheetId="1">#REF!</definedName>
    <definedName name="conb99">#REF!</definedName>
    <definedName name="ConstructionCost" localSheetId="5">#REF!</definedName>
    <definedName name="ConstructionCost" localSheetId="4">#REF!</definedName>
    <definedName name="ConstructionCost" localSheetId="3">#REF!</definedName>
    <definedName name="ConstructionCost" localSheetId="1">#REF!</definedName>
    <definedName name="ConstructionCost">#REF!</definedName>
    <definedName name="Contact1" localSheetId="3">#REF!</definedName>
    <definedName name="Contact1" localSheetId="1">#REF!</definedName>
    <definedName name="Contact1">#REF!</definedName>
    <definedName name="Contact2" localSheetId="3">#REF!</definedName>
    <definedName name="Contact2" localSheetId="1">#REF!</definedName>
    <definedName name="Contact2">#REF!</definedName>
    <definedName name="Contact3" localSheetId="3">#REF!</definedName>
    <definedName name="Contact3" localSheetId="1">#REF!</definedName>
    <definedName name="Contact3">#REF!</definedName>
    <definedName name="Contact4" localSheetId="3">#REF!</definedName>
    <definedName name="Contact4" localSheetId="1">#REF!</definedName>
    <definedName name="Contact4">#REF!</definedName>
    <definedName name="Contact5" localSheetId="3">#REF!</definedName>
    <definedName name="Contact5" localSheetId="1">#REF!</definedName>
    <definedName name="Contact5">#REF!</definedName>
    <definedName name="contagiorni">#N/A</definedName>
    <definedName name="CoNum1" localSheetId="5">#REF!</definedName>
    <definedName name="CoNum1" localSheetId="4">#REF!</definedName>
    <definedName name="CoNum1" localSheetId="3">#REF!</definedName>
    <definedName name="CoNum1" localSheetId="1">#REF!</definedName>
    <definedName name="CoNum1">#REF!</definedName>
    <definedName name="Conv" localSheetId="3">#REF!</definedName>
    <definedName name="Conv" localSheetId="1">#REF!</definedName>
    <definedName name="Conv">#REF!</definedName>
    <definedName name="Conventions" localSheetId="3">#REF!</definedName>
    <definedName name="Conventions" localSheetId="1">#REF!</definedName>
    <definedName name="Conventions">#REF!</definedName>
    <definedName name="CorpTax_Coeff" localSheetId="3">#REF!</definedName>
    <definedName name="CorpTax_Coeff" localSheetId="1">#REF!</definedName>
    <definedName name="CorpTax_Coeff">#REF!</definedName>
    <definedName name="cost" localSheetId="3">#REF!</definedName>
    <definedName name="cost" localSheetId="1">#REF!</definedName>
    <definedName name="cost">#REF!</definedName>
    <definedName name="CostData" localSheetId="3">#REF!</definedName>
    <definedName name="CostData" localSheetId="1">#REF!</definedName>
    <definedName name="CostData">#REF!</definedName>
    <definedName name="Costs_of_Sales" localSheetId="3">#REF!</definedName>
    <definedName name="Costs_of_Sales" localSheetId="1">#REF!</definedName>
    <definedName name="Costs_of_Sales">#REF!</definedName>
    <definedName name="Country" localSheetId="5">#REF!</definedName>
    <definedName name="Country" localSheetId="4">#REF!</definedName>
    <definedName name="Country" localSheetId="3">#REF!</definedName>
    <definedName name="Country" localSheetId="1">#REF!</definedName>
    <definedName name="Country">#REF!</definedName>
    <definedName name="CountryCode" localSheetId="5">#REF!</definedName>
    <definedName name="CountryCode" localSheetId="4">#REF!</definedName>
    <definedName name="CountryCode" localSheetId="3">#REF!</definedName>
    <definedName name="CountryCode" localSheetId="1">#REF!</definedName>
    <definedName name="CountryCode">#REF!</definedName>
    <definedName name="COUNTY" localSheetId="3">#REF!</definedName>
    <definedName name="COUNTY" localSheetId="1">#REF!</definedName>
    <definedName name="COUNTY">#REF!</definedName>
    <definedName name="COUPPCD" localSheetId="3">#REF!</definedName>
    <definedName name="COUPPCD" localSheetId="1">#REF!</definedName>
    <definedName name="COUPPCD">#REF!</definedName>
    <definedName name="Cover" localSheetId="3">#REF!</definedName>
    <definedName name="Cover" localSheetId="1">#REF!</definedName>
    <definedName name="Cover">#REF!</definedName>
    <definedName name="CPI_Sambu_RR" localSheetId="3">#REF!</definedName>
    <definedName name="CPI_Sambu_RR" localSheetId="1">#REF!</definedName>
    <definedName name="CPI_Sambu_RR">#REF!</definedName>
    <definedName name="CR" localSheetId="3">#REF!</definedName>
    <definedName name="CR" localSheetId="1">#REF!</definedName>
    <definedName name="CR">#REF!</definedName>
    <definedName name="CRa" localSheetId="3">#REF!</definedName>
    <definedName name="CRa" localSheetId="1">#REF!</definedName>
    <definedName name="CRa">#REF!</definedName>
    <definedName name="CRb" localSheetId="3">#REF!</definedName>
    <definedName name="CRb" localSheetId="1">#REF!</definedName>
    <definedName name="CRb">#REF!</definedName>
    <definedName name="CRC_CorpTax_Coeff" localSheetId="3">#REF!</definedName>
    <definedName name="CRC_CorpTax_Coeff" localSheetId="1">#REF!</definedName>
    <definedName name="CRC_CorpTax_Coeff">#REF!</definedName>
    <definedName name="CRC_Special_Capital_Gain_Tax" localSheetId="3">#REF!</definedName>
    <definedName name="CRC_Special_Capital_Gain_Tax" localSheetId="1">#REF!</definedName>
    <definedName name="CRC_Special_Capital_Gain_Tax">#REF!</definedName>
    <definedName name="CRC_Tax_Base_above100" localSheetId="3">#REF!</definedName>
    <definedName name="CRC_Tax_Base_above100" localSheetId="1">#REF!</definedName>
    <definedName name="CRC_Tax_Base_above100">#REF!</definedName>
    <definedName name="CRC_Tax_Base_below100" localSheetId="3">#REF!</definedName>
    <definedName name="CRC_Tax_Base_below100" localSheetId="1">#REF!</definedName>
    <definedName name="CRC_Tax_Base_below100">#REF!</definedName>
    <definedName name="CRC_Tax_Rental_Above100" localSheetId="3">#REF!</definedName>
    <definedName name="CRC_Tax_Rental_Above100" localSheetId="1">#REF!</definedName>
    <definedName name="CRC_Tax_Rental_Above100">#REF!</definedName>
    <definedName name="CRC_Tax_Rental_below100" localSheetId="3">#REF!</definedName>
    <definedName name="CRC_Tax_Rental_below100" localSheetId="1">#REF!</definedName>
    <definedName name="CRC_Tax_Rental_below100">#REF!</definedName>
    <definedName name="CRC_Tax_Withhold_Capital_Gains" localSheetId="3">#REF!</definedName>
    <definedName name="CRC_Tax_Withhold_Capital_Gains" localSheetId="1">#REF!</definedName>
    <definedName name="CRC_Tax_Withhold_Capital_Gains">#REF!</definedName>
    <definedName name="CRC_Tax_Withhold_Dividends" localSheetId="3">#REF!</definedName>
    <definedName name="CRC_Tax_Withhold_Dividends" localSheetId="1">#REF!</definedName>
    <definedName name="CRC_Tax_Withhold_Dividends">#REF!</definedName>
    <definedName name="Credit_Card_Rate" localSheetId="3">#REF!</definedName>
    <definedName name="Credit_Card_Rate" localSheetId="1">#REF!</definedName>
    <definedName name="Credit_Card_Rate">#REF!</definedName>
    <definedName name="crinkled_ctn_blend" localSheetId="5">#REF!</definedName>
    <definedName name="crinkled_ctn_blend" localSheetId="4">#REF!</definedName>
    <definedName name="crinkled_ctn_blend" localSheetId="3">#REF!</definedName>
    <definedName name="crinkled_ctn_blend" localSheetId="1">#REF!</definedName>
    <definedName name="crinkled_ctn_blend">#REF!</definedName>
    <definedName name="_xlnm.Criteria" localSheetId="3">#REF!</definedName>
    <definedName name="_xlnm.Criteria" localSheetId="1">#REF!</definedName>
    <definedName name="_xlnm.Criteria">#REF!</definedName>
    <definedName name="Criteria_MI" localSheetId="5">#REF!</definedName>
    <definedName name="Criteria_MI" localSheetId="4">#REF!</definedName>
    <definedName name="Criteria_MI" localSheetId="3">#REF!</definedName>
    <definedName name="Criteria_MI" localSheetId="1">#REF!</definedName>
    <definedName name="Criteria_MI">#REF!</definedName>
    <definedName name="CSTA" localSheetId="3">#REF!</definedName>
    <definedName name="CSTA" localSheetId="1">#REF!</definedName>
    <definedName name="CSTA">#REF!</definedName>
    <definedName name="CSTL" localSheetId="3">#REF!</definedName>
    <definedName name="CSTL" localSheetId="1">#REF!</definedName>
    <definedName name="CSTL">#REF!</definedName>
    <definedName name="CSTR" localSheetId="3">#REF!</definedName>
    <definedName name="CSTR" localSheetId="1">#REF!</definedName>
    <definedName name="CSTR">#REF!</definedName>
    <definedName name="CSTX" localSheetId="3">#REF!</definedName>
    <definedName name="CSTX" localSheetId="1">#REF!</definedName>
    <definedName name="CSTX">#REF!</definedName>
    <definedName name="CubeData" localSheetId="5">!#REF!</definedName>
    <definedName name="CubeData" localSheetId="4">!#REF!</definedName>
    <definedName name="CubeData">!#REF!</definedName>
    <definedName name="cumule" localSheetId="5">#REF!</definedName>
    <definedName name="cumule" localSheetId="4">#REF!</definedName>
    <definedName name="cumule" localSheetId="3">#REF!</definedName>
    <definedName name="cumule" localSheetId="1">#REF!</definedName>
    <definedName name="cumule">#REF!</definedName>
    <definedName name="CUR" localSheetId="3">#REF!</definedName>
    <definedName name="CUR" localSheetId="1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 localSheetId="5">#REF!</definedName>
    <definedName name="Currency" localSheetId="4">#REF!</definedName>
    <definedName name="Currency" localSheetId="3">#REF!</definedName>
    <definedName name="Currency" localSheetId="1">#REF!</definedName>
    <definedName name="Currency">#REF!</definedName>
    <definedName name="Currency_List" localSheetId="3">#REF!</definedName>
    <definedName name="Currency_List" localSheetId="1">#REF!</definedName>
    <definedName name="Currency_List">#REF!</definedName>
    <definedName name="current" localSheetId="3">#REF!</definedName>
    <definedName name="current" localSheetId="1">#REF!</definedName>
    <definedName name="current">#REF!</definedName>
    <definedName name="Current_Month" localSheetId="3">#REF!</definedName>
    <definedName name="Current_Month" localSheetId="1">#REF!</definedName>
    <definedName name="Current_Month">#REF!</definedName>
    <definedName name="Current_Month_SvcCharge" localSheetId="3">#REF!</definedName>
    <definedName name="Current_Month_SvcCharge" localSheetId="1">#REF!</definedName>
    <definedName name="Current_Month_SvcCharge">#REF!</definedName>
    <definedName name="Current_Tenant_Deposit_Growth" localSheetId="3">#REF!</definedName>
    <definedName name="Current_Tenant_Deposit_Growth" localSheetId="1">#REF!</definedName>
    <definedName name="Current_Tenant_Deposit_Growth">#REF!</definedName>
    <definedName name="Current_Tenant_Rent_Growth" localSheetId="3">#REF!</definedName>
    <definedName name="Current_Tenant_Rent_Growth" localSheetId="1">#REF!</definedName>
    <definedName name="Current_Tenant_Rent_Growth">#REF!</definedName>
    <definedName name="Current_Year" localSheetId="3">#REF!</definedName>
    <definedName name="Current_Year" localSheetId="1">#REF!</definedName>
    <definedName name="Current_Year">#REF!</definedName>
    <definedName name="Customer_Type" localSheetId="3">#REF!</definedName>
    <definedName name="Customer_Type" localSheetId="1">#REF!</definedName>
    <definedName name="Customer_Type">#REF!</definedName>
    <definedName name="CY" localSheetId="3">#REF!</definedName>
    <definedName name="CY" localSheetId="1">#REF!</definedName>
    <definedName name="CY">#REF!</definedName>
    <definedName name="Cyear" localSheetId="3">#REF!</definedName>
    <definedName name="Cyear" localSheetId="1">#REF!</definedName>
    <definedName name="Cyear">#REF!</definedName>
    <definedName name="CYs" localSheetId="3">#REF!</definedName>
    <definedName name="CYs" localSheetId="1">#REF!</definedName>
    <definedName name="CYs">#REF!</definedName>
    <definedName name="CYTD_CHG">11</definedName>
    <definedName name="C채권계정과목" localSheetId="5">#REF!</definedName>
    <definedName name="C채권계정과목" localSheetId="4">#REF!</definedName>
    <definedName name="C채권계정과목" localSheetId="3">#REF!</definedName>
    <definedName name="C채권계정과목" localSheetId="1">#REF!</definedName>
    <definedName name="C채권계정과목">#REF!</definedName>
    <definedName name="C채무계정과목" localSheetId="3">#REF!</definedName>
    <definedName name="C채무계정과목" localSheetId="1">#REF!</definedName>
    <definedName name="C채무계정과목">#REF!</definedName>
    <definedName name="D" localSheetId="3">#REF!</definedName>
    <definedName name="D" localSheetId="1">#REF!</definedName>
    <definedName name="D">#REF!</definedName>
    <definedName name="dafadfafadfa" localSheetId="5" hidden="1">{#N/A,#N/A,FALSE,"Aging Summary";#N/A,#N/A,FALSE,"Ratio Analysis";#N/A,#N/A,FALSE,"Test 120 Day Accts";#N/A,#N/A,FALSE,"Tickmarks"}</definedName>
    <definedName name="dafadfafadfa" localSheetId="4" hidden="1">{#N/A,#N/A,FALSE,"Aging Summary";#N/A,#N/A,FALSE,"Ratio Analysis";#N/A,#N/A,FALSE,"Test 120 Day Accts";#N/A,#N/A,FALSE,"Tickmarks"}</definedName>
    <definedName name="dafadfafadfa" localSheetId="3" hidden="1">{#N/A,#N/A,FALSE,"Aging Summary";#N/A,#N/A,FALSE,"Ratio Analysis";#N/A,#N/A,FALSE,"Test 120 Day Accts";#N/A,#N/A,FALSE,"Tickmarks"}</definedName>
    <definedName name="dafadfafadfa" localSheetId="1" hidden="1">{#N/A,#N/A,FALSE,"Aging Summary";#N/A,#N/A,FALSE,"Ratio Analysis";#N/A,#N/A,FALSE,"Test 120 Day Accts";#N/A,#N/A,FALSE,"Tickmarks"}</definedName>
    <definedName name="dafadfafadfa" hidden="1">{#N/A,#N/A,FALSE,"Aging Summary";#N/A,#N/A,FALSE,"Ratio Analysis";#N/A,#N/A,FALSE,"Test 120 Day Accts";#N/A,#N/A,FALSE,"Tickmarks"}</definedName>
    <definedName name="Dala" localSheetId="5">#REF!</definedName>
    <definedName name="Dala" localSheetId="4">#REF!</definedName>
    <definedName name="Dala" localSheetId="3">#REF!</definedName>
    <definedName name="Dala" localSheetId="1">#REF!</definedName>
    <definedName name="Dala">#REF!</definedName>
    <definedName name="DALBAL.PriorPeriod1Balance" localSheetId="5">#REF!</definedName>
    <definedName name="DALBAL.PriorPeriod1Balance" localSheetId="4">#REF!</definedName>
    <definedName name="DALBAL.PriorPeriod1Balance" localSheetId="3">#REF!</definedName>
    <definedName name="DALBAL.PriorPeriod1Balance" localSheetId="1">#REF!</definedName>
    <definedName name="DALBAL.PriorPeriod1Balance">#REF!</definedName>
    <definedName name="dalcielo" localSheetId="5">#REF!,#REF!,#REF!,#REF!,#REF!,#REF!,#REF!</definedName>
    <definedName name="dalcielo" localSheetId="4">#REF!,#REF!,#REF!,#REF!,#REF!,#REF!,#REF!</definedName>
    <definedName name="dalcielo" localSheetId="3">#REF!,#REF!,#REF!,#REF!,#REF!,#REF!,#REF!</definedName>
    <definedName name="dalcielo" localSheetId="1">#REF!,#REF!,#REF!,#REF!,#REF!,#REF!,#REF!</definedName>
    <definedName name="dalcielo">#REF!,#REF!,#REF!,#REF!,#REF!,#REF!,#REF!</definedName>
    <definedName name="dallanos" localSheetId="3">#REF!,#REF!,#REF!,#REF!,#REF!,#REF!,#REF!</definedName>
    <definedName name="dallanos" localSheetId="1">#REF!,#REF!,#REF!,#REF!,#REF!,#REF!,#REF!</definedName>
    <definedName name="dallanos">#REF!,#REF!,#REF!,#REF!,#REF!,#REF!,#REF!</definedName>
    <definedName name="dalleganza" localSheetId="3">#REF!,#REF!,#REF!,#REF!,#REF!,#REF!,#REF!</definedName>
    <definedName name="dalleganza" localSheetId="1">#REF!,#REF!,#REF!,#REF!,#REF!,#REF!,#REF!</definedName>
    <definedName name="dalleganza">#REF!,#REF!,#REF!,#REF!,#REF!,#REF!,#REF!</definedName>
    <definedName name="dalnubira" localSheetId="3">#REF!,#REF!,#REF!,#REF!,#REF!,#REF!,#REF!</definedName>
    <definedName name="dalnubira" localSheetId="1">#REF!,#REF!,#REF!,#REF!,#REF!,#REF!,#REF!</definedName>
    <definedName name="dalnubira">#REF!,#REF!,#REF!,#REF!,#REF!,#REF!,#REF!</definedName>
    <definedName name="dalsung" localSheetId="5">#REF!,#REF!,#REF!,#REF!,#REF!,#REF!</definedName>
    <definedName name="dalsung" localSheetId="4">#REF!,#REF!,#REF!,#REF!,#REF!,#REF!</definedName>
    <definedName name="dalsung" localSheetId="3">#REF!,#REF!,#REF!,#REF!,#REF!,#REF!</definedName>
    <definedName name="dalsung" localSheetId="1">#REF!,#REF!,#REF!,#REF!,#REF!,#REF!</definedName>
    <definedName name="dalsung">#REF!,#REF!,#REF!,#REF!,#REF!,#REF!</definedName>
    <definedName name="daltacuma" localSheetId="5">#REF!,#REF!,#REF!,#REF!,#REF!,#REF!,#REF!</definedName>
    <definedName name="daltacuma" localSheetId="4">#REF!,#REF!,#REF!,#REF!,#REF!,#REF!,#REF!</definedName>
    <definedName name="daltacuma" localSheetId="3">#REF!,#REF!,#REF!,#REF!,#REF!,#REF!,#REF!</definedName>
    <definedName name="daltacuma" localSheetId="1">#REF!,#REF!,#REF!,#REF!,#REF!,#REF!,#REF!</definedName>
    <definedName name="daltacuma">#REF!,#REF!,#REF!,#REF!,#REF!,#REF!,#REF!</definedName>
    <definedName name="DATA" localSheetId="5">#REF!</definedName>
    <definedName name="DATA" localSheetId="4">#REF!</definedName>
    <definedName name="DATA" localSheetId="3">#REF!</definedName>
    <definedName name="DATA" localSheetId="1">#REF!</definedName>
    <definedName name="DATA">#REF!</definedName>
    <definedName name="DATA1" localSheetId="3">#REF!</definedName>
    <definedName name="DATA1" localSheetId="1">#REF!</definedName>
    <definedName name="DATA1">#REF!</definedName>
    <definedName name="DATA10" localSheetId="3">#REF!</definedName>
    <definedName name="DATA10" localSheetId="1">#REF!</definedName>
    <definedName name="DATA10">#REF!</definedName>
    <definedName name="DATA11" localSheetId="3">#REF!</definedName>
    <definedName name="DATA11" localSheetId="1">#REF!</definedName>
    <definedName name="DATA11">#REF!</definedName>
    <definedName name="DATA12" localSheetId="3">#REF!</definedName>
    <definedName name="DATA12" localSheetId="1">#REF!</definedName>
    <definedName name="DATA12">#REF!</definedName>
    <definedName name="DATA13" localSheetId="3">#REF!</definedName>
    <definedName name="DATA13" localSheetId="1">#REF!</definedName>
    <definedName name="DATA13">#REF!</definedName>
    <definedName name="DATA14" localSheetId="3">#REF!</definedName>
    <definedName name="DATA14" localSheetId="1">#REF!</definedName>
    <definedName name="DATA14">#REF!</definedName>
    <definedName name="DATA15" localSheetId="3">#REF!</definedName>
    <definedName name="DATA15" localSheetId="1">#REF!</definedName>
    <definedName name="DATA15">#REF!</definedName>
    <definedName name="DATA16" localSheetId="5">#REF!</definedName>
    <definedName name="DATA16" localSheetId="4">#REF!</definedName>
    <definedName name="DATA16" localSheetId="3">#REF!</definedName>
    <definedName name="DATA16" localSheetId="1">#REF!</definedName>
    <definedName name="DATA16">#REF!</definedName>
    <definedName name="DATA17" localSheetId="5">#REF!</definedName>
    <definedName name="DATA17" localSheetId="4">#REF!</definedName>
    <definedName name="DATA17" localSheetId="3">#REF!</definedName>
    <definedName name="DATA17" localSheetId="1">#REF!</definedName>
    <definedName name="DATA17">#REF!</definedName>
    <definedName name="DATA18" localSheetId="5">#REF!</definedName>
    <definedName name="DATA18" localSheetId="4">#REF!</definedName>
    <definedName name="DATA18" localSheetId="3">#REF!</definedName>
    <definedName name="DATA18" localSheetId="1">#REF!</definedName>
    <definedName name="DATA18">#REF!</definedName>
    <definedName name="DATA19" localSheetId="5">#REF!</definedName>
    <definedName name="DATA19" localSheetId="4">#REF!</definedName>
    <definedName name="DATA19" localSheetId="3">#REF!</definedName>
    <definedName name="DATA19" localSheetId="1">#REF!</definedName>
    <definedName name="DATA19">#REF!</definedName>
    <definedName name="DATA2" localSheetId="3">#REF!</definedName>
    <definedName name="DATA2" localSheetId="1">#REF!</definedName>
    <definedName name="DATA2">#REF!</definedName>
    <definedName name="DATA20" localSheetId="5">#REF!</definedName>
    <definedName name="DATA20" localSheetId="4">#REF!</definedName>
    <definedName name="DATA20" localSheetId="3">#REF!</definedName>
    <definedName name="DATA20" localSheetId="1">#REF!</definedName>
    <definedName name="DATA20">#REF!</definedName>
    <definedName name="DATA21" localSheetId="5">#REF!</definedName>
    <definedName name="DATA21" localSheetId="4">#REF!</definedName>
    <definedName name="DATA21" localSheetId="3">#REF!</definedName>
    <definedName name="DATA21" localSheetId="1">#REF!</definedName>
    <definedName name="DATA21">#REF!</definedName>
    <definedName name="DATA22" localSheetId="5">#REF!</definedName>
    <definedName name="DATA22" localSheetId="4">#REF!</definedName>
    <definedName name="DATA22" localSheetId="3">#REF!</definedName>
    <definedName name="DATA22" localSheetId="1">#REF!</definedName>
    <definedName name="DATA22">#REF!</definedName>
    <definedName name="DATA23" localSheetId="5">#REF!</definedName>
    <definedName name="DATA23" localSheetId="4">#REF!</definedName>
    <definedName name="DATA23" localSheetId="3">#REF!</definedName>
    <definedName name="DATA23" localSheetId="1">#REF!</definedName>
    <definedName name="DATA23">#REF!</definedName>
    <definedName name="DATA24" localSheetId="5">#REF!</definedName>
    <definedName name="DATA24" localSheetId="4">#REF!</definedName>
    <definedName name="DATA24" localSheetId="3">#REF!</definedName>
    <definedName name="DATA24" localSheetId="1">#REF!</definedName>
    <definedName name="DATA24">#REF!</definedName>
    <definedName name="DATA25" localSheetId="5">#REF!</definedName>
    <definedName name="DATA25" localSheetId="4">#REF!</definedName>
    <definedName name="DATA25" localSheetId="3">#REF!</definedName>
    <definedName name="DATA25" localSheetId="1">#REF!</definedName>
    <definedName name="DATA25">#REF!</definedName>
    <definedName name="DATA26" localSheetId="5">#REF!</definedName>
    <definedName name="DATA26" localSheetId="4">#REF!</definedName>
    <definedName name="DATA26" localSheetId="3">#REF!</definedName>
    <definedName name="DATA26" localSheetId="1">#REF!</definedName>
    <definedName name="DATA26">#REF!</definedName>
    <definedName name="DATA27" localSheetId="5">#REF!</definedName>
    <definedName name="DATA27" localSheetId="4">#REF!</definedName>
    <definedName name="DATA27" localSheetId="3">#REF!</definedName>
    <definedName name="DATA27" localSheetId="1">#REF!</definedName>
    <definedName name="DATA27">#REF!</definedName>
    <definedName name="DATA28" localSheetId="5">#REF!</definedName>
    <definedName name="DATA28" localSheetId="4">#REF!</definedName>
    <definedName name="DATA28" localSheetId="3">#REF!</definedName>
    <definedName name="DATA28" localSheetId="1">#REF!</definedName>
    <definedName name="DATA28">#REF!</definedName>
    <definedName name="DATA29" localSheetId="5">#REF!</definedName>
    <definedName name="DATA29" localSheetId="4">#REF!</definedName>
    <definedName name="DATA29" localSheetId="3">#REF!</definedName>
    <definedName name="DATA29" localSheetId="1">#REF!</definedName>
    <definedName name="DATA29">#REF!</definedName>
    <definedName name="DATA3" localSheetId="3">#REF!</definedName>
    <definedName name="DATA3" localSheetId="1">#REF!</definedName>
    <definedName name="DATA3">#REF!</definedName>
    <definedName name="DATA30" localSheetId="5">#REF!</definedName>
    <definedName name="DATA30" localSheetId="4">#REF!</definedName>
    <definedName name="DATA30" localSheetId="3">#REF!</definedName>
    <definedName name="DATA30" localSheetId="1">#REF!</definedName>
    <definedName name="DATA30">#REF!</definedName>
    <definedName name="DATA31" localSheetId="5">#REF!</definedName>
    <definedName name="DATA31" localSheetId="4">#REF!</definedName>
    <definedName name="DATA31" localSheetId="3">#REF!</definedName>
    <definedName name="DATA31" localSheetId="1">#REF!</definedName>
    <definedName name="DATA31">#REF!</definedName>
    <definedName name="DATA32" localSheetId="5">#REF!</definedName>
    <definedName name="DATA32" localSheetId="4">#REF!</definedName>
    <definedName name="DATA32" localSheetId="3">#REF!</definedName>
    <definedName name="DATA32" localSheetId="1">#REF!</definedName>
    <definedName name="DATA32">#REF!</definedName>
    <definedName name="DATA33" localSheetId="5">#REF!</definedName>
    <definedName name="DATA33" localSheetId="4">#REF!</definedName>
    <definedName name="DATA33" localSheetId="3">#REF!</definedName>
    <definedName name="DATA33" localSheetId="1">#REF!</definedName>
    <definedName name="DATA33">#REF!</definedName>
    <definedName name="DATA34" localSheetId="5">#REF!</definedName>
    <definedName name="DATA34" localSheetId="4">#REF!</definedName>
    <definedName name="DATA34" localSheetId="3">#REF!</definedName>
    <definedName name="DATA34" localSheetId="1">#REF!</definedName>
    <definedName name="DATA34">#REF!</definedName>
    <definedName name="DATA35" localSheetId="5">#REF!</definedName>
    <definedName name="DATA35" localSheetId="4">#REF!</definedName>
    <definedName name="DATA35" localSheetId="3">#REF!</definedName>
    <definedName name="DATA35" localSheetId="1">#REF!</definedName>
    <definedName name="DATA35">#REF!</definedName>
    <definedName name="DATA36" localSheetId="5">#REF!</definedName>
    <definedName name="DATA36" localSheetId="4">#REF!</definedName>
    <definedName name="DATA36" localSheetId="3">#REF!</definedName>
    <definedName name="DATA36" localSheetId="1">#REF!</definedName>
    <definedName name="DATA36">#REF!</definedName>
    <definedName name="DATA37" localSheetId="5">#REF!</definedName>
    <definedName name="DATA37" localSheetId="4">#REF!</definedName>
    <definedName name="DATA37" localSheetId="3">#REF!</definedName>
    <definedName name="DATA37" localSheetId="1">#REF!</definedName>
    <definedName name="DATA37">#REF!</definedName>
    <definedName name="DATA4" localSheetId="3">#REF!</definedName>
    <definedName name="DATA4" localSheetId="1">#REF!</definedName>
    <definedName name="DATA4">#REF!</definedName>
    <definedName name="DATA5" localSheetId="3">#REF!</definedName>
    <definedName name="DATA5" localSheetId="1">#REF!</definedName>
    <definedName name="DATA5">#REF!</definedName>
    <definedName name="DATA6" localSheetId="3">#REF!</definedName>
    <definedName name="DATA6" localSheetId="1">#REF!</definedName>
    <definedName name="DATA6">#REF!</definedName>
    <definedName name="DATA7" localSheetId="3">#REF!</definedName>
    <definedName name="DATA7" localSheetId="1">#REF!</definedName>
    <definedName name="DATA7">#REF!</definedName>
    <definedName name="DATA8" localSheetId="3">#REF!</definedName>
    <definedName name="DATA8" localSheetId="1">#REF!</definedName>
    <definedName name="DATA8">#REF!</definedName>
    <definedName name="DATA9" localSheetId="3">#REF!</definedName>
    <definedName name="DATA9" localSheetId="1">#REF!</definedName>
    <definedName name="DATA9">#REF!</definedName>
    <definedName name="datab" localSheetId="3">#REF!</definedName>
    <definedName name="datab" localSheetId="1">#REF!</definedName>
    <definedName name="datab">#REF!</definedName>
    <definedName name="_xlnm.Database" localSheetId="3">#REF!</definedName>
    <definedName name="_xlnm.Database" localSheetId="1">#REF!</definedName>
    <definedName name="_xlnm.Database">#REF!</definedName>
    <definedName name="Database_MI" localSheetId="5">#REF!</definedName>
    <definedName name="Database_MI" localSheetId="4">#REF!</definedName>
    <definedName name="Database_MI" localSheetId="3">#REF!</definedName>
    <definedName name="Database_MI" localSheetId="1">#REF!</definedName>
    <definedName name="Database_MI">#REF!</definedName>
    <definedName name="Date" localSheetId="5">#REF!</definedName>
    <definedName name="Date" localSheetId="4">#REF!</definedName>
    <definedName name="Date" localSheetId="3">#REF!</definedName>
    <definedName name="Date" localSheetId="1">#REF!</definedName>
    <definedName name="Date">#REF!</definedName>
    <definedName name="date_lookup_range" localSheetId="3">#REF!</definedName>
    <definedName name="date_lookup_range" localSheetId="1">#REF!</definedName>
    <definedName name="date_lookup_range">#REF!</definedName>
    <definedName name="date2" localSheetId="3">#REF!</definedName>
    <definedName name="date2" localSheetId="1">#REF!</definedName>
    <definedName name="date2">#REF!</definedName>
    <definedName name="DateColorClear" localSheetId="5">#REF!</definedName>
    <definedName name="DateColorClear" localSheetId="4">#REF!</definedName>
    <definedName name="DateColorClear" localSheetId="3">#REF!</definedName>
    <definedName name="DateColorClear" localSheetId="1">#REF!</definedName>
    <definedName name="DateColorClear">#REF!</definedName>
    <definedName name="dates" localSheetId="3">#REF!</definedName>
    <definedName name="dates" localSheetId="1">#REF!</definedName>
    <definedName name="dates">#REF!</definedName>
    <definedName name="Davinci_AnnFee_ofBuyAcq" localSheetId="3">#REF!</definedName>
    <definedName name="Davinci_AnnFee_ofBuyAcq" localSheetId="1">#REF!</definedName>
    <definedName name="Davinci_AnnFee_ofBuyAcq">#REF!</definedName>
    <definedName name="Davinci_AnnFee_ofGrossRev" localSheetId="3">#REF!</definedName>
    <definedName name="Davinci_AnnFee_ofGrossRev" localSheetId="1">#REF!</definedName>
    <definedName name="Davinci_AnnFee_ofGrossRev">#REF!</definedName>
    <definedName name="DB" localSheetId="3">#REF!</definedName>
    <definedName name="DB" localSheetId="1">#REF!</definedName>
    <definedName name="DB">#REF!</definedName>
    <definedName name="DB_AC" localSheetId="3">#REF!</definedName>
    <definedName name="DB_AC" localSheetId="1">#REF!</definedName>
    <definedName name="DB_AC">#REF!</definedName>
    <definedName name="DB_Ave" localSheetId="5">#REF!</definedName>
    <definedName name="DB_Ave" localSheetId="4">#REF!</definedName>
    <definedName name="DB_Ave" localSheetId="3">#REF!</definedName>
    <definedName name="DB_Ave" localSheetId="1">#REF!</definedName>
    <definedName name="DB_Ave">#REF!</definedName>
    <definedName name="DB_Increase" localSheetId="5">#REF!</definedName>
    <definedName name="DB_Increase" localSheetId="4">#REF!</definedName>
    <definedName name="DB_Increase" localSheetId="3">#REF!</definedName>
    <definedName name="DB_Increase" localSheetId="1">#REF!</definedName>
    <definedName name="DB_Increase">#REF!</definedName>
    <definedName name="DB_Plan" localSheetId="5">#REF!</definedName>
    <definedName name="DB_Plan" localSheetId="4">#REF!</definedName>
    <definedName name="DB_Plan" localSheetId="3">#REF!</definedName>
    <definedName name="DB_Plan" localSheetId="1">#REF!</definedName>
    <definedName name="DB_Plan">#REF!</definedName>
    <definedName name="dbswhdgusdbswhdgus" localSheetId="5">#REF!</definedName>
    <definedName name="dbswhdgusdbswhdgus" localSheetId="4">#REF!</definedName>
    <definedName name="dbswhdgusdbswhdgus" localSheetId="3">#REF!</definedName>
    <definedName name="dbswhdgusdbswhdgus" localSheetId="1">#REF!</definedName>
    <definedName name="dbswhdgusdbswhdgus">#REF!</definedName>
    <definedName name="DC_Plan" localSheetId="5">#REF!</definedName>
    <definedName name="DC_Plan" localSheetId="4">#REF!</definedName>
    <definedName name="DC_Plan" localSheetId="3">#REF!</definedName>
    <definedName name="DC_Plan" localSheetId="1">#REF!</definedName>
    <definedName name="DC_Plan">#REF!</definedName>
    <definedName name="DCFINPUTS" localSheetId="3">#REF!</definedName>
    <definedName name="DCFINPUTS" localSheetId="1">#REF!</definedName>
    <definedName name="DCFINPUTS">#REF!</definedName>
    <definedName name="DCFMATRIX" localSheetId="3">#REF!</definedName>
    <definedName name="DCFMATRIX" localSheetId="1">#REF!</definedName>
    <definedName name="DCFMATRIX">#REF!</definedName>
    <definedName name="DD" localSheetId="3">#REF!</definedName>
    <definedName name="DD" localSheetId="1">#REF!</definedName>
    <definedName name="DD">#REF!</definedName>
    <definedName name="ddd" localSheetId="5">#REF!</definedName>
    <definedName name="ddd" localSheetId="4">#REF!</definedName>
    <definedName name="ddd" localSheetId="3">#REF!</definedName>
    <definedName name="ddd" localSheetId="1">#REF!</definedName>
    <definedName name="ddd">#REF!</definedName>
    <definedName name="DDDD" localSheetId="5">#REF!</definedName>
    <definedName name="DDDD" localSheetId="4">#REF!</definedName>
    <definedName name="DDDD" localSheetId="3">#REF!</definedName>
    <definedName name="DDDD" localSheetId="1">#REF!</definedName>
    <definedName name="DDDD">#REF!</definedName>
    <definedName name="dddd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5">#REF!</definedName>
    <definedName name="DDDDD" localSheetId="4">#REF!</definedName>
    <definedName name="DDDDD" localSheetId="3">#REF!</definedName>
    <definedName name="DDDDD" localSheetId="1">#REF!</definedName>
    <definedName name="DDDDD">#REF!</definedName>
    <definedName name="dddddddd" localSheetId="3">#REF!</definedName>
    <definedName name="dddddddd" localSheetId="1">#REF!</definedName>
    <definedName name="dddddddd">#REF!</definedName>
    <definedName name="DDDDDDDDDD" localSheetId="5" hidden="1">{#N/A,#N/A,TRUE,"Y생산";#N/A,#N/A,TRUE,"Y판매";#N/A,#N/A,TRUE,"Y총물량";#N/A,#N/A,TRUE,"Y능력";#N/A,#N/A,TRUE,"YKD"}</definedName>
    <definedName name="DDDDDDDDDD" localSheetId="4" hidden="1">{#N/A,#N/A,TRUE,"Y생산";#N/A,#N/A,TRUE,"Y판매";#N/A,#N/A,TRUE,"Y총물량";#N/A,#N/A,TRUE,"Y능력";#N/A,#N/A,TRUE,"YKD"}</definedName>
    <definedName name="DDDDDDDDDD" localSheetId="3" hidden="1">{#N/A,#N/A,TRUE,"Y생산";#N/A,#N/A,TRUE,"Y판매";#N/A,#N/A,TRUE,"Y총물량";#N/A,#N/A,TRUE,"Y능력";#N/A,#N/A,TRUE,"YKD"}</definedName>
    <definedName name="DDDDDDDDDD" localSheetId="1" hidden="1">{#N/A,#N/A,TRUE,"Y생산";#N/A,#N/A,TRUE,"Y판매";#N/A,#N/A,TRUE,"Y총물량";#N/A,#N/A,TRUE,"Y능력";#N/A,#N/A,TRUE,"YKD"}</definedName>
    <definedName name="DDDDDDDDDD" hidden="1">{#N/A,#N/A,TRUE,"Y생산";#N/A,#N/A,TRUE,"Y판매";#N/A,#N/A,TRUE,"Y총물량";#N/A,#N/A,TRUE,"Y능력";#N/A,#N/A,TRUE,"YKD"}</definedName>
    <definedName name="DDDDDDDDDD_1" localSheetId="5" hidden="1">{#N/A,#N/A,TRUE,"Y생산";#N/A,#N/A,TRUE,"Y판매";#N/A,#N/A,TRUE,"Y총물량";#N/A,#N/A,TRUE,"Y능력";#N/A,#N/A,TRUE,"YKD"}</definedName>
    <definedName name="DDDDDDDDDD_1" localSheetId="4" hidden="1">{#N/A,#N/A,TRUE,"Y생산";#N/A,#N/A,TRUE,"Y판매";#N/A,#N/A,TRUE,"Y총물량";#N/A,#N/A,TRUE,"Y능력";#N/A,#N/A,TRUE,"YKD"}</definedName>
    <definedName name="DDDDDDDDDD_1" localSheetId="3" hidden="1">{#N/A,#N/A,TRUE,"Y생산";#N/A,#N/A,TRUE,"Y판매";#N/A,#N/A,TRUE,"Y총물량";#N/A,#N/A,TRUE,"Y능력";#N/A,#N/A,TRUE,"YKD"}</definedName>
    <definedName name="DDDDDDDDDD_1" localSheetId="1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 localSheetId="5">#REF!</definedName>
    <definedName name="ddddddddddd" localSheetId="4">#REF!</definedName>
    <definedName name="ddddddddddd" localSheetId="3">#REF!</definedName>
    <definedName name="ddddddddddd" localSheetId="1">#REF!</definedName>
    <definedName name="ddddddddddd">#REF!</definedName>
    <definedName name="DDDDDDDDDDDD" localSheetId="5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4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3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1" hidden="1">{#N/A,#N/A,FALSE,"표지";#N/A,#N/A,FALSE,"전제";#N/A,#N/A,FALSE,"손익-자 (2)";#N/A,#N/A,FALSE,"손익-자";#N/A,#N/A,FALSE,"손익-마 (2)";#N/A,#N/A,FALSE,"손익-마";#N/A,#N/A,FALSE,"총손최종"}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localSheetId="5" hidden="1">#REF!</definedName>
    <definedName name="DDDDDDDDDDDDD" localSheetId="4" hidden="1">#REF!</definedName>
    <definedName name="DDDDDDDDDDDDD" localSheetId="3" hidden="1">#REF!</definedName>
    <definedName name="DDDDDDDDDDDDD" localSheetId="1" hidden="1">#REF!</definedName>
    <definedName name="DDDDDDDDDDDDD" hidden="1">#REF!</definedName>
    <definedName name="dddddddddddddddd" localSheetId="5">#N/A</definedName>
    <definedName name="dddddddddddddddd" localSheetId="4">#N/A</definedName>
    <definedName name="dddddddddddddddd" localSheetId="3">#REF!</definedName>
    <definedName name="dddddddddddddddd" localSheetId="1">#REF!</definedName>
    <definedName name="dddddddddddddddd">#REF!</definedName>
    <definedName name="dddddddddddddddddd" localSheetId="5" hidden="1">{#N/A,#N/A,FALSE,"Aging Summary";#N/A,#N/A,FALSE,"Ratio Analysis";#N/A,#N/A,FALSE,"Test 120 Day Accts";#N/A,#N/A,FALSE,"Tickmarks"}</definedName>
    <definedName name="dddddddddddddddddd" localSheetId="4" hidden="1">{#N/A,#N/A,FALSE,"Aging Summary";#N/A,#N/A,FALSE,"Ratio Analysis";#N/A,#N/A,FALSE,"Test 120 Day Accts";#N/A,#N/A,FALSE,"Tickmarks"}</definedName>
    <definedName name="dddddddddddddddddd" localSheetId="3" hidden="1">{#N/A,#N/A,FALSE,"Aging Summary";#N/A,#N/A,FALSE,"Ratio Analysis";#N/A,#N/A,FALSE,"Test 120 Day Accts";#N/A,#N/A,FALSE,"Tickmarks"}</definedName>
    <definedName name="dddddddddddddddddd" localSheetId="1" hidden="1">{#N/A,#N/A,FALSE,"Aging Summary";#N/A,#N/A,FALSE,"Ratio Analysis";#N/A,#N/A,FALSE,"Test 120 Day Accts";#N/A,#N/A,FALSE,"Tickmarks"}</definedName>
    <definedName name="dddddddddddddddddd" hidden="1">{#N/A,#N/A,FALSE,"Aging Summary";#N/A,#N/A,FALSE,"Ratio Analysis";#N/A,#N/A,FALSE,"Test 120 Day Accts";#N/A,#N/A,FALSE,"Tickmarks"}</definedName>
    <definedName name="dddddddddddddddddddddddddddddddddd" localSheetId="5">#N/A</definedName>
    <definedName name="dddddddddddddddddddddddddddddddddd" localSheetId="4">#N/A</definedName>
    <definedName name="dddddddddddddddddddddddddddddddddd" localSheetId="3">#REF!</definedName>
    <definedName name="dddddddddddddddddddddddddddddddddd" localSheetId="1">#REF!</definedName>
    <definedName name="dddddddddddddddddddddddddddddddddd">#REF!</definedName>
    <definedName name="ddddddddddddddddddddddddddddddddddddddddddddddddddddd" localSheetId="5">#REF!</definedName>
    <definedName name="ddddddddddddddddddddddddddddddddddddddddddddddddddddd" localSheetId="4">#REF!</definedName>
    <definedName name="ddddddddddddddddddddddddddddddddddddddddddddddddddddd" localSheetId="3">#REF!</definedName>
    <definedName name="ddddddddddddddddddddddddddddddddddddddddddddddddddddd" localSheetId="1">#REF!</definedName>
    <definedName name="ddddddddddddddddddddddddddddddddddddddddddddddddddddd">#REF!</definedName>
    <definedName name="DDFDF" localSheetId="3" hidden="1">#REF!</definedName>
    <definedName name="DDFDF" localSheetId="1" hidden="1">#REF!</definedName>
    <definedName name="DDFDF" hidden="1">#REF!</definedName>
    <definedName name="Deal_Name" localSheetId="3">#REF!</definedName>
    <definedName name="Deal_Name" localSheetId="1">#REF!</definedName>
    <definedName name="Deal_Name">#REF!</definedName>
    <definedName name="debt" localSheetId="3">#REF!</definedName>
    <definedName name="debt" localSheetId="1">#REF!</definedName>
    <definedName name="debt">#REF!</definedName>
    <definedName name="Debt_BreakFee" localSheetId="3">#REF!</definedName>
    <definedName name="Debt_BreakFee" localSheetId="1">#REF!</definedName>
    <definedName name="Debt_BreakFee">#REF!</definedName>
    <definedName name="Debt_Ratio" localSheetId="3">#REF!</definedName>
    <definedName name="Debt_Ratio" localSheetId="1">#REF!</definedName>
    <definedName name="Debt_Ratio">#REF!</definedName>
    <definedName name="DebtType" localSheetId="3">#REF!</definedName>
    <definedName name="DebtType" localSheetId="1">#REF!</definedName>
    <definedName name="DebtType">#REF!</definedName>
    <definedName name="DEC.GH" localSheetId="3">#REF!</definedName>
    <definedName name="DEC.GH" localSheetId="1">#REF!</definedName>
    <definedName name="DEC.GH">#REF!</definedName>
    <definedName name="deduction" localSheetId="3">#REF!</definedName>
    <definedName name="deduction" localSheetId="1">#REF!</definedName>
    <definedName name="deduction">#REF!</definedName>
    <definedName name="DEFERRED" localSheetId="3">#REF!</definedName>
    <definedName name="DEFERRED" localSheetId="1">#REF!</definedName>
    <definedName name="DEFERRED">#REF!</definedName>
    <definedName name="DEFERRED2" localSheetId="3">#REF!</definedName>
    <definedName name="DEFERRED2" localSheetId="1">#REF!</definedName>
    <definedName name="DEFERRED2">#REF!</definedName>
    <definedName name="deferred3" localSheetId="3">#REF!</definedName>
    <definedName name="deferred3" localSheetId="1">#REF!</definedName>
    <definedName name="deferred3">#REF!</definedName>
    <definedName name="dek" localSheetId="5">#REF!</definedName>
    <definedName name="dek" localSheetId="4">#REF!</definedName>
    <definedName name="dek" localSheetId="3">#REF!</definedName>
    <definedName name="dek" localSheetId="1">#REF!</definedName>
    <definedName name="dek">#REF!</definedName>
    <definedName name="Deloitte." localSheetId="5">#REF!</definedName>
    <definedName name="Deloitte." localSheetId="4">#REF!</definedName>
    <definedName name="Deloitte." localSheetId="3">#REF!</definedName>
    <definedName name="Deloitte." localSheetId="1">#REF!</definedName>
    <definedName name="Deloitte.">#REF!</definedName>
    <definedName name="DELPHONE">#N/A</definedName>
    <definedName name="delta" localSheetId="5">#REF!</definedName>
    <definedName name="delta" localSheetId="4">#REF!</definedName>
    <definedName name="delta" localSheetId="3">#REF!</definedName>
    <definedName name="delta" localSheetId="1">#REF!</definedName>
    <definedName name="delta">#REF!</definedName>
    <definedName name="delta1" localSheetId="3">#REF!</definedName>
    <definedName name="delta1" localSheetId="1">#REF!</definedName>
    <definedName name="delta1">#REF!</definedName>
    <definedName name="delta2" localSheetId="3">#REF!</definedName>
    <definedName name="delta2" localSheetId="1">#REF!</definedName>
    <definedName name="delta2">#REF!</definedName>
    <definedName name="dep_rate" localSheetId="3">#REF!</definedName>
    <definedName name="dep_rate" localSheetId="1">#REF!</definedName>
    <definedName name="dep_rate">#REF!</definedName>
    <definedName name="deposit" localSheetId="3">#REF!</definedName>
    <definedName name="deposit" localSheetId="1">#REF!</definedName>
    <definedName name="deposit">#REF!</definedName>
    <definedName name="deposit_raise" localSheetId="3">#REF!</definedName>
    <definedName name="deposit_raise" localSheetId="1">#REF!</definedName>
    <definedName name="deposit_raise">#REF!</definedName>
    <definedName name="deposit_rate" localSheetId="3">#REF!</definedName>
    <definedName name="deposit_rate" localSheetId="1">#REF!</definedName>
    <definedName name="deposit_rate">#REF!</definedName>
    <definedName name="Depreciation" localSheetId="3">#REF!</definedName>
    <definedName name="Depreciation" localSheetId="1">#REF!</definedName>
    <definedName name="Depreciation">#REF!</definedName>
    <definedName name="DEPT" localSheetId="3">#REF!</definedName>
    <definedName name="DEPT" localSheetId="1">#REF!</definedName>
    <definedName name="DEPT">#REF!</definedName>
    <definedName name="dererred4" localSheetId="3">#REF!</definedName>
    <definedName name="dererred4" localSheetId="1">#REF!</definedName>
    <definedName name="dererred4">#REF!</definedName>
    <definedName name="Description" localSheetId="5">#REF!</definedName>
    <definedName name="Description" localSheetId="4">#REF!</definedName>
    <definedName name="Description" localSheetId="3">#REF!</definedName>
    <definedName name="Description" localSheetId="1">#REF!</definedName>
    <definedName name="Description">#REF!</definedName>
    <definedName name="DESIGN" localSheetId="3">#REF!</definedName>
    <definedName name="DESIGN" localSheetId="1">#REF!</definedName>
    <definedName name="DESIGN">#REF!</definedName>
    <definedName name="detail" localSheetId="3">#REF!</definedName>
    <definedName name="detail" localSheetId="1">#REF!</definedName>
    <definedName name="detail">#REF!</definedName>
    <definedName name="detailbalance" localSheetId="3">#REF!</definedName>
    <definedName name="detailbalance" localSheetId="1">#REF!</definedName>
    <definedName name="detailbalance">#REF!</definedName>
    <definedName name="detteis" localSheetId="3">#REF!</definedName>
    <definedName name="detteis" localSheetId="1">#REF!</definedName>
    <definedName name="detteis">#REF!</definedName>
    <definedName name="Deutsche" localSheetId="3">#REF!</definedName>
    <definedName name="Deutsche" localSheetId="1">#REF!</definedName>
    <definedName name="Deutsche">#REF!</definedName>
    <definedName name="Develop" localSheetId="3">#REF!</definedName>
    <definedName name="Develop" localSheetId="1">#REF!</definedName>
    <definedName name="Develop">#REF!</definedName>
    <definedName name="devs" localSheetId="5">#REF!</definedName>
    <definedName name="devs" localSheetId="4">#REF!</definedName>
    <definedName name="devs" localSheetId="3">#REF!</definedName>
    <definedName name="devs" localSheetId="1">#REF!</definedName>
    <definedName name="devs">#REF!</definedName>
    <definedName name="DF" localSheetId="5" hidden="1">{#N/A,#N/A,FALSE,"Aging Summary";#N/A,#N/A,FALSE,"Ratio Analysis";#N/A,#N/A,FALSE,"Test 120 Day Accts";#N/A,#N/A,FALSE,"Tickmarks"}</definedName>
    <definedName name="DF" localSheetId="4" hidden="1">{#N/A,#N/A,FALSE,"Aging Summary";#N/A,#N/A,FALSE,"Ratio Analysis";#N/A,#N/A,FALSE,"Test 120 Day Accts";#N/A,#N/A,FALSE,"Tickmarks"}</definedName>
    <definedName name="DF" localSheetId="3" hidden="1">{#N/A,#N/A,FALSE,"Aging Summary";#N/A,#N/A,FALSE,"Ratio Analysis";#N/A,#N/A,FALSE,"Test 120 Day Accts";#N/A,#N/A,FALSE,"Tickmarks"}</definedName>
    <definedName name="DF" localSheetId="1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adfdafdafdafd" localSheetId="5" hidden="1">{#N/A,#N/A,FALSE,"Aging Summary";#N/A,#N/A,FALSE,"Ratio Analysis";#N/A,#N/A,FALSE,"Test 120 Day Accts";#N/A,#N/A,FALSE,"Tickmarks"}</definedName>
    <definedName name="dfadfdafdafdafd" localSheetId="4" hidden="1">{#N/A,#N/A,FALSE,"Aging Summary";#N/A,#N/A,FALSE,"Ratio Analysis";#N/A,#N/A,FALSE,"Test 120 Day Accts";#N/A,#N/A,FALSE,"Tickmarks"}</definedName>
    <definedName name="dfadfdafdafdafd" localSheetId="3" hidden="1">{#N/A,#N/A,FALSE,"Aging Summary";#N/A,#N/A,FALSE,"Ratio Analysis";#N/A,#N/A,FALSE,"Test 120 Day Accts";#N/A,#N/A,FALSE,"Tickmarks"}</definedName>
    <definedName name="dfadfdafdafdafd" localSheetId="1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 localSheetId="5">#REF!</definedName>
    <definedName name="dfddf" localSheetId="4">#REF!</definedName>
    <definedName name="dfddf" localSheetId="3">#REF!</definedName>
    <definedName name="dfddf" localSheetId="1">#REF!</definedName>
    <definedName name="dfddf">#REF!</definedName>
    <definedName name="DFDF" localSheetId="5" hidden="1">{#N/A,#N/A,FALSE,"Aging Summary";#N/A,#N/A,FALSE,"Ratio Analysis";#N/A,#N/A,FALSE,"Test 120 Day Accts";#N/A,#N/A,FALSE,"Tickmarks"}</definedName>
    <definedName name="DFDF" localSheetId="4" hidden="1">{#N/A,#N/A,FALSE,"Aging Summary";#N/A,#N/A,FALSE,"Ratio Analysis";#N/A,#N/A,FALSE,"Test 120 Day Accts";#N/A,#N/A,FALSE,"Tickmarks"}</definedName>
    <definedName name="DFDF" localSheetId="3" hidden="1">{#N/A,#N/A,FALSE,"Aging Summary";#N/A,#N/A,FALSE,"Ratio Analysis";#N/A,#N/A,FALSE,"Test 120 Day Accts";#N/A,#N/A,FALSE,"Tickmarks"}</definedName>
    <definedName name="DFDF" localSheetId="1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FD" localSheetId="5" hidden="1">{#N/A,#N/A,FALSE,"Aging Summary";#N/A,#N/A,FALSE,"Ratio Analysis";#N/A,#N/A,FALSE,"Test 120 Day Accts";#N/A,#N/A,FALSE,"Tickmarks"}</definedName>
    <definedName name="DFDFDFD" localSheetId="4" hidden="1">{#N/A,#N/A,FALSE,"Aging Summary";#N/A,#N/A,FALSE,"Ratio Analysis";#N/A,#N/A,FALSE,"Test 120 Day Accts";#N/A,#N/A,FALSE,"Tickmarks"}</definedName>
    <definedName name="DFDFDFD" localSheetId="3" hidden="1">{#N/A,#N/A,FALSE,"Aging Summary";#N/A,#N/A,FALSE,"Ratio Analysis";#N/A,#N/A,FALSE,"Test 120 Day Accts";#N/A,#N/A,FALSE,"Tickmarks"}</definedName>
    <definedName name="DFDFDFD" localSheetId="1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localSheetId="5" hidden="1">{#N/A,#N/A,TRUE,"Assumptions";#N/A,#N/A,TRUE,"Sources of Revenue";#N/A,#N/A,TRUE,"P&amp;L";#N/A,#N/A,TRUE,"Bal. Sheet";#N/A,#N/A,TRUE,"Rights Issue &amp; X Adjustment";#N/A,#N/A,TRUE,"Transaction Model"}</definedName>
    <definedName name="dfg" localSheetId="4" hidden="1">{#N/A,#N/A,TRUE,"Assumptions";#N/A,#N/A,TRUE,"Sources of Revenue";#N/A,#N/A,TRUE,"P&amp;L";#N/A,#N/A,TRUE,"Bal. Sheet";#N/A,#N/A,TRUE,"Rights Issue &amp; X Adjustment";#N/A,#N/A,TRUE,"Transaction Model"}</definedName>
    <definedName name="dfg" localSheetId="3" hidden="1">{#N/A,#N/A,TRUE,"Assumptions";#N/A,#N/A,TRUE,"Sources of Revenue";#N/A,#N/A,TRUE,"P&amp;L";#N/A,#N/A,TRUE,"Bal. Sheet";#N/A,#N/A,TRUE,"Rights Issue &amp; X Adjustment";#N/A,#N/A,TRUE,"Transaction Model"}</definedName>
    <definedName name="dfg" localSheetId="1" hidden="1">{#N/A,#N/A,TRUE,"Assumptions";#N/A,#N/A,TRUE,"Sources of Revenue";#N/A,#N/A,TRUE,"P&amp;L";#N/A,#N/A,TRUE,"Bal. Sheet";#N/A,#N/A,TRUE,"Rights Issue &amp; X Adjustment";#N/A,#N/A,TRUE,"Transaction Model"}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localSheetId="5" hidden="1">#REF!</definedName>
    <definedName name="dfgbr" localSheetId="4" hidden="1">#REF!</definedName>
    <definedName name="dfgbr" localSheetId="3" hidden="1">#REF!</definedName>
    <definedName name="dfgbr" localSheetId="1" hidden="1">#REF!</definedName>
    <definedName name="dfgbr" hidden="1">#REF!</definedName>
    <definedName name="DFGDF" localSheetId="3">#REF!</definedName>
    <definedName name="DFGDF" localSheetId="1">#REF!</definedName>
    <definedName name="DFGDF">#REF!</definedName>
    <definedName name="DFGFHY" localSheetId="5">#REF!</definedName>
    <definedName name="DFGFHY" localSheetId="4">#REF!</definedName>
    <definedName name="DFGFHY" localSheetId="3">#REF!</definedName>
    <definedName name="DFGFHY" localSheetId="1">#REF!</definedName>
    <definedName name="DFGFHY">#REF!</definedName>
    <definedName name="dfghdfghhdfh" localSheetId="5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4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3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1" hidden="1">{#N/A,#N/A,TRUE,"Assumptions";#N/A,#N/A,TRUE,"Sources of Revenue";#N/A,#N/A,TRUE,"P&amp;L";#N/A,#N/A,TRUE,"Bal. Sheet";#N/A,#N/A,TRUE,"Rights Issue &amp; X Adjustment";#N/A,#N/A,TRUE,"Transaction Model"}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localSheetId="5" hidden="1">#REF!</definedName>
    <definedName name="dfjk" localSheetId="4" hidden="1">#REF!</definedName>
    <definedName name="dfjk" localSheetId="3" hidden="1">#REF!</definedName>
    <definedName name="dfjk" localSheetId="1" hidden="1">#REF!</definedName>
    <definedName name="dfjk" hidden="1">#REF!</definedName>
    <definedName name="DFSDFS" localSheetId="3" hidden="1">#REF!</definedName>
    <definedName name="DFSDFS" localSheetId="1" hidden="1">#REF!</definedName>
    <definedName name="DFSDFS" hidden="1">#REF!</definedName>
    <definedName name="DG_Company_Info" localSheetId="3">#REF!</definedName>
    <definedName name="DG_Company_Info" localSheetId="1">#REF!</definedName>
    <definedName name="DG_Company_Info">#REF!</definedName>
    <definedName name="DG_Empl_Category" localSheetId="3">#REF!</definedName>
    <definedName name="DG_Empl_Category" localSheetId="1">#REF!</definedName>
    <definedName name="DG_Empl_Category">#REF!</definedName>
    <definedName name="DG_Highest_Qual" localSheetId="3">#REF!</definedName>
    <definedName name="DG_Highest_Qual" localSheetId="1">#REF!</definedName>
    <definedName name="DG_Highest_Qual">#REF!</definedName>
    <definedName name="DG_Important_Notes" localSheetId="3">#REF!</definedName>
    <definedName name="DG_Important_Notes" localSheetId="1">#REF!</definedName>
    <definedName name="DG_Important_Notes">#REF!</definedName>
    <definedName name="DG_Incumbent_Basic" localSheetId="3">#REF!</definedName>
    <definedName name="DG_Incumbent_Basic" localSheetId="1">#REF!</definedName>
    <definedName name="DG_Incumbent_Basic">#REF!</definedName>
    <definedName name="DG_Incumbent_Compensation" localSheetId="3">#REF!</definedName>
    <definedName name="DG_Incumbent_Compensation" localSheetId="1">#REF!</definedName>
    <definedName name="DG_Incumbent_Compensation">#REF!</definedName>
    <definedName name="DG_Industry_List" localSheetId="3">#REF!</definedName>
    <definedName name="DG_Industry_List" localSheetId="1">#REF!</definedName>
    <definedName name="DG_Industry_List">#REF!</definedName>
    <definedName name="DG_Terms_Definitions" localSheetId="3">#REF!</definedName>
    <definedName name="DG_Terms_Definitions" localSheetId="1">#REF!</definedName>
    <definedName name="DG_Terms_Definitions">#REF!</definedName>
    <definedName name="DG_Toolbar" localSheetId="3">#REF!</definedName>
    <definedName name="DG_Toolbar" localSheetId="1">#REF!</definedName>
    <definedName name="DG_Toolbar">#REF!</definedName>
    <definedName name="dgffdh" localSheetId="5" hidden="1">{#N/A,#N/A,TRUE,"Assumptions";#N/A,#N/A,TRUE,"Sources of Revenue";#N/A,#N/A,TRUE,"P&amp;L";#N/A,#N/A,TRUE,"Bal. Sheet";#N/A,#N/A,TRUE,"Rights Issue &amp; X Adjustment";#N/A,#N/A,TRUE,"Transaction Model"}</definedName>
    <definedName name="dgffdh" localSheetId="4" hidden="1">{#N/A,#N/A,TRUE,"Assumptions";#N/A,#N/A,TRUE,"Sources of Revenue";#N/A,#N/A,TRUE,"P&amp;L";#N/A,#N/A,TRUE,"Bal. Sheet";#N/A,#N/A,TRUE,"Rights Issue &amp; X Adjustment";#N/A,#N/A,TRUE,"Transaction Model"}</definedName>
    <definedName name="dgffdh" localSheetId="3" hidden="1">{#N/A,#N/A,TRUE,"Assumptions";#N/A,#N/A,TRUE,"Sources of Revenue";#N/A,#N/A,TRUE,"P&amp;L";#N/A,#N/A,TRUE,"Bal. Sheet";#N/A,#N/A,TRUE,"Rights Issue &amp; X Adjustment";#N/A,#N/A,TRUE,"Transaction Model"}</definedName>
    <definedName name="dgffdh" localSheetId="1" hidden="1">{#N/A,#N/A,TRUE,"Assumptions";#N/A,#N/A,TRUE,"Sources of Revenue";#N/A,#N/A,TRUE,"P&amp;L";#N/A,#N/A,TRUE,"Bal. Sheet";#N/A,#N/A,TRUE,"Rights Issue &amp; X Adjustment";#N/A,#N/A,TRUE,"Transaction Model"}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 localSheetId="5">#REF!</definedName>
    <definedName name="DGFHTJTYKHJMKJ" localSheetId="4">#REF!</definedName>
    <definedName name="DGFHTJTYKHJMKJ" localSheetId="3">#REF!</definedName>
    <definedName name="DGFHTJTYKHJMKJ" localSheetId="1">#REF!</definedName>
    <definedName name="DGFHTJTYKHJMKJ">#REF!</definedName>
    <definedName name="dhdhdh" localSheetId="5">#REF!</definedName>
    <definedName name="dhdhdh" localSheetId="4">#REF!</definedName>
    <definedName name="dhdhdh" localSheetId="3">#REF!</definedName>
    <definedName name="dhdhdh" localSheetId="1">#REF!</definedName>
    <definedName name="dhdhdh">#REF!</definedName>
    <definedName name="DI" localSheetId="5">#REF!</definedName>
    <definedName name="DI" localSheetId="4">#REF!</definedName>
    <definedName name="DI" localSheetId="3">#REF!</definedName>
    <definedName name="DI" localSheetId="1">#REF!</definedName>
    <definedName name="DI">#REF!</definedName>
    <definedName name="DIE" localSheetId="5" hidden="1">{#N/A,#N/A,FALSE,"단축1";#N/A,#N/A,FALSE,"단축2";#N/A,#N/A,FALSE,"단축3";#N/A,#N/A,FALSE,"장축";#N/A,#N/A,FALSE,"4WD"}</definedName>
    <definedName name="DIE" localSheetId="4" hidden="1">{#N/A,#N/A,FALSE,"단축1";#N/A,#N/A,FALSE,"단축2";#N/A,#N/A,FALSE,"단축3";#N/A,#N/A,FALSE,"장축";#N/A,#N/A,FALSE,"4WD"}</definedName>
    <definedName name="DIE" localSheetId="3" hidden="1">{#N/A,#N/A,FALSE,"단축1";#N/A,#N/A,FALSE,"단축2";#N/A,#N/A,FALSE,"단축3";#N/A,#N/A,FALSE,"장축";#N/A,#N/A,FALSE,"4WD"}</definedName>
    <definedName name="DIE" localSheetId="1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5" hidden="1">{#N/A,#N/A,FALSE,"단축1";#N/A,#N/A,FALSE,"단축2";#N/A,#N/A,FALSE,"단축3";#N/A,#N/A,FALSE,"장축";#N/A,#N/A,FALSE,"4WD"}</definedName>
    <definedName name="DIESEL" localSheetId="4" hidden="1">{#N/A,#N/A,FALSE,"단축1";#N/A,#N/A,FALSE,"단축2";#N/A,#N/A,FALSE,"단축3";#N/A,#N/A,FALSE,"장축";#N/A,#N/A,FALSE,"4WD"}</definedName>
    <definedName name="DIESEL" localSheetId="3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5" hidden="1">{#N/A,#N/A,FALSE,"단축1";#N/A,#N/A,FALSE,"단축2";#N/A,#N/A,FALSE,"단축3";#N/A,#N/A,FALSE,"장축";#N/A,#N/A,FALSE,"4WD"}</definedName>
    <definedName name="DIESELLL" localSheetId="4" hidden="1">{#N/A,#N/A,FALSE,"단축1";#N/A,#N/A,FALSE,"단축2";#N/A,#N/A,FALSE,"단축3";#N/A,#N/A,FALSE,"장축";#N/A,#N/A,FALSE,"4WD"}</definedName>
    <definedName name="DIESELLL" localSheetId="3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 localSheetId="5">#REF!,#REF!,#REF!,#REF!,#REF!</definedName>
    <definedName name="differc" localSheetId="4">#REF!,#REF!,#REF!,#REF!,#REF!</definedName>
    <definedName name="differc" localSheetId="3">#REF!,#REF!,#REF!,#REF!,#REF!</definedName>
    <definedName name="differc" localSheetId="1">#REF!,#REF!,#REF!,#REF!,#REF!</definedName>
    <definedName name="differc">#REF!,#REF!,#REF!,#REF!,#REF!</definedName>
    <definedName name="differe" localSheetId="5">#REF!,#REF!,#REF!,#REF!,#REF!,#REF!</definedName>
    <definedName name="differe" localSheetId="4">#REF!,#REF!,#REF!,#REF!,#REF!,#REF!</definedName>
    <definedName name="differe" localSheetId="3">#REF!,#REF!,#REF!,#REF!,#REF!,#REF!</definedName>
    <definedName name="differe" localSheetId="1">#REF!,#REF!,#REF!,#REF!,#REF!,#REF!</definedName>
    <definedName name="differe">#REF!,#REF!,#REF!,#REF!,#REF!,#REF!</definedName>
    <definedName name="DIFFERLANOS" localSheetId="3">#REF!,#REF!,#REF!,#REF!,#REF!,#REF!</definedName>
    <definedName name="DIFFERLANOS" localSheetId="1">#REF!,#REF!,#REF!,#REF!,#REF!,#REF!</definedName>
    <definedName name="DIFFERLANOS">#REF!,#REF!,#REF!,#REF!,#REF!,#REF!</definedName>
    <definedName name="DIFFERT" localSheetId="3">#REF!,#REF!,#REF!,#REF!,#REF!,#REF!</definedName>
    <definedName name="DIFFERT" localSheetId="1">#REF!,#REF!,#REF!,#REF!,#REF!,#REF!</definedName>
    <definedName name="DIFFERT">#REF!,#REF!,#REF!,#REF!,#REF!,#REF!</definedName>
    <definedName name="DIFFERV" localSheetId="3">#REF!,#REF!,#REF!,#REF!,#REF!,#REF!</definedName>
    <definedName name="DIFFERV" localSheetId="1">#REF!,#REF!,#REF!,#REF!,#REF!,#REF!</definedName>
    <definedName name="DIFFERV">#REF!,#REF!,#REF!,#REF!,#REF!,#REF!</definedName>
    <definedName name="DIR" localSheetId="5">#REF!</definedName>
    <definedName name="DIR" localSheetId="4">#REF!</definedName>
    <definedName name="DIR" localSheetId="3">#REF!</definedName>
    <definedName name="DIR" localSheetId="1">#REF!</definedName>
    <definedName name="DIR">#REF!</definedName>
    <definedName name="DIS" localSheetId="3" hidden="1">#REF!</definedName>
    <definedName name="DIS" localSheetId="1" hidden="1">#REF!</definedName>
    <definedName name="DIS" hidden="1">#REF!</definedName>
    <definedName name="Discount" localSheetId="5">#REF!</definedName>
    <definedName name="Discount" localSheetId="4">#REF!</definedName>
    <definedName name="Discount" localSheetId="3">#REF!</definedName>
    <definedName name="Discount" localSheetId="1">#REF!</definedName>
    <definedName name="Discount">#REF!</definedName>
    <definedName name="Discount_Factor" localSheetId="5">#REF!</definedName>
    <definedName name="Discount_Factor" localSheetId="4">#REF!</definedName>
    <definedName name="Discount_Factor" localSheetId="3">#REF!</definedName>
    <definedName name="Discount_Factor" localSheetId="1">#REF!</definedName>
    <definedName name="Discount_Factor">#REF!</definedName>
    <definedName name="Discount_Period" localSheetId="3">#REF!</definedName>
    <definedName name="Discount_Period" localSheetId="1">#REF!</definedName>
    <definedName name="Discount_Period">#REF!</definedName>
    <definedName name="discount_rate" localSheetId="3">#REF!</definedName>
    <definedName name="discount_rate" localSheetId="1">#REF!</definedName>
    <definedName name="discount_rate">#REF!</definedName>
    <definedName name="DISPLAY_DIALOG" localSheetId="3">#REF!</definedName>
    <definedName name="DISPLAY_DIALOG" localSheetId="1">#REF!</definedName>
    <definedName name="DISPLAY_DIALOG">#REF!</definedName>
    <definedName name="DisplaySelectedSheetsMacroButton" localSheetId="3">#REF!</definedName>
    <definedName name="DisplaySelectedSheetsMacroButton" localSheetId="1">#REF!</definedName>
    <definedName name="DisplaySelectedSheetsMacroButton">#REF!</definedName>
    <definedName name="dispo_date" localSheetId="3">#REF!</definedName>
    <definedName name="dispo_date" localSheetId="1">#REF!</definedName>
    <definedName name="dispo_date">#REF!</definedName>
    <definedName name="dispo_date_lookup" localSheetId="3">#REF!</definedName>
    <definedName name="dispo_date_lookup" localSheetId="1">#REF!</definedName>
    <definedName name="dispo_date_lookup">#REF!</definedName>
    <definedName name="dispo_fee" localSheetId="3">#REF!</definedName>
    <definedName name="dispo_fee" localSheetId="1">#REF!</definedName>
    <definedName name="dispo_fee">#REF!</definedName>
    <definedName name="DISTR" localSheetId="5">#REF!</definedName>
    <definedName name="DISTR" localSheetId="4">#REF!</definedName>
    <definedName name="DISTR" localSheetId="3">#REF!</definedName>
    <definedName name="DISTR" localSheetId="1">#REF!</definedName>
    <definedName name="DISTR">#REF!</definedName>
    <definedName name="DIV" localSheetId="3">#REF!</definedName>
    <definedName name="DIV" localSheetId="1">#REF!</definedName>
    <definedName name="DIV">#REF!</definedName>
    <definedName name="DJQAN" localSheetId="5" hidden="1">{#N/A,#N/A,TRUE,"대 차 대 조 표"}</definedName>
    <definedName name="DJQAN" localSheetId="4" hidden="1">{#N/A,#N/A,TRUE,"대 차 대 조 표"}</definedName>
    <definedName name="DJQAN" localSheetId="3" hidden="1">{#N/A,#N/A,TRUE,"대 차 대 조 표"}</definedName>
    <definedName name="DJQAN" localSheetId="1" hidden="1">{#N/A,#N/A,TRUE,"대 차 대 조 표"}</definedName>
    <definedName name="DJQAN" hidden="1">{#N/A,#N/A,TRUE,"대 차 대 조 표"}</definedName>
    <definedName name="DJQAN_1" localSheetId="5" hidden="1">{#N/A,#N/A,TRUE,"대 차 대 조 표"}</definedName>
    <definedName name="DJQAN_1" localSheetId="4" hidden="1">{#N/A,#N/A,TRUE,"대 차 대 조 표"}</definedName>
    <definedName name="DJQAN_1" localSheetId="3" hidden="1">{#N/A,#N/A,TRUE,"대 차 대 조 표"}</definedName>
    <definedName name="DJQAN_1" localSheetId="1" hidden="1">{#N/A,#N/A,TRUE,"대 차 대 조 표"}</definedName>
    <definedName name="DJQAN_1" hidden="1">{#N/A,#N/A,TRUE,"대 차 대 조 표"}</definedName>
    <definedName name="dk" localSheetId="5" hidden="1">{#N/A,#N/A,FALSE,"3가";#N/A,#N/A,FALSE,"3나";#N/A,#N/A,FALSE,"3다"}</definedName>
    <definedName name="dk" localSheetId="4" hidden="1">{#N/A,#N/A,FALSE,"3가";#N/A,#N/A,FALSE,"3나";#N/A,#N/A,FALSE,"3다"}</definedName>
    <definedName name="dk" localSheetId="3" hidden="1">{#N/A,#N/A,FALSE,"3가";#N/A,#N/A,FALSE,"3나";#N/A,#N/A,FALSE,"3다"}</definedName>
    <definedName name="dk" localSheetId="1" hidden="1">{#N/A,#N/A,FALSE,"3가";#N/A,#N/A,FALSE,"3나";#N/A,#N/A,FALSE,"3다"}</definedName>
    <definedName name="dk" hidden="1">{#N/A,#N/A,FALSE,"3가";#N/A,#N/A,FALSE,"3나";#N/A,#N/A,FALSE,"3다"}</definedName>
    <definedName name="dkd" localSheetId="5" hidden="1">{#N/A,#N/A,FALSE,"1.CRITERIA";#N/A,#N/A,FALSE,"2.IS";#N/A,#N/A,FALSE,"3.BS";#N/A,#N/A,FALSE,"4.PER PL";#N/A,#N/A,FALSE,"5.INVESTMENT";#N/A,#N/A,FALSE,"6.공문";#N/A,#N/A,FALSE,"7.netinvest"}</definedName>
    <definedName name="dkd" localSheetId="4" hidden="1">{#N/A,#N/A,FALSE,"1.CRITERIA";#N/A,#N/A,FALSE,"2.IS";#N/A,#N/A,FALSE,"3.BS";#N/A,#N/A,FALSE,"4.PER PL";#N/A,#N/A,FALSE,"5.INVESTMENT";#N/A,#N/A,FALSE,"6.공문";#N/A,#N/A,FALSE,"7.netinvest"}</definedName>
    <definedName name="dkd" localSheetId="3" hidden="1">{#N/A,#N/A,FALSE,"1.CRITERIA";#N/A,#N/A,FALSE,"2.IS";#N/A,#N/A,FALSE,"3.BS";#N/A,#N/A,FALSE,"4.PER PL";#N/A,#N/A,FALSE,"5.INVESTMENT";#N/A,#N/A,FALSE,"6.공문";#N/A,#N/A,FALSE,"7.netinvest"}</definedName>
    <definedName name="dkd" localSheetId="1" hidden="1">{#N/A,#N/A,FALSE,"1.CRITERIA";#N/A,#N/A,FALSE,"2.IS";#N/A,#N/A,FALSE,"3.BS";#N/A,#N/A,FALSE,"4.PER PL";#N/A,#N/A,FALSE,"5.INVESTMENT";#N/A,#N/A,FALSE,"6.공문";#N/A,#N/A,FALSE,"7.netinvest"}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 localSheetId="5">#REF!</definedName>
    <definedName name="DKDI" localSheetId="4">#REF!</definedName>
    <definedName name="DKDI" localSheetId="3">#REF!</definedName>
    <definedName name="DKDI" localSheetId="1">#REF!</definedName>
    <definedName name="DKDI">#REF!</definedName>
    <definedName name="DKDKFG8TBTB2RT" localSheetId="3">#REF!</definedName>
    <definedName name="DKDKFG8TBTB2RT" localSheetId="1">#REF!</definedName>
    <definedName name="DKDKFG8TBTB2RT">#REF!</definedName>
    <definedName name="dkdlrh" localSheetId="5" hidden="1">{"'Sheet1'!$A$1:$D$15"}</definedName>
    <definedName name="dkdlrh" localSheetId="4" hidden="1">{"'Sheet1'!$A$1:$D$15"}</definedName>
    <definedName name="dkdlrh" localSheetId="3" hidden="1">{"'Sheet1'!$A$1:$D$15"}</definedName>
    <definedName name="dkdlrh" localSheetId="1" hidden="1">{"'Sheet1'!$A$1:$D$15"}</definedName>
    <definedName name="dkdlrh" hidden="1">{"'Sheet1'!$A$1:$D$15"}</definedName>
    <definedName name="dkf" localSheetId="5" hidden="1">{#N/A,#N/A,FALSE,"채산3501.XLS";#N/A,#N/A,FALSE,"신조수A.XLS";#N/A,#N/A,FALSE,"신조수b.XLS";#N/A,#N/A,FALSE,"채산3502.XLS";#N/A,#N/A,FALSE,"신조원리.XLS";#N/A,#N/A,FALSE,"신조감가.XLS"}</definedName>
    <definedName name="dkf" localSheetId="4" hidden="1">{#N/A,#N/A,FALSE,"채산3501.XLS";#N/A,#N/A,FALSE,"신조수A.XLS";#N/A,#N/A,FALSE,"신조수b.XLS";#N/A,#N/A,FALSE,"채산3502.XLS";#N/A,#N/A,FALSE,"신조원리.XLS";#N/A,#N/A,FALSE,"신조감가.XLS"}</definedName>
    <definedName name="dkf" localSheetId="3" hidden="1">{#N/A,#N/A,FALSE,"채산3501.XLS";#N/A,#N/A,FALSE,"신조수A.XLS";#N/A,#N/A,FALSE,"신조수b.XLS";#N/A,#N/A,FALSE,"채산3502.XLS";#N/A,#N/A,FALSE,"신조원리.XLS";#N/A,#N/A,FALSE,"신조감가.XLS"}</definedName>
    <definedName name="dkf" localSheetId="1" hidden="1">{#N/A,#N/A,FALSE,"채산3501.XLS";#N/A,#N/A,FALSE,"신조수A.XLS";#N/A,#N/A,FALSE,"신조수b.XLS";#N/A,#N/A,FALSE,"채산3502.XLS";#N/A,#N/A,FALSE,"신조원리.XLS";#N/A,#N/A,FALSE,"신조감가.XLS"}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localSheetId="5" hidden="1">{#N/A,#N/A,FALSE,"3가";#N/A,#N/A,FALSE,"3나";#N/A,#N/A,FALSE,"3다"}</definedName>
    <definedName name="DKS" localSheetId="4" hidden="1">{#N/A,#N/A,FALSE,"3가";#N/A,#N/A,FALSE,"3나";#N/A,#N/A,FALSE,"3다"}</definedName>
    <definedName name="DKS" localSheetId="3" hidden="1">{#N/A,#N/A,FALSE,"3가";#N/A,#N/A,FALSE,"3나";#N/A,#N/A,FALSE,"3다"}</definedName>
    <definedName name="DKS" localSheetId="1" hidden="1">{#N/A,#N/A,FALSE,"3가";#N/A,#N/A,FALSE,"3나";#N/A,#N/A,FALSE,"3다"}</definedName>
    <definedName name="DKS" hidden="1">{#N/A,#N/A,FALSE,"3가";#N/A,#N/A,FALSE,"3나";#N/A,#N/A,FALSE,"3다"}</definedName>
    <definedName name="dkskslfjklsd" localSheetId="5" hidden="1">{#N/A,#N/A,FALSE,"1.CRITERIA";#N/A,#N/A,FALSE,"2.IS";#N/A,#N/A,FALSE,"3.BS";#N/A,#N/A,FALSE,"4.PER PL";#N/A,#N/A,FALSE,"5.INVESTMENT";#N/A,#N/A,FALSE,"6.공문";#N/A,#N/A,FALSE,"7.netinvest"}</definedName>
    <definedName name="dkskslfjklsd" localSheetId="4" hidden="1">{#N/A,#N/A,FALSE,"1.CRITERIA";#N/A,#N/A,FALSE,"2.IS";#N/A,#N/A,FALSE,"3.BS";#N/A,#N/A,FALSE,"4.PER PL";#N/A,#N/A,FALSE,"5.INVESTMENT";#N/A,#N/A,FALSE,"6.공문";#N/A,#N/A,FALSE,"7.netinvest"}</definedName>
    <definedName name="dkskslfjklsd" localSheetId="3" hidden="1">{#N/A,#N/A,FALSE,"1.CRITERIA";#N/A,#N/A,FALSE,"2.IS";#N/A,#N/A,FALSE,"3.BS";#N/A,#N/A,FALSE,"4.PER PL";#N/A,#N/A,FALSE,"5.INVESTMENT";#N/A,#N/A,FALSE,"6.공문";#N/A,#N/A,FALSE,"7.netinvest"}</definedName>
    <definedName name="dkskslfjklsd" localSheetId="1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 localSheetId="5">#REF!</definedName>
    <definedName name="dl" localSheetId="4">#REF!</definedName>
    <definedName name="dl" localSheetId="3">#REF!</definedName>
    <definedName name="dl" localSheetId="1">#REF!</definedName>
    <definedName name="dl">#REF!</definedName>
    <definedName name="DLF" localSheetId="5" hidden="1">{#N/A,#N/A,TRUE,"일정"}</definedName>
    <definedName name="DLF" localSheetId="4" hidden="1">{#N/A,#N/A,TRUE,"일정"}</definedName>
    <definedName name="DLF" localSheetId="3" hidden="1">{#N/A,#N/A,TRUE,"일정"}</definedName>
    <definedName name="DLF" localSheetId="1" hidden="1">{#N/A,#N/A,TRUE,"일정"}</definedName>
    <definedName name="DLF" hidden="1">{#N/A,#N/A,TRUE,"일정"}</definedName>
    <definedName name="DLS" localSheetId="5" hidden="1">{#N/A,#N/A,TRUE,"Y생산";#N/A,#N/A,TRUE,"Y판매";#N/A,#N/A,TRUE,"Y총물량";#N/A,#N/A,TRUE,"Y능력";#N/A,#N/A,TRUE,"YKD"}</definedName>
    <definedName name="DLS" localSheetId="4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localSheetId="1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 localSheetId="5">{"Book1"}</definedName>
    <definedName name="Document_array" localSheetId="4">{"Book1"}</definedName>
    <definedName name="Document_array" localSheetId="3">{"Book1"}</definedName>
    <definedName name="Document_array" localSheetId="1">{"Book1"}</definedName>
    <definedName name="Document_array">{"Book1"}</definedName>
    <definedName name="DOL" localSheetId="3">#REF!</definedName>
    <definedName name="DOL" localSheetId="1">#REF!</definedName>
    <definedName name="DOL">#REF!</definedName>
    <definedName name="DOMESTIC" localSheetId="5">#REF!</definedName>
    <definedName name="DOMESTIC" localSheetId="4">#REF!</definedName>
    <definedName name="DOMESTIC" localSheetId="3">#REF!</definedName>
    <definedName name="DOMESTIC" localSheetId="1">#REF!</definedName>
    <definedName name="DOMESTIC">#REF!</definedName>
    <definedName name="domestic_ctn_twill" localSheetId="5">#REF!</definedName>
    <definedName name="domestic_ctn_twill" localSheetId="4">#REF!</definedName>
    <definedName name="domestic_ctn_twill" localSheetId="3">#REF!</definedName>
    <definedName name="domestic_ctn_twill" localSheetId="1">#REF!</definedName>
    <definedName name="domestic_ctn_twill">#REF!</definedName>
    <definedName name="Dongjin" localSheetId="5">#N/A</definedName>
    <definedName name="Dongjin" localSheetId="4">#N/A</definedName>
    <definedName name="Dongjin" localSheetId="3">#REF!</definedName>
    <definedName name="Dongjin" localSheetId="1">#REF!</definedName>
    <definedName name="Dongjin">#REF!</definedName>
    <definedName name="DOOR" localSheetId="5">#REF!</definedName>
    <definedName name="DOOR" localSheetId="4">#REF!</definedName>
    <definedName name="DOOR" localSheetId="3">#REF!</definedName>
    <definedName name="DOOR" localSheetId="1">#REF!</definedName>
    <definedName name="DOOR">#REF!</definedName>
    <definedName name="DPS" localSheetId="3">#REF!</definedName>
    <definedName name="DPS" localSheetId="1">#REF!</definedName>
    <definedName name="DPS">#REF!</definedName>
    <definedName name="D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 localSheetId="5">#REF!</definedName>
    <definedName name="DRAW_COM" localSheetId="4">#REF!</definedName>
    <definedName name="DRAW_COM" localSheetId="3">#REF!</definedName>
    <definedName name="DRAW_COM" localSheetId="1">#REF!</definedName>
    <definedName name="DRAW_COM">#REF!</definedName>
    <definedName name="DRAW_COM2" localSheetId="3">#REF!</definedName>
    <definedName name="DRAW_COM2" localSheetId="1">#REF!</definedName>
    <definedName name="DRAW_COM2">#REF!</definedName>
    <definedName name="DRAW_TICK" localSheetId="3">#REF!</definedName>
    <definedName name="DRAW_TICK" localSheetId="1">#REF!</definedName>
    <definedName name="DRAW_TICK">#REF!</definedName>
    <definedName name="DRIVEABILITY" localSheetId="5" hidden="1">{#N/A,#N/A,FALSE,"단축1";#N/A,#N/A,FALSE,"단축2";#N/A,#N/A,FALSE,"단축3";#N/A,#N/A,FALSE,"장축";#N/A,#N/A,FALSE,"4WD"}</definedName>
    <definedName name="DRIVEABILITY" localSheetId="4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localSheetId="5" hidden="1">{#N/A,#N/A,FALSE,"BS";#N/A,#N/A,FALSE,"PL";#N/A,#N/A,FALSE,"처분";#N/A,#N/A,FALSE,"현금";#N/A,#N/A,FALSE,"매출";#N/A,#N/A,FALSE,"원가";#N/A,#N/A,FALSE,"경영"}</definedName>
    <definedName name="dsafasd" localSheetId="4" hidden="1">{#N/A,#N/A,FALSE,"BS";#N/A,#N/A,FALSE,"PL";#N/A,#N/A,FALSE,"처분";#N/A,#N/A,FALSE,"현금";#N/A,#N/A,FALSE,"매출";#N/A,#N/A,FALSE,"원가";#N/A,#N/A,FALSE,"경영"}</definedName>
    <definedName name="dsafasd" localSheetId="3" hidden="1">{#N/A,#N/A,FALSE,"BS";#N/A,#N/A,FALSE,"PL";#N/A,#N/A,FALSE,"처분";#N/A,#N/A,FALSE,"현금";#N/A,#N/A,FALSE,"매출";#N/A,#N/A,FALSE,"원가";#N/A,#N/A,FALSE,"경영"}</definedName>
    <definedName name="dsafasd" localSheetId="1" hidden="1">{#N/A,#N/A,FALSE,"BS";#N/A,#N/A,FALSE,"PL";#N/A,#N/A,FALSE,"처분";#N/A,#N/A,FALSE,"현금";#N/A,#N/A,FALSE,"매출";#N/A,#N/A,FALSE,"원가";#N/A,#N/A,FALSE,"경영"}</definedName>
    <definedName name="dsafasd" hidden="1">{#N/A,#N/A,FALSE,"BS";#N/A,#N/A,FALSE,"PL";#N/A,#N/A,FALSE,"처분";#N/A,#N/A,FALSE,"현금";#N/A,#N/A,FALSE,"매출";#N/A,#N/A,FALSE,"원가";#N/A,#N/A,FALSE,"경영"}</definedName>
    <definedName name="dsasdf" localSheetId="5" hidden="1">{#N/A,#N/A,TRUE,"Assumptions";#N/A,#N/A,TRUE,"Sources of Revenue";#N/A,#N/A,TRUE,"P&amp;L";#N/A,#N/A,TRUE,"Bal. Sheet";#N/A,#N/A,TRUE,"Rights Issue &amp; X Adjustment";#N/A,#N/A,TRUE,"Transaction Model"}</definedName>
    <definedName name="dsasdf" localSheetId="4" hidden="1">{#N/A,#N/A,TRUE,"Assumptions";#N/A,#N/A,TRUE,"Sources of Revenue";#N/A,#N/A,TRUE,"P&amp;L";#N/A,#N/A,TRUE,"Bal. Sheet";#N/A,#N/A,TRUE,"Rights Issue &amp; X Adjustment";#N/A,#N/A,TRUE,"Transaction Model"}</definedName>
    <definedName name="dsasdf" localSheetId="3" hidden="1">{#N/A,#N/A,TRUE,"Assumptions";#N/A,#N/A,TRUE,"Sources of Revenue";#N/A,#N/A,TRUE,"P&amp;L";#N/A,#N/A,TRUE,"Bal. Sheet";#N/A,#N/A,TRUE,"Rights Issue &amp; X Adjustment";#N/A,#N/A,TRUE,"Transaction Model"}</definedName>
    <definedName name="dsasdf" localSheetId="1" hidden="1">{#N/A,#N/A,TRUE,"Assumptions";#N/A,#N/A,TRUE,"Sources of Revenue";#N/A,#N/A,TRUE,"P&amp;L";#N/A,#N/A,TRUE,"Bal. Sheet";#N/A,#N/A,TRUE,"Rights Issue &amp; X Adjustment";#N/A,#N/A,TRUE,"Transaction Model"}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localSheetId="5" hidden="1">#REF!</definedName>
    <definedName name="DSF" localSheetId="4" hidden="1">#REF!</definedName>
    <definedName name="DSF" localSheetId="3" hidden="1">#REF!</definedName>
    <definedName name="DSF" localSheetId="1" hidden="1">#REF!</definedName>
    <definedName name="DSF" hidden="1">#REF!</definedName>
    <definedName name="dsjflsajf" localSheetId="5" hidden="1">{#N/A,#N/A,FALSE,"BS";#N/A,#N/A,FALSE,"PL";#N/A,#N/A,FALSE,"처분";#N/A,#N/A,FALSE,"현금";#N/A,#N/A,FALSE,"매출";#N/A,#N/A,FALSE,"원가";#N/A,#N/A,FALSE,"경영"}</definedName>
    <definedName name="dsjflsajf" localSheetId="4" hidden="1">{#N/A,#N/A,FALSE,"BS";#N/A,#N/A,FALSE,"PL";#N/A,#N/A,FALSE,"처분";#N/A,#N/A,FALSE,"현금";#N/A,#N/A,FALSE,"매출";#N/A,#N/A,FALSE,"원가";#N/A,#N/A,FALSE,"경영"}</definedName>
    <definedName name="dsjflsajf" localSheetId="3" hidden="1">{#N/A,#N/A,FALSE,"BS";#N/A,#N/A,FALSE,"PL";#N/A,#N/A,FALSE,"처분";#N/A,#N/A,FALSE,"현금";#N/A,#N/A,FALSE,"매출";#N/A,#N/A,FALSE,"원가";#N/A,#N/A,FALSE,"경영"}</definedName>
    <definedName name="dsjflsajf" localSheetId="1" hidden="1">{#N/A,#N/A,FALSE,"BS";#N/A,#N/A,FALSE,"PL";#N/A,#N/A,FALSE,"처분";#N/A,#N/A,FALSE,"현금";#N/A,#N/A,FALSE,"매출";#N/A,#N/A,FALSE,"원가";#N/A,#N/A,FALSE,"경영"}</definedName>
    <definedName name="dsjflsajf" hidden="1">{#N/A,#N/A,FALSE,"BS";#N/A,#N/A,FALSE,"PL";#N/A,#N/A,FALSE,"처분";#N/A,#N/A,FALSE,"현금";#N/A,#N/A,FALSE,"매출";#N/A,#N/A,FALSE,"원가";#N/A,#N/A,FALSE,"경영"}</definedName>
    <definedName name="DSL" localSheetId="5" hidden="1">{#N/A,#N/A,FALSE,"단축1";#N/A,#N/A,FALSE,"단축2";#N/A,#N/A,FALSE,"단축3";#N/A,#N/A,FALSE,"장축";#N/A,#N/A,FALSE,"4WD"}</definedName>
    <definedName name="DSL" localSheetId="4" hidden="1">{#N/A,#N/A,FALSE,"단축1";#N/A,#N/A,FALSE,"단축2";#N/A,#N/A,FALSE,"단축3";#N/A,#N/A,FALSE,"장축";#N/A,#N/A,FALSE,"4WD"}</definedName>
    <definedName name="DSL" localSheetId="3" hidden="1">{#N/A,#N/A,FALSE,"단축1";#N/A,#N/A,FALSE,"단축2";#N/A,#N/A,FALSE,"단축3";#N/A,#N/A,FALSE,"장축";#N/A,#N/A,FALSE,"4WD"}</definedName>
    <definedName name="DSL" localSheetId="1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DU7월Order_J" localSheetId="5">#REF!</definedName>
    <definedName name="DU7월Order_J" localSheetId="4">#REF!</definedName>
    <definedName name="DU7월Order_J" localSheetId="3">#REF!</definedName>
    <definedName name="DU7월Order_J" localSheetId="1">#REF!</definedName>
    <definedName name="DU7월Order_J">#REF!</definedName>
    <definedName name="DU7월Order_V" localSheetId="3">#REF!</definedName>
    <definedName name="DU7월Order_V" localSheetId="1">#REF!</definedName>
    <definedName name="DU7월Order_V">#REF!</definedName>
    <definedName name="DU8월Order_J" localSheetId="3">#REF!</definedName>
    <definedName name="DU8월Order_J" localSheetId="1">#REF!</definedName>
    <definedName name="DU8월Order_J">#REF!</definedName>
    <definedName name="DU8월Order_V" localSheetId="3">#REF!</definedName>
    <definedName name="DU8월Order_V" localSheetId="1">#REF!</definedName>
    <definedName name="DU8월Order_V">#REF!</definedName>
    <definedName name="dud" localSheetId="5" hidden="1">{#N/A,#N/A,FALSE,"Aging Summary";#N/A,#N/A,FALSE,"Ratio Analysis";#N/A,#N/A,FALSE,"Test 120 Day Accts";#N/A,#N/A,FALSE,"Tickmarks"}</definedName>
    <definedName name="dud" localSheetId="4" hidden="1">{#N/A,#N/A,FALSE,"Aging Summary";#N/A,#N/A,FALSE,"Ratio Analysis";#N/A,#N/A,FALSE,"Test 120 Day Accts";#N/A,#N/A,FALSE,"Tickmarks"}</definedName>
    <definedName name="dud" localSheetId="3" hidden="1">{#N/A,#N/A,FALSE,"Aging Summary";#N/A,#N/A,FALSE,"Ratio Analysis";#N/A,#N/A,FALSE,"Test 120 Day Accts";#N/A,#N/A,FALSE,"Tickmarks"}</definedName>
    <definedName name="dud" localSheetId="1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MP일정" localSheetId="5" hidden="1">{#N/A,#N/A,FALSE,"신규dep";#N/A,#N/A,FALSE,"신규dep-금형상각후";#N/A,#N/A,FALSE,"신규dep-연구비상각후";#N/A,#N/A,FALSE,"신규dep-기계,공구상각후"}</definedName>
    <definedName name="DUMP일정" localSheetId="4" hidden="1">{#N/A,#N/A,FALSE,"신규dep";#N/A,#N/A,FALSE,"신규dep-금형상각후";#N/A,#N/A,FALSE,"신규dep-연구비상각후";#N/A,#N/A,FALSE,"신규dep-기계,공구상각후"}</definedName>
    <definedName name="DUMP일정" localSheetId="3" hidden="1">{#N/A,#N/A,FALSE,"신규dep";#N/A,#N/A,FALSE,"신규dep-금형상각후";#N/A,#N/A,FALSE,"신규dep-연구비상각후";#N/A,#N/A,FALSE,"신규dep-기계,공구상각후"}</definedName>
    <definedName name="DUMP일정" localSheetId="1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 localSheetId="5">#REF!</definedName>
    <definedName name="dwsev01" localSheetId="4">#REF!</definedName>
    <definedName name="dwsev01" localSheetId="3">#REF!</definedName>
    <definedName name="dwsev01" localSheetId="1">#REF!</definedName>
    <definedName name="dwsev01">#REF!</definedName>
    <definedName name="dyna" localSheetId="3">#REF!</definedName>
    <definedName name="dyna" localSheetId="1">#REF!</definedName>
    <definedName name="dyna">#REF!</definedName>
    <definedName name="Dyna_Process" localSheetId="3">#REF!</definedName>
    <definedName name="Dyna_Process" localSheetId="1">#REF!</definedName>
    <definedName name="Dyna_Process">#REF!</definedName>
    <definedName name="dㄴㄹㅇ" localSheetId="5" hidden="1">{#N/A,#N/A,FALSE,"Aging Summary";#N/A,#N/A,FALSE,"Ratio Analysis";#N/A,#N/A,FALSE,"Test 120 Day Accts";#N/A,#N/A,FALSE,"Tickmarks"}</definedName>
    <definedName name="dㄴㄹㅇ" localSheetId="4" hidden="1">{#N/A,#N/A,FALSE,"Aging Summary";#N/A,#N/A,FALSE,"Ratio Analysis";#N/A,#N/A,FALSE,"Test 120 Day Accts";#N/A,#N/A,FALSE,"Tickmarks"}</definedName>
    <definedName name="dㄴㄹㅇ" localSheetId="3" hidden="1">{#N/A,#N/A,FALSE,"Aging Summary";#N/A,#N/A,FALSE,"Ratio Analysis";#N/A,#N/A,FALSE,"Test 120 Day Accts";#N/A,#N/A,FALSE,"Tickmarks"}</definedName>
    <definedName name="dㄴㄹㅇ" localSheetId="1" hidden="1">{#N/A,#N/A,FALSE,"Aging Summary";#N/A,#N/A,FALSE,"Ratio Analysis";#N/A,#N/A,FALSE,"Test 120 Day Accts";#N/A,#N/A,FALSE,"Tickmarks"}</definedName>
    <definedName name="dㄴㄹㅇ" hidden="1">{#N/A,#N/A,FALSE,"Aging Summary";#N/A,#N/A,FALSE,"Ratio Analysis";#N/A,#N/A,FALSE,"Test 120 Day Accts";#N/A,#N/A,FALSE,"Tickmarks"}</definedName>
    <definedName name="e" localSheetId="5" hidden="1">#REF!</definedName>
    <definedName name="e" localSheetId="4" hidden="1">#REF!</definedName>
    <definedName name="e" localSheetId="3" hidden="1">#REF!</definedName>
    <definedName name="e" localSheetId="1" hidden="1">#REF!</definedName>
    <definedName name="e" hidden="1">#REF!</definedName>
    <definedName name="ea" localSheetId="5" hidden="1">{#N/A,#N/A,FALSE,"Aging Summary";#N/A,#N/A,FALSE,"Ratio Analysis";#N/A,#N/A,FALSE,"Test 120 Day Accts";#N/A,#N/A,FALSE,"Tickmarks"}</definedName>
    <definedName name="ea" localSheetId="4" hidden="1">{#N/A,#N/A,FALSE,"Aging Summary";#N/A,#N/A,FALSE,"Ratio Analysis";#N/A,#N/A,FALSE,"Test 120 Day Accts";#N/A,#N/A,FALSE,"Tickmarks"}</definedName>
    <definedName name="ea" localSheetId="3" hidden="1">{#N/A,#N/A,FALSE,"Aging Summary";#N/A,#N/A,FALSE,"Ratio Analysis";#N/A,#N/A,FALSE,"Test 120 Day Accts";#N/A,#N/A,FALSE,"Tickmarks"}</definedName>
    <definedName name="ea" localSheetId="1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C_Plan" localSheetId="5">#REF!</definedName>
    <definedName name="EC_Plan" localSheetId="4">#REF!</definedName>
    <definedName name="EC_Plan" localSheetId="3">#REF!</definedName>
    <definedName name="EC_Plan" localSheetId="1">#REF!</definedName>
    <definedName name="EC_Plan">#REF!</definedName>
    <definedName name="ECOF" localSheetId="5">#REF!</definedName>
    <definedName name="ECOF" localSheetId="4">#REF!</definedName>
    <definedName name="ECOF" localSheetId="3">#REF!</definedName>
    <definedName name="ECOF" localSheetId="1">#REF!</definedName>
    <definedName name="ECOF">#REF!</definedName>
    <definedName name="EDPSP" localSheetId="5">#REF!</definedName>
    <definedName name="EDPSP" localSheetId="4">#REF!</definedName>
    <definedName name="EDPSP" localSheetId="3">#REF!</definedName>
    <definedName name="EDPSP" localSheetId="1">#REF!</definedName>
    <definedName name="EDPSP">#REF!</definedName>
    <definedName name="EE" localSheetId="3">#REF!</definedName>
    <definedName name="EE" localSheetId="1">#REF!</definedName>
    <definedName name="EE">#REF!</definedName>
    <definedName name="EEC">#N/A</definedName>
    <definedName name="eee" localSheetId="5" hidden="1">{#N/A,#N/A,TRUE,"Assumptions";#N/A,#N/A,TRUE,"Sources of Revenue";#N/A,#N/A,TRUE,"P&amp;L";#N/A,#N/A,TRUE,"Bal. Sheet";#N/A,#N/A,TRUE,"Rights Issue &amp; X Adjustment";#N/A,#N/A,TRUE,"Transaction Model"}</definedName>
    <definedName name="eee" localSheetId="4" hidden="1">{#N/A,#N/A,TRUE,"Assumptions";#N/A,#N/A,TRUE,"Sources of Revenue";#N/A,#N/A,TRUE,"P&amp;L";#N/A,#N/A,TRUE,"Bal. Sheet";#N/A,#N/A,TRUE,"Rights Issue &amp; X Adjustment";#N/A,#N/A,TRUE,"Transaction Model"}</definedName>
    <definedName name="eee" localSheetId="3" hidden="1">{#N/A,#N/A,TRUE,"Assumptions";#N/A,#N/A,TRUE,"Sources of Revenue";#N/A,#N/A,TRUE,"P&amp;L";#N/A,#N/A,TRUE,"Bal. Sheet";#N/A,#N/A,TRUE,"Rights Issue &amp; X Adjustment";#N/A,#N/A,TRUE,"Transaction Model"}</definedName>
    <definedName name="eee" localSheetId="1" hidden="1">{#N/A,#N/A,TRUE,"Assumptions";#N/A,#N/A,TRUE,"Sources of Revenue";#N/A,#N/A,TRUE,"P&amp;L";#N/A,#N/A,TRUE,"Bal. Sheet";#N/A,#N/A,TRUE,"Rights Issue &amp; X Adjustment";#N/A,#N/A,TRUE,"Transaction Model"}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localSheetId="5" hidden="1">#REF!</definedName>
    <definedName name="eeee" localSheetId="4" hidden="1">#REF!</definedName>
    <definedName name="eeee" localSheetId="3" hidden="1">#REF!</definedName>
    <definedName name="eeee" localSheetId="1" hidden="1">#REF!</definedName>
    <definedName name="eeee" hidden="1">#REF!</definedName>
    <definedName name="eeeee" localSheetId="3" hidden="1">#REF!</definedName>
    <definedName name="eeeee" localSheetId="1" hidden="1">#REF!</definedName>
    <definedName name="eeeee" hidden="1">#REF!</definedName>
    <definedName name="EEEEEE" localSheetId="5">#REF!</definedName>
    <definedName name="EEEEEE" localSheetId="4">#REF!</definedName>
    <definedName name="EEEEEE" localSheetId="3">#REF!</definedName>
    <definedName name="EEEEEE" localSheetId="1">#REF!</definedName>
    <definedName name="EEEEEE">#REF!</definedName>
    <definedName name="eeeeeeee" localSheetId="5">#REF!</definedName>
    <definedName name="eeeeeeee" localSheetId="4">#REF!</definedName>
    <definedName name="eeeeeeee" localSheetId="3">#REF!</definedName>
    <definedName name="eeeeeeee" localSheetId="1">#REF!</definedName>
    <definedName name="eeeeeeee">#REF!</definedName>
    <definedName name="eeeeeeeeeeeee" localSheetId="3">#REF!</definedName>
    <definedName name="eeeeeeeeeeeee" localSheetId="1">#REF!</definedName>
    <definedName name="eeeeeeeeeeeee">#REF!</definedName>
    <definedName name="eeeeeeeeeeeeeee" localSheetId="5" hidden="1">{"'호선별현황(방식)'!$K$22:$P$22","'호선별현황(방식)'!$K$22:$P$22"}</definedName>
    <definedName name="eeeeeeeeeeeeeee" localSheetId="4" hidden="1">{"'호선별현황(방식)'!$K$22:$P$22","'호선별현황(방식)'!$K$22:$P$22"}</definedName>
    <definedName name="eeeeeeeeeeeeeee" localSheetId="3" hidden="1">{"'호선별현황(방식)'!$K$22:$P$22","'호선별현황(방식)'!$K$22:$P$22"}</definedName>
    <definedName name="eeeeeeeeeeeeeee" localSheetId="1" hidden="1">{"'호선별현황(방식)'!$K$22:$P$22","'호선별현황(방식)'!$K$22:$P$22"}</definedName>
    <definedName name="eeeeeeeeeeeeeee" hidden="1">{"'호선별현황(방식)'!$K$22:$P$22","'호선별현황(방식)'!$K$22:$P$22"}</definedName>
    <definedName name="eeeeeeeeeeeeeeeeeeeeeee" localSheetId="5">#REF!</definedName>
    <definedName name="eeeeeeeeeeeeeeeeeeeeeee" localSheetId="4">#REF!</definedName>
    <definedName name="eeeeeeeeeeeeeeeeeeeeeee" localSheetId="3">#REF!</definedName>
    <definedName name="eeeeeeeeeeeeeeeeeeeeeee" localSheetId="1">#REF!</definedName>
    <definedName name="eeeeeeeeeeeeeeeeeeeeeee">#REF!</definedName>
    <definedName name="efewf" hidden="1">#N/A</definedName>
    <definedName name="EffDate" localSheetId="5">#REF!</definedName>
    <definedName name="EffDate" localSheetId="4">#REF!</definedName>
    <definedName name="EffDate" localSheetId="3">#REF!</definedName>
    <definedName name="EffDate" localSheetId="1">#REF!</definedName>
    <definedName name="EffDate">#REF!</definedName>
    <definedName name="EGPSP" localSheetId="5">#REF!</definedName>
    <definedName name="EGPSP" localSheetId="4">#REF!</definedName>
    <definedName name="EGPSP" localSheetId="3">#REF!</definedName>
    <definedName name="EGPSP" localSheetId="1">#REF!</definedName>
    <definedName name="EGPSP">#REF!</definedName>
    <definedName name="EI" localSheetId="3">#REF!</definedName>
    <definedName name="EI" localSheetId="1">#REF!</definedName>
    <definedName name="EI">#REF!</definedName>
    <definedName name="EKA_Adj" localSheetId="3">#REF!</definedName>
    <definedName name="EKA_Adj" localSheetId="1">#REF!</definedName>
    <definedName name="EKA_Adj">#REF!</definedName>
    <definedName name="EKA_Fut" localSheetId="3">#REF!</definedName>
    <definedName name="EKA_Fut" localSheetId="1">#REF!</definedName>
    <definedName name="EKA_Fut">#REF!</definedName>
    <definedName name="EKA_Stk" localSheetId="3">#REF!</definedName>
    <definedName name="EKA_Stk" localSheetId="1">#REF!</definedName>
    <definedName name="EKA_Stk">#REF!</definedName>
    <definedName name="EKC" localSheetId="3">#REF!</definedName>
    <definedName name="EKC" localSheetId="1">#REF!</definedName>
    <definedName name="EKC">#REF!</definedName>
    <definedName name="eland" localSheetId="3">#REF!</definedName>
    <definedName name="eland" localSheetId="1">#REF!</definedName>
    <definedName name="eland">#REF!</definedName>
    <definedName name="ELC" localSheetId="3">#REF!</definedName>
    <definedName name="ELC" localSheetId="1">#REF!</definedName>
    <definedName name="ELC">#REF!</definedName>
    <definedName name="ELG" localSheetId="3">#REF!</definedName>
    <definedName name="ELG" localSheetId="1">#REF!</definedName>
    <definedName name="ELG">#REF!</definedName>
    <definedName name="ELSK" localSheetId="5" hidden="1">{#N/A,#N/A,FALSE,"1.CRITERIA";#N/A,#N/A,FALSE,"2.IS";#N/A,#N/A,FALSE,"3.BS";#N/A,#N/A,FALSE,"4.PER PL";#N/A,#N/A,FALSE,"5.INVESTMENT";#N/A,#N/A,FALSE,"6.공문";#N/A,#N/A,FALSE,"7.netinvest"}</definedName>
    <definedName name="ELSK" localSheetId="4" hidden="1">{#N/A,#N/A,FALSE,"1.CRITERIA";#N/A,#N/A,FALSE,"2.IS";#N/A,#N/A,FALSE,"3.BS";#N/A,#N/A,FALSE,"4.PER PL";#N/A,#N/A,FALSE,"5.INVESTMENT";#N/A,#N/A,FALSE,"6.공문";#N/A,#N/A,FALSE,"7.netinvest"}</definedName>
    <definedName name="ELSK" localSheetId="3" hidden="1">{#N/A,#N/A,FALSE,"1.CRITERIA";#N/A,#N/A,FALSE,"2.IS";#N/A,#N/A,FALSE,"3.BS";#N/A,#N/A,FALSE,"4.PER PL";#N/A,#N/A,FALSE,"5.INVESTMENT";#N/A,#N/A,FALSE,"6.공문";#N/A,#N/A,FALSE,"7.netinvest"}</definedName>
    <definedName name="ELSK" localSheetId="1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 localSheetId="5">#REF!</definedName>
    <definedName name="Email" localSheetId="4">#REF!</definedName>
    <definedName name="Email" localSheetId="3">#REF!</definedName>
    <definedName name="Email" localSheetId="1">#REF!</definedName>
    <definedName name="Email">#REF!</definedName>
    <definedName name="EMC_종평보고" localSheetId="5" hidden="1">#REF!</definedName>
    <definedName name="EMC_종평보고" localSheetId="4" hidden="1">#REF!</definedName>
    <definedName name="EMC_종평보고" localSheetId="3" hidden="1">#REF!</definedName>
    <definedName name="EMC_종평보고" localSheetId="1" hidden="1">#REF!</definedName>
    <definedName name="EMC_종평보고" hidden="1">#REF!</definedName>
    <definedName name="EMEABUDGET" localSheetId="5">#REF!</definedName>
    <definedName name="EMEABUDGET" localSheetId="4">#REF!</definedName>
    <definedName name="EMEABUDGET" localSheetId="3">#REF!</definedName>
    <definedName name="EMEABUDGET" localSheetId="1">#REF!</definedName>
    <definedName name="EMEABUDGET">#REF!</definedName>
    <definedName name="EMEASUMMARY" localSheetId="3">#REF!</definedName>
    <definedName name="EMEASUMMARY" localSheetId="1">#REF!</definedName>
    <definedName name="EMEASUMMARY">#REF!</definedName>
    <definedName name="Employee" localSheetId="5">#REF!</definedName>
    <definedName name="Employee" localSheetId="4">#REF!</definedName>
    <definedName name="Employee" localSheetId="3">#REF!</definedName>
    <definedName name="Employee" localSheetId="1">#REF!</definedName>
    <definedName name="Employee">#REF!</definedName>
    <definedName name="Empty" localSheetId="5">#REF!,#REF!,#REF!</definedName>
    <definedName name="Empty" localSheetId="4">#REF!,#REF!,#REF!</definedName>
    <definedName name="Empty" localSheetId="3">#REF!,#REF!,#REF!</definedName>
    <definedName name="Empty" localSheetId="1">#REF!,#REF!,#REF!</definedName>
    <definedName name="Empty">#REF!,#REF!,#REF!</definedName>
    <definedName name="end" localSheetId="5">#REF!</definedName>
    <definedName name="end" localSheetId="4">#REF!</definedName>
    <definedName name="end" localSheetId="3">#REF!</definedName>
    <definedName name="end" localSheetId="1">#REF!</definedName>
    <definedName name="end">#REF!</definedName>
    <definedName name="END_SHARE" localSheetId="3">#REF!</definedName>
    <definedName name="END_SHARE" localSheetId="1">#REF!</definedName>
    <definedName name="END_SHARE">#REF!</definedName>
    <definedName name="ENG" localSheetId="3">#REF!</definedName>
    <definedName name="ENG" localSheetId="1">#REF!</definedName>
    <definedName name="ENG">#REF!</definedName>
    <definedName name="ENG_COOLG" localSheetId="5">#REF!</definedName>
    <definedName name="ENG_COOLG" localSheetId="4">#REF!</definedName>
    <definedName name="ENG_COOLG" localSheetId="3">#REF!</definedName>
    <definedName name="ENG_COOLG" localSheetId="1">#REF!</definedName>
    <definedName name="ENG_COOLG">#REF!</definedName>
    <definedName name="eng감가" localSheetId="3">#REF!</definedName>
    <definedName name="eng감가" localSheetId="1">#REF!</definedName>
    <definedName name="eng감가">#REF!</definedName>
    <definedName name="eng매출" localSheetId="3">#REF!</definedName>
    <definedName name="eng매출" localSheetId="1">#REF!</definedName>
    <definedName name="eng매출">#REF!</definedName>
    <definedName name="ENG배부" localSheetId="3">#REF!</definedName>
    <definedName name="ENG배부" localSheetId="1">#REF!</definedName>
    <definedName name="ENG배부">#REF!</definedName>
    <definedName name="eng인원" localSheetId="3">#REF!</definedName>
    <definedName name="eng인원" localSheetId="1">#REF!</definedName>
    <definedName name="eng인원">#REF!</definedName>
    <definedName name="EntryYield" localSheetId="3">#REF!</definedName>
    <definedName name="EntryYield" localSheetId="1">#REF!</definedName>
    <definedName name="EntryYield">#REF!</definedName>
    <definedName name="EntryYield_GoalSeek" localSheetId="3">#REF!</definedName>
    <definedName name="EntryYield_GoalSeek" localSheetId="1">#REF!</definedName>
    <definedName name="EntryYield_GoalSeek">#REF!</definedName>
    <definedName name="eo" localSheetId="5" hidden="1">{#N/A,#N/A,FALSE,"BS";#N/A,#N/A,FALSE,"PL";#N/A,#N/A,FALSE,"처분";#N/A,#N/A,FALSE,"현금";#N/A,#N/A,FALSE,"매출";#N/A,#N/A,FALSE,"원가";#N/A,#N/A,FALSE,"경영"}</definedName>
    <definedName name="eo" localSheetId="4" hidden="1">{#N/A,#N/A,FALSE,"BS";#N/A,#N/A,FALSE,"PL";#N/A,#N/A,FALSE,"처분";#N/A,#N/A,FALSE,"현금";#N/A,#N/A,FALSE,"매출";#N/A,#N/A,FALSE,"원가";#N/A,#N/A,FALSE,"경영"}</definedName>
    <definedName name="eo" localSheetId="3" hidden="1">{#N/A,#N/A,FALSE,"BS";#N/A,#N/A,FALSE,"PL";#N/A,#N/A,FALSE,"처분";#N/A,#N/A,FALSE,"현금";#N/A,#N/A,FALSE,"매출";#N/A,#N/A,FALSE,"원가";#N/A,#N/A,FALSE,"경영"}</definedName>
    <definedName name="eo" localSheetId="1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PS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 localSheetId="5">#REF!</definedName>
    <definedName name="Equity" localSheetId="4">#REF!</definedName>
    <definedName name="Equity" localSheetId="3">#REF!</definedName>
    <definedName name="Equity" localSheetId="1">#REF!</definedName>
    <definedName name="Equity">#REF!</definedName>
    <definedName name="er" localSheetId="5">#REF!</definedName>
    <definedName name="er" localSheetId="4">#REF!</definedName>
    <definedName name="er" localSheetId="3">#REF!</definedName>
    <definedName name="er" localSheetId="1">#REF!</definedName>
    <definedName name="er">#REF!</definedName>
    <definedName name="ERGFDG" localSheetId="3">#REF!</definedName>
    <definedName name="ERGFDG" localSheetId="1">#REF!</definedName>
    <definedName name="ERGFDG">#REF!</definedName>
    <definedName name="ErrorCode_Table" localSheetId="3">#REF!</definedName>
    <definedName name="ErrorCode_Table" localSheetId="1">#REF!</definedName>
    <definedName name="ErrorCode_Table">#REF!</definedName>
    <definedName name="ert" localSheetId="5" hidden="1">{#N/A,#N/A,TRUE,"Y생산";#N/A,#N/A,TRUE,"Y판매";#N/A,#N/A,TRUE,"Y총물량";#N/A,#N/A,TRUE,"Y능력";#N/A,#N/A,TRUE,"YKD"}</definedName>
    <definedName name="ert" localSheetId="4" hidden="1">{#N/A,#N/A,TRUE,"Y생산";#N/A,#N/A,TRUE,"Y판매";#N/A,#N/A,TRUE,"Y총물량";#N/A,#N/A,TRUE,"Y능력";#N/A,#N/A,TRUE,"YKD"}</definedName>
    <definedName name="ert" localSheetId="3" hidden="1">{#N/A,#N/A,TRUE,"Y생산";#N/A,#N/A,TRUE,"Y판매";#N/A,#N/A,TRUE,"Y총물량";#N/A,#N/A,TRUE,"Y능력";#N/A,#N/A,TRUE,"YKD"}</definedName>
    <definedName name="ert" localSheetId="1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tyweg" localSheetId="5" hidden="1">#REF!</definedName>
    <definedName name="ertyweg" localSheetId="4" hidden="1">#REF!</definedName>
    <definedName name="ertyweg" localSheetId="3" hidden="1">#REF!</definedName>
    <definedName name="ertyweg" localSheetId="1" hidden="1">#REF!</definedName>
    <definedName name="ertyweg" hidden="1">#REF!</definedName>
    <definedName name="erwweqr" localSheetId="3" hidden="1">#REF!</definedName>
    <definedName name="erwweqr" localSheetId="1" hidden="1">#REF!</definedName>
    <definedName name="erwweqr" hidden="1">#REF!</definedName>
    <definedName name="eryhetyjufkg" localSheetId="3" hidden="1">#REF!</definedName>
    <definedName name="eryhetyjufkg" localSheetId="1" hidden="1">#REF!</definedName>
    <definedName name="eryhetyjufkg" hidden="1">#REF!</definedName>
    <definedName name="es" localSheetId="5" hidden="1">{#N/A,#N/A,FALSE,"Aging Summary";#N/A,#N/A,FALSE,"Ratio Analysis";#N/A,#N/A,FALSE,"Test 120 Day Accts";#N/A,#N/A,FALSE,"Tickmarks"}</definedName>
    <definedName name="es" localSheetId="4" hidden="1">{#N/A,#N/A,FALSE,"Aging Summary";#N/A,#N/A,FALSE,"Ratio Analysis";#N/A,#N/A,FALSE,"Test 120 Day Accts";#N/A,#N/A,FALSE,"Tickmarks"}</definedName>
    <definedName name="es" localSheetId="3" hidden="1">{#N/A,#N/A,FALSE,"Aging Summary";#N/A,#N/A,FALSE,"Ratio Analysis";#N/A,#N/A,FALSE,"Test 120 Day Accts";#N/A,#N/A,FALSE,"Tickmarks"}</definedName>
    <definedName name="es" localSheetId="1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afasf" localSheetId="5" hidden="1">#REF!</definedName>
    <definedName name="esafasf" localSheetId="4" hidden="1">#REF!</definedName>
    <definedName name="esafasf" localSheetId="3" hidden="1">#REF!</definedName>
    <definedName name="esafasf" localSheetId="1" hidden="1">#REF!</definedName>
    <definedName name="esafasf" hidden="1">#REF!</definedName>
    <definedName name="esc" localSheetId="3">#REF!</definedName>
    <definedName name="esc" localSheetId="1">#REF!</definedName>
    <definedName name="esc">#REF!</definedName>
    <definedName name="escalation" localSheetId="3">#REF!</definedName>
    <definedName name="escalation" localSheetId="1">#REF!</definedName>
    <definedName name="escalation">#REF!</definedName>
    <definedName name="Escalation_Rate" localSheetId="3">#REF!</definedName>
    <definedName name="Escalation_Rate" localSheetId="1">#REF!</definedName>
    <definedName name="Escalation_Rate">#REF!</definedName>
    <definedName name="EscRate" localSheetId="5">#REF!</definedName>
    <definedName name="EscRate" localSheetId="4">#REF!</definedName>
    <definedName name="EscRate" localSheetId="3">#REF!</definedName>
    <definedName name="EscRate" localSheetId="1">#REF!</definedName>
    <definedName name="EscRate">#REF!</definedName>
    <definedName name="et" localSheetId="5">#REF!</definedName>
    <definedName name="et" localSheetId="4">#REF!</definedName>
    <definedName name="et" localSheetId="3">#REF!</definedName>
    <definedName name="et" localSheetId="1">#REF!</definedName>
    <definedName name="et">#REF!</definedName>
    <definedName name="EUATP" localSheetId="5">#REF!</definedName>
    <definedName name="EUATP" localSheetId="4">#REF!</definedName>
    <definedName name="EUATP" localSheetId="3">#REF!</definedName>
    <definedName name="EUATP" localSheetId="1">#REF!</definedName>
    <definedName name="EUATP">#REF!</definedName>
    <definedName name="Euroup_V5" hidden="1">#N/A</definedName>
    <definedName name="EV__LASTREFTIME__" hidden="1">"2018-09-14 오전 10:20:22"</definedName>
    <definedName name="evict_smarket" localSheetId="5">#REF!</definedName>
    <definedName name="evict_smarket" localSheetId="4">#REF!</definedName>
    <definedName name="evict_smarket" localSheetId="3">#REF!</definedName>
    <definedName name="evict_smarket" localSheetId="1">#REF!</definedName>
    <definedName name="evict_smarket">#REF!</definedName>
    <definedName name="ewe" localSheetId="3">#REF!</definedName>
    <definedName name="ewe" localSheetId="1">#REF!</definedName>
    <definedName name="ewe">#REF!</definedName>
    <definedName name="ex" localSheetId="3">#REF!</definedName>
    <definedName name="ex" localSheetId="1">#REF!</definedName>
    <definedName name="ex">#REF!</definedName>
    <definedName name="excess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 localSheetId="5">#REF!</definedName>
    <definedName name="exch" localSheetId="4">#REF!</definedName>
    <definedName name="exch" localSheetId="3">#REF!</definedName>
    <definedName name="exch" localSheetId="1">#REF!</definedName>
    <definedName name="exch">#REF!</definedName>
    <definedName name="Exch_Rate_End_Of_Period" localSheetId="3">#REF!</definedName>
    <definedName name="Exch_Rate_End_Of_Period" localSheetId="1">#REF!</definedName>
    <definedName name="Exch_Rate_End_Of_Period">#REF!</definedName>
    <definedName name="Exchange_Rate" localSheetId="3">#REF!</definedName>
    <definedName name="Exchange_Rate" localSheetId="1">#REF!</definedName>
    <definedName name="Exchange_Rate">#REF!</definedName>
    <definedName name="EXCLUDE">#N/A</definedName>
    <definedName name="EXDATE" localSheetId="5">#REF!</definedName>
    <definedName name="EXDATE" localSheetId="4">#REF!</definedName>
    <definedName name="EXDATE" localSheetId="3">#REF!</definedName>
    <definedName name="EXDATE" localSheetId="1">#REF!</definedName>
    <definedName name="EXDATE">#REF!</definedName>
    <definedName name="existing_key_money" localSheetId="3">#REF!</definedName>
    <definedName name="existing_key_money" localSheetId="1">#REF!</definedName>
    <definedName name="existing_key_money">#REF!</definedName>
    <definedName name="existing_occupancy" localSheetId="3">#REF!</definedName>
    <definedName name="existing_occupancy" localSheetId="1">#REF!</definedName>
    <definedName name="existing_occupancy">#REF!</definedName>
    <definedName name="Exit_Cap" localSheetId="3">#REF!</definedName>
    <definedName name="Exit_Cap" localSheetId="1">#REF!</definedName>
    <definedName name="Exit_Cap">#REF!</definedName>
    <definedName name="Exit_Cost" localSheetId="3">#REF!</definedName>
    <definedName name="Exit_Cost" localSheetId="1">#REF!</definedName>
    <definedName name="Exit_Cost">#REF!</definedName>
    <definedName name="Exit_Date" localSheetId="3">#REF!</definedName>
    <definedName name="Exit_Date" localSheetId="1">#REF!</definedName>
    <definedName name="Exit_Date">#REF!</definedName>
    <definedName name="Exit_Price" localSheetId="3">#REF!</definedName>
    <definedName name="Exit_Price" localSheetId="1">#REF!</definedName>
    <definedName name="Exit_Price">#REF!</definedName>
    <definedName name="Exit_Reversion" localSheetId="3">#REF!</definedName>
    <definedName name="Exit_Reversion" localSheetId="1">#REF!</definedName>
    <definedName name="Exit_Reversion">#REF!</definedName>
    <definedName name="Exit_Term" localSheetId="3">#REF!</definedName>
    <definedName name="Exit_Term" localSheetId="1">#REF!</definedName>
    <definedName name="Exit_Term">#REF!</definedName>
    <definedName name="EXP" localSheetId="3">#REF!</definedName>
    <definedName name="EXP" localSheetId="1">#REF!</definedName>
    <definedName name="EXP">#REF!</definedName>
    <definedName name="ExpandOutputs" localSheetId="3">#REF!</definedName>
    <definedName name="ExpandOutputs" localSheetId="1">#REF!</definedName>
    <definedName name="ExpandOutputs">#REF!</definedName>
    <definedName name="ExpandVPeriods" localSheetId="3">#REF!</definedName>
    <definedName name="ExpandVPeriods" localSheetId="1">#REF!</definedName>
    <definedName name="ExpandVPeriods">#REF!</definedName>
    <definedName name="Expenses" localSheetId="3">#REF!</definedName>
    <definedName name="Expenses" localSheetId="1">#REF!</definedName>
    <definedName name="Expenses">#REF!</definedName>
    <definedName name="ExportFile" localSheetId="3">#REF!</definedName>
    <definedName name="ExportFile" localSheetId="1">#REF!</definedName>
    <definedName name="ExportFile">#REF!</definedName>
    <definedName name="EXT" localSheetId="5" hidden="1">{#N/A,#N/A,TRUE,"일정"}</definedName>
    <definedName name="EXT" localSheetId="4" hidden="1">{#N/A,#N/A,TRUE,"일정"}</definedName>
    <definedName name="EXT" localSheetId="3" hidden="1">{#N/A,#N/A,TRUE,"일정"}</definedName>
    <definedName name="EXT" localSheetId="1" hidden="1">{#N/A,#N/A,TRUE,"일정"}</definedName>
    <definedName name="EXT" hidden="1">{#N/A,#N/A,TRUE,"일정"}</definedName>
    <definedName name="External_Renovation" localSheetId="5">#REF!</definedName>
    <definedName name="External_Renovation" localSheetId="4">#REF!</definedName>
    <definedName name="External_Renovation" localSheetId="3">#REF!</definedName>
    <definedName name="External_Renovation" localSheetId="1">#REF!</definedName>
    <definedName name="External_Renovation">#REF!</definedName>
    <definedName name="_xlnm.Extract" localSheetId="3">#REF!</definedName>
    <definedName name="_xlnm.Extract" localSheetId="1">#REF!</definedName>
    <definedName name="_xlnm.Extract">#REF!</definedName>
    <definedName name="Extract_MI" localSheetId="5">#REF!</definedName>
    <definedName name="Extract_MI" localSheetId="4">#REF!</definedName>
    <definedName name="Extract_MI" localSheetId="3">#REF!</definedName>
    <definedName name="Extract_MI" localSheetId="1">#REF!</definedName>
    <definedName name="Extract_MI">#REF!</definedName>
    <definedName name="EXTT" localSheetId="5" hidden="1">{#N/A,#N/A,TRUE,"일정"}</definedName>
    <definedName name="EXTT" localSheetId="4" hidden="1">{#N/A,#N/A,TRUE,"일정"}</definedName>
    <definedName name="EXTT" localSheetId="3" hidden="1">{#N/A,#N/A,TRUE,"일정"}</definedName>
    <definedName name="EXTT" localSheetId="1" hidden="1">{#N/A,#N/A,TRUE,"일정"}</definedName>
    <definedName name="EXTT" hidden="1">{#N/A,#N/A,TRUE,"일정"}</definedName>
    <definedName name="E매출" localSheetId="5">#REF!</definedName>
    <definedName name="E매출" localSheetId="4">#REF!</definedName>
    <definedName name="E매출" localSheetId="3">#REF!</definedName>
    <definedName name="E매출" localSheetId="1">#REF!</definedName>
    <definedName name="E매출">#REF!</definedName>
    <definedName name="E이자" localSheetId="3">#REF!</definedName>
    <definedName name="E이자" localSheetId="1">#REF!</definedName>
    <definedName name="E이자">#REF!</definedName>
    <definedName name="e인원" localSheetId="3">#REF!</definedName>
    <definedName name="e인원" localSheetId="1">#REF!</definedName>
    <definedName name="e인원">#REF!</definedName>
    <definedName name="F" localSheetId="5" hidden="1">{#N/A,#N/A,FALSE,"96 3월물량표";#N/A,#N/A,FALSE,"96 4월물량표";#N/A,#N/A,FALSE,"96 5월물량표"}</definedName>
    <definedName name="F" localSheetId="4" hidden="1">{#N/A,#N/A,FALSE,"96 3월물량표";#N/A,#N/A,FALSE,"96 4월물량표";#N/A,#N/A,FALSE,"96 5월물량표"}</definedName>
    <definedName name="F" localSheetId="3" hidden="1">{#N/A,#N/A,FALSE,"96 3월물량표";#N/A,#N/A,FALSE,"96 4월물량표";#N/A,#N/A,FALSE,"96 5월물량표"}</definedName>
    <definedName name="F" localSheetId="1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?LZEICHEN" localSheetId="5">#REF!</definedName>
    <definedName name="F?LZEICHEN" localSheetId="4">#REF!</definedName>
    <definedName name="F?LZEICHEN" localSheetId="3">#REF!</definedName>
    <definedName name="F?LZEICHEN" localSheetId="1">#REF!</definedName>
    <definedName name="F?LZEICHEN">#REF!</definedName>
    <definedName name="F_123">#N/A</definedName>
    <definedName name="FA" localSheetId="5">#REF!</definedName>
    <definedName name="FA" localSheetId="4">#REF!</definedName>
    <definedName name="FA" localSheetId="3">#REF!</definedName>
    <definedName name="FA" localSheetId="1">#REF!</definedName>
    <definedName name="FA">#REF!</definedName>
    <definedName name="factor" localSheetId="3">#REF!</definedName>
    <definedName name="factor" localSheetId="1">#REF!</definedName>
    <definedName name="factor">#REF!</definedName>
    <definedName name="Factor2" localSheetId="5">#REF!</definedName>
    <definedName name="Factor2" localSheetId="4">#REF!</definedName>
    <definedName name="Factor2" localSheetId="3">#REF!</definedName>
    <definedName name="Factor2" localSheetId="1">#REF!</definedName>
    <definedName name="Factor2">#REF!</definedName>
    <definedName name="Factor3" localSheetId="5">#REF!</definedName>
    <definedName name="Factor3" localSheetId="4">#REF!</definedName>
    <definedName name="Factor3" localSheetId="3">#REF!</definedName>
    <definedName name="Factor3" localSheetId="1">#REF!</definedName>
    <definedName name="Factor3">#REF!</definedName>
    <definedName name="Factor4a" localSheetId="5">#REF!</definedName>
    <definedName name="Factor4a" localSheetId="4">#REF!</definedName>
    <definedName name="Factor4a" localSheetId="3">#REF!</definedName>
    <definedName name="Factor4a" localSheetId="1">#REF!</definedName>
    <definedName name="Factor4a">#REF!</definedName>
    <definedName name="FAKOR" localSheetId="3">#REF!</definedName>
    <definedName name="FAKOR" localSheetId="1">#REF!</definedName>
    <definedName name="FAKOR">#REF!</definedName>
    <definedName name="Fall1차" localSheetId="5" hidden="1">{#N/A,#N/A,FALSE,"95FW"}</definedName>
    <definedName name="Fall1차" localSheetId="4" hidden="1">{#N/A,#N/A,FALSE,"95FW"}</definedName>
    <definedName name="Fall1차" localSheetId="3" hidden="1">{#N/A,#N/A,FALSE,"95FW"}</definedName>
    <definedName name="Fall1차" localSheetId="1" hidden="1">{#N/A,#N/A,FALSE,"95FW"}</definedName>
    <definedName name="Fall1차" hidden="1">{#N/A,#N/A,FALSE,"95FW"}</definedName>
    <definedName name="fasdfadf" localSheetId="5" hidden="1">{#N/A,#N/A,FALSE,"Aging Summary";#N/A,#N/A,FALSE,"Ratio Analysis";#N/A,#N/A,FALSE,"Test 120 Day Accts";#N/A,#N/A,FALSE,"Tickmarks"}</definedName>
    <definedName name="fasdfadf" localSheetId="4" hidden="1">{#N/A,#N/A,FALSE,"Aging Summary";#N/A,#N/A,FALSE,"Ratio Analysis";#N/A,#N/A,FALSE,"Test 120 Day Accts";#N/A,#N/A,FALSE,"Tickmarks"}</definedName>
    <definedName name="fasdfadf" localSheetId="3" hidden="1">{#N/A,#N/A,FALSE,"Aging Summary";#N/A,#N/A,FALSE,"Ratio Analysis";#N/A,#N/A,FALSE,"Test 120 Day Accts";#N/A,#N/A,FALSE,"Tickmarks"}</definedName>
    <definedName name="fasdfadf" localSheetId="1" hidden="1">{#N/A,#N/A,FALSE,"Aging Summary";#N/A,#N/A,FALSE,"Ratio Analysis";#N/A,#N/A,FALSE,"Test 120 Day Accts";#N/A,#N/A,FALSE,"Tickmarks"}</definedName>
    <definedName name="fasdfadf" hidden="1">{#N/A,#N/A,FALSE,"Aging Summary";#N/A,#N/A,FALSE,"Ratio Analysis";#N/A,#N/A,FALSE,"Test 120 Day Accts";#N/A,#N/A,FALSE,"Tickmarks"}</definedName>
    <definedName name="Fax" localSheetId="5">#REF!</definedName>
    <definedName name="Fax" localSheetId="4">#REF!</definedName>
    <definedName name="Fax" localSheetId="3">#REF!</definedName>
    <definedName name="Fax" localSheetId="1">#REF!</definedName>
    <definedName name="Fax">#REF!</definedName>
    <definedName name="FA증감" localSheetId="3">#REF!</definedName>
    <definedName name="FA증감" localSheetId="1">#REF!</definedName>
    <definedName name="FA증감">#REF!</definedName>
    <definedName name="fchynd" localSheetId="5" hidden="1">{#N/A,#N/A,FALSE,"Aging Summary";#N/A,#N/A,FALSE,"Ratio Analysis";#N/A,#N/A,FALSE,"Test 120 Day Accts";#N/A,#N/A,FALSE,"Tickmarks"}</definedName>
    <definedName name="fchynd" localSheetId="4" hidden="1">{#N/A,#N/A,FALSE,"Aging Summary";#N/A,#N/A,FALSE,"Ratio Analysis";#N/A,#N/A,FALSE,"Test 120 Day Accts";#N/A,#N/A,FALSE,"Tickmarks"}</definedName>
    <definedName name="fchynd" localSheetId="3" hidden="1">{#N/A,#N/A,FALSE,"Aging Summary";#N/A,#N/A,FALSE,"Ratio Analysis";#N/A,#N/A,FALSE,"Test 120 Day Accts";#N/A,#N/A,FALSE,"Tickmarks"}</definedName>
    <definedName name="fchynd" localSheetId="1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D" localSheetId="5" hidden="1">{#N/A,#N/A,FALSE,"Aging Summary";#N/A,#N/A,FALSE,"Ratio Analysis";#N/A,#N/A,FALSE,"Test 120 Day Accts";#N/A,#N/A,FALSE,"Tickmarks"}</definedName>
    <definedName name="FD" localSheetId="4" hidden="1">{#N/A,#N/A,FALSE,"Aging Summary";#N/A,#N/A,FALSE,"Ratio Analysis";#N/A,#N/A,FALSE,"Test 120 Day Accts";#N/A,#N/A,FALSE,"Tickmarks"}</definedName>
    <definedName name="FD" localSheetId="3" hidden="1">{#N/A,#N/A,FALSE,"Aging Summary";#N/A,#N/A,FALSE,"Ratio Analysis";#N/A,#N/A,FALSE,"Test 120 Day Accts";#N/A,#N/A,FALSE,"Tickmarks"}</definedName>
    <definedName name="FD" localSheetId="1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 localSheetId="5">#REF!</definedName>
    <definedName name="fdasfds" localSheetId="4">#REF!</definedName>
    <definedName name="fdasfds" localSheetId="3">#REF!</definedName>
    <definedName name="fdasfds" localSheetId="1">#REF!</definedName>
    <definedName name="fdasfds">#REF!</definedName>
    <definedName name="FDFD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 localSheetId="5">#REF!</definedName>
    <definedName name="FDFS" localSheetId="4">#REF!</definedName>
    <definedName name="FDFS" localSheetId="3">#REF!</definedName>
    <definedName name="FDFS" localSheetId="1">#REF!</definedName>
    <definedName name="FDFS">#REF!</definedName>
    <definedName name="FE" localSheetId="3">#REF!</definedName>
    <definedName name="FE" localSheetId="1">#REF!</definedName>
    <definedName name="FE">#REF!</definedName>
    <definedName name="Fee" localSheetId="3">#REF!</definedName>
    <definedName name="Fee" localSheetId="1">#REF!</definedName>
    <definedName name="Fee">#REF!</definedName>
    <definedName name="feee" localSheetId="5" hidden="1">{"'買掛金'!$J$6"}</definedName>
    <definedName name="feee" localSheetId="4" hidden="1">{"'買掛金'!$J$6"}</definedName>
    <definedName name="feee" localSheetId="3" hidden="1">{"'買掛金'!$J$6"}</definedName>
    <definedName name="feee" localSheetId="1" hidden="1">{"'買掛金'!$J$6"}</definedName>
    <definedName name="feee" hidden="1">{"'買掛金'!$J$6"}</definedName>
    <definedName name="Fees" localSheetId="3">#REF!</definedName>
    <definedName name="Fees" localSheetId="1">#REF!</definedName>
    <definedName name="Fees">#REF!</definedName>
    <definedName name="FF" localSheetId="5">#REF!</definedName>
    <definedName name="FF" localSheetId="4">#REF!</definedName>
    <definedName name="FF" localSheetId="3">#REF!</definedName>
    <definedName name="FF" localSheetId="1">#REF!</definedName>
    <definedName name="FF">#REF!</definedName>
    <definedName name="ffee" localSheetId="5" hidden="1">{"'買掛金'!$J$6"}</definedName>
    <definedName name="ffee" localSheetId="4" hidden="1">{"'買掛金'!$J$6"}</definedName>
    <definedName name="ffee" localSheetId="3" hidden="1">{"'買掛金'!$J$6"}</definedName>
    <definedName name="ffee" localSheetId="1" hidden="1">{"'買掛金'!$J$6"}</definedName>
    <definedName name="ffee" hidden="1">{"'買掛金'!$J$6"}</definedName>
    <definedName name="FFF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localSheetId="5">#REF!</definedName>
    <definedName name="ffff" localSheetId="4">#REF!</definedName>
    <definedName name="ffff" localSheetId="3">#REF!</definedName>
    <definedName name="ffff" localSheetId="1">#REF!</definedName>
    <definedName name="ffff">#REF!</definedName>
    <definedName name="ffffffffffffffffffffffffffffffffffffffffffffffffffffffffff" localSheetId="3">#REF!</definedName>
    <definedName name="ffffffffffffffffffffffffffffffffffffffffffffffffffffffffff" localSheetId="1">#REF!</definedName>
    <definedName name="ffffffffffffffffffffffffffffffffffffffffffffffffffffffffff">#REF!</definedName>
    <definedName name="FFGFG" localSheetId="3" hidden="1">#REF!</definedName>
    <definedName name="FFGFG" localSheetId="1" hidden="1">#REF!</definedName>
    <definedName name="FFGFG" hidden="1">#REF!</definedName>
    <definedName name="FG" localSheetId="5">#REF!</definedName>
    <definedName name="FG" localSheetId="4">#REF!</definedName>
    <definedName name="FG" localSheetId="3">#REF!</definedName>
    <definedName name="FG" localSheetId="1">#REF!</definedName>
    <definedName name="FG">#REF!</definedName>
    <definedName name="FG10TBTB2RT" localSheetId="5">#REF!</definedName>
    <definedName name="FG10TBTB2RT" localSheetId="4">#REF!</definedName>
    <definedName name="FG10TBTB2RT" localSheetId="3">#REF!</definedName>
    <definedName name="FG10TBTB2RT" localSheetId="1">#REF!</definedName>
    <definedName name="FG10TBTB2RT">#REF!</definedName>
    <definedName name="FG12TBTB2RTDKDKGMLRT" localSheetId="5">#REF!</definedName>
    <definedName name="FG12TBTB2RTDKDKGMLRT" localSheetId="4">#REF!</definedName>
    <definedName name="FG12TBTB2RTDKDKGMLRT" localSheetId="3">#REF!</definedName>
    <definedName name="FG12TBTB2RTDKDKGMLRT" localSheetId="1">#REF!</definedName>
    <definedName name="FG12TBTB2RTDKDKGMLRT">#REF!</definedName>
    <definedName name="FG22TBTB3RTDKDKDK" localSheetId="5">#REF!</definedName>
    <definedName name="FG22TBTB3RTDKDKDK" localSheetId="4">#REF!</definedName>
    <definedName name="FG22TBTB3RTDKDKDK" localSheetId="3">#REF!</definedName>
    <definedName name="FG22TBTB3RTDKDKDK" localSheetId="1">#REF!</definedName>
    <definedName name="FG22TBTB3RTDKDKDK">#REF!</definedName>
    <definedName name="FG46TBTB4RTDKDK" localSheetId="3">#REF!</definedName>
    <definedName name="FG46TBTB4RTDKDK" localSheetId="1">#REF!</definedName>
    <definedName name="FG46TBTB4RTDKDK">#REF!</definedName>
    <definedName name="FGDG" localSheetId="3">#REF!</definedName>
    <definedName name="FGDG" localSheetId="1">#REF!</definedName>
    <definedName name="FGDG">#REF!</definedName>
    <definedName name="FGGHGFHJ" localSheetId="5" hidden="1">{#N/A,#N/A,FALSE,"단축1";#N/A,#N/A,FALSE,"단축2";#N/A,#N/A,FALSE,"단축3";#N/A,#N/A,FALSE,"장축";#N/A,#N/A,FALSE,"4WD"}</definedName>
    <definedName name="FGGHGFHJ" localSheetId="4" hidden="1">{#N/A,#N/A,FALSE,"단축1";#N/A,#N/A,FALSE,"단축2";#N/A,#N/A,FALSE,"단축3";#N/A,#N/A,FALSE,"장축";#N/A,#N/A,FALSE,"4WD"}</definedName>
    <definedName name="FGGHGFHJ" localSheetId="3" hidden="1">{#N/A,#N/A,FALSE,"단축1";#N/A,#N/A,FALSE,"단축2";#N/A,#N/A,FALSE,"단축3";#N/A,#N/A,FALSE,"장축";#N/A,#N/A,FALSE,"4WD"}</definedName>
    <definedName name="FGGHGFHJ" localSheetId="1" hidden="1">{#N/A,#N/A,FALSE,"단축1";#N/A,#N/A,FALSE,"단축2";#N/A,#N/A,FALSE,"단축3";#N/A,#N/A,FALSE,"장축";#N/A,#N/A,FALSE,"4WD"}</definedName>
    <definedName name="FGGHGFHJ" hidden="1">{#N/A,#N/A,FALSE,"단축1";#N/A,#N/A,FALSE,"단축2";#N/A,#N/A,FALSE,"단축3";#N/A,#N/A,FALSE,"장축";#N/A,#N/A,FALSE,"4WD"}</definedName>
    <definedName name="fghj" localSheetId="5" hidden="1">{#N/A,#N/A,TRUE,"Assumptions";#N/A,#N/A,TRUE,"Sources of Revenue";#N/A,#N/A,TRUE,"P&amp;L";#N/A,#N/A,TRUE,"Bal. Sheet";#N/A,#N/A,TRUE,"Rights Issue &amp; X Adjustment";#N/A,#N/A,TRUE,"Transaction Model"}</definedName>
    <definedName name="fghj" localSheetId="4" hidden="1">{#N/A,#N/A,TRUE,"Assumptions";#N/A,#N/A,TRUE,"Sources of Revenue";#N/A,#N/A,TRUE,"P&amp;L";#N/A,#N/A,TRUE,"Bal. Sheet";#N/A,#N/A,TRUE,"Rights Issue &amp; X Adjustment";#N/A,#N/A,TRUE,"Transaction Model"}</definedName>
    <definedName name="fghj" localSheetId="3" hidden="1">{#N/A,#N/A,TRUE,"Assumptions";#N/A,#N/A,TRUE,"Sources of Revenue";#N/A,#N/A,TRUE,"P&amp;L";#N/A,#N/A,TRUE,"Bal. Sheet";#N/A,#N/A,TRUE,"Rights Issue &amp; X Adjustment";#N/A,#N/A,TRUE,"Transaction Model"}</definedName>
    <definedName name="fghj" localSheetId="1" hidden="1">{#N/A,#N/A,TRUE,"Assumptions";#N/A,#N/A,TRUE,"Sources of Revenue";#N/A,#N/A,TRUE,"P&amp;L";#N/A,#N/A,TRUE,"Bal. Sheet";#N/A,#N/A,TRUE,"Rights Issue &amp; X Adjustment";#N/A,#N/A,TRUE,"Transaction Model"}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localSheetId="5" hidden="1">{#N/A,#N/A,TRUE,"Assumptions";#N/A,#N/A,TRUE,"Sources of Revenue";#N/A,#N/A,TRUE,"P&amp;L";#N/A,#N/A,TRUE,"Bal. Sheet";#N/A,#N/A,TRUE,"Rights Issue &amp; X Adjustment";#N/A,#N/A,TRUE,"Transaction Model"}</definedName>
    <definedName name="FGHJFGHJ" localSheetId="4" hidden="1">{#N/A,#N/A,TRUE,"Assumptions";#N/A,#N/A,TRUE,"Sources of Revenue";#N/A,#N/A,TRUE,"P&amp;L";#N/A,#N/A,TRUE,"Bal. Sheet";#N/A,#N/A,TRUE,"Rights Issue &amp; X Adjustment";#N/A,#N/A,TRUE,"Transaction Model"}</definedName>
    <definedName name="FGHJFGHJ" localSheetId="3" hidden="1">{#N/A,#N/A,TRUE,"Assumptions";#N/A,#N/A,TRUE,"Sources of Revenue";#N/A,#N/A,TRUE,"P&amp;L";#N/A,#N/A,TRUE,"Bal. Sheet";#N/A,#N/A,TRUE,"Rights Issue &amp; X Adjustment";#N/A,#N/A,TRUE,"Transaction Model"}</definedName>
    <definedName name="FGHJFGHJ" localSheetId="1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localSheetId="5" hidden="1">{#N/A,#N/A,TRUE,"Assumptions";#N/A,#N/A,TRUE,"Sources of Revenue";#N/A,#N/A,TRUE,"P&amp;L";#N/A,#N/A,TRUE,"Bal. Sheet";#N/A,#N/A,TRUE,"Rights Issue &amp; X Adjustment";#N/A,#N/A,TRUE,"Transaction Model"}</definedName>
    <definedName name="fghjfgkj" localSheetId="4" hidden="1">{#N/A,#N/A,TRUE,"Assumptions";#N/A,#N/A,TRUE,"Sources of Revenue";#N/A,#N/A,TRUE,"P&amp;L";#N/A,#N/A,TRUE,"Bal. Sheet";#N/A,#N/A,TRUE,"Rights Issue &amp; X Adjustment";#N/A,#N/A,TRUE,"Transaction Model"}</definedName>
    <definedName name="fghjfgkj" localSheetId="3" hidden="1">{#N/A,#N/A,TRUE,"Assumptions";#N/A,#N/A,TRUE,"Sources of Revenue";#N/A,#N/A,TRUE,"P&amp;L";#N/A,#N/A,TRUE,"Bal. Sheet";#N/A,#N/A,TRUE,"Rights Issue &amp; X Adjustment";#N/A,#N/A,TRUE,"Transaction Model"}</definedName>
    <definedName name="fghjfgkj" localSheetId="1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localSheetId="5" hidden="1">{#N/A,#N/A,TRUE,"Assumptions";#N/A,#N/A,TRUE,"Sources of Revenue";#N/A,#N/A,TRUE,"P&amp;L";#N/A,#N/A,TRUE,"Bal. Sheet";#N/A,#N/A,TRUE,"Rights Issue &amp; X Adjustment";#N/A,#N/A,TRUE,"Transaction Model"}</definedName>
    <definedName name="FGHJFJ" localSheetId="4" hidden="1">{#N/A,#N/A,TRUE,"Assumptions";#N/A,#N/A,TRUE,"Sources of Revenue";#N/A,#N/A,TRUE,"P&amp;L";#N/A,#N/A,TRUE,"Bal. Sheet";#N/A,#N/A,TRUE,"Rights Issue &amp; X Adjustment";#N/A,#N/A,TRUE,"Transaction Model"}</definedName>
    <definedName name="FGHJFJ" localSheetId="3" hidden="1">{#N/A,#N/A,TRUE,"Assumptions";#N/A,#N/A,TRUE,"Sources of Revenue";#N/A,#N/A,TRUE,"P&amp;L";#N/A,#N/A,TRUE,"Bal. Sheet";#N/A,#N/A,TRUE,"Rights Issue &amp; X Adjustment";#N/A,#N/A,TRUE,"Transaction Model"}</definedName>
    <definedName name="FGHJFJ" localSheetId="1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localSheetId="5" hidden="1">{"'호선별현황(방식)'!$K$22:$P$22","'호선별현황(방식)'!$K$22:$P$22"}</definedName>
    <definedName name="fgj" localSheetId="4" hidden="1">{"'호선별현황(방식)'!$K$22:$P$22","'호선별현황(방식)'!$K$22:$P$22"}</definedName>
    <definedName name="fgj" localSheetId="3" hidden="1">{"'호선별현황(방식)'!$K$22:$P$22","'호선별현황(방식)'!$K$22:$P$22"}</definedName>
    <definedName name="fgj" localSheetId="1" hidden="1">{"'호선별현황(방식)'!$K$22:$P$22","'호선별현황(방식)'!$K$22:$P$22"}</definedName>
    <definedName name="fgj" hidden="1">{"'호선별현황(방식)'!$K$22:$P$22","'호선별현황(방식)'!$K$22:$P$22"}</definedName>
    <definedName name="fgPRPRRKRKRKRKRKTBTB2RT" localSheetId="5">#REF!</definedName>
    <definedName name="fgPRPRRKRKRKRKRKTBTB2RT" localSheetId="4">#REF!</definedName>
    <definedName name="fgPRPRRKRKRKRKRKTBTB2RT" localSheetId="3">#REF!</definedName>
    <definedName name="fgPRPRRKRKRKRKRKTBTB2RT" localSheetId="1">#REF!</definedName>
    <definedName name="fgPRPRRKRKRKRKRKTBTB2RT">#REF!</definedName>
    <definedName name="FGPRTBTB1RTDKDK" localSheetId="3">#REF!</definedName>
    <definedName name="FGPRTBTB1RTDKDK" localSheetId="1">#REF!</definedName>
    <definedName name="FGPRTBTB1RTDKDK">#REF!</definedName>
    <definedName name="FGRKBS11TBTB3RTDKDK" localSheetId="5">#REF!</definedName>
    <definedName name="FGRKBS11TBTB3RTDKDK" localSheetId="4">#REF!</definedName>
    <definedName name="FGRKBS11TBTB3RTDKDK" localSheetId="3">#REF!</definedName>
    <definedName name="FGRKBS11TBTB3RTDKDK" localSheetId="1">#REF!</definedName>
    <definedName name="FGRKBS11TBTB3RTDKDK">#REF!</definedName>
    <definedName name="FGrkbs7tbtbsprt" localSheetId="5">#REF!</definedName>
    <definedName name="FGrkbs7tbtbsprt" localSheetId="4">#REF!</definedName>
    <definedName name="FGrkbs7tbtbsprt" localSheetId="3">#REF!</definedName>
    <definedName name="FGrkbs7tbtbsprt" localSheetId="1">#REF!</definedName>
    <definedName name="FGrkbs7tbtbsprt">#REF!</definedName>
    <definedName name="fgRKBS8TBTB3RT" localSheetId="5">#REF!</definedName>
    <definedName name="fgRKBS8TBTB3RT" localSheetId="4">#REF!</definedName>
    <definedName name="fgRKBS8TBTB3RT" localSheetId="3">#REF!</definedName>
    <definedName name="fgRKBS8TBTB3RT" localSheetId="1">#REF!</definedName>
    <definedName name="fgRKBS8TBTB3RT">#REF!</definedName>
    <definedName name="FGRKRKRKRKRKRKRKRKRKTBTB1RTDKDK" localSheetId="5">#REF!</definedName>
    <definedName name="FGRKRKRKRKRKRKRKRKRKTBTB1RTDKDK" localSheetId="4">#REF!</definedName>
    <definedName name="FGRKRKRKRKRKRKRKRKRKTBTB1RTDKDK" localSheetId="3">#REF!</definedName>
    <definedName name="FGRKRKRKRKRKRKRKRKRKTBTB1RTDKDK" localSheetId="1">#REF!</definedName>
    <definedName name="FGRKRKRKRKRKRKRKRKRKTBTB1RTDKDK">#REF!</definedName>
    <definedName name="fgRKRKRKRKRKTBTB2RTDKDK" localSheetId="3">#REF!</definedName>
    <definedName name="fgRKRKRKRKRKTBTB2RTDKDK" localSheetId="1">#REF!</definedName>
    <definedName name="fgRKRKRKRKRKTBTB2RTDKDK">#REF!</definedName>
    <definedName name="FGtbtbspspsprtdkdk" localSheetId="5">#REF!</definedName>
    <definedName name="FGtbtbspspsprtdkdk" localSheetId="4">#REF!</definedName>
    <definedName name="FGtbtbspspsprtdkdk" localSheetId="3">#REF!</definedName>
    <definedName name="FGtbtbspspsprtdkdk" localSheetId="1">#REF!</definedName>
    <definedName name="FGtbtbspspsprtdkdk">#REF!</definedName>
    <definedName name="FHGFHJGHJK" localSheetId="5">#REF!</definedName>
    <definedName name="FHGFHJGHJK" localSheetId="4">#REF!</definedName>
    <definedName name="FHGFHJGHJK" localSheetId="3">#REF!</definedName>
    <definedName name="FHGFHJGHJK" localSheetId="1">#REF!</definedName>
    <definedName name="FHGFHJGHJK">#REF!</definedName>
    <definedName name="File" localSheetId="3">#REF!</definedName>
    <definedName name="File" localSheetId="1">#REF!</definedName>
    <definedName name="File">#REF!</definedName>
    <definedName name="FINAL_FS">#N/A</definedName>
    <definedName name="finalReport">#N/A</definedName>
    <definedName name="Financials" localSheetId="5">#REF!</definedName>
    <definedName name="Financials" localSheetId="4">#REF!</definedName>
    <definedName name="Financials" localSheetId="3">#REF!</definedName>
    <definedName name="Financials" localSheetId="1">#REF!</definedName>
    <definedName name="Financials">#REF!</definedName>
    <definedName name="Financing_Fee" localSheetId="3">#REF!</definedName>
    <definedName name="Financing_Fee" localSheetId="1">#REF!</definedName>
    <definedName name="Financing_Fee">#REF!</definedName>
    <definedName name="findingss" localSheetId="5" hidden="1">{#N/A,#N/A,FALSE,"Aging Summary";#N/A,#N/A,FALSE,"Ratio Analysis";#N/A,#N/A,FALSE,"Test 120 Day Accts";#N/A,#N/A,FALSE,"Tickmarks"}</definedName>
    <definedName name="findingss" localSheetId="4" hidden="1">{#N/A,#N/A,FALSE,"Aging Summary";#N/A,#N/A,FALSE,"Ratio Analysis";#N/A,#N/A,FALSE,"Test 120 Day Accts";#N/A,#N/A,FALSE,"Tickmarks"}</definedName>
    <definedName name="findingss" localSheetId="3" hidden="1">{#N/A,#N/A,FALSE,"Aging Summary";#N/A,#N/A,FALSE,"Ratio Analysis";#N/A,#N/A,FALSE,"Test 120 Day Accts";#N/A,#N/A,FALSE,"Tickmarks"}</definedName>
    <definedName name="findingss" localSheetId="1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nishedGoods" localSheetId="5">#REF!</definedName>
    <definedName name="FinishedGoods" localSheetId="4">#REF!</definedName>
    <definedName name="FinishedGoods" localSheetId="3">#REF!</definedName>
    <definedName name="FinishedGoods" localSheetId="1">#REF!</definedName>
    <definedName name="FinishedGoods">#REF!</definedName>
    <definedName name="FirstCell" localSheetId="3">#REF!</definedName>
    <definedName name="FirstCell" localSheetId="1">#REF!</definedName>
    <definedName name="FirstCell">#REF!</definedName>
    <definedName name="FirstFinYearEnd" localSheetId="3">#REF!</definedName>
    <definedName name="FirstFinYearEnd" localSheetId="1">#REF!</definedName>
    <definedName name="FirstFinYearEnd">#REF!</definedName>
    <definedName name="Fiscal_term" localSheetId="5">#REF!</definedName>
    <definedName name="Fiscal_term" localSheetId="4">#REF!</definedName>
    <definedName name="Fiscal_term" localSheetId="3">#REF!</definedName>
    <definedName name="Fiscal_term" localSheetId="1">#REF!</definedName>
    <definedName name="Fiscal_term">#REF!</definedName>
    <definedName name="FJD" localSheetId="5" hidden="1">{#N/A,#N/A,FALSE,"단축1";#N/A,#N/A,FALSE,"단축2";#N/A,#N/A,FALSE,"단축3";#N/A,#N/A,FALSE,"장축";#N/A,#N/A,FALSE,"4WD"}</definedName>
    <definedName name="FJD" localSheetId="4" hidden="1">{#N/A,#N/A,FALSE,"단축1";#N/A,#N/A,FALSE,"단축2";#N/A,#N/A,FALSE,"단축3";#N/A,#N/A,FALSE,"장축";#N/A,#N/A,FALSE,"4WD"}</definedName>
    <definedName name="FJD" localSheetId="3" hidden="1">{#N/A,#N/A,FALSE,"단축1";#N/A,#N/A,FALSE,"단축2";#N/A,#N/A,FALSE,"단축3";#N/A,#N/A,FALSE,"장축";#N/A,#N/A,FALSE,"4WD"}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dks" localSheetId="5" hidden="1">{#N/A,#N/A,FALSE,"Aging Summary";#N/A,#N/A,FALSE,"Ratio Analysis";#N/A,#N/A,FALSE,"Test 120 Day Accts";#N/A,#N/A,FALSE,"Tickmarks"}</definedName>
    <definedName name="fjdks" localSheetId="4" hidden="1">{#N/A,#N/A,FALSE,"Aging Summary";#N/A,#N/A,FALSE,"Ratio Analysis";#N/A,#N/A,FALSE,"Test 120 Day Accts";#N/A,#N/A,FALSE,"Tickmarks"}</definedName>
    <definedName name="fjdks" localSheetId="3" hidden="1">{#N/A,#N/A,FALSE,"Aging Summary";#N/A,#N/A,FALSE,"Ratio Analysis";#N/A,#N/A,FALSE,"Test 120 Day Accts";#N/A,#N/A,FALSE,"Tickmarks"}</definedName>
    <definedName name="fjdks" localSheetId="1" hidden="1">{#N/A,#N/A,FALSE,"Aging Summary";#N/A,#N/A,FALSE,"Ratio Analysis";#N/A,#N/A,FALSE,"Test 120 Day Accts";#N/A,#N/A,FALSE,"Tickmarks"}</definedName>
    <definedName name="fjdks" hidden="1">{#N/A,#N/A,FALSE,"Aging Summary";#N/A,#N/A,FALSE,"Ratio Analysis";#N/A,#N/A,FALSE,"Test 120 Day Accts";#N/A,#N/A,FALSE,"Tickmarks"}</definedName>
    <definedName name="fkla" localSheetId="5" hidden="1">{#N/A,#N/A,TRUE,"Y생산";#N/A,#N/A,TRUE,"Y판매";#N/A,#N/A,TRUE,"Y총물량";#N/A,#N/A,TRUE,"Y능력";#N/A,#N/A,TRUE,"YKD"}</definedName>
    <definedName name="fkla" localSheetId="4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localSheetId="1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 localSheetId="5">#REF!</definedName>
    <definedName name="FLAG1" localSheetId="4">#REF!</definedName>
    <definedName name="FLAG1" localSheetId="3">#REF!</definedName>
    <definedName name="FLAG1" localSheetId="1">#REF!</definedName>
    <definedName name="FLAG1">#REF!</definedName>
    <definedName name="FLAG2" localSheetId="5">#REF!</definedName>
    <definedName name="FLAG2" localSheetId="4">#REF!</definedName>
    <definedName name="FLAG2" localSheetId="3">#REF!</definedName>
    <definedName name="FLAG2" localSheetId="1">#REF!</definedName>
    <definedName name="FLAG2">#REF!</definedName>
    <definedName name="FLAG3" localSheetId="5">#REF!</definedName>
    <definedName name="FLAG3" localSheetId="4">#REF!</definedName>
    <definedName name="FLAG3" localSheetId="3">#REF!</definedName>
    <definedName name="FLAG3" localSheetId="1">#REF!</definedName>
    <definedName name="FLAG3">#REF!</definedName>
    <definedName name="FLAG4" localSheetId="5">#REF!</definedName>
    <definedName name="FLAG4" localSheetId="4">#REF!</definedName>
    <definedName name="FLAG4" localSheetId="3">#REF!</definedName>
    <definedName name="FLAG4" localSheetId="1">#REF!</definedName>
    <definedName name="FLAG4">#REF!</definedName>
    <definedName name="Flex_Plan" localSheetId="5">#REF!</definedName>
    <definedName name="Flex_Plan" localSheetId="4">#REF!</definedName>
    <definedName name="Flex_Plan" localSheetId="3">#REF!</definedName>
    <definedName name="Flex_Plan" localSheetId="1">#REF!</definedName>
    <definedName name="Flex_Plan">#REF!</definedName>
    <definedName name="FLEXIBLE.T.L" localSheetId="5" hidden="1">{#N/A,#N/A,FALSE,"단축1";#N/A,#N/A,FALSE,"단축2";#N/A,#N/A,FALSE,"단축3";#N/A,#N/A,FALSE,"장축";#N/A,#N/A,FALSE,"4WD"}</definedName>
    <definedName name="FLEXIBLE.T.L" localSheetId="4" hidden="1">{#N/A,#N/A,FALSE,"단축1";#N/A,#N/A,FALSE,"단축2";#N/A,#N/A,FALSE,"단축3";#N/A,#N/A,FALSE,"장축";#N/A,#N/A,FALSE,"4WD"}</definedName>
    <definedName name="FLEXIBLE.T.L" localSheetId="3" hidden="1">{#N/A,#N/A,FALSE,"단축1";#N/A,#N/A,FALSE,"단축2";#N/A,#N/A,FALSE,"단축3";#N/A,#N/A,FALSE,"장축";#N/A,#N/A,FALSE,"4WD"}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ors" localSheetId="5">#REF!</definedName>
    <definedName name="Floors" localSheetId="4">#REF!</definedName>
    <definedName name="Floors" localSheetId="3">#REF!</definedName>
    <definedName name="Floors" localSheetId="1">#REF!</definedName>
    <definedName name="Floors">#REF!</definedName>
    <definedName name="FM계약일할" localSheetId="5" hidden="1">{#N/A,#N/A,TRUE,"대 차 대 조 표"}</definedName>
    <definedName name="FM계약일할" localSheetId="4" hidden="1">{#N/A,#N/A,TRUE,"대 차 대 조 표"}</definedName>
    <definedName name="FM계약일할" localSheetId="3" hidden="1">{#N/A,#N/A,TRUE,"대 차 대 조 표"}</definedName>
    <definedName name="FM계약일할" localSheetId="1" hidden="1">{#N/A,#N/A,TRUE,"대 차 대 조 표"}</definedName>
    <definedName name="FM계약일할" hidden="1">{#N/A,#N/A,TRUE,"대 차 대 조 표"}</definedName>
    <definedName name="FM계약일할_1" localSheetId="5" hidden="1">{#N/A,#N/A,TRUE,"대 차 대 조 표"}</definedName>
    <definedName name="FM계약일할_1" localSheetId="4" hidden="1">{#N/A,#N/A,TRUE,"대 차 대 조 표"}</definedName>
    <definedName name="FM계약일할_1" localSheetId="3" hidden="1">{#N/A,#N/A,TRUE,"대 차 대 조 표"}</definedName>
    <definedName name="FM계약일할_1" localSheetId="1" hidden="1">{#N/A,#N/A,TRUE,"대 차 대 조 표"}</definedName>
    <definedName name="FM계약일할_1" hidden="1">{#N/A,#N/A,TRUE,"대 차 대 조 표"}</definedName>
    <definedName name="Fo" localSheetId="5">#REF!</definedName>
    <definedName name="Fo" localSheetId="4">#REF!</definedName>
    <definedName name="Fo" localSheetId="3">#REF!</definedName>
    <definedName name="Fo" localSheetId="1">#REF!</definedName>
    <definedName name="Fo">#REF!</definedName>
    <definedName name="FO_02">68700</definedName>
    <definedName name="Fondi_ammortamento" localSheetId="5">#REF!:#REF!</definedName>
    <definedName name="Fondi_ammortamento" localSheetId="4">#REF!:#REF!</definedName>
    <definedName name="Fondi_ammortamento" localSheetId="3">#REF!:#REF!</definedName>
    <definedName name="Fondi_ammortamento" localSheetId="1">#REF!:#REF!</definedName>
    <definedName name="Fondi_ammortamento">#REF!:#REF!</definedName>
    <definedName name="forex" localSheetId="5">#REF!</definedName>
    <definedName name="forex" localSheetId="4">#REF!</definedName>
    <definedName name="forex" localSheetId="3">#REF!</definedName>
    <definedName name="forex" localSheetId="1">#REF!</definedName>
    <definedName name="forex">#REF!</definedName>
    <definedName name="Format" localSheetId="3">#REF!</definedName>
    <definedName name="Format" localSheetId="1">#REF!</definedName>
    <definedName name="Format">#REF!</definedName>
    <definedName name="formulas" localSheetId="5">#REF!</definedName>
    <definedName name="formulas" localSheetId="4">#REF!</definedName>
    <definedName name="formulas" localSheetId="3">#REF!</definedName>
    <definedName name="formulas" localSheetId="1">#REF!</definedName>
    <definedName name="formulas">#REF!</definedName>
    <definedName name="fournimmo" localSheetId="5">#REF!</definedName>
    <definedName name="fournimmo" localSheetId="4">#REF!</definedName>
    <definedName name="fournimmo" localSheetId="3">#REF!</definedName>
    <definedName name="fournimmo" localSheetId="1">#REF!</definedName>
    <definedName name="fournimmo">#REF!</definedName>
    <definedName name="FR" localSheetId="3">#REF!</definedName>
    <definedName name="FR" localSheetId="1">#REF!</definedName>
    <definedName name="FR">#REF!</definedName>
    <definedName name="frg" localSheetId="5" hidden="1">{#N/A,#N/A,FALSE,"표지";#N/A,#N/A,FALSE,"전제";#N/A,#N/A,FALSE,"손익-자 (2)";#N/A,#N/A,FALSE,"손익-자";#N/A,#N/A,FALSE,"손익-마 (2)";#N/A,#N/A,FALSE,"손익-마";#N/A,#N/A,FALSE,"총손최종"}</definedName>
    <definedName name="frg" localSheetId="4" hidden="1">{#N/A,#N/A,FALSE,"표지";#N/A,#N/A,FALSE,"전제";#N/A,#N/A,FALSE,"손익-자 (2)";#N/A,#N/A,FALSE,"손익-자";#N/A,#N/A,FALSE,"손익-마 (2)";#N/A,#N/A,FALSE,"손익-마";#N/A,#N/A,FALSE,"총손최종"}</definedName>
    <definedName name="frg" localSheetId="3" hidden="1">{#N/A,#N/A,FALSE,"표지";#N/A,#N/A,FALSE,"전제";#N/A,#N/A,FALSE,"손익-자 (2)";#N/A,#N/A,FALSE,"손익-자";#N/A,#N/A,FALSE,"손익-마 (2)";#N/A,#N/A,FALSE,"손익-마";#N/A,#N/A,FALSE,"총손최종"}</definedName>
    <definedName name="frg" localSheetId="1" hidden="1">{#N/A,#N/A,FALSE,"표지";#N/A,#N/A,FALSE,"전제";#N/A,#N/A,FALSE,"손익-자 (2)";#N/A,#N/A,FALSE,"손익-자";#N/A,#N/A,FALSE,"손익-마 (2)";#N/A,#N/A,FALSE,"손익-마";#N/A,#N/A,FALSE,"총손최종"}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 localSheetId="5">#REF!</definedName>
    <definedName name="fs" localSheetId="4">#REF!</definedName>
    <definedName name="fs" localSheetId="3">#REF!</definedName>
    <definedName name="fs" localSheetId="1">#REF!</definedName>
    <definedName name="fs">#REF!</definedName>
    <definedName name="FU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 localSheetId="5">#REF!</definedName>
    <definedName name="FullMth" localSheetId="4">#REF!</definedName>
    <definedName name="FullMth" localSheetId="3">#REF!</definedName>
    <definedName name="FullMth" localSheetId="1">#REF!</definedName>
    <definedName name="FullMth">#REF!</definedName>
    <definedName name="Function_List1" localSheetId="3">#REF!</definedName>
    <definedName name="Function_List1" localSheetId="1">#REF!</definedName>
    <definedName name="Function_List1">#REF!</definedName>
    <definedName name="Function_List2" localSheetId="3">#REF!</definedName>
    <definedName name="Function_List2" localSheetId="1">#REF!</definedName>
    <definedName name="Function_List2">#REF!</definedName>
    <definedName name="Funding" localSheetId="3">#REF!</definedName>
    <definedName name="Funding" localSheetId="1">#REF!</definedName>
    <definedName name="Funding">#REF!</definedName>
    <definedName name="FVF" localSheetId="3" hidden="1">#REF!</definedName>
    <definedName name="FVF" localSheetId="1" hidden="1">#REF!</definedName>
    <definedName name="FVF" hidden="1">#REF!</definedName>
    <definedName name="fx" localSheetId="3">#REF!</definedName>
    <definedName name="fx" localSheetId="1">#REF!</definedName>
    <definedName name="fx">#REF!</definedName>
    <definedName name="G" localSheetId="5" hidden="1">{#N/A,#N/A,FALSE,"96 3월물량표";#N/A,#N/A,FALSE,"96 4월물량표";#N/A,#N/A,FALSE,"96 5월물량표"}</definedName>
    <definedName name="G" localSheetId="4" hidden="1">{#N/A,#N/A,FALSE,"96 3월물량표";#N/A,#N/A,FALSE,"96 4월물량표";#N/A,#N/A,FALSE,"96 5월물량표"}</definedName>
    <definedName name="G" localSheetId="3" hidden="1">{#N/A,#N/A,FALSE,"96 3월물량표";#N/A,#N/A,FALSE,"96 4월물량표";#N/A,#N/A,FALSE,"96 5월물량표"}</definedName>
    <definedName name="G" localSheetId="1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a" localSheetId="5" hidden="1">{#N/A,#N/A,FALSE,"Aging Summary";#N/A,#N/A,FALSE,"Ratio Analysis";#N/A,#N/A,FALSE,"Test 120 Day Accts";#N/A,#N/A,FALSE,"Tickmarks"}</definedName>
    <definedName name="ga" localSheetId="4" hidden="1">{#N/A,#N/A,FALSE,"Aging Summary";#N/A,#N/A,FALSE,"Ratio Analysis";#N/A,#N/A,FALSE,"Test 120 Day Accts";#N/A,#N/A,FALSE,"Tickmarks"}</definedName>
    <definedName name="ga" localSheetId="3" hidden="1">{#N/A,#N/A,FALSE,"Aging Summary";#N/A,#N/A,FALSE,"Ratio Analysis";#N/A,#N/A,FALSE,"Test 120 Day Accts";#N/A,#N/A,FALSE,"Tickmarks"}</definedName>
    <definedName name="ga" localSheetId="1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LP" localSheetId="5">#REF!</definedName>
    <definedName name="GALP" localSheetId="4">#REF!</definedName>
    <definedName name="GALP" localSheetId="3">#REF!</definedName>
    <definedName name="GALP" localSheetId="1">#REF!</definedName>
    <definedName name="GALP">#REF!</definedName>
    <definedName name="GandA97" localSheetId="3">#REF!</definedName>
    <definedName name="GandA97" localSheetId="1">#REF!</definedName>
    <definedName name="GandA97">#REF!</definedName>
    <definedName name="gd" localSheetId="3" hidden="1">#REF!</definedName>
    <definedName name="gd" localSheetId="1" hidden="1">#REF!</definedName>
    <definedName name="gd" hidden="1">#REF!</definedName>
    <definedName name="gdmhgdmhg" localSheetId="5" hidden="1">{#N/A,#N/A,TRUE,"일정"}</definedName>
    <definedName name="gdmhgdmhg" localSheetId="4" hidden="1">{#N/A,#N/A,TRUE,"일정"}</definedName>
    <definedName name="gdmhgdmhg" localSheetId="3" hidden="1">{#N/A,#N/A,TRUE,"일정"}</definedName>
    <definedName name="gdmhgdmhg" localSheetId="1" hidden="1">{#N/A,#N/A,TRUE,"일정"}</definedName>
    <definedName name="gdmhgdmhg" hidden="1">{#N/A,#N/A,TRUE,"일정"}</definedName>
    <definedName name="GDP" localSheetId="5">#REF!</definedName>
    <definedName name="GDP" localSheetId="4">#REF!</definedName>
    <definedName name="GDP" localSheetId="3">#REF!</definedName>
    <definedName name="GDP" localSheetId="1">#REF!</definedName>
    <definedName name="GDP">#REF!</definedName>
    <definedName name="GE_Share" localSheetId="3">#REF!</definedName>
    <definedName name="GE_Share" localSheetId="1">#REF!</definedName>
    <definedName name="GE_Share">#REF!</definedName>
    <definedName name="GECC_Share" localSheetId="3">#REF!</definedName>
    <definedName name="GECC_Share" localSheetId="1">#REF!</definedName>
    <definedName name="GECC_Share">#REF!</definedName>
    <definedName name="General" localSheetId="3">#REF!</definedName>
    <definedName name="General" localSheetId="1">#REF!</definedName>
    <definedName name="General">#REF!</definedName>
    <definedName name="GF" localSheetId="5">#REF!</definedName>
    <definedName name="GF" localSheetId="4">#REF!</definedName>
    <definedName name="GF" localSheetId="3">#REF!</definedName>
    <definedName name="GF" localSheetId="1">#REF!</definedName>
    <definedName name="GF">#REF!</definedName>
    <definedName name="GFA" localSheetId="5">#REF!</definedName>
    <definedName name="GFA" localSheetId="4">#REF!</definedName>
    <definedName name="GFA" localSheetId="3">#REF!</definedName>
    <definedName name="GFA" localSheetId="1">#REF!</definedName>
    <definedName name="GFA">#REF!</definedName>
    <definedName name="GFA_Before" localSheetId="3">#REF!</definedName>
    <definedName name="GFA_Before" localSheetId="1">#REF!</definedName>
    <definedName name="GFA_Before">#REF!</definedName>
    <definedName name="GFACJ" localSheetId="3">#REF!</definedName>
    <definedName name="GFACJ" localSheetId="1">#REF!</definedName>
    <definedName name="GFACJ">#REF!</definedName>
    <definedName name="gfasdgasgasd" localSheetId="3" hidden="1">#REF!</definedName>
    <definedName name="gfasdgasgasd" localSheetId="1" hidden="1">#REF!</definedName>
    <definedName name="gfasdgasgasd" hidden="1">#REF!</definedName>
    <definedName name="GFD" localSheetId="5" hidden="1">{#N/A,#N/A,TRUE,"일정"}</definedName>
    <definedName name="GFD" localSheetId="4" hidden="1">{#N/A,#N/A,TRUE,"일정"}</definedName>
    <definedName name="GFD" localSheetId="3" hidden="1">{#N/A,#N/A,TRUE,"일정"}</definedName>
    <definedName name="GFD" localSheetId="1" hidden="1">{#N/A,#N/A,TRUE,"일정"}</definedName>
    <definedName name="GFD" hidden="1">{#N/A,#N/A,TRUE,"일정"}</definedName>
    <definedName name="GFHGJ" localSheetId="5" hidden="1">{#N/A,#N/A,TRUE,"Y생산";#N/A,#N/A,TRUE,"Y판매";#N/A,#N/A,TRUE,"Y총물량";#N/A,#N/A,TRUE,"Y능력";#N/A,#N/A,TRUE,"YKD"}</definedName>
    <definedName name="GFHGJ" localSheetId="4" hidden="1">{#N/A,#N/A,TRUE,"Y생산";#N/A,#N/A,TRUE,"Y판매";#N/A,#N/A,TRUE,"Y총물량";#N/A,#N/A,TRUE,"Y능력";#N/A,#N/A,TRUE,"YKD"}</definedName>
    <definedName name="GFHGJ" localSheetId="3" hidden="1">{#N/A,#N/A,TRUE,"Y생산";#N/A,#N/A,TRUE,"Y판매";#N/A,#N/A,TRUE,"Y총물량";#N/A,#N/A,TRUE,"Y능력";#N/A,#N/A,TRUE,"YKD"}</definedName>
    <definedName name="GFHGJ" localSheetId="1" hidden="1">{#N/A,#N/A,TRUE,"Y생산";#N/A,#N/A,TRUE,"Y판매";#N/A,#N/A,TRUE,"Y총물량";#N/A,#N/A,TRUE,"Y능력";#N/A,#N/A,TRUE,"YKD"}</definedName>
    <definedName name="GFHGJ" hidden="1">{#N/A,#N/A,TRUE,"Y생산";#N/A,#N/A,TRUE,"Y판매";#N/A,#N/A,TRUE,"Y총물량";#N/A,#N/A,TRUE,"Y능력";#N/A,#N/A,TRUE,"YKD"}</definedName>
    <definedName name="gfld" localSheetId="5" hidden="1">{#N/A,#N/A,TRUE,"Y생산";#N/A,#N/A,TRUE,"Y판매";#N/A,#N/A,TRUE,"Y총물량";#N/A,#N/A,TRUE,"Y능력";#N/A,#N/A,TRUE,"YKD"}</definedName>
    <definedName name="gfld" localSheetId="4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localSheetId="1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 localSheetId="5">#REF!</definedName>
    <definedName name="GG" localSheetId="4">#REF!</definedName>
    <definedName name="GG" localSheetId="3">#REF!</definedName>
    <definedName name="GG" localSheetId="1">#REF!</definedName>
    <definedName name="GG">#REF!</definedName>
    <definedName name="gg_1" localSheetId="5" hidden="1">{#N/A,#N/A,FALSE,"Aging Summary";#N/A,#N/A,FALSE,"Ratio Analysis";#N/A,#N/A,FALSE,"Test 120 Day Accts";#N/A,#N/A,FALSE,"Tickmarks"}</definedName>
    <definedName name="gg_1" localSheetId="4" hidden="1">{#N/A,#N/A,FALSE,"Aging Summary";#N/A,#N/A,FALSE,"Ratio Analysis";#N/A,#N/A,FALSE,"Test 120 Day Accts";#N/A,#N/A,FALSE,"Tickmarks"}</definedName>
    <definedName name="gg_1" localSheetId="3" hidden="1">{#N/A,#N/A,FALSE,"Aging Summary";#N/A,#N/A,FALSE,"Ratio Analysis";#N/A,#N/A,FALSE,"Test 120 Day Accts";#N/A,#N/A,FALSE,"Tickmarks"}</definedName>
    <definedName name="gg_1" localSheetId="1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localSheetId="5" hidden="1">{"'Sheet1'!$A$1:$H$36"}</definedName>
    <definedName name="GGG" localSheetId="4" hidden="1">{"'Sheet1'!$A$1:$H$36"}</definedName>
    <definedName name="GGG" localSheetId="3" hidden="1">{"'Sheet1'!$A$1:$H$36"}</definedName>
    <definedName name="GGG" localSheetId="1" hidden="1">{"'Sheet1'!$A$1:$H$36"}</definedName>
    <definedName name="GGG" hidden="1">{"'Sheet1'!$A$1:$H$36"}</definedName>
    <definedName name="gggg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localSheetId="5" hidden="1">{#N/A,#N/A,FALSE,"SILO현황";#N/A,#N/A,FALSE,"타업체";#N/A,#N/A,FALSE,"생산능력"}</definedName>
    <definedName name="ggggggggggggggggg" localSheetId="4" hidden="1">{#N/A,#N/A,FALSE,"SILO현황";#N/A,#N/A,FALSE,"타업체";#N/A,#N/A,FALSE,"생산능력"}</definedName>
    <definedName name="ggggggggggggggggg" localSheetId="3" hidden="1">{#N/A,#N/A,FALSE,"SILO현황";#N/A,#N/A,FALSE,"타업체";#N/A,#N/A,FALSE,"생산능력"}</definedName>
    <definedName name="ggggggggggggggggg" localSheetId="1" hidden="1">{#N/A,#N/A,FALSE,"SILO현황";#N/A,#N/A,FALSE,"타업체";#N/A,#N/A,FALSE,"생산능력"}</definedName>
    <definedName name="ggggggggggggggggg" hidden="1">{#N/A,#N/A,FALSE,"SILO현황";#N/A,#N/A,FALSE,"타업체";#N/A,#N/A,FALSE,"생산능력"}</definedName>
    <definedName name="gggggggggggggggggggggggggggggggg" localSheetId="5">#REF!</definedName>
    <definedName name="gggggggggggggggggggggggggggggggg" localSheetId="4">#REF!</definedName>
    <definedName name="gggggggggggggggggggggggggggggggg" localSheetId="3">#REF!</definedName>
    <definedName name="gggggggggggggggggggggggggggggggg" localSheetId="1">#REF!</definedName>
    <definedName name="gggggggggggggggggggggggggggggggg">#REF!</definedName>
    <definedName name="GH" localSheetId="5">#REF!</definedName>
    <definedName name="GH" localSheetId="4">#REF!</definedName>
    <definedName name="GH" localSheetId="3">#REF!</definedName>
    <definedName name="GH" localSheetId="1">#REF!</definedName>
    <definedName name="GH">#REF!</definedName>
    <definedName name="GHGFH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 localSheetId="5">#REF!</definedName>
    <definedName name="GHGJ" localSheetId="4">#REF!</definedName>
    <definedName name="GHGJ" localSheetId="3">#REF!</definedName>
    <definedName name="GHGJ" localSheetId="1">#REF!</definedName>
    <definedName name="GHGJ">#REF!</definedName>
    <definedName name="GHHH" localSheetId="3" hidden="1">#REF!</definedName>
    <definedName name="GHHH" localSheetId="1" hidden="1">#REF!</definedName>
    <definedName name="GHHH" hidden="1">#REF!</definedName>
    <definedName name="GHJGH" localSheetId="5">#REF!</definedName>
    <definedName name="GHJGH" localSheetId="4">#REF!</definedName>
    <definedName name="GHJGH" localSheetId="3">#REF!</definedName>
    <definedName name="GHJGH" localSheetId="1">#REF!</definedName>
    <definedName name="GHJGH">#REF!</definedName>
    <definedName name="GHKJL" localSheetId="5">#REF!</definedName>
    <definedName name="GHKJL" localSheetId="4">#REF!</definedName>
    <definedName name="GHKJL" localSheetId="3">#REF!</definedName>
    <definedName name="GHKJL" localSheetId="1">#REF!</definedName>
    <definedName name="GHKJL">#REF!</definedName>
    <definedName name="GHLDML" localSheetId="5" hidden="1">{#N/A,#N/A,FALSE,"품의서";#N/A,#N/A,FALSE,"전제";#N/A,#N/A,FALSE,"총손";#N/A,#N/A,FALSE,"손익"}</definedName>
    <definedName name="GHLDML" localSheetId="4" hidden="1">{#N/A,#N/A,FALSE,"품의서";#N/A,#N/A,FALSE,"전제";#N/A,#N/A,FALSE,"총손";#N/A,#N/A,FALSE,"손익"}</definedName>
    <definedName name="GHLDML" localSheetId="3" hidden="1">{#N/A,#N/A,FALSE,"품의서";#N/A,#N/A,FALSE,"전제";#N/A,#N/A,FALSE,"총손";#N/A,#N/A,FALSE,"손익"}</definedName>
    <definedName name="GHLDML" localSheetId="1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5" hidden="1">{#N/A,#N/A,FALSE,"96 3월물량표";#N/A,#N/A,FALSE,"96 4월물량표";#N/A,#N/A,FALSE,"96 5월물량표"}</definedName>
    <definedName name="GHUTGHF" localSheetId="4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localSheetId="1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GK" localSheetId="5" hidden="1">{#N/A,#N/A,FALSE,"표지";#N/A,#N/A,FALSE,"전제";#N/A,#N/A,FALSE,"손익-자 (2)";#N/A,#N/A,FALSE,"손익-자";#N/A,#N/A,FALSE,"손익-마 (2)";#N/A,#N/A,FALSE,"손익-마";#N/A,#N/A,FALSE,"총손최종"}</definedName>
    <definedName name="GJGK" localSheetId="4" hidden="1">{#N/A,#N/A,FALSE,"표지";#N/A,#N/A,FALSE,"전제";#N/A,#N/A,FALSE,"손익-자 (2)";#N/A,#N/A,FALSE,"손익-자";#N/A,#N/A,FALSE,"손익-마 (2)";#N/A,#N/A,FALSE,"손익-마";#N/A,#N/A,FALSE,"총손최종"}</definedName>
    <definedName name="GJGK" localSheetId="3" hidden="1">{#N/A,#N/A,FALSE,"표지";#N/A,#N/A,FALSE,"전제";#N/A,#N/A,FALSE,"손익-자 (2)";#N/A,#N/A,FALSE,"손익-자";#N/A,#N/A,FALSE,"손익-마 (2)";#N/A,#N/A,FALSE,"손익-마";#N/A,#N/A,FALSE,"총손최종"}</definedName>
    <definedName name="GJGK" localSheetId="1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localSheetId="5" hidden="1">{#N/A,#N/A,TRUE,"Y생산";#N/A,#N/A,TRUE,"Y판매";#N/A,#N/A,TRUE,"Y총물량";#N/A,#N/A,TRUE,"Y능력";#N/A,#N/A,TRUE,"YKD"}</definedName>
    <definedName name="GJYKU" localSheetId="4" hidden="1">{#N/A,#N/A,TRUE,"Y생산";#N/A,#N/A,TRUE,"Y판매";#N/A,#N/A,TRUE,"Y총물량";#N/A,#N/A,TRUE,"Y능력";#N/A,#N/A,TRUE,"YKD"}</definedName>
    <definedName name="GJYKU" localSheetId="3" hidden="1">{#N/A,#N/A,TRUE,"Y생산";#N/A,#N/A,TRUE,"Y판매";#N/A,#N/A,TRUE,"Y총물량";#N/A,#N/A,TRUE,"Y능력";#N/A,#N/A,TRUE,"YKD"}</definedName>
    <definedName name="GJYKU" localSheetId="1" hidden="1">{#N/A,#N/A,TRUE,"Y생산";#N/A,#N/A,TRUE,"Y판매";#N/A,#N/A,TRUE,"Y총물량";#N/A,#N/A,TRUE,"Y능력";#N/A,#N/A,TRUE,"YKD"}</definedName>
    <definedName name="GJYKU" hidden="1">{#N/A,#N/A,TRUE,"Y생산";#N/A,#N/A,TRUE,"Y판매";#N/A,#N/A,TRUE,"Y총물량";#N/A,#N/A,TRUE,"Y능력";#N/A,#N/A,TRUE,"YKD"}</definedName>
    <definedName name="gksthf" localSheetId="5">BlankMacro1</definedName>
    <definedName name="gksthf" localSheetId="4">BlankMacro1</definedName>
    <definedName name="gksthf" localSheetId="3">BlankMacro1</definedName>
    <definedName name="gksthf" localSheetId="2">BlankMacro1</definedName>
    <definedName name="gksthf" localSheetId="1">BlankMacro1</definedName>
    <definedName name="gksthf" localSheetId="0">BlankMacro1</definedName>
    <definedName name="gksthf">BlankMacro1</definedName>
    <definedName name="GL_Balance" localSheetId="5">#REF!</definedName>
    <definedName name="GL_Balance" localSheetId="4">#REF!</definedName>
    <definedName name="GL_Balance" localSheetId="3">#REF!</definedName>
    <definedName name="GL_Balance" localSheetId="1">#REF!</definedName>
    <definedName name="GL_Balance">#REF!</definedName>
    <definedName name="GLS" localSheetId="5">#REF!</definedName>
    <definedName name="GLS" localSheetId="4">#REF!</definedName>
    <definedName name="GLS" localSheetId="3">#REF!</definedName>
    <definedName name="GLS" localSheetId="1">#REF!</definedName>
    <definedName name="GLS">#REF!</definedName>
    <definedName name="GRACE" localSheetId="5">#REF!</definedName>
    <definedName name="GRACE" localSheetId="4">#REF!</definedName>
    <definedName name="GRACE" localSheetId="3">#REF!</definedName>
    <definedName name="GRACE" localSheetId="1">#REF!</definedName>
    <definedName name="GRACE">#REF!</definedName>
    <definedName name="GRADE">#N/A</definedName>
    <definedName name="Graph" localSheetId="5">#REF!</definedName>
    <definedName name="Graph" localSheetId="4">#REF!</definedName>
    <definedName name="Graph" localSheetId="3">#REF!</definedName>
    <definedName name="Graph" localSheetId="1">#REF!</definedName>
    <definedName name="Graph">#REF!</definedName>
    <definedName name="GRAPH1" localSheetId="3">#REF!</definedName>
    <definedName name="GRAPH1" localSheetId="1">#REF!</definedName>
    <definedName name="GRAPH1">#REF!</definedName>
    <definedName name="GRAPH2" localSheetId="3">#REF!</definedName>
    <definedName name="GRAPH2" localSheetId="1">#REF!</definedName>
    <definedName name="GRAPH2">#REF!</definedName>
    <definedName name="Gross_Area" localSheetId="3">#REF!</definedName>
    <definedName name="Gross_Area" localSheetId="1">#REF!</definedName>
    <definedName name="Gross_Area">#REF!</definedName>
    <definedName name="GROUP">#N/A</definedName>
    <definedName name="GRY" localSheetId="5">#REF!</definedName>
    <definedName name="GRY" localSheetId="4">#REF!</definedName>
    <definedName name="GRY" localSheetId="3">#REF!</definedName>
    <definedName name="GRY" localSheetId="1">#REF!</definedName>
    <definedName name="GRY">#REF!</definedName>
    <definedName name="gunmok">#N/A</definedName>
    <definedName name="gvdasskv" localSheetId="5" hidden="1">{#N/A,#N/A,TRUE,"일정"}</definedName>
    <definedName name="gvdasskv" localSheetId="4" hidden="1">{#N/A,#N/A,TRUE,"일정"}</definedName>
    <definedName name="gvdasskv" localSheetId="3" hidden="1">{#N/A,#N/A,TRUE,"일정"}</definedName>
    <definedName name="gvdasskv" localSheetId="1" hidden="1">{#N/A,#N/A,TRUE,"일정"}</definedName>
    <definedName name="gvdasskv" hidden="1">{#N/A,#N/A,TRUE,"일정"}</definedName>
    <definedName name="H" localSheetId="5" hidden="1">{#N/A,#N/A,TRUE,"Y생산";#N/A,#N/A,TRUE,"Y판매";#N/A,#N/A,TRUE,"Y총물량";#N/A,#N/A,TRUE,"Y능력";#N/A,#N/A,TRUE,"YKD"}</definedName>
    <definedName name="H" localSheetId="4" hidden="1">{#N/A,#N/A,TRUE,"Y생산";#N/A,#N/A,TRUE,"Y판매";#N/A,#N/A,TRUE,"Y총물량";#N/A,#N/A,TRUE,"Y능력";#N/A,#N/A,TRUE,"YKD"}</definedName>
    <definedName name="H" localSheetId="3" hidden="1">{#N/A,#N/A,TRUE,"Y생산";#N/A,#N/A,TRUE,"Y판매";#N/A,#N/A,TRUE,"Y총물량";#N/A,#N/A,TRUE,"Y능력";#N/A,#N/A,TRUE,"YKD"}</definedName>
    <definedName name="H" localSheetId="1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1_" localSheetId="5">#REF!</definedName>
    <definedName name="H1_" localSheetId="4">#REF!</definedName>
    <definedName name="H1_" localSheetId="3">#REF!</definedName>
    <definedName name="H1_" localSheetId="1">#REF!</definedName>
    <definedName name="H1_">#REF!</definedName>
    <definedName name="hcc감가" localSheetId="3">#REF!</definedName>
    <definedName name="hcc감가" localSheetId="1">#REF!</definedName>
    <definedName name="hcc감가">#REF!</definedName>
    <definedName name="hcc매출" localSheetId="3">#REF!</definedName>
    <definedName name="hcc매출" localSheetId="1">#REF!</definedName>
    <definedName name="hcc매출">#REF!</definedName>
    <definedName name="hcc인원" localSheetId="3">#REF!</definedName>
    <definedName name="hcc인원" localSheetId="1">#REF!</definedName>
    <definedName name="hcc인원">#REF!</definedName>
    <definedName name="HCINV" localSheetId="3">#REF!</definedName>
    <definedName name="HCINV" localSheetId="1">#REF!</definedName>
    <definedName name="HCINV">#REF!</definedName>
    <definedName name="hcownership" localSheetId="3">#REF!</definedName>
    <definedName name="hcownership" localSheetId="1">#REF!</definedName>
    <definedName name="hcownership">#REF!</definedName>
    <definedName name="Hd_CarLn" localSheetId="5">#REF!</definedName>
    <definedName name="Hd_CarLn" localSheetId="4">#REF!</definedName>
    <definedName name="Hd_CarLn" localSheetId="3">#REF!</definedName>
    <definedName name="Hd_CarLn" localSheetId="1">#REF!</definedName>
    <definedName name="Hd_CarLn">#REF!</definedName>
    <definedName name="Hd_DB_DthPen" localSheetId="5">#REF!</definedName>
    <definedName name="Hd_DB_DthPen" localSheetId="4">#REF!</definedName>
    <definedName name="Hd_DB_DthPen" localSheetId="3">#REF!</definedName>
    <definedName name="Hd_DB_DthPen" localSheetId="1">#REF!</definedName>
    <definedName name="Hd_DB_DthPen">#REF!</definedName>
    <definedName name="Hd_DC_Cont" localSheetId="5">#REF!</definedName>
    <definedName name="Hd_DC_Cont" localSheetId="4">#REF!</definedName>
    <definedName name="Hd_DC_Cont" localSheetId="3">#REF!</definedName>
    <definedName name="Hd_DC_Cont" localSheetId="1">#REF!</definedName>
    <definedName name="Hd_DC_Cont">#REF!</definedName>
    <definedName name="Hd_HseLn" localSheetId="5">#REF!</definedName>
    <definedName name="Hd_HseLn" localSheetId="4">#REF!</definedName>
    <definedName name="Hd_HseLn" localSheetId="3">#REF!</definedName>
    <definedName name="Hd_HseLn" localSheetId="1">#REF!</definedName>
    <definedName name="Hd_HseLn">#REF!</definedName>
    <definedName name="Hd_LA_SalDef" localSheetId="5">#REF!</definedName>
    <definedName name="Hd_LA_SalDef" localSheetId="4">#REF!</definedName>
    <definedName name="Hd_LA_SalDef" localSheetId="3">#REF!</definedName>
    <definedName name="Hd_LA_SalDef" localSheetId="1">#REF!</definedName>
    <definedName name="Hd_LA_SalDef">#REF!</definedName>
    <definedName name="Hd_LTD_provA" localSheetId="5">#REF!</definedName>
    <definedName name="Hd_LTD_provA" localSheetId="4">#REF!</definedName>
    <definedName name="Hd_LTD_provA" localSheetId="3">#REF!</definedName>
    <definedName name="Hd_LTD_provA" localSheetId="1">#REF!</definedName>
    <definedName name="Hd_LTD_provA">#REF!</definedName>
    <definedName name="Hd_LTD_provB" localSheetId="5">#REF!</definedName>
    <definedName name="Hd_LTD_provB" localSheetId="4">#REF!</definedName>
    <definedName name="Hd_LTD_provB" localSheetId="3">#REF!</definedName>
    <definedName name="Hd_LTD_provB" localSheetId="1">#REF!</definedName>
    <definedName name="Hd_LTD_provB">#REF!</definedName>
    <definedName name="Hd_LTD_provC" localSheetId="5">#REF!</definedName>
    <definedName name="Hd_LTD_provC" localSheetId="4">#REF!</definedName>
    <definedName name="Hd_LTD_provC" localSheetId="3">#REF!</definedName>
    <definedName name="Hd_LTD_provC" localSheetId="1">#REF!</definedName>
    <definedName name="Hd_LTD_provC">#REF!</definedName>
    <definedName name="Hd_LTD_SalDef" localSheetId="5">#REF!</definedName>
    <definedName name="Hd_LTD_SalDef" localSheetId="4">#REF!</definedName>
    <definedName name="Hd_LTD_SalDef" localSheetId="3">#REF!</definedName>
    <definedName name="Hd_LTD_SalDef" localSheetId="1">#REF!</definedName>
    <definedName name="Hd_LTD_SalDef">#REF!</definedName>
    <definedName name="Hd_Med_PlanType" localSheetId="5">#REF!</definedName>
    <definedName name="Hd_Med_PlanType" localSheetId="4">#REF!</definedName>
    <definedName name="Hd_Med_PlanType" localSheetId="3">#REF!</definedName>
    <definedName name="Hd_Med_PlanType" localSheetId="1">#REF!</definedName>
    <definedName name="Hd_Med_PlanType">#REF!</definedName>
    <definedName name="Hd_Mob" localSheetId="5">#REF!</definedName>
    <definedName name="Hd_Mob" localSheetId="4">#REF!</definedName>
    <definedName name="Hd_Mob" localSheetId="3">#REF!</definedName>
    <definedName name="Hd_Mob" localSheetId="1">#REF!</definedName>
    <definedName name="Hd_Mob">#REF!</definedName>
    <definedName name="Hd_Ret_SalDef" localSheetId="5">#REF!</definedName>
    <definedName name="Hd_Ret_SalDef" localSheetId="4">#REF!</definedName>
    <definedName name="Hd_Ret_SalDef" localSheetId="3">#REF!</definedName>
    <definedName name="Hd_Ret_SalDef" localSheetId="1">#REF!</definedName>
    <definedName name="Hd_Ret_SalDef">#REF!</definedName>
    <definedName name="HD11t" localSheetId="3">#REF!</definedName>
    <definedName name="HD11t" localSheetId="1">#REF!</definedName>
    <definedName name="HD11t">#REF!</definedName>
    <definedName name="HD14t" localSheetId="3">#REF!</definedName>
    <definedName name="HD14t" localSheetId="1">#REF!</definedName>
    <definedName name="HD14t">#REF!</definedName>
    <definedName name="HD15t" localSheetId="3">#REF!</definedName>
    <definedName name="HD15t" localSheetId="1">#REF!</definedName>
    <definedName name="HD15t">#REF!</definedName>
    <definedName name="HD17t" localSheetId="3">#REF!</definedName>
    <definedName name="HD17t" localSheetId="1">#REF!</definedName>
    <definedName name="HD17t">#REF!</definedName>
    <definedName name="HD18t" localSheetId="3">#REF!</definedName>
    <definedName name="HD18t" localSheetId="1">#REF!</definedName>
    <definedName name="HD18t">#REF!</definedName>
    <definedName name="HD19t" localSheetId="3">#REF!</definedName>
    <definedName name="HD19t" localSheetId="1">#REF!</definedName>
    <definedName name="HD19t">#REF!</definedName>
    <definedName name="HD20t" localSheetId="3">#REF!</definedName>
    <definedName name="HD20t" localSheetId="1">#REF!</definedName>
    <definedName name="HD20t">#REF!</definedName>
    <definedName name="HD22t" localSheetId="3">#REF!</definedName>
    <definedName name="HD22t" localSheetId="1">#REF!</definedName>
    <definedName name="HD22t">#REF!</definedName>
    <definedName name="HD24t" localSheetId="3">#REF!</definedName>
    <definedName name="HD24t" localSheetId="1">#REF!</definedName>
    <definedName name="HD24t">#REF!</definedName>
    <definedName name="HD25t" localSheetId="3">#REF!</definedName>
    <definedName name="HD25t" localSheetId="1">#REF!</definedName>
    <definedName name="HD25t">#REF!</definedName>
    <definedName name="HD28t" localSheetId="3">#REF!</definedName>
    <definedName name="HD28t" localSheetId="1">#REF!</definedName>
    <definedName name="HD28t">#REF!</definedName>
    <definedName name="HD2t" localSheetId="3">#REF!</definedName>
    <definedName name="HD2t" localSheetId="1">#REF!</definedName>
    <definedName name="HD2t">#REF!</definedName>
    <definedName name="HD6t" localSheetId="3">#REF!</definedName>
    <definedName name="HD6t" localSheetId="1">#REF!</definedName>
    <definedName name="HD6t">#REF!</definedName>
    <definedName name="HD7t" localSheetId="3">#REF!</definedName>
    <definedName name="HD7t" localSheetId="1">#REF!</definedName>
    <definedName name="HD7t">#REF!</definedName>
    <definedName name="HD8t" localSheetId="3">#REF!</definedName>
    <definedName name="HD8t" localSheetId="1">#REF!</definedName>
    <definedName name="HD8t">#REF!</definedName>
    <definedName name="HdOth1" localSheetId="3">#REF!</definedName>
    <definedName name="HdOth1" localSheetId="1">#REF!</definedName>
    <definedName name="HdOth1">#REF!</definedName>
    <definedName name="HdOth2" localSheetId="3">#REF!</definedName>
    <definedName name="HdOth2" localSheetId="1">#REF!</definedName>
    <definedName name="HdOth2">#REF!</definedName>
    <definedName name="HdOth3" localSheetId="3">#REF!</definedName>
    <definedName name="HdOth3" localSheetId="1">#REF!</definedName>
    <definedName name="HdOth3">#REF!</definedName>
    <definedName name="HdOth4" localSheetId="3">#REF!</definedName>
    <definedName name="HdOth4" localSheetId="1">#REF!</definedName>
    <definedName name="HdOth4">#REF!</definedName>
    <definedName name="HdOth5" localSheetId="3">#REF!</definedName>
    <definedName name="HdOth5" localSheetId="1">#REF!</definedName>
    <definedName name="HdOth5">#REF!</definedName>
    <definedName name="hds" localSheetId="3">#REF!</definedName>
    <definedName name="hds" localSheetId="1">#REF!</definedName>
    <definedName name="hds">#REF!</definedName>
    <definedName name="head" localSheetId="3">#REF!</definedName>
    <definedName name="head" localSheetId="1">#REF!</definedName>
    <definedName name="head">#REF!</definedName>
    <definedName name="Hedge_Cost" localSheetId="3">#REF!</definedName>
    <definedName name="Hedge_Cost" localSheetId="1">#REF!</definedName>
    <definedName name="Hedge_Cost">#REF!</definedName>
    <definedName name="HEN" localSheetId="3">#REF!</definedName>
    <definedName name="HEN" localSheetId="1">#REF!</definedName>
    <definedName name="HEN">#REF!</definedName>
    <definedName name="HFG" localSheetId="5" hidden="1">{#N/A,#N/A,TRUE,"Y생산";#N/A,#N/A,TRUE,"Y판매";#N/A,#N/A,TRUE,"Y총물량";#N/A,#N/A,TRUE,"Y능력";#N/A,#N/A,TRUE,"YKD"}</definedName>
    <definedName name="HFG" localSheetId="4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localSheetId="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c" localSheetId="5" hidden="1">{#N/A,#N/A,TRUE,"대 차 대 조 표"}</definedName>
    <definedName name="hgc" localSheetId="4" hidden="1">{#N/A,#N/A,TRUE,"대 차 대 조 표"}</definedName>
    <definedName name="hgc" localSheetId="3" hidden="1">{#N/A,#N/A,TRUE,"대 차 대 조 표"}</definedName>
    <definedName name="hgc" localSheetId="1" hidden="1">{#N/A,#N/A,TRUE,"대 차 대 조 표"}</definedName>
    <definedName name="hgc" hidden="1">{#N/A,#N/A,TRUE,"대 차 대 조 표"}</definedName>
    <definedName name="hgc_1" localSheetId="5" hidden="1">{#N/A,#N/A,TRUE,"대 차 대 조 표"}</definedName>
    <definedName name="hgc_1" localSheetId="4" hidden="1">{#N/A,#N/A,TRUE,"대 차 대 조 표"}</definedName>
    <definedName name="hgc_1" localSheetId="3" hidden="1">{#N/A,#N/A,TRUE,"대 차 대 조 표"}</definedName>
    <definedName name="hgc_1" localSheetId="1" hidden="1">{#N/A,#N/A,TRUE,"대 차 대 조 표"}</definedName>
    <definedName name="hgc_1" hidden="1">{#N/A,#N/A,TRUE,"대 차 대 조 표"}</definedName>
    <definedName name="hgfshg" localSheetId="5" hidden="1">{#N/A,#N/A,TRUE,"일정"}</definedName>
    <definedName name="hgfshg" localSheetId="4" hidden="1">{#N/A,#N/A,TRUE,"일정"}</definedName>
    <definedName name="hgfshg" localSheetId="3" hidden="1">{#N/A,#N/A,TRUE,"일정"}</definedName>
    <definedName name="hgfshg" localSheetId="1" hidden="1">{#N/A,#N/A,TRUE,"일정"}</definedName>
    <definedName name="hgfshg" hidden="1">{#N/A,#N/A,TRUE,"일정"}</definedName>
    <definedName name="hgfxd" localSheetId="5" hidden="1">{#N/A,#N/A,TRUE,"일정"}</definedName>
    <definedName name="hgfxd" localSheetId="4" hidden="1">{#N/A,#N/A,TRUE,"일정"}</definedName>
    <definedName name="hgfxd" localSheetId="3" hidden="1">{#N/A,#N/A,TRUE,"일정"}</definedName>
    <definedName name="hgfxd" localSheetId="1" hidden="1">{#N/A,#N/A,TRUE,"일정"}</definedName>
    <definedName name="hgfxd" hidden="1">{#N/A,#N/A,TRUE,"일정"}</definedName>
    <definedName name="HGGHHG" localSheetId="5" hidden="1">#REF!</definedName>
    <definedName name="HGGHHG" localSheetId="4" hidden="1">#REF!</definedName>
    <definedName name="HGGHHG" localSheetId="3" hidden="1">#REF!</definedName>
    <definedName name="HGGHHG" localSheetId="1" hidden="1">#REF!</definedName>
    <definedName name="HGGHHG" hidden="1">#REF!</definedName>
    <definedName name="HGHTJTY" localSheetId="5">#REF!</definedName>
    <definedName name="HGHTJTY" localSheetId="4">#REF!</definedName>
    <definedName name="HGHTJTY" localSheetId="3">#REF!</definedName>
    <definedName name="HGHTJTY" localSheetId="1">#REF!</definedName>
    <definedName name="HGHTJTY">#REF!</definedName>
    <definedName name="hgkdj" localSheetId="5" hidden="1">{"AnnualRentRoll",#N/A,FALSE,"RentRoll"}</definedName>
    <definedName name="hgkdj" localSheetId="4" hidden="1">{"AnnualRentRoll",#N/A,FALSE,"RentRoll"}</definedName>
    <definedName name="hgkdj" localSheetId="3" hidden="1">{"AnnualRentRoll",#N/A,FALSE,"RentRoll"}</definedName>
    <definedName name="hgkdj" localSheetId="1" hidden="1">{"AnnualRentRoll",#N/A,FALSE,"RentRoll"}</definedName>
    <definedName name="hgkdj" hidden="1">{"AnnualRentRoll",#N/A,FALSE,"RentRoll"}</definedName>
    <definedName name="hgkdj_1" localSheetId="5" hidden="1">{"AnnualRentRoll",#N/A,FALSE,"RentRoll"}</definedName>
    <definedName name="hgkdj_1" localSheetId="4" hidden="1">{"AnnualRentRoll",#N/A,FALSE,"RentRoll"}</definedName>
    <definedName name="hgkdj_1" localSheetId="3" hidden="1">{"AnnualRentRoll",#N/A,FALSE,"RentRoll"}</definedName>
    <definedName name="hgkdj_1" localSheetId="1" hidden="1">{"AnnualRentRoll",#N/A,FALSE,"RentRoll"}</definedName>
    <definedName name="hgkdj_1" hidden="1">{"AnnualRentRoll",#N/A,FALSE,"RentRoll"}</definedName>
    <definedName name="HGXC" localSheetId="5">#REF!</definedName>
    <definedName name="HGXC" localSheetId="4">#REF!</definedName>
    <definedName name="HGXC" localSheetId="3">#REF!</definedName>
    <definedName name="HGXC" localSheetId="1">#REF!</definedName>
    <definedName name="HGXC">#REF!</definedName>
    <definedName name="HH" localSheetId="3">#REF!</definedName>
    <definedName name="HH" localSheetId="1">#REF!</definedName>
    <definedName name="HH">#REF!</definedName>
    <definedName name="HHH" localSheetId="5">#REF!</definedName>
    <definedName name="HHH" localSheetId="4">#REF!</definedName>
    <definedName name="HHH" localSheetId="3">#REF!</definedName>
    <definedName name="HHH" localSheetId="1">#REF!</definedName>
    <definedName name="HHH">#REF!</definedName>
    <definedName name="hhhhhhhhhhhhhhhhhhhh" localSheetId="3">#REF!</definedName>
    <definedName name="hhhhhhhhhhhhhhhhhhhh" localSheetId="1">#REF!</definedName>
    <definedName name="hhhhhhhhhhhhhhhhhhhh">#REF!</definedName>
    <definedName name="hhhhhhhhhhhhhhhhhhhhhh" localSheetId="3">#REF!</definedName>
    <definedName name="hhhhhhhhhhhhhhhhhhhhhh" localSheetId="1">#REF!</definedName>
    <definedName name="hhhhhhhhhhhhhhhhhhhhhh">#REF!</definedName>
    <definedName name="HING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5" hidden="1">#REF!</definedName>
    <definedName name="HJ" localSheetId="4" hidden="1">#REF!</definedName>
    <definedName name="HJ" localSheetId="3" hidden="1">#REF!</definedName>
    <definedName name="HJ" localSheetId="1" hidden="1">#REF!</definedName>
    <definedName name="HJ" hidden="1">#REF!</definedName>
    <definedName name="hjdg" localSheetId="5" hidden="1">{#N/A,#N/A,FALSE,"PropertyInfo"}</definedName>
    <definedName name="hjdg" localSheetId="4" hidden="1">{#N/A,#N/A,FALSE,"PropertyInfo"}</definedName>
    <definedName name="hjdg" localSheetId="3" hidden="1">{#N/A,#N/A,FALSE,"PropertyInfo"}</definedName>
    <definedName name="hjdg" localSheetId="1" hidden="1">{#N/A,#N/A,FALSE,"PropertyInfo"}</definedName>
    <definedName name="hjdg" hidden="1">{#N/A,#N/A,FALSE,"PropertyInfo"}</definedName>
    <definedName name="hjdg_1" localSheetId="5" hidden="1">{#N/A,#N/A,FALSE,"PropertyInfo"}</definedName>
    <definedName name="hjdg_1" localSheetId="4" hidden="1">{#N/A,#N/A,FALSE,"PropertyInfo"}</definedName>
    <definedName name="hjdg_1" localSheetId="3" hidden="1">{#N/A,#N/A,FALSE,"PropertyInfo"}</definedName>
    <definedName name="hjdg_1" localSheetId="1" hidden="1">{#N/A,#N/A,FALSE,"PropertyInfo"}</definedName>
    <definedName name="hjdg_1" hidden="1">{#N/A,#N/A,FALSE,"PropertyInfo"}</definedName>
    <definedName name="HJJHKHJ" localSheetId="5">#REF!</definedName>
    <definedName name="HJJHKHJ" localSheetId="4">#REF!</definedName>
    <definedName name="HJJHKHJ" localSheetId="3">#REF!</definedName>
    <definedName name="HJJHKHJ" localSheetId="1">#REF!</definedName>
    <definedName name="HJJHKHJ">#REF!</definedName>
    <definedName name="hjjjh" localSheetId="5" hidden="1">{#N/A,#N/A,FALSE,"Aging Summary";#N/A,#N/A,FALSE,"Ratio Analysis";#N/A,#N/A,FALSE,"Test 120 Day Accts";#N/A,#N/A,FALSE,"Tickmarks"}</definedName>
    <definedName name="hjjjh" localSheetId="4" hidden="1">{#N/A,#N/A,FALSE,"Aging Summary";#N/A,#N/A,FALSE,"Ratio Analysis";#N/A,#N/A,FALSE,"Test 120 Day Accts";#N/A,#N/A,FALSE,"Tickmarks"}</definedName>
    <definedName name="hjjjh" localSheetId="3" hidden="1">{#N/A,#N/A,FALSE,"Aging Summary";#N/A,#N/A,FALSE,"Ratio Analysis";#N/A,#N/A,FALSE,"Test 120 Day Accts";#N/A,#N/A,FALSE,"Tickmarks"}</definedName>
    <definedName name="hjjjh" localSheetId="1" hidden="1">{#N/A,#N/A,FALSE,"Aging Summary";#N/A,#N/A,FALSE,"Ratio Analysis";#N/A,#N/A,FALSE,"Test 120 Day Accts";#N/A,#N/A,FALSE,"Tickmarks"}</definedName>
    <definedName name="hjjjh" hidden="1">{#N/A,#N/A,FALSE,"Aging Summary";#N/A,#N/A,FALSE,"Ratio Analysis";#N/A,#N/A,FALSE,"Test 120 Day Accts";#N/A,#N/A,FALSE,"Tickmarks"}</definedName>
    <definedName name="hkd" localSheetId="5">#REF!</definedName>
    <definedName name="hkd" localSheetId="4">#REF!</definedName>
    <definedName name="hkd" localSheetId="3">#REF!</definedName>
    <definedName name="hkd" localSheetId="1">#REF!</definedName>
    <definedName name="hkd">#REF!</definedName>
    <definedName name="HKHLJ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 localSheetId="5">#REF!</definedName>
    <definedName name="ho" localSheetId="4">#REF!</definedName>
    <definedName name="ho" localSheetId="3">#REF!</definedName>
    <definedName name="ho" localSheetId="1">#REF!</definedName>
    <definedName name="ho">#REF!</definedName>
    <definedName name="Hold_Year" localSheetId="3">#REF!</definedName>
    <definedName name="Hold_Year" localSheetId="1">#REF!</definedName>
    <definedName name="Hold_Year">#REF!</definedName>
    <definedName name="hon" localSheetId="5">#REF!</definedName>
    <definedName name="hon" localSheetId="4">#REF!</definedName>
    <definedName name="hon" localSheetId="3">#REF!</definedName>
    <definedName name="hon" localSheetId="1">#REF!</definedName>
    <definedName name="hon">#REF!</definedName>
    <definedName name="HOUSECODE">#N/A</definedName>
    <definedName name="Housing" localSheetId="5">#REF!</definedName>
    <definedName name="Housing" localSheetId="4">#REF!</definedName>
    <definedName name="Housing" localSheetId="3">#REF!</definedName>
    <definedName name="Housing" localSheetId="1">#REF!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localSheetId="5" hidden="1">{"'손익현황'!$A$1:$J$29"}</definedName>
    <definedName name="HTML_Control" localSheetId="4" hidden="1">{"'손익현황'!$A$1:$J$29"}</definedName>
    <definedName name="HTML_Control" localSheetId="3" hidden="1">{"'손익현황'!$A$1:$J$29"}</definedName>
    <definedName name="HTML_Control" localSheetId="1" hidden="1">{"'손익현황'!$A$1:$J$29"}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 localSheetId="5">#REF!</definedName>
    <definedName name="HTYL" localSheetId="4">#REF!</definedName>
    <definedName name="HTYL" localSheetId="3">#REF!</definedName>
    <definedName name="HTYL" localSheetId="1">#REF!</definedName>
    <definedName name="HTYL">#REF!</definedName>
    <definedName name="HYP" localSheetId="3" hidden="1">#REF!</definedName>
    <definedName name="HYP" localSheetId="1" hidden="1">#REF!</definedName>
    <definedName name="HYP" hidden="1">#REF!</definedName>
    <definedName name="H매출" localSheetId="3">#REF!</definedName>
    <definedName name="H매출" localSheetId="1">#REF!</definedName>
    <definedName name="H매출">#REF!</definedName>
    <definedName name="H이자" localSheetId="3">#REF!</definedName>
    <definedName name="H이자" localSheetId="1">#REF!</definedName>
    <definedName name="H이자">#REF!</definedName>
    <definedName name="H인원" localSheetId="3">#REF!</definedName>
    <definedName name="H인원" localSheetId="1">#REF!</definedName>
    <definedName name="H인원">#REF!</definedName>
    <definedName name="I" localSheetId="3">#REF!</definedName>
    <definedName name="I" localSheetId="1">#REF!</definedName>
    <definedName name="I">#REF!</definedName>
    <definedName name="I_Ex_Factor" localSheetId="3">#REF!</definedName>
    <definedName name="I_Ex_Factor" localSheetId="1">#REF!</definedName>
    <definedName name="I_Ex_Factor">#REF!</definedName>
    <definedName name="ia" localSheetId="5" hidden="1">{#N/A,#N/A,FALSE,"Aging Summary";#N/A,#N/A,FALSE,"Ratio Analysis";#N/A,#N/A,FALSE,"Test 120 Day Accts";#N/A,#N/A,FALSE,"Tickmarks"}</definedName>
    <definedName name="ia" localSheetId="4" hidden="1">{#N/A,#N/A,FALSE,"Aging Summary";#N/A,#N/A,FALSE,"Ratio Analysis";#N/A,#N/A,FALSE,"Test 120 Day Accts";#N/A,#N/A,FALSE,"Tickmarks"}</definedName>
    <definedName name="ia" localSheetId="3" hidden="1">{#N/A,#N/A,FALSE,"Aging Summary";#N/A,#N/A,FALSE,"Ratio Analysis";#N/A,#N/A,FALSE,"Test 120 Day Accts";#N/A,#N/A,FALSE,"Tickmarks"}</definedName>
    <definedName name="ia" localSheetId="1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c" localSheetId="5" hidden="1">{#N/A,#N/A,FALSE,"단축1";#N/A,#N/A,FALSE,"단축2";#N/A,#N/A,FALSE,"단축3";#N/A,#N/A,FALSE,"장축";#N/A,#N/A,FALSE,"4WD"}</definedName>
    <definedName name="ic" localSheetId="4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D">#N/A</definedName>
    <definedName name="II" localSheetId="5">#REF!</definedName>
    <definedName name="II" localSheetId="4">#REF!</definedName>
    <definedName name="II" localSheetId="3">#REF!</definedName>
    <definedName name="II" localSheetId="1">#REF!</definedName>
    <definedName name="II">#REF!</definedName>
    <definedName name="III" localSheetId="3">#REF!</definedName>
    <definedName name="III" localSheetId="1">#REF!</definedName>
    <definedName name="III">#REF!</definedName>
    <definedName name="iiii">#N/A</definedName>
    <definedName name="iiiiiiiiiiiiiiiiiiiiiiiiiiiiiiiiiiiiiiiiiiiiiiiiiiiiiiiiiiiiiiiiiiiiiii" localSheetId="5">#REF!</definedName>
    <definedName name="iiiiiiiiiiiiiiiiiiiiiiiiiiiiiiiiiiiiiiiiiiiiiiiiiiiiiiiiiiiiiiiiiiiiiii" localSheetId="4">#REF!</definedName>
    <definedName name="iiiiiiiiiiiiiiiiiiiiiiiiiiiiiiiiiiiiiiiiiiiiiiiiiiiiiiiiiiiiiiiiiiiiiii" localSheetId="3">#REF!</definedName>
    <definedName name="iiiiiiiiiiiiiiiiiiiiiiiiiiiiiiiiiiiiiiiiiiiiiiiiiiiiiiiiiiiiiiiiiiiiiii" localSheetId="1">#REF!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 localSheetId="3">#REF!</definedName>
    <definedName name="iiiiiiiiiiiiiiiiiiiiiiiiiiiiiiiiiiiiiiiiiiiiiiiiiiiiiiiiiiiiiiiiiiiiiiiiiiiiiiiiiiiiiiiiiiiiiiiiiiiiiiiiiiiiiiiiiiiiiiiiiiiiiiiiiiiiiiiiiiiiiiiiiiiiiiiiiiiiiiii" localSheetId="1">#REF!</definedName>
    <definedName name="iiiiiiiiiiiiiiiiiiiiiiiiiiiiiiiiiiiiiiiiiiiiiiiiiiiiiiiiiiiiiiiiiiiiiiiiiiiiiiiiiiiiiiiiiiiiiiiiiiiiiiiiiiiiiiiiiiiiiiiiiiiiiiiiiiiiiiiiiiiiiiiiiiiiiiiiiiiiiiii">#REF!</definedName>
    <definedName name="Immobilizzazioni" localSheetId="5">#REF!:#REF!</definedName>
    <definedName name="Immobilizzazioni" localSheetId="4">#REF!:#REF!</definedName>
    <definedName name="Immobilizzazioni" localSheetId="3">#REF!:#REF!</definedName>
    <definedName name="Immobilizzazioni" localSheetId="1">#REF!:#REF!</definedName>
    <definedName name="Immobilizzazioni">#REF!:#REF!</definedName>
    <definedName name="import" localSheetId="5">#N/A</definedName>
    <definedName name="import" localSheetId="4">#N/A</definedName>
    <definedName name="import" localSheetId="3">#REF!</definedName>
    <definedName name="import" localSheetId="1">#REF!</definedName>
    <definedName name="import">#REF!</definedName>
    <definedName name="ImportFile" localSheetId="5">#REF!</definedName>
    <definedName name="ImportFile" localSheetId="4">#REF!</definedName>
    <definedName name="ImportFile" localSheetId="3">#REF!</definedName>
    <definedName name="ImportFile" localSheetId="1">#REF!</definedName>
    <definedName name="ImportFile">#REF!</definedName>
    <definedName name="Improvement" localSheetId="5">#REF!</definedName>
    <definedName name="Improvement" localSheetId="4">#REF!</definedName>
    <definedName name="Improvement" localSheetId="3">#REF!</definedName>
    <definedName name="Improvement" localSheetId="1">#REF!</definedName>
    <definedName name="Improvement">#REF!</definedName>
    <definedName name="Inc" localSheetId="3">#REF!</definedName>
    <definedName name="Inc" localSheetId="1">#REF!</definedName>
    <definedName name="Inc">#REF!</definedName>
    <definedName name="Inc_Base" localSheetId="3">#REF!</definedName>
    <definedName name="Inc_Base" localSheetId="1">#REF!</definedName>
    <definedName name="Inc_Base">#REF!</definedName>
    <definedName name="include_interest" localSheetId="3">#REF!</definedName>
    <definedName name="include_interest" localSheetId="1">#REF!</definedName>
    <definedName name="include_interest">#REF!</definedName>
    <definedName name="Income" localSheetId="3">#REF!</definedName>
    <definedName name="Income" localSheetId="1">#REF!</definedName>
    <definedName name="Income">#REF!</definedName>
    <definedName name="Income_Projection_시작일" localSheetId="3">#REF!</definedName>
    <definedName name="Income_Projection_시작일" localSheetId="1">#REF!</definedName>
    <definedName name="Income_Projection_시작일">#REF!</definedName>
    <definedName name="IncomeData" localSheetId="3">#REF!</definedName>
    <definedName name="IncomeData" localSheetId="1">#REF!</definedName>
    <definedName name="IncomeData">#REF!</definedName>
    <definedName name="IncomeStatementDates" localSheetId="3">#REF!</definedName>
    <definedName name="IncomeStatementDates" localSheetId="1">#REF!</definedName>
    <definedName name="IncomeStatementDates">#REF!</definedName>
    <definedName name="INDEX" localSheetId="3">#REF!</definedName>
    <definedName name="INDEX" localSheetId="1">#REF!</definedName>
    <definedName name="INDEX">#REF!</definedName>
    <definedName name="indiv_rate" localSheetId="3">#REF!</definedName>
    <definedName name="indiv_rate" localSheetId="1">#REF!</definedName>
    <definedName name="indiv_rate">#REF!</definedName>
    <definedName name="industry_group" localSheetId="3">#REF!</definedName>
    <definedName name="industry_group" localSheetId="1">#REF!</definedName>
    <definedName name="industry_group">#REF!</definedName>
    <definedName name="inflation" localSheetId="3">#REF!</definedName>
    <definedName name="inflation" localSheetId="1">#REF!</definedName>
    <definedName name="inflation">#REF!</definedName>
    <definedName name="info" localSheetId="3">#REF!</definedName>
    <definedName name="info" localSheetId="1">#REF!</definedName>
    <definedName name="info">#REF!</definedName>
    <definedName name="ini_button_Click">#N/A</definedName>
    <definedName name="INPUT" localSheetId="5">#REF!</definedName>
    <definedName name="INPUT" localSheetId="4">#REF!</definedName>
    <definedName name="INPUT" localSheetId="3">#REF!</definedName>
    <definedName name="INPUT" localSheetId="1">#REF!</definedName>
    <definedName name="INPUT">#REF!</definedName>
    <definedName name="Installment_1" localSheetId="3">#REF!</definedName>
    <definedName name="Installment_1" localSheetId="1">#REF!</definedName>
    <definedName name="Installment_1">#REF!</definedName>
    <definedName name="Installment_2" localSheetId="3">#REF!</definedName>
    <definedName name="Installment_2" localSheetId="1">#REF!</definedName>
    <definedName name="Installment_2">#REF!</definedName>
    <definedName name="Installment_3" localSheetId="3">#REF!</definedName>
    <definedName name="Installment_3" localSheetId="1">#REF!</definedName>
    <definedName name="Installment_3">#REF!</definedName>
    <definedName name="Installment_4" localSheetId="3">#REF!</definedName>
    <definedName name="Installment_4" localSheetId="1">#REF!</definedName>
    <definedName name="Installment_4">#REF!</definedName>
    <definedName name="Installment_5" localSheetId="3">#REF!</definedName>
    <definedName name="Installment_5" localSheetId="1">#REF!</definedName>
    <definedName name="Installment_5">#REF!</definedName>
    <definedName name="Instructions" localSheetId="3">#REF!</definedName>
    <definedName name="Instructions" localSheetId="1">#REF!</definedName>
    <definedName name="Instructions">#REF!</definedName>
    <definedName name="INT" localSheetId="5" hidden="1">{#N/A,#N/A,TRUE,"일정"}</definedName>
    <definedName name="INT" localSheetId="4" hidden="1">{#N/A,#N/A,TRUE,"일정"}</definedName>
    <definedName name="INT" localSheetId="3" hidden="1">{#N/A,#N/A,TRUE,"일정"}</definedName>
    <definedName name="INT" localSheetId="1" hidden="1">{#N/A,#N/A,TRUE,"일정"}</definedName>
    <definedName name="INT" hidden="1">{#N/A,#N/A,TRUE,"일정"}</definedName>
    <definedName name="INTER" localSheetId="5">#REF!</definedName>
    <definedName name="INTER" localSheetId="4">#REF!</definedName>
    <definedName name="INTER" localSheetId="3">#REF!</definedName>
    <definedName name="INTER" localSheetId="1">#REF!</definedName>
    <definedName name="INTER">#REF!</definedName>
    <definedName name="INTER_CO" localSheetId="3">#REF!</definedName>
    <definedName name="INTER_CO" localSheetId="1">#REF!</definedName>
    <definedName name="INTER_CO">#REF!</definedName>
    <definedName name="interest_income_included" localSheetId="3">#REF!</definedName>
    <definedName name="interest_income_included" localSheetId="1">#REF!</definedName>
    <definedName name="interest_income_included">#REF!</definedName>
    <definedName name="Interest_Reserve" localSheetId="3">#REF!</definedName>
    <definedName name="Interest_Reserve" localSheetId="1">#REF!</definedName>
    <definedName name="Interest_Reserve">#REF!</definedName>
    <definedName name="interestoverall" localSheetId="5" hidden="1">{#N/A,#N/A,FALSE,"Aging Summary";#N/A,#N/A,FALSE,"Ratio Analysis";#N/A,#N/A,FALSE,"Test 120 Day Accts";#N/A,#N/A,FALSE,"Tickmarks"}</definedName>
    <definedName name="interestoverall" localSheetId="4" hidden="1">{#N/A,#N/A,FALSE,"Aging Summary";#N/A,#N/A,FALSE,"Ratio Analysis";#N/A,#N/A,FALSE,"Test 120 Day Accts";#N/A,#N/A,FALSE,"Tickmarks"}</definedName>
    <definedName name="interestoverall" localSheetId="3" hidden="1">{#N/A,#N/A,FALSE,"Aging Summary";#N/A,#N/A,FALSE,"Ratio Analysis";#N/A,#N/A,FALSE,"Test 120 Day Accts";#N/A,#N/A,FALSE,"Tickmarks"}</definedName>
    <definedName name="interestoverall" localSheetId="1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nal_Renovation" localSheetId="5">#REF!</definedName>
    <definedName name="Internal_Renovation" localSheetId="4">#REF!</definedName>
    <definedName name="Internal_Renovation" localSheetId="3">#REF!</definedName>
    <definedName name="Internal_Renovation" localSheetId="1">#REF!</definedName>
    <definedName name="Internal_Renovation">#REF!</definedName>
    <definedName name="INVDATE">#N/A</definedName>
    <definedName name="INVNUM">#N/A</definedName>
    <definedName name="invoice" localSheetId="5">#REF!</definedName>
    <definedName name="invoice" localSheetId="4">#REF!</definedName>
    <definedName name="invoice" localSheetId="3">#REF!</definedName>
    <definedName name="invoice" localSheetId="1">#REF!</definedName>
    <definedName name="invoice">#REF!</definedName>
    <definedName name="ipo_pct" localSheetId="3">#REF!</definedName>
    <definedName name="ipo_pct" localSheetId="1">#REF!</definedName>
    <definedName name="ipo_pct">#REF!</definedName>
    <definedName name="IPRT" localSheetId="3">#REF!</definedName>
    <definedName name="IPRT" localSheetId="1">#REF!</definedName>
    <definedName name="IPRT">#REF!</definedName>
    <definedName name="IPRTSAVE" localSheetId="3">#REF!</definedName>
    <definedName name="IPRTSAVE" localSheetId="1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localSheetId="5" hidden="1">"11/21/2017 14:56:29"</definedName>
    <definedName name="IQ_NAMES_REVISION_DATE_" localSheetId="4" hidden="1">"11/21/2017 14:56:29"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localSheetId="5" hidden="1">#REF!</definedName>
    <definedName name="IQB_BOOKMARK_LOCATION_0" localSheetId="4" hidden="1">#REF!</definedName>
    <definedName name="IQB_BOOKMARK_LOCATION_0" localSheetId="3" hidden="1">#REF!</definedName>
    <definedName name="IQB_BOOKMARK_LOCATION_0" localSheetId="1" hidden="1">#REF!</definedName>
    <definedName name="IQB_BOOKMARK_LOCATION_0" hidden="1">#REF!</definedName>
    <definedName name="IQB_BOOKMARK_LOCATION_1" localSheetId="3" hidden="1">#REF!</definedName>
    <definedName name="IQB_BOOKMARK_LOCATION_1" localSheetId="1" hidden="1">#REF!</definedName>
    <definedName name="IQB_BOOKMARK_LOCATION_1" hidden="1">#REF!</definedName>
    <definedName name="IQB_BOOKMARK_LOCATION_2" localSheetId="3" hidden="1">#REF!</definedName>
    <definedName name="IQB_BOOKMARK_LOCATION_2" localSheetId="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 localSheetId="5">#REF!</definedName>
    <definedName name="IRR" localSheetId="4">#REF!</definedName>
    <definedName name="IRR" localSheetId="3">#REF!</definedName>
    <definedName name="IRR" localSheetId="1">#REF!</definedName>
    <definedName name="IRR">#REF!</definedName>
    <definedName name="IS" localSheetId="3">#REF!</definedName>
    <definedName name="IS" localSheetId="1">#REF!</definedName>
    <definedName name="IS">#REF!</definedName>
    <definedName name="IS_JP" localSheetId="5">{"Client Name or Project Name"}</definedName>
    <definedName name="IS_JP" localSheetId="4">{"Client Name or Project Name"}</definedName>
    <definedName name="IS_JP" localSheetId="3">{"Client Name or Project Name"}</definedName>
    <definedName name="IS_JP" localSheetId="1">{"Client Name or Project Name"}</definedName>
    <definedName name="IS_JP">{"Client Name or Project Name"}</definedName>
    <definedName name="ISAVE" localSheetId="3">#REF!</definedName>
    <definedName name="ISAVE" localSheetId="1">#REF!</definedName>
    <definedName name="ISAVE">#REF!</definedName>
    <definedName name="issue" localSheetId="5">#REF!</definedName>
    <definedName name="issue" localSheetId="4">#REF!</definedName>
    <definedName name="issue" localSheetId="3">#REF!</definedName>
    <definedName name="issue" localSheetId="1">#REF!</definedName>
    <definedName name="issue">#REF!</definedName>
    <definedName name="IT" localSheetId="5" hidden="1">{"'Sheet1'!$A$1:$H$36"}</definedName>
    <definedName name="IT" localSheetId="4" hidden="1">{"'Sheet1'!$A$1:$H$36"}</definedName>
    <definedName name="IT" localSheetId="3" hidden="1">{"'Sheet1'!$A$1:$H$36"}</definedName>
    <definedName name="IT" localSheetId="1" hidden="1">{"'Sheet1'!$A$1:$H$36"}</definedName>
    <definedName name="IT" hidden="1">{"'Sheet1'!$A$1:$H$36"}</definedName>
    <definedName name="ITEM1" localSheetId="3">#REF!</definedName>
    <definedName name="ITEM1" localSheetId="1">#REF!</definedName>
    <definedName name="ITEM1">#REF!</definedName>
    <definedName name="Iter" localSheetId="3">#REF!</definedName>
    <definedName name="Iter" localSheetId="1">#REF!</definedName>
    <definedName name="Iter">#REF!</definedName>
    <definedName name="IT수정" localSheetId="5" hidden="1">{"'Sheet1'!$A$1:$H$36"}</definedName>
    <definedName name="IT수정" localSheetId="4" hidden="1">{"'Sheet1'!$A$1:$H$36"}</definedName>
    <definedName name="IT수정" localSheetId="3" hidden="1">{"'Sheet1'!$A$1:$H$36"}</definedName>
    <definedName name="IT수정" localSheetId="1" hidden="1">{"'Sheet1'!$A$1:$H$36"}</definedName>
    <definedName name="IT수정" hidden="1">{"'Sheet1'!$A$1:$H$36"}</definedName>
    <definedName name="IWJJJJ" localSheetId="5" hidden="1">{#N/A,#N/A,FALSE,"Aging Summary";#N/A,#N/A,FALSE,"Ratio Analysis";#N/A,#N/A,FALSE,"Test 120 Day Accts";#N/A,#N/A,FALSE,"Tickmarks"}</definedName>
    <definedName name="IWJJJJ" localSheetId="4" hidden="1">{#N/A,#N/A,FALSE,"Aging Summary";#N/A,#N/A,FALSE,"Ratio Analysis";#N/A,#N/A,FALSE,"Test 120 Day Accts";#N/A,#N/A,FALSE,"Tickmarks"}</definedName>
    <definedName name="IWJJJJ" localSheetId="3" hidden="1">{#N/A,#N/A,FALSE,"Aging Summary";#N/A,#N/A,FALSE,"Ratio Analysis";#N/A,#N/A,FALSE,"Test 120 Day Accts";#N/A,#N/A,FALSE,"Tickmarks"}</definedName>
    <definedName name="IWJJJJ" localSheetId="1" hidden="1">{#N/A,#N/A,FALSE,"Aging Summary";#N/A,#N/A,FALSE,"Ratio Analysis";#N/A,#N/A,FALSE,"Test 120 Day Accts";#N/A,#N/A,FALSE,"Tickmarks"}</definedName>
    <definedName name="IWJJJJ" hidden="1">{#N/A,#N/A,FALSE,"Aging Summary";#N/A,#N/A,FALSE,"Ratio Analysis";#N/A,#N/A,FALSE,"Test 120 Day Accts";#N/A,#N/A,FALSE,"Tickmarks"}</definedName>
    <definedName name="j" localSheetId="5">#REF!</definedName>
    <definedName name="j" localSheetId="4">#REF!</definedName>
    <definedName name="j" localSheetId="3">#REF!</definedName>
    <definedName name="j" localSheetId="1">#REF!</definedName>
    <definedName name="j">#REF!</definedName>
    <definedName name="jalkjalkf" localSheetId="5" hidden="1">{#N/A,#N/A,FALSE,"BS";#N/A,#N/A,FALSE,"PL";#N/A,#N/A,FALSE,"처분";#N/A,#N/A,FALSE,"현금";#N/A,#N/A,FALSE,"매출";#N/A,#N/A,FALSE,"원가";#N/A,#N/A,FALSE,"경영"}</definedName>
    <definedName name="jalkjalkf" localSheetId="4" hidden="1">{#N/A,#N/A,FALSE,"BS";#N/A,#N/A,FALSE,"PL";#N/A,#N/A,FALSE,"처분";#N/A,#N/A,FALSE,"현금";#N/A,#N/A,FALSE,"매출";#N/A,#N/A,FALSE,"원가";#N/A,#N/A,FALSE,"경영"}</definedName>
    <definedName name="jalkjalkf" localSheetId="3" hidden="1">{#N/A,#N/A,FALSE,"BS";#N/A,#N/A,FALSE,"PL";#N/A,#N/A,FALSE,"처분";#N/A,#N/A,FALSE,"현금";#N/A,#N/A,FALSE,"매출";#N/A,#N/A,FALSE,"원가";#N/A,#N/A,FALSE,"경영"}</definedName>
    <definedName name="jalkjalkf" localSheetId="1" hidden="1">{#N/A,#N/A,FALSE,"BS";#N/A,#N/A,FALSE,"PL";#N/A,#N/A,FALSE,"처분";#N/A,#N/A,FALSE,"현금";#N/A,#N/A,FALSE,"매출";#N/A,#N/A,FALSE,"원가";#N/A,#N/A,FALSE,"경영"}</definedName>
    <definedName name="jalkjalkf" hidden="1">{#N/A,#N/A,FALSE,"BS";#N/A,#N/A,FALSE,"PL";#N/A,#N/A,FALSE,"처분";#N/A,#N/A,FALSE,"현금";#N/A,#N/A,FALSE,"매출";#N/A,#N/A,FALSE,"원가";#N/A,#N/A,FALSE,"경영"}</definedName>
    <definedName name="Japan_IncTax" localSheetId="5">#REF!</definedName>
    <definedName name="Japan_IncTax" localSheetId="4">#REF!</definedName>
    <definedName name="Japan_IncTax" localSheetId="3">#REF!</definedName>
    <definedName name="Japan_IncTax" localSheetId="1">#REF!</definedName>
    <definedName name="Japan_IncTax">#REF!</definedName>
    <definedName name="Japan_WHT" localSheetId="3">#REF!</definedName>
    <definedName name="Japan_WHT" localSheetId="1">#REF!</definedName>
    <definedName name="Japan_WHT">#REF!</definedName>
    <definedName name="jd" localSheetId="5" hidden="1">{#N/A,#N/A,FALSE,"LoanAssumptions"}</definedName>
    <definedName name="jd" localSheetId="4" hidden="1">{#N/A,#N/A,FALSE,"LoanAssumptions"}</definedName>
    <definedName name="jd" localSheetId="3" hidden="1">{#N/A,#N/A,FALSE,"LoanAssumptions"}</definedName>
    <definedName name="jd" localSheetId="1" hidden="1">{#N/A,#N/A,FALSE,"LoanAssumptions"}</definedName>
    <definedName name="jd" hidden="1">{#N/A,#N/A,FALSE,"LoanAssumptions"}</definedName>
    <definedName name="jd_1" localSheetId="5" hidden="1">{#N/A,#N/A,FALSE,"LoanAssumptions"}</definedName>
    <definedName name="jd_1" localSheetId="4" hidden="1">{#N/A,#N/A,FALSE,"LoanAssumptions"}</definedName>
    <definedName name="jd_1" localSheetId="3" hidden="1">{#N/A,#N/A,FALSE,"LoanAssumptions"}</definedName>
    <definedName name="jd_1" localSheetId="1" hidden="1">{#N/A,#N/A,FALSE,"LoanAssumptions"}</definedName>
    <definedName name="jd_1" hidden="1">{#N/A,#N/A,FALSE,"LoanAssumptions"}</definedName>
    <definedName name="je" localSheetId="5">#REF!</definedName>
    <definedName name="je" localSheetId="4">#REF!</definedName>
    <definedName name="je" localSheetId="3">#REF!</definedName>
    <definedName name="je" localSheetId="1">#REF!</definedName>
    <definedName name="je">#REF!</definedName>
    <definedName name="jfksjdf" localSheetId="5" hidden="1">{#N/A,#N/A,FALSE,"Aging Summary";#N/A,#N/A,FALSE,"Ratio Analysis";#N/A,#N/A,FALSE,"Test 120 Day Accts";#N/A,#N/A,FALSE,"Tickmarks"}</definedName>
    <definedName name="jfksjdf" localSheetId="4" hidden="1">{#N/A,#N/A,FALSE,"Aging Summary";#N/A,#N/A,FALSE,"Ratio Analysis";#N/A,#N/A,FALSE,"Test 120 Day Accts";#N/A,#N/A,FALSE,"Tickmarks"}</definedName>
    <definedName name="jfksjdf" localSheetId="3" hidden="1">{#N/A,#N/A,FALSE,"Aging Summary";#N/A,#N/A,FALSE,"Ratio Analysis";#N/A,#N/A,FALSE,"Test 120 Day Accts";#N/A,#N/A,FALSE,"Tickmarks"}</definedName>
    <definedName name="jfksjdf" localSheetId="1" hidden="1">{#N/A,#N/A,FALSE,"Aging Summary";#N/A,#N/A,FALSE,"Ratio Analysis";#N/A,#N/A,FALSE,"Test 120 Day Accts";#N/A,#N/A,FALSE,"Tickmarks"}</definedName>
    <definedName name="jfksjdf" hidden="1">{#N/A,#N/A,FALSE,"Aging Summary";#N/A,#N/A,FALSE,"Ratio Analysis";#N/A,#N/A,FALSE,"Test 120 Day Accts";#N/A,#N/A,FALSE,"Tickmarks"}</definedName>
    <definedName name="jgfsjhgfsjhgfsdjhgfds" localSheetId="5" hidden="1">{#N/A,#N/A,TRUE,"일정"}</definedName>
    <definedName name="jgfsjhgfsjhgfsdjhgfds" localSheetId="4" hidden="1">{#N/A,#N/A,TRUE,"일정"}</definedName>
    <definedName name="jgfsjhgfsjhgfsdjhgfds" localSheetId="3" hidden="1">{#N/A,#N/A,TRUE,"일정"}</definedName>
    <definedName name="jgfsjhgfsjhgfsdjhgfds" localSheetId="1" hidden="1">{#N/A,#N/A,TRUE,"일정"}</definedName>
    <definedName name="jgfsjhgfsjhgfsdjhgfds" hidden="1">{#N/A,#N/A,TRUE,"일정"}</definedName>
    <definedName name="JGHJ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 localSheetId="5">#REF!</definedName>
    <definedName name="JIN" localSheetId="4">#REF!</definedName>
    <definedName name="JIN" localSheetId="3">#REF!</definedName>
    <definedName name="JIN" localSheetId="1">#REF!</definedName>
    <definedName name="JIN">#REF!</definedName>
    <definedName name="JINs_Option" localSheetId="3">#REF!</definedName>
    <definedName name="JINs_Option" localSheetId="1">#REF!</definedName>
    <definedName name="JINs_Option">#REF!</definedName>
    <definedName name="JINs_Option2" localSheetId="5">#REF!</definedName>
    <definedName name="JINs_Option2" localSheetId="4">#REF!</definedName>
    <definedName name="JINs_Option2" localSheetId="3">#REF!</definedName>
    <definedName name="JINs_Option2" localSheetId="1">#REF!</definedName>
    <definedName name="JINs_Option2">#REF!</definedName>
    <definedName name="JJ" localSheetId="3">#REF!</definedName>
    <definedName name="JJ" localSheetId="1">#REF!</definedName>
    <definedName name="JJ">#REF!</definedName>
    <definedName name="jjj" localSheetId="5" hidden="1">{"'호선별현황(방식)'!$K$22:$P$22","'호선별현황(방식)'!$K$22:$P$22"}</definedName>
    <definedName name="jjj" localSheetId="4" hidden="1">{"'호선별현황(방식)'!$K$22:$P$22","'호선별현황(방식)'!$K$22:$P$22"}</definedName>
    <definedName name="jjj" localSheetId="3" hidden="1">{"'호선별현황(방식)'!$K$22:$P$22","'호선별현황(방식)'!$K$22:$P$22"}</definedName>
    <definedName name="jjj" localSheetId="1" hidden="1">{"'호선별현황(방식)'!$K$22:$P$22","'호선별현황(방식)'!$K$22:$P$22"}</definedName>
    <definedName name="jjj" hidden="1">{"'호선별현황(방식)'!$K$22:$P$22","'호선별현황(방식)'!$K$22:$P$22"}</definedName>
    <definedName name="JJJJ" localSheetId="5" hidden="1">#REF!</definedName>
    <definedName name="JJJJ" localSheetId="4" hidden="1">#REF!</definedName>
    <definedName name="JJJJ" localSheetId="3" hidden="1">#REF!</definedName>
    <definedName name="JJJJ" localSheetId="1" hidden="1">#REF!</definedName>
    <definedName name="JJJJ" hidden="1">#REF!</definedName>
    <definedName name="jjjjjjjjjjjjjjjjjjjjjjjjj" localSheetId="3">#REF!</definedName>
    <definedName name="jjjjjjjjjjjjjjjjjjjjjjjjj" localSheetId="1">#REF!</definedName>
    <definedName name="jjjjjjjjjjjjjjjjjjjjjjjjj">#REF!</definedName>
    <definedName name="jjjjjjjjjjjjjjjjjjjjjjjjjjjjjjjjj" localSheetId="3">#REF!</definedName>
    <definedName name="jjjjjjjjjjjjjjjjjjjjjjjjjjjjjjjjj" localSheetId="1">#REF!</definedName>
    <definedName name="jjjjjjjjjjjjjjjjjjjjjjjjjjjjjjjjj">#REF!</definedName>
    <definedName name="JJKR" localSheetId="3" hidden="1">#REF!</definedName>
    <definedName name="JJKR" localSheetId="1" hidden="1">#REF!</definedName>
    <definedName name="JJKR" hidden="1">#REF!</definedName>
    <definedName name="JJnlDescn" localSheetId="3">#REF!</definedName>
    <definedName name="JJnlDescn" localSheetId="1">#REF!</definedName>
    <definedName name="JJnlDescn">#REF!</definedName>
    <definedName name="JJnlName" localSheetId="3">#REF!</definedName>
    <definedName name="JJnlName" localSheetId="1">#REF!</definedName>
    <definedName name="JJnlName">#REF!</definedName>
    <definedName name="JJnlRef" localSheetId="3">#REF!</definedName>
    <definedName name="JJnlRef" localSheetId="1">#REF!</definedName>
    <definedName name="JJnlRef">#REF!</definedName>
    <definedName name="JK" localSheetId="5" hidden="1">{#N/A,#N/A,TRUE,"Y생산";#N/A,#N/A,TRUE,"Y판매";#N/A,#N/A,TRUE,"Y총물량";#N/A,#N/A,TRUE,"Y능력";#N/A,#N/A,TRUE,"YKD"}</definedName>
    <definedName name="JK" localSheetId="4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localSheetId="1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" localSheetId="5">{"Client Name or Project Name"}</definedName>
    <definedName name="jkh" localSheetId="4">{"Client Name or Project Name"}</definedName>
    <definedName name="jkh" localSheetId="3">{"Client Name or Project Name"}</definedName>
    <definedName name="jkh" localSheetId="1">{"Client Name or Project Name"}</definedName>
    <definedName name="jkh">{"Client Name or Project Name"}</definedName>
    <definedName name="JKL" localSheetId="3">#REF!</definedName>
    <definedName name="JKL" localSheetId="1">#REF!</definedName>
    <definedName name="JKL">#REF!</definedName>
    <definedName name="jkljk" localSheetId="5" hidden="1">{#N/A,#N/A,FALSE,"이력서&amp;자기소개서"}</definedName>
    <definedName name="jkljk" localSheetId="4" hidden="1">{#N/A,#N/A,FALSE,"이력서&amp;자기소개서"}</definedName>
    <definedName name="jkljk" localSheetId="3" hidden="1">{#N/A,#N/A,FALSE,"이력서&amp;자기소개서"}</definedName>
    <definedName name="jkljk" localSheetId="1" hidden="1">{#N/A,#N/A,FALSE,"이력서&amp;자기소개서"}</definedName>
    <definedName name="jkljk" hidden="1">{#N/A,#N/A,FALSE,"이력서&amp;자기소개서"}</definedName>
    <definedName name="JKYUKUK" localSheetId="5">#REF!</definedName>
    <definedName name="JKYUKUK" localSheetId="4">#REF!</definedName>
    <definedName name="JKYUKUK" localSheetId="3">#REF!</definedName>
    <definedName name="JKYUKUK" localSheetId="1">#REF!</definedName>
    <definedName name="JKYUKUK">#REF!</definedName>
    <definedName name="jlkajsf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 localSheetId="5">#REF!</definedName>
    <definedName name="JN10t" localSheetId="4">#REF!</definedName>
    <definedName name="JN10t" localSheetId="3">#REF!</definedName>
    <definedName name="JN10t" localSheetId="1">#REF!</definedName>
    <definedName name="JN10t">#REF!</definedName>
    <definedName name="JN11t" localSheetId="3">#REF!</definedName>
    <definedName name="JN11t" localSheetId="1">#REF!</definedName>
    <definedName name="JN11t">#REF!</definedName>
    <definedName name="JN12t" localSheetId="3">#REF!</definedName>
    <definedName name="JN12t" localSheetId="1">#REF!</definedName>
    <definedName name="JN12t">#REF!</definedName>
    <definedName name="JN13t" localSheetId="3">#REF!</definedName>
    <definedName name="JN13t" localSheetId="1">#REF!</definedName>
    <definedName name="JN13t">#REF!</definedName>
    <definedName name="JN14t" localSheetId="3">#REF!</definedName>
    <definedName name="JN14t" localSheetId="1">#REF!</definedName>
    <definedName name="JN14t">#REF!</definedName>
    <definedName name="JN15t" localSheetId="3">#REF!</definedName>
    <definedName name="JN15t" localSheetId="1">#REF!</definedName>
    <definedName name="JN15t">#REF!</definedName>
    <definedName name="JN16t" localSheetId="3">#REF!</definedName>
    <definedName name="JN16t" localSheetId="1">#REF!</definedName>
    <definedName name="JN16t">#REF!</definedName>
    <definedName name="JN17t" localSheetId="3">#REF!</definedName>
    <definedName name="JN17t" localSheetId="1">#REF!</definedName>
    <definedName name="JN17t">#REF!</definedName>
    <definedName name="JN18t" localSheetId="3">#REF!</definedName>
    <definedName name="JN18t" localSheetId="1">#REF!</definedName>
    <definedName name="JN18t">#REF!</definedName>
    <definedName name="JN19t" localSheetId="3">#REF!</definedName>
    <definedName name="JN19t" localSheetId="1">#REF!</definedName>
    <definedName name="JN19t">#REF!</definedName>
    <definedName name="JN1t" localSheetId="3">#REF!</definedName>
    <definedName name="JN1t" localSheetId="1">#REF!</definedName>
    <definedName name="JN1t">#REF!</definedName>
    <definedName name="JN20t" localSheetId="3">#REF!</definedName>
    <definedName name="JN20t" localSheetId="1">#REF!</definedName>
    <definedName name="JN20t">#REF!</definedName>
    <definedName name="JN21t" localSheetId="3">#REF!</definedName>
    <definedName name="JN21t" localSheetId="1">#REF!</definedName>
    <definedName name="JN21t">#REF!</definedName>
    <definedName name="JN23t" localSheetId="3">#REF!</definedName>
    <definedName name="JN23t" localSheetId="1">#REF!</definedName>
    <definedName name="JN23t">#REF!</definedName>
    <definedName name="JN29t" localSheetId="3">#REF!</definedName>
    <definedName name="JN29t" localSheetId="1">#REF!</definedName>
    <definedName name="JN29t">#REF!</definedName>
    <definedName name="JN2t" localSheetId="3">#REF!</definedName>
    <definedName name="JN2t" localSheetId="1">#REF!</definedName>
    <definedName name="JN2t">#REF!</definedName>
    <definedName name="JN30t" localSheetId="3">#REF!</definedName>
    <definedName name="JN30t" localSheetId="1">#REF!</definedName>
    <definedName name="JN30t">#REF!</definedName>
    <definedName name="JN31t" localSheetId="3">#REF!</definedName>
    <definedName name="JN31t" localSheetId="1">#REF!</definedName>
    <definedName name="JN31t">#REF!</definedName>
    <definedName name="JN32t" localSheetId="3">#REF!</definedName>
    <definedName name="JN32t" localSheetId="1">#REF!</definedName>
    <definedName name="JN32t">#REF!</definedName>
    <definedName name="JN3t" localSheetId="3">#REF!</definedName>
    <definedName name="JN3t" localSheetId="1">#REF!</definedName>
    <definedName name="JN3t">#REF!</definedName>
    <definedName name="JN4t" localSheetId="3">#REF!</definedName>
    <definedName name="JN4t" localSheetId="1">#REF!</definedName>
    <definedName name="JN4t">#REF!</definedName>
    <definedName name="JN5t" localSheetId="3">#REF!</definedName>
    <definedName name="JN5t" localSheetId="1">#REF!</definedName>
    <definedName name="JN5t">#REF!</definedName>
    <definedName name="JN6t" localSheetId="3">#REF!</definedName>
    <definedName name="JN6t" localSheetId="1">#REF!</definedName>
    <definedName name="JN6t">#REF!</definedName>
    <definedName name="JN7t" localSheetId="3">#REF!</definedName>
    <definedName name="JN7t" localSheetId="1">#REF!</definedName>
    <definedName name="JN7t">#REF!</definedName>
    <definedName name="JN8t" localSheetId="3">#REF!</definedName>
    <definedName name="JN8t" localSheetId="1">#REF!</definedName>
    <definedName name="JN8t">#REF!</definedName>
    <definedName name="JN9t" localSheetId="3">#REF!</definedName>
    <definedName name="JN9t" localSheetId="1">#REF!</definedName>
    <definedName name="JN9t">#REF!</definedName>
    <definedName name="JnlDesc" localSheetId="3">#REF!</definedName>
    <definedName name="JnlDesc" localSheetId="1">#REF!</definedName>
    <definedName name="JnlDesc">#REF!</definedName>
    <definedName name="JnlSufX" localSheetId="3">#REF!</definedName>
    <definedName name="JnlSufX" localSheetId="1">#REF!</definedName>
    <definedName name="JnlSufX">#REF!</definedName>
    <definedName name="JnlSufY" localSheetId="3">#REF!</definedName>
    <definedName name="JnlSufY" localSheetId="1">#REF!</definedName>
    <definedName name="JnlSufY">#REF!</definedName>
    <definedName name="JOB" localSheetId="3">#REF!</definedName>
    <definedName name="JOB" localSheetId="1">#REF!</definedName>
    <definedName name="JOB">#REF!</definedName>
    <definedName name="job_run">#N/A</definedName>
    <definedName name="Journal" localSheetId="5">#REF!</definedName>
    <definedName name="Journal" localSheetId="4">#REF!</definedName>
    <definedName name="Journal" localSheetId="3">#REF!</definedName>
    <definedName name="Journal" localSheetId="1">#REF!</definedName>
    <definedName name="Journal">#REF!</definedName>
    <definedName name="journalcredit" localSheetId="3">#REF!</definedName>
    <definedName name="journalcredit" localSheetId="1">#REF!</definedName>
    <definedName name="journalcredit">#REF!</definedName>
    <definedName name="journaldebit" localSheetId="3">#REF!</definedName>
    <definedName name="journaldebit" localSheetId="1">#REF!</definedName>
    <definedName name="journaldebit">#REF!</definedName>
    <definedName name="Jr_CarLn" localSheetId="5">#REF!</definedName>
    <definedName name="Jr_CarLn" localSheetId="4">#REF!</definedName>
    <definedName name="Jr_CarLn" localSheetId="3">#REF!</definedName>
    <definedName name="Jr_CarLn" localSheetId="1">#REF!</definedName>
    <definedName name="Jr_CarLn">#REF!</definedName>
    <definedName name="Jr_DB_DthPen" localSheetId="5">#REF!</definedName>
    <definedName name="Jr_DB_DthPen" localSheetId="4">#REF!</definedName>
    <definedName name="Jr_DB_DthPen" localSheetId="3">#REF!</definedName>
    <definedName name="Jr_DB_DthPen" localSheetId="1">#REF!</definedName>
    <definedName name="Jr_DB_DthPen">#REF!</definedName>
    <definedName name="Jr_DC_Cont" localSheetId="5">#REF!</definedName>
    <definedName name="Jr_DC_Cont" localSheetId="4">#REF!</definedName>
    <definedName name="Jr_DC_Cont" localSheetId="3">#REF!</definedName>
    <definedName name="Jr_DC_Cont" localSheetId="1">#REF!</definedName>
    <definedName name="Jr_DC_Cont">#REF!</definedName>
    <definedName name="Jr_HseLn" localSheetId="5">#REF!</definedName>
    <definedName name="Jr_HseLn" localSheetId="4">#REF!</definedName>
    <definedName name="Jr_HseLn" localSheetId="3">#REF!</definedName>
    <definedName name="Jr_HseLn" localSheetId="1">#REF!</definedName>
    <definedName name="Jr_HseLn">#REF!</definedName>
    <definedName name="Jr_LA_SalDef" localSheetId="5">#REF!</definedName>
    <definedName name="Jr_LA_SalDef" localSheetId="4">#REF!</definedName>
    <definedName name="Jr_LA_SalDef" localSheetId="3">#REF!</definedName>
    <definedName name="Jr_LA_SalDef" localSheetId="1">#REF!</definedName>
    <definedName name="Jr_LA_SalDef">#REF!</definedName>
    <definedName name="Jr_LTD_provA" localSheetId="5">#REF!</definedName>
    <definedName name="Jr_LTD_provA" localSheetId="4">#REF!</definedName>
    <definedName name="Jr_LTD_provA" localSheetId="3">#REF!</definedName>
    <definedName name="Jr_LTD_provA" localSheetId="1">#REF!</definedName>
    <definedName name="Jr_LTD_provA">#REF!</definedName>
    <definedName name="Jr_LTD_provB" localSheetId="5">#REF!</definedName>
    <definedName name="Jr_LTD_provB" localSheetId="4">#REF!</definedName>
    <definedName name="Jr_LTD_provB" localSheetId="3">#REF!</definedName>
    <definedName name="Jr_LTD_provB" localSheetId="1">#REF!</definedName>
    <definedName name="Jr_LTD_provB">#REF!</definedName>
    <definedName name="Jr_LTD_provC" localSheetId="5">#REF!</definedName>
    <definedName name="Jr_LTD_provC" localSheetId="4">#REF!</definedName>
    <definedName name="Jr_LTD_provC" localSheetId="3">#REF!</definedName>
    <definedName name="Jr_LTD_provC" localSheetId="1">#REF!</definedName>
    <definedName name="Jr_LTD_provC">#REF!</definedName>
    <definedName name="Jr_LTD_SalDef" localSheetId="5">#REF!</definedName>
    <definedName name="Jr_LTD_SalDef" localSheetId="4">#REF!</definedName>
    <definedName name="Jr_LTD_SalDef" localSheetId="3">#REF!</definedName>
    <definedName name="Jr_LTD_SalDef" localSheetId="1">#REF!</definedName>
    <definedName name="Jr_LTD_SalDef">#REF!</definedName>
    <definedName name="Jr_Med_PlanType" localSheetId="5">#REF!</definedName>
    <definedName name="Jr_Med_PlanType" localSheetId="4">#REF!</definedName>
    <definedName name="Jr_Med_PlanType" localSheetId="3">#REF!</definedName>
    <definedName name="Jr_Med_PlanType" localSheetId="1">#REF!</definedName>
    <definedName name="Jr_Med_PlanType">#REF!</definedName>
    <definedName name="Jr_Mob" localSheetId="5">#REF!</definedName>
    <definedName name="Jr_Mob" localSheetId="4">#REF!</definedName>
    <definedName name="Jr_Mob" localSheetId="3">#REF!</definedName>
    <definedName name="Jr_Mob" localSheetId="1">#REF!</definedName>
    <definedName name="Jr_Mob">#REF!</definedName>
    <definedName name="JR_PAGE_ANCHOR_0_1" localSheetId="5">#REF!</definedName>
    <definedName name="JR_PAGE_ANCHOR_0_1" localSheetId="4">#REF!</definedName>
    <definedName name="JR_PAGE_ANCHOR_0_1" localSheetId="3">#REF!</definedName>
    <definedName name="JR_PAGE_ANCHOR_0_1" localSheetId="1">#REF!</definedName>
    <definedName name="JR_PAGE_ANCHOR_0_1">#REF!</definedName>
    <definedName name="Jr_Ret_SalDef" localSheetId="5">#REF!</definedName>
    <definedName name="Jr_Ret_SalDef" localSheetId="4">#REF!</definedName>
    <definedName name="Jr_Ret_SalDef" localSheetId="3">#REF!</definedName>
    <definedName name="Jr_Ret_SalDef" localSheetId="1">#REF!</definedName>
    <definedName name="Jr_Ret_SalDef">#REF!</definedName>
    <definedName name="jw.pl" localSheetId="3">#REF!</definedName>
    <definedName name="jw.pl" localSheetId="1">#REF!</definedName>
    <definedName name="jw.pl">#REF!</definedName>
    <definedName name="K" localSheetId="5">#REF!</definedName>
    <definedName name="K" localSheetId="4">#REF!</definedName>
    <definedName name="K" localSheetId="3">#REF!</definedName>
    <definedName name="K" localSheetId="1">#REF!</definedName>
    <definedName name="K">#REF!</definedName>
    <definedName name="K_OBO" localSheetId="3">#REF!</definedName>
    <definedName name="K_OBO" localSheetId="1">#REF!</definedName>
    <definedName name="K_OBO">#REF!</definedName>
    <definedName name="KEY" localSheetId="3" hidden="1">#REF!</definedName>
    <definedName name="KEY" localSheetId="1" hidden="1">#REF!</definedName>
    <definedName name="KEY" hidden="1">#REF!</definedName>
    <definedName name="Key_AcqCost" localSheetId="3">#REF!</definedName>
    <definedName name="Key_AcqCost" localSheetId="1">#REF!</definedName>
    <definedName name="Key_AcqCost">#REF!</definedName>
    <definedName name="Key_BuyPrice_Option" localSheetId="3">#REF!</definedName>
    <definedName name="Key_BuyPrice_Option" localSheetId="1">#REF!</definedName>
    <definedName name="Key_BuyPrice_Option">#REF!</definedName>
    <definedName name="Key_CapEx" localSheetId="3">#REF!</definedName>
    <definedName name="Key_CapEx" localSheetId="1">#REF!</definedName>
    <definedName name="Key_CapEx">#REF!</definedName>
    <definedName name="Key_DebtRatio" localSheetId="3">#REF!</definedName>
    <definedName name="Key_DebtRatio" localSheetId="1">#REF!</definedName>
    <definedName name="Key_DebtRatio">#REF!</definedName>
    <definedName name="Key_ExitCap" localSheetId="3">#REF!</definedName>
    <definedName name="Key_ExitCap" localSheetId="1">#REF!</definedName>
    <definedName name="Key_ExitCap">#REF!</definedName>
    <definedName name="Key_ExitCost" localSheetId="3">#REF!</definedName>
    <definedName name="Key_ExitCost" localSheetId="1">#REF!</definedName>
    <definedName name="Key_ExitCost">#REF!</definedName>
    <definedName name="Key_ExitPrice_Opion" localSheetId="3">#REF!</definedName>
    <definedName name="Key_ExitPrice_Opion" localSheetId="1">#REF!</definedName>
    <definedName name="Key_ExitPrice_Opion">#REF!</definedName>
    <definedName name="Key_Hedge" localSheetId="3">#REF!</definedName>
    <definedName name="Key_Hedge" localSheetId="1">#REF!</definedName>
    <definedName name="Key_Hedge">#REF!</definedName>
    <definedName name="Key_IRR" localSheetId="3">#REF!</definedName>
    <definedName name="Key_IRR" localSheetId="1">#REF!</definedName>
    <definedName name="Key_IRR">#REF!</definedName>
    <definedName name="key_money_dep" localSheetId="3">#REF!</definedName>
    <definedName name="key_money_dep" localSheetId="1">#REF!</definedName>
    <definedName name="key_money_dep">#REF!</definedName>
    <definedName name="Key_OtherAdminCost" localSheetId="3">#REF!</definedName>
    <definedName name="Key_OtherAdminCost" localSheetId="1">#REF!</definedName>
    <definedName name="Key_OtherAdminCost">#REF!</definedName>
    <definedName name="Key_SecDeposit" localSheetId="3">#REF!</definedName>
    <definedName name="Key_SecDeposit" localSheetId="1">#REF!</definedName>
    <definedName name="Key_SecDeposit">#REF!</definedName>
    <definedName name="Key_Tax" localSheetId="3">#REF!</definedName>
    <definedName name="Key_Tax" localSheetId="1">#REF!</definedName>
    <definedName name="Key_Tax">#REF!</definedName>
    <definedName name="KeyMoney" localSheetId="5">#REF!</definedName>
    <definedName name="KeyMoney" localSheetId="4">#REF!</definedName>
    <definedName name="KeyMoney" localSheetId="3">#REF!</definedName>
    <definedName name="KeyMoney" localSheetId="1">#REF!</definedName>
    <definedName name="KeyMoney">#REF!</definedName>
    <definedName name="keyy" localSheetId="3" hidden="1">#REF!</definedName>
    <definedName name="keyy" localSheetId="1" hidden="1">#REF!</definedName>
    <definedName name="keyy" hidden="1">#REF!</definedName>
    <definedName name="kfkrkf" localSheetId="3">#REF!</definedName>
    <definedName name="kfkrkf" localSheetId="1">#REF!</definedName>
    <definedName name="kfkrkf">#REF!</definedName>
    <definedName name="khks" localSheetId="3" hidden="1">#REF!</definedName>
    <definedName name="khks" localSheetId="1" hidden="1">#REF!</definedName>
    <definedName name="khks" hidden="1">#REF!</definedName>
    <definedName name="KIA" localSheetId="5" hidden="1">{#N/A,#N/A,FALSE,"단축1";#N/A,#N/A,FALSE,"단축2";#N/A,#N/A,FALSE,"단축3";#N/A,#N/A,FALSE,"장축";#N/A,#N/A,FALSE,"4WD"}</definedName>
    <definedName name="KIA" localSheetId="4" hidden="1">{#N/A,#N/A,FALSE,"단축1";#N/A,#N/A,FALSE,"단축2";#N/A,#N/A,FALSE,"단축3";#N/A,#N/A,FALSE,"장축";#N/A,#N/A,FALSE,"4WD"}</definedName>
    <definedName name="KIA" localSheetId="3" hidden="1">{#N/A,#N/A,FALSE,"단축1";#N/A,#N/A,FALSE,"단축2";#N/A,#N/A,FALSE,"단축3";#N/A,#N/A,FALSE,"장축";#N/A,#N/A,FALSE,"4WD"}</definedName>
    <definedName name="KIA" localSheetId="1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CKOFF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localSheetId="5" hidden="1">{#N/A,#N/A,FALSE,"표지";#N/A,#N/A,FALSE,"전제";#N/A,#N/A,FALSE,"손익-자 (2)";#N/A,#N/A,FALSE,"손익-자";#N/A,#N/A,FALSE,"손익-마 (2)";#N/A,#N/A,FALSE,"손익-마";#N/A,#N/A,FALSE,"총손최종"}</definedName>
    <definedName name="kijkj" localSheetId="4" hidden="1">{#N/A,#N/A,FALSE,"표지";#N/A,#N/A,FALSE,"전제";#N/A,#N/A,FALSE,"손익-자 (2)";#N/A,#N/A,FALSE,"손익-자";#N/A,#N/A,FALSE,"손익-마 (2)";#N/A,#N/A,FALSE,"손익-마";#N/A,#N/A,FALSE,"총손최종"}</definedName>
    <definedName name="kijkj" localSheetId="3" hidden="1">{#N/A,#N/A,FALSE,"표지";#N/A,#N/A,FALSE,"전제";#N/A,#N/A,FALSE,"손익-자 (2)";#N/A,#N/A,FALSE,"손익-자";#N/A,#N/A,FALSE,"손익-마 (2)";#N/A,#N/A,FALSE,"손익-마";#N/A,#N/A,FALSE,"총손최종"}</definedName>
    <definedName name="kijkj" localSheetId="1" hidden="1">{#N/A,#N/A,FALSE,"표지";#N/A,#N/A,FALSE,"전제";#N/A,#N/A,FALSE,"손익-자 (2)";#N/A,#N/A,FALSE,"손익-자";#N/A,#N/A,FALSE,"손익-마 (2)";#N/A,#N/A,FALSE,"손익-마";#N/A,#N/A,FALSE,"총손최종"}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localSheetId="5" hidden="1">{#N/A,#N/A,FALSE,"단축1";#N/A,#N/A,FALSE,"단축2";#N/A,#N/A,FALSE,"단축3";#N/A,#N/A,FALSE,"장축";#N/A,#N/A,FALSE,"4WD"}</definedName>
    <definedName name="KIM" localSheetId="4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NG" localSheetId="5" hidden="1">#REF!</definedName>
    <definedName name="KING" localSheetId="4" hidden="1">#REF!</definedName>
    <definedName name="KING" localSheetId="3" hidden="1">#REF!</definedName>
    <definedName name="KING" localSheetId="1" hidden="1">#REF!</definedName>
    <definedName name="KING" hidden="1">#REF!</definedName>
    <definedName name="kj" localSheetId="3" hidden="1">#REF!</definedName>
    <definedName name="kj" localSheetId="1" hidden="1">#REF!</definedName>
    <definedName name="kj" hidden="1">#REF!</definedName>
    <definedName name="KJH" localSheetId="3">#REF!</definedName>
    <definedName name="KJH" localSheetId="1">#REF!</definedName>
    <definedName name="KJH">#REF!</definedName>
    <definedName name="KK" localSheetId="5">#REF!</definedName>
    <definedName name="KK" localSheetId="4">#REF!</definedName>
    <definedName name="KK" localSheetId="3">#REF!</definedName>
    <definedName name="KK" localSheetId="1">#REF!</definedName>
    <definedName name="KK">#REF!</definedName>
    <definedName name="KKI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localSheetId="5" hidden="1">{#N/A,#N/A,FALSE,"95FW"}</definedName>
    <definedName name="KKJHJ" localSheetId="4" hidden="1">{#N/A,#N/A,FALSE,"95FW"}</definedName>
    <definedName name="KKJHJ" localSheetId="3" hidden="1">{#N/A,#N/A,FALSE,"95FW"}</definedName>
    <definedName name="KKJHJ" localSheetId="1" hidden="1">{#N/A,#N/A,FALSE,"95FW"}</definedName>
    <definedName name="KKJHJ" hidden="1">{#N/A,#N/A,FALSE,"95FW"}</definedName>
    <definedName name="KKK" localSheetId="5" hidden="1">{#N/A,#N/A,FALSE,"단축1";#N/A,#N/A,FALSE,"단축2";#N/A,#N/A,FALSE,"단축3";#N/A,#N/A,FALSE,"장축";#N/A,#N/A,FALSE,"4WD"}</definedName>
    <definedName name="KKK" localSheetId="4" hidden="1">{#N/A,#N/A,FALSE,"단축1";#N/A,#N/A,FALSE,"단축2";#N/A,#N/A,FALSE,"단축3";#N/A,#N/A,FALSE,"장축";#N/A,#N/A,FALSE,"4WD"}</definedName>
    <definedName name="KKK" localSheetId="3" hidden="1">{#N/A,#N/A,FALSE,"단축1";#N/A,#N/A,FALSE,"단축2";#N/A,#N/A,FALSE,"단축3";#N/A,#N/A,FALSE,"장축";#N/A,#N/A,FALSE,"4WD"}</definedName>
    <definedName name="KKK" localSheetId="1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 localSheetId="5">#REF!</definedName>
    <definedName name="KKKKK" localSheetId="4">#REF!</definedName>
    <definedName name="KKKKK" localSheetId="3">#REF!</definedName>
    <definedName name="KKKKK" localSheetId="1">#REF!</definedName>
    <definedName name="KKKKK">#REF!</definedName>
    <definedName name="kkkkkkkkkkkkkkkkkkkkkkkkkkkkkkkkkkkkkkkkkkkkkkkkkkkkkkkkk" localSheetId="3">#REF!</definedName>
    <definedName name="kkkkkkkkkkkkkkkkkkkkkkkkkkkkkkkkkkkkkkkkkkkkkkkkkkkkkkkkk" localSheetId="1">#REF!</definedName>
    <definedName name="kkkkkkkkkkkkkkkkkkkkkkkkkkkkkkkkkkkkkkkkkkkkkkkkkkkkkkkkk">#REF!</definedName>
    <definedName name="kl" localSheetId="3">#REF!</definedName>
    <definedName name="kl" localSheetId="1">#REF!</definedName>
    <definedName name="kl">#REF!</definedName>
    <definedName name="kldf" localSheetId="3" hidden="1">#REF!</definedName>
    <definedName name="kldf" localSheetId="1" hidden="1">#REF!</definedName>
    <definedName name="kldf" hidden="1">#REF!</definedName>
    <definedName name="klsdfj" localSheetId="3" hidden="1">#REF!</definedName>
    <definedName name="klsdfj" localSheetId="1" hidden="1">#REF!</definedName>
    <definedName name="klsdfj" hidden="1">#REF!</definedName>
    <definedName name="KoDoYoung" localSheetId="3">#REF!</definedName>
    <definedName name="KoDoYoung" localSheetId="1">#REF!</definedName>
    <definedName name="KoDoYoung">#REF!</definedName>
    <definedName name="krwm" localSheetId="3">#REF!</definedName>
    <definedName name="krwm" localSheetId="1">#REF!</definedName>
    <definedName name="krwm">#REF!</definedName>
    <definedName name="KRWUSD" localSheetId="3">#REF!</definedName>
    <definedName name="KRWUSD" localSheetId="1">#REF!</definedName>
    <definedName name="KRWUSD">#REF!</definedName>
    <definedName name="KSJ_25" localSheetId="5" hidden="1">{#N/A,#N/A,FALSE,"동부"}</definedName>
    <definedName name="KSJ_25" localSheetId="4" hidden="1">{#N/A,#N/A,FALSE,"동부"}</definedName>
    <definedName name="KSJ_25" localSheetId="3" hidden="1">{#N/A,#N/A,FALSE,"동부"}</definedName>
    <definedName name="KSJ_25" localSheetId="1" hidden="1">{#N/A,#N/A,FALSE,"동부"}</definedName>
    <definedName name="KSJ_25" hidden="1">{#N/A,#N/A,FALSE,"동부"}</definedName>
    <definedName name="KSJ_25_1" localSheetId="5" hidden="1">{#N/A,#N/A,FALSE,"동부"}</definedName>
    <definedName name="KSJ_25_1" localSheetId="4" hidden="1">{#N/A,#N/A,FALSE,"동부"}</definedName>
    <definedName name="KSJ_25_1" localSheetId="3" hidden="1">{#N/A,#N/A,FALSE,"동부"}</definedName>
    <definedName name="KSJ_25_1" localSheetId="1" hidden="1">{#N/A,#N/A,FALSE,"동부"}</definedName>
    <definedName name="KSJ_25_1" hidden="1">{#N/A,#N/A,FALSE,"동부"}</definedName>
    <definedName name="KU" localSheetId="5" hidden="1">{#N/A,#N/A,TRUE,"Y생산";#N/A,#N/A,TRUE,"Y판매";#N/A,#N/A,TRUE,"Y총물량";#N/A,#N/A,TRUE,"Y능력";#N/A,#N/A,TRUE,"YKD"}</definedName>
    <definedName name="KU" localSheetId="4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localSheetId="1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 localSheetId="5">#REF!</definedName>
    <definedName name="L_CY_Beg" localSheetId="4">#REF!</definedName>
    <definedName name="L_CY_Beg" localSheetId="3">#REF!</definedName>
    <definedName name="L_CY_Beg" localSheetId="1">#REF!</definedName>
    <definedName name="L_CY_Beg">#REF!</definedName>
    <definedName name="LA_AccDth" localSheetId="5">#REF!</definedName>
    <definedName name="LA_AccDth" localSheetId="4">#REF!</definedName>
    <definedName name="LA_AccDth" localSheetId="3">#REF!</definedName>
    <definedName name="LA_AccDth" localSheetId="1">#REF!</definedName>
    <definedName name="LA_AccDth">#REF!</definedName>
    <definedName name="LA_BasedPay" localSheetId="5">#REF!</definedName>
    <definedName name="LA_BasedPay" localSheetId="4">#REF!</definedName>
    <definedName name="LA_BasedPay" localSheetId="3">#REF!</definedName>
    <definedName name="LA_BasedPay" localSheetId="1">#REF!</definedName>
    <definedName name="LA_BasedPay">#REF!</definedName>
    <definedName name="LA_Lsum" localSheetId="5">#REF!</definedName>
    <definedName name="LA_Lsum" localSheetId="4">#REF!</definedName>
    <definedName name="LA_Lsum" localSheetId="3">#REF!</definedName>
    <definedName name="LA_Lsum" localSheetId="1">#REF!</definedName>
    <definedName name="LA_Lsum">#REF!</definedName>
    <definedName name="LA_Plan" localSheetId="5">#REF!</definedName>
    <definedName name="LA_Plan" localSheetId="4">#REF!</definedName>
    <definedName name="LA_Plan" localSheetId="3">#REF!</definedName>
    <definedName name="LA_Plan" localSheetId="1">#REF!</definedName>
    <definedName name="LA_Plan">#REF!</definedName>
    <definedName name="LA_SpousePen" localSheetId="5">#REF!</definedName>
    <definedName name="LA_SpousePen" localSheetId="4">#REF!</definedName>
    <definedName name="LA_SpousePen" localSheetId="3">#REF!</definedName>
    <definedName name="LA_SpousePen" localSheetId="1">#REF!</definedName>
    <definedName name="LA_SpousePen">#REF!</definedName>
    <definedName name="land" localSheetId="5">#REF!</definedName>
    <definedName name="land" localSheetId="4">#REF!</definedName>
    <definedName name="land" localSheetId="3">#REF!</definedName>
    <definedName name="land" localSheetId="1">#REF!</definedName>
    <definedName name="land">#REF!</definedName>
    <definedName name="Land_Area" localSheetId="3">#REF!</definedName>
    <definedName name="Land_Area" localSheetId="1">#REF!</definedName>
    <definedName name="Land_Area">#REF!</definedName>
    <definedName name="Land_Value" localSheetId="3">#REF!</definedName>
    <definedName name="Land_Value" localSheetId="1">#REF!</definedName>
    <definedName name="Land_Value">#REF!</definedName>
    <definedName name="Language" localSheetId="5">#REF!</definedName>
    <definedName name="Language" localSheetId="4">#REF!</definedName>
    <definedName name="Language" localSheetId="3">#REF!</definedName>
    <definedName name="Language" localSheetId="1">#REF!</definedName>
    <definedName name="Language">#REF!</definedName>
    <definedName name="Last_Quarter" localSheetId="5">#REF!</definedName>
    <definedName name="Last_Quarter" localSheetId="4">#REF!</definedName>
    <definedName name="Last_Quarter" localSheetId="3">#REF!</definedName>
    <definedName name="Last_Quarter" localSheetId="1">#REF!</definedName>
    <definedName name="Last_Quarter">#REF!</definedName>
    <definedName name="Late" localSheetId="5">#N/A</definedName>
    <definedName name="Late" localSheetId="4">#N/A</definedName>
    <definedName name="Late" localSheetId="3">#REF!</definedName>
    <definedName name="Late" localSheetId="1">#REF!</definedName>
    <definedName name="Late">#REF!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 localSheetId="3">#REF!</definedName>
    <definedName name="Leasing_Commission_New" localSheetId="1">#REF!</definedName>
    <definedName name="Leasing_Commission_New">#REF!</definedName>
    <definedName name="Leasing_Commission_Renewal" localSheetId="3">#REF!</definedName>
    <definedName name="Leasing_Commission_Renewal" localSheetId="1">#REF!</definedName>
    <definedName name="Leasing_Commission_Renewal">#REF!</definedName>
    <definedName name="lee" localSheetId="3">#REF!</definedName>
    <definedName name="lee" localSheetId="1">#REF!</definedName>
    <definedName name="lee">#REF!</definedName>
    <definedName name="Legal_Fee" localSheetId="3">#REF!</definedName>
    <definedName name="Legal_Fee" localSheetId="1">#REF!</definedName>
    <definedName name="Legal_Fee">#REF!</definedName>
    <definedName name="LHSDHSD" localSheetId="5" hidden="1">{#N/A,#N/A,TRUE,"일정"}</definedName>
    <definedName name="LHSDHSD" localSheetId="4" hidden="1">{#N/A,#N/A,TRUE,"일정"}</definedName>
    <definedName name="LHSDHSD" localSheetId="3" hidden="1">{#N/A,#N/A,TRUE,"일정"}</definedName>
    <definedName name="LHSDHSD" localSheetId="1" hidden="1">{#N/A,#N/A,TRUE,"일정"}</definedName>
    <definedName name="LHSDHSD" hidden="1">{#N/A,#N/A,TRUE,"일정"}</definedName>
    <definedName name="LINE" localSheetId="5">#REF!</definedName>
    <definedName name="LINE" localSheetId="4">#REF!</definedName>
    <definedName name="LINE" localSheetId="3">#REF!</definedName>
    <definedName name="LINE" localSheetId="1">#REF!</definedName>
    <definedName name="LINE">#REF!</definedName>
    <definedName name="LINE검토2" localSheetId="5" hidden="1">{#N/A,#N/A,TRUE,"Y생산";#N/A,#N/A,TRUE,"Y판매";#N/A,#N/A,TRUE,"Y총물량";#N/A,#N/A,TRUE,"Y능력";#N/A,#N/A,TRUE,"YKD"}</definedName>
    <definedName name="LINE검토2" localSheetId="4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localSheetId="1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Acquisition" localSheetId="5">#REF!</definedName>
    <definedName name="Link_Acquisition" localSheetId="4">#REF!</definedName>
    <definedName name="Link_Acquisition" localSheetId="3">#REF!</definedName>
    <definedName name="Link_Acquisition" localSheetId="1">#REF!</definedName>
    <definedName name="Link_Acquisition">#REF!</definedName>
    <definedName name="Link_Capex" localSheetId="3">#REF!</definedName>
    <definedName name="Link_Capex" localSheetId="1">#REF!</definedName>
    <definedName name="Link_Capex">#REF!</definedName>
    <definedName name="Link_Debt" localSheetId="3">#REF!</definedName>
    <definedName name="Link_Debt" localSheetId="1">#REF!</definedName>
    <definedName name="Link_Debt">#REF!</definedName>
    <definedName name="Link_Exit" localSheetId="3">#REF!</definedName>
    <definedName name="Link_Exit" localSheetId="1">#REF!</definedName>
    <definedName name="Link_Exit">#REF!</definedName>
    <definedName name="Link_Exp_Growth" localSheetId="3">#REF!</definedName>
    <definedName name="Link_Exp_Growth" localSheetId="1">#REF!</definedName>
    <definedName name="Link_Exp_Growth">#REF!</definedName>
    <definedName name="Link_Expense" localSheetId="3">#REF!</definedName>
    <definedName name="Link_Expense" localSheetId="1">#REF!</definedName>
    <definedName name="Link_Expense">#REF!</definedName>
    <definedName name="Link_Grth" localSheetId="3">#REF!</definedName>
    <definedName name="Link_Grth" localSheetId="1">#REF!</definedName>
    <definedName name="Link_Grth">#REF!</definedName>
    <definedName name="Link_HedgeCost" localSheetId="3">#REF!</definedName>
    <definedName name="Link_HedgeCost" localSheetId="1">#REF!</definedName>
    <definedName name="Link_HedgeCost">#REF!</definedName>
    <definedName name="Link_Home" localSheetId="3">#REF!</definedName>
    <definedName name="Link_Home" localSheetId="1">#REF!</definedName>
    <definedName name="Link_Home">#REF!</definedName>
    <definedName name="Link_PropInfo" localSheetId="3">#REF!</definedName>
    <definedName name="Link_PropInfo" localSheetId="1">#REF!</definedName>
    <definedName name="Link_PropInfo">#REF!</definedName>
    <definedName name="Link_Refurbishment" localSheetId="3">#REF!</definedName>
    <definedName name="Link_Refurbishment" localSheetId="1">#REF!</definedName>
    <definedName name="Link_Refurbishment">#REF!</definedName>
    <definedName name="Link_Rev_Growth" localSheetId="3">#REF!</definedName>
    <definedName name="Link_Rev_Growth" localSheetId="1">#REF!</definedName>
    <definedName name="Link_Rev_Growth">#REF!</definedName>
    <definedName name="Link_Revenue" localSheetId="3">#REF!</definedName>
    <definedName name="Link_Revenue" localSheetId="1">#REF!</definedName>
    <definedName name="Link_Revenue">#REF!</definedName>
    <definedName name="Link_Tax" localSheetId="3">#REF!</definedName>
    <definedName name="Link_Tax" localSheetId="1">#REF!</definedName>
    <definedName name="Link_Tax">#REF!</definedName>
    <definedName name="Link_Tenancy" localSheetId="3">#REF!</definedName>
    <definedName name="Link_Tenancy" localSheetId="1">#REF!</definedName>
    <definedName name="Link_Tenancy">#REF!</definedName>
    <definedName name="LIST" localSheetId="3">#REF!</definedName>
    <definedName name="LIST" localSheetId="1">#REF!</definedName>
    <definedName name="LIST">#REF!</definedName>
    <definedName name="ListSheetsMacroButton" localSheetId="3">#REF!</definedName>
    <definedName name="ListSheetsMacroButton" localSheetId="1">#REF!</definedName>
    <definedName name="ListSheetsMacroButton">#REF!</definedName>
    <definedName name="LK" localSheetId="5">#REF!</definedName>
    <definedName name="LK" localSheetId="4">#REF!</definedName>
    <definedName name="LK" localSheetId="3">#REF!</definedName>
    <definedName name="LK" localSheetId="1">#REF!</definedName>
    <definedName name="LK">#REF!</definedName>
    <definedName name="lksdj" localSheetId="5" hidden="1">#REF!</definedName>
    <definedName name="lksdj" localSheetId="4" hidden="1">#REF!</definedName>
    <definedName name="lksdj" localSheetId="3" hidden="1">#REF!</definedName>
    <definedName name="lksdj" localSheetId="1" hidden="1">#REF!</definedName>
    <definedName name="lksdj" hidden="1">#REF!</definedName>
    <definedName name="lksdjf" localSheetId="3" hidden="1">#REF!</definedName>
    <definedName name="lksdjf" localSheetId="1" hidden="1">#REF!</definedName>
    <definedName name="lksdjf" hidden="1">#REF!</definedName>
    <definedName name="LL" localSheetId="3">#REF!</definedName>
    <definedName name="LL" localSheetId="1">#REF!</definedName>
    <definedName name="LL">#REF!</definedName>
    <definedName name="lljh" localSheetId="3" hidden="1">#REF!</definedName>
    <definedName name="lljh" localSheetId="1" hidden="1">#REF!</definedName>
    <definedName name="lljh" hidden="1">#REF!</definedName>
    <definedName name="lll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 localSheetId="5">#REF!</definedName>
    <definedName name="llllllllllllllllllllll" localSheetId="4">#REF!</definedName>
    <definedName name="llllllllllllllllllllll" localSheetId="3">#REF!</definedName>
    <definedName name="llllllllllllllllllllll" localSheetId="1">#REF!</definedName>
    <definedName name="llllllllllllllllllllll">#REF!</definedName>
    <definedName name="LLREI_Financing_Fee" localSheetId="3">#REF!</definedName>
    <definedName name="LLREI_Financing_Fee" localSheetId="1">#REF!</definedName>
    <definedName name="LLREI_Financing_Fee">#REF!</definedName>
    <definedName name="Loans" localSheetId="5">#REF!</definedName>
    <definedName name="Loans" localSheetId="4">#REF!</definedName>
    <definedName name="Loans" localSheetId="3">#REF!</definedName>
    <definedName name="Loans" localSheetId="1">#REF!</definedName>
    <definedName name="Loans">#REF!</definedName>
    <definedName name="LOCAL" localSheetId="3">#REF!</definedName>
    <definedName name="LOCAL" localSheetId="1">#REF!</definedName>
    <definedName name="LOCAL">#REF!</definedName>
    <definedName name="local1" localSheetId="3" hidden="1">#REF!</definedName>
    <definedName name="local1" localSheetId="1" hidden="1">#REF!</definedName>
    <definedName name="local1" hidden="1">#REF!</definedName>
    <definedName name="LOE" localSheetId="3">#REF!</definedName>
    <definedName name="LOE" localSheetId="1">#REF!</definedName>
    <definedName name="LOE">#REF!</definedName>
    <definedName name="loiu" localSheetId="5" hidden="1">{#N/A,#N/A,FALSE,"표지";#N/A,#N/A,FALSE,"전제";#N/A,#N/A,FALSE,"손익-자 (2)";#N/A,#N/A,FALSE,"손익-자";#N/A,#N/A,FALSE,"손익-마 (2)";#N/A,#N/A,FALSE,"손익-마";#N/A,#N/A,FALSE,"총손최종"}</definedName>
    <definedName name="loiu" localSheetId="4" hidden="1">{#N/A,#N/A,FALSE,"표지";#N/A,#N/A,FALSE,"전제";#N/A,#N/A,FALSE,"손익-자 (2)";#N/A,#N/A,FALSE,"손익-자";#N/A,#N/A,FALSE,"손익-마 (2)";#N/A,#N/A,FALSE,"손익-마";#N/A,#N/A,FALSE,"총손최종"}</definedName>
    <definedName name="loiu" localSheetId="3" hidden="1">{#N/A,#N/A,FALSE,"표지";#N/A,#N/A,FALSE,"전제";#N/A,#N/A,FALSE,"손익-자 (2)";#N/A,#N/A,FALSE,"손익-자";#N/A,#N/A,FALSE,"손익-마 (2)";#N/A,#N/A,FALSE,"손익-마";#N/A,#N/A,FALSE,"총손최종"}</definedName>
    <definedName name="loiu" localSheetId="1" hidden="1">{#N/A,#N/A,FALSE,"표지";#N/A,#N/A,FALSE,"전제";#N/A,#N/A,FALSE,"손익-자 (2)";#N/A,#N/A,FALSE,"손익-자";#N/A,#N/A,FALSE,"손익-마 (2)";#N/A,#N/A,FALSE,"손익-마";#N/A,#N/A,FALSE,"총손최종"}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localSheetId="5" hidden="1">#REF!</definedName>
    <definedName name="lok" localSheetId="4" hidden="1">#REF!</definedName>
    <definedName name="lok" localSheetId="3" hidden="1">#REF!</definedName>
    <definedName name="lok" localSheetId="1" hidden="1">#REF!</definedName>
    <definedName name="lok" hidden="1">#REF!</definedName>
    <definedName name="LongTermCash" localSheetId="3">#REF!</definedName>
    <definedName name="LongTermCash" localSheetId="1">#REF!</definedName>
    <definedName name="LongTermCash">#REF!</definedName>
    <definedName name="LOVE" localSheetId="3">#REF!</definedName>
    <definedName name="LOVE" localSheetId="1">#REF!</definedName>
    <definedName name="LOVE">#REF!</definedName>
    <definedName name="LPI_Graph" localSheetId="3" hidden="1">#REF!</definedName>
    <definedName name="LPI_Graph" localSheetId="1" hidden="1">#REF!</definedName>
    <definedName name="LPI_Graph" hidden="1">#REF!</definedName>
    <definedName name="LPRT" localSheetId="3">#REF!</definedName>
    <definedName name="LPRT" localSheetId="1">#REF!</definedName>
    <definedName name="LPRT">#REF!</definedName>
    <definedName name="LPRTSAVE" localSheetId="3">#REF!</definedName>
    <definedName name="LPRTSAVE" localSheetId="1">#REF!</definedName>
    <definedName name="LPRTSAVE">#REF!</definedName>
    <definedName name="LPS" localSheetId="5">#REF!</definedName>
    <definedName name="LPS" localSheetId="4">#REF!</definedName>
    <definedName name="LPS" localSheetId="3">#REF!</definedName>
    <definedName name="LPS" localSheetId="1">#REF!</definedName>
    <definedName name="LPS">#REF!</definedName>
    <definedName name="LPS가동계획" localSheetId="5">#REF!</definedName>
    <definedName name="LPS가동계획" localSheetId="4">#REF!</definedName>
    <definedName name="LPS가동계획" localSheetId="3">#REF!</definedName>
    <definedName name="LPS가동계획" localSheetId="1">#REF!</definedName>
    <definedName name="LPS가동계획">#REF!</definedName>
    <definedName name="lrcp522" localSheetId="5">#REF!</definedName>
    <definedName name="lrcp522" localSheetId="4">#REF!</definedName>
    <definedName name="lrcp522" localSheetId="3">#REF!</definedName>
    <definedName name="lrcp522" localSheetId="1">#REF!</definedName>
    <definedName name="lrcp522">#REF!</definedName>
    <definedName name="LSAVE" localSheetId="3">#REF!</definedName>
    <definedName name="LSAVE" localSheetId="1">#REF!</definedName>
    <definedName name="LSAVE">#REF!</definedName>
    <definedName name="lsjdf" localSheetId="3" hidden="1">#REF!</definedName>
    <definedName name="lsjdf" localSheetId="1" hidden="1">#REF!</definedName>
    <definedName name="lsjdf" hidden="1">#REF!</definedName>
    <definedName name="lt_wt_cord" localSheetId="5">#REF!</definedName>
    <definedName name="lt_wt_cord" localSheetId="4">#REF!</definedName>
    <definedName name="lt_wt_cord" localSheetId="3">#REF!</definedName>
    <definedName name="lt_wt_cord" localSheetId="1">#REF!</definedName>
    <definedName name="lt_wt_cord">#REF!</definedName>
    <definedName name="lt_wt_slub_canvas" localSheetId="5">#REF!</definedName>
    <definedName name="lt_wt_slub_canvas" localSheetId="4">#REF!</definedName>
    <definedName name="lt_wt_slub_canvas" localSheetId="3">#REF!</definedName>
    <definedName name="lt_wt_slub_canvas" localSheetId="1">#REF!</definedName>
    <definedName name="lt_wt_slub_canvas">#REF!</definedName>
    <definedName name="LTD_GtdInc" localSheetId="5">#REF!</definedName>
    <definedName name="LTD_GtdInc" localSheetId="4">#REF!</definedName>
    <definedName name="LTD_GtdInc" localSheetId="3">#REF!</definedName>
    <definedName name="LTD_GtdInc" localSheetId="1">#REF!</definedName>
    <definedName name="LTD_GtdInc">#REF!</definedName>
    <definedName name="LTD_Plan" localSheetId="5">#REF!</definedName>
    <definedName name="LTD_Plan" localSheetId="4">#REF!</definedName>
    <definedName name="LTD_Plan" localSheetId="3">#REF!</definedName>
    <definedName name="LTD_Plan" localSheetId="1">#REF!</definedName>
    <definedName name="LTD_Plan">#REF!</definedName>
    <definedName name="LTI_Language" localSheetId="3">#REF!</definedName>
    <definedName name="LTI_Language" localSheetId="1">#REF!</definedName>
    <definedName name="LTI_Language">#REF!</definedName>
    <definedName name="LY" localSheetId="3">#REF!</definedName>
    <definedName name="LY" localSheetId="1">#REF!</definedName>
    <definedName name="LY">#REF!</definedName>
    <definedName name="LYs" localSheetId="3">#REF!</definedName>
    <definedName name="LYs" localSheetId="1">#REF!</definedName>
    <definedName name="LYs">#REF!</definedName>
    <definedName name="LYWK" localSheetId="5">#REF!</definedName>
    <definedName name="LYWK" localSheetId="4">#REF!</definedName>
    <definedName name="LYWK" localSheetId="3">#REF!</definedName>
    <definedName name="LYWK" localSheetId="1">#REF!</definedName>
    <definedName name="LYWK">#REF!</definedName>
    <definedName name="LZ_03">39500</definedName>
    <definedName name="M" localSheetId="5" hidden="1">{#N/A,#N/A,FALSE,"95FW"}</definedName>
    <definedName name="M" localSheetId="4" hidden="1">{#N/A,#N/A,FALSE,"95FW"}</definedName>
    <definedName name="M" localSheetId="3" hidden="1">{#N/A,#N/A,FALSE,"95FW"}</definedName>
    <definedName name="M" localSheetId="1" hidden="1">{#N/A,#N/A,FALSE,"95FW"}</definedName>
    <definedName name="M" hidden="1">{#N/A,#N/A,FALSE,"95FW"}</definedName>
    <definedName name="M.복귀" localSheetId="5">#REF!</definedName>
    <definedName name="M.복귀" localSheetId="4">#REF!</definedName>
    <definedName name="M.복귀" localSheetId="3">#REF!</definedName>
    <definedName name="M.복귀" localSheetId="1">#REF!</definedName>
    <definedName name="M.복귀">#REF!</definedName>
    <definedName name="M_Expense" localSheetId="3">#REF!</definedName>
    <definedName name="M_Expense" localSheetId="1">#REF!</definedName>
    <definedName name="M_Expense">#REF!</definedName>
    <definedName name="M_Rent" localSheetId="3">#REF!</definedName>
    <definedName name="M_Rent" localSheetId="1">#REF!</definedName>
    <definedName name="M_Rent">#REF!</definedName>
    <definedName name="MA_1" localSheetId="3">#REF!</definedName>
    <definedName name="MA_1" localSheetId="1">#REF!</definedName>
    <definedName name="MA_1">#REF!</definedName>
    <definedName name="MA_11" localSheetId="3">#REF!</definedName>
    <definedName name="MA_11" localSheetId="1">#REF!</definedName>
    <definedName name="MA_11">#REF!</definedName>
    <definedName name="MA_1END" localSheetId="3">#REF!</definedName>
    <definedName name="MA_1END" localSheetId="1">#REF!</definedName>
    <definedName name="MA_1END">#REF!</definedName>
    <definedName name="MA_1POS1" localSheetId="3">#REF!</definedName>
    <definedName name="MA_1POS1" localSheetId="1">#REF!</definedName>
    <definedName name="MA_1POS1">#REF!</definedName>
    <definedName name="MA_2" localSheetId="3">#REF!</definedName>
    <definedName name="MA_2" localSheetId="1">#REF!</definedName>
    <definedName name="MA_2">#REF!</definedName>
    <definedName name="MA_21" localSheetId="3">#REF!</definedName>
    <definedName name="MA_21" localSheetId="1">#REF!</definedName>
    <definedName name="MA_21">#REF!</definedName>
    <definedName name="MA_2END" localSheetId="3">#REF!</definedName>
    <definedName name="MA_2END" localSheetId="1">#REF!</definedName>
    <definedName name="MA_2END">#REF!</definedName>
    <definedName name="MA_2POS1" localSheetId="3">#REF!</definedName>
    <definedName name="MA_2POS1" localSheetId="1">#REF!</definedName>
    <definedName name="MA_2POS1">#REF!</definedName>
    <definedName name="MA_DATEN" localSheetId="3">#REF!</definedName>
    <definedName name="MA_DATEN" localSheetId="1">#REF!</definedName>
    <definedName name="MA_DATEN">#REF!</definedName>
    <definedName name="MA_DATEN_A" localSheetId="3">#REF!</definedName>
    <definedName name="MA_DATEN_A" localSheetId="1">#REF!</definedName>
    <definedName name="MA_DATEN_A">#REF!</definedName>
    <definedName name="MA_SPALTEN" localSheetId="3">#REF!</definedName>
    <definedName name="MA_SPALTEN" localSheetId="1">#REF!</definedName>
    <definedName name="MA_SPALTEN">#REF!</definedName>
    <definedName name="MAC" localSheetId="5">#REF!</definedName>
    <definedName name="MAC" localSheetId="4">#REF!</definedName>
    <definedName name="MAC" localSheetId="3">#REF!</definedName>
    <definedName name="MAC" localSheetId="1">#REF!</definedName>
    <definedName name="MAC">#REF!</definedName>
    <definedName name="MACRO" localSheetId="3">#REF!</definedName>
    <definedName name="MACRO" localSheetId="1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 localSheetId="5">#REF!</definedName>
    <definedName name="MAINMENU" localSheetId="4">#REF!</definedName>
    <definedName name="MAINMENU" localSheetId="3">#REF!</definedName>
    <definedName name="MAINMENU" localSheetId="1">#REF!</definedName>
    <definedName name="MAINMENU">#REF!</definedName>
    <definedName name="Map" localSheetId="3" hidden="1">#REF!</definedName>
    <definedName name="Map" localSheetId="1" hidden="1">#REF!</definedName>
    <definedName name="Map" hidden="1">#REF!</definedName>
    <definedName name="Mar" localSheetId="3">#REF!</definedName>
    <definedName name="Mar" localSheetId="1">#REF!</definedName>
    <definedName name="Mar">#REF!</definedName>
    <definedName name="MARK">#N/A</definedName>
    <definedName name="Market" localSheetId="5">#REF!</definedName>
    <definedName name="Market" localSheetId="4">#REF!</definedName>
    <definedName name="Market" localSheetId="3">#REF!</definedName>
    <definedName name="Market" localSheetId="1">#REF!</definedName>
    <definedName name="Market">#REF!</definedName>
    <definedName name="MASTER" localSheetId="5" hidden="1">{#N/A,#N/A,TRUE,"일정"}</definedName>
    <definedName name="MASTER" localSheetId="4" hidden="1">{#N/A,#N/A,TRUE,"일정"}</definedName>
    <definedName name="MASTER" localSheetId="3" hidden="1">{#N/A,#N/A,TRUE,"일정"}</definedName>
    <definedName name="MASTER" localSheetId="1" hidden="1">{#N/A,#N/A,TRUE,"일정"}</definedName>
    <definedName name="MASTER" hidden="1">{#N/A,#N/A,TRUE,"일정"}</definedName>
    <definedName name="MATCH1">#N/A</definedName>
    <definedName name="MATCH2">#N/A</definedName>
    <definedName name="may" localSheetId="5" hidden="1">#REF!</definedName>
    <definedName name="may" localSheetId="4" hidden="1">#REF!</definedName>
    <definedName name="may" localSheetId="3" hidden="1">#REF!</definedName>
    <definedName name="may" localSheetId="1" hidden="1">#REF!</definedName>
    <definedName name="may" hidden="1">#REF!</definedName>
    <definedName name="MB" localSheetId="5">#REF!</definedName>
    <definedName name="MB" localSheetId="4">#REF!</definedName>
    <definedName name="MB" localSheetId="3">#REF!</definedName>
    <definedName name="MB" localSheetId="1">#REF!</definedName>
    <definedName name="MB">#REF!</definedName>
    <definedName name="MDATA" localSheetId="3">#REF!</definedName>
    <definedName name="MDATA" localSheetId="1">#REF!</definedName>
    <definedName name="MDATA">#REF!</definedName>
    <definedName name="me">"Button 5"</definedName>
    <definedName name="Med_Excess" localSheetId="5">#REF!</definedName>
    <definedName name="Med_Excess" localSheetId="4">#REF!</definedName>
    <definedName name="Med_Excess" localSheetId="3">#REF!</definedName>
    <definedName name="Med_Excess" localSheetId="1">#REF!</definedName>
    <definedName name="Med_Excess">#REF!</definedName>
    <definedName name="Med_MaxCover" localSheetId="5">#REF!</definedName>
    <definedName name="Med_MaxCover" localSheetId="4">#REF!</definedName>
    <definedName name="Med_MaxCover" localSheetId="3">#REF!</definedName>
    <definedName name="Med_MaxCover" localSheetId="1">#REF!</definedName>
    <definedName name="Med_MaxCover">#REF!</definedName>
    <definedName name="Med_Plan" localSheetId="5">#REF!</definedName>
    <definedName name="Med_Plan" localSheetId="4">#REF!</definedName>
    <definedName name="Med_Plan" localSheetId="3">#REF!</definedName>
    <definedName name="Med_Plan" localSheetId="1">#REF!</definedName>
    <definedName name="Med_Plan">#REF!</definedName>
    <definedName name="MEMO">#N/A</definedName>
    <definedName name="mensuel" localSheetId="5">#REF!</definedName>
    <definedName name="mensuel" localSheetId="4">#REF!</definedName>
    <definedName name="mensuel" localSheetId="3">#REF!</definedName>
    <definedName name="mensuel" localSheetId="1">#REF!</definedName>
    <definedName name="mensuel">#REF!</definedName>
    <definedName name="Mensuelv2" localSheetId="3">#REF!</definedName>
    <definedName name="Mensuelv2" localSheetId="1">#REF!</definedName>
    <definedName name="Mensuelv2">#REF!</definedName>
    <definedName name="menu_button_Click">#N/A</definedName>
    <definedName name="message_turnover_rent" localSheetId="5">#REF!</definedName>
    <definedName name="message_turnover_rent" localSheetId="4">#REF!</definedName>
    <definedName name="message_turnover_rent" localSheetId="3">#REF!</definedName>
    <definedName name="message_turnover_rent" localSheetId="1">#REF!</definedName>
    <definedName name="message_turnover_rent">#REF!</definedName>
    <definedName name="mf" localSheetId="3">#REF!</definedName>
    <definedName name="mf" localSheetId="1">#REF!</definedName>
    <definedName name="mf">#REF!</definedName>
    <definedName name="MH3_A" localSheetId="3">#REF!</definedName>
    <definedName name="MH3_A" localSheetId="1">#REF!</definedName>
    <definedName name="MH3_A">#REF!</definedName>
    <definedName name="MK" localSheetId="3">#REF!</definedName>
    <definedName name="MK" localSheetId="1">#REF!</definedName>
    <definedName name="MK">#REF!</definedName>
    <definedName name="mkl" localSheetId="5" hidden="1">{#N/A,#N/A,TRUE,"Y생산";#N/A,#N/A,TRUE,"Y판매";#N/A,#N/A,TRUE,"Y총물량";#N/A,#N/A,TRUE,"Y능력";#N/A,#N/A,TRUE,"YKD"}</definedName>
    <definedName name="mkl" localSheetId="4" hidden="1">{#N/A,#N/A,TRUE,"Y생산";#N/A,#N/A,TRUE,"Y판매";#N/A,#N/A,TRUE,"Y총물량";#N/A,#N/A,TRUE,"Y능력";#N/A,#N/A,TRUE,"YKD"}</definedName>
    <definedName name="mkl" localSheetId="3" hidden="1">{#N/A,#N/A,TRUE,"Y생산";#N/A,#N/A,TRUE,"Y판매";#N/A,#N/A,TRUE,"Y총물량";#N/A,#N/A,TRUE,"Y능력";#N/A,#N/A,TRUE,"YKD"}</definedName>
    <definedName name="mkl" localSheetId="1" hidden="1">{#N/A,#N/A,TRUE,"Y생산";#N/A,#N/A,TRUE,"Y판매";#N/A,#N/A,TRUE,"Y총물량";#N/A,#N/A,TRUE,"Y능력";#N/A,#N/A,TRUE,"YKD"}</definedName>
    <definedName name="mkl" hidden="1">{#N/A,#N/A,TRUE,"Y생산";#N/A,#N/A,TRUE,"Y판매";#N/A,#N/A,TRUE,"Y총물량";#N/A,#N/A,TRUE,"Y능력";#N/A,#N/A,TRUE,"YKD"}</definedName>
    <definedName name="mkl_1" localSheetId="5" hidden="1">{#N/A,#N/A,TRUE,"Y생산";#N/A,#N/A,TRUE,"Y판매";#N/A,#N/A,TRUE,"Y총물량";#N/A,#N/A,TRUE,"Y능력";#N/A,#N/A,TRUE,"YKD"}</definedName>
    <definedName name="mkl_1" localSheetId="4" hidden="1">{#N/A,#N/A,TRUE,"Y생산";#N/A,#N/A,TRUE,"Y판매";#N/A,#N/A,TRUE,"Y총물량";#N/A,#N/A,TRUE,"Y능력";#N/A,#N/A,TRUE,"YKD"}</definedName>
    <definedName name="mkl_1" localSheetId="3" hidden="1">{#N/A,#N/A,TRUE,"Y생산";#N/A,#N/A,TRUE,"Y판매";#N/A,#N/A,TRUE,"Y총물량";#N/A,#N/A,TRUE,"Y능력";#N/A,#N/A,TRUE,"YKD"}</definedName>
    <definedName name="mkl_1" localSheetId="1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 localSheetId="5">#REF!</definedName>
    <definedName name="Mkt_Rent" localSheetId="4">#REF!</definedName>
    <definedName name="Mkt_Rent" localSheetId="3">#REF!</definedName>
    <definedName name="Mkt_Rent" localSheetId="1">#REF!</definedName>
    <definedName name="Mkt_Rent">#REF!</definedName>
    <definedName name="Mkt_Rent_Growth" localSheetId="3">#REF!</definedName>
    <definedName name="Mkt_Rent_Growth" localSheetId="1">#REF!</definedName>
    <definedName name="Mkt_Rent_Growth">#REF!</definedName>
    <definedName name="MLS_Top_225" localSheetId="3">#REF!</definedName>
    <definedName name="MLS_Top_225" localSheetId="1">#REF!</definedName>
    <definedName name="MLS_Top_225">#REF!</definedName>
    <definedName name="MM" localSheetId="3">#REF!</definedName>
    <definedName name="MM" localSheetId="1">#REF!</definedName>
    <definedName name="MM">#REF!</definedName>
    <definedName name="mmm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localSheetId="5" hidden="1">#REF!</definedName>
    <definedName name="mmml" localSheetId="4" hidden="1">#REF!</definedName>
    <definedName name="mmml" localSheetId="3" hidden="1">#REF!</definedName>
    <definedName name="mmml" localSheetId="1" hidden="1">#REF!</definedName>
    <definedName name="mmml" hidden="1">#REF!</definedName>
    <definedName name="month" localSheetId="3">#REF!</definedName>
    <definedName name="month" localSheetId="1">#REF!</definedName>
    <definedName name="month">#REF!</definedName>
    <definedName name="Monthly_Maintenance_Fee__000won_py" localSheetId="3">#REF!</definedName>
    <definedName name="Monthly_Maintenance_Fee__000won_py" localSheetId="1">#REF!</definedName>
    <definedName name="Monthly_Maintenance_Fee__000won_py">#REF!</definedName>
    <definedName name="Monthly_Rent" localSheetId="3">#REF!</definedName>
    <definedName name="Monthly_Rent" localSheetId="1">#REF!</definedName>
    <definedName name="Monthly_Rent">#REF!</definedName>
    <definedName name="monthnames" localSheetId="3">#REF!</definedName>
    <definedName name="monthnames" localSheetId="1">#REF!</definedName>
    <definedName name="monthnames">#REF!</definedName>
    <definedName name="months_of_loss" localSheetId="3">#REF!</definedName>
    <definedName name="months_of_loss" localSheetId="1">#REF!</definedName>
    <definedName name="months_of_loss">#REF!</definedName>
    <definedName name="months_to_evict" localSheetId="3">#REF!</definedName>
    <definedName name="months_to_evict" localSheetId="1">#REF!</definedName>
    <definedName name="months_to_evict">#REF!</definedName>
    <definedName name="Months_to_Release" localSheetId="3">#REF!</definedName>
    <definedName name="Months_to_Release" localSheetId="1">#REF!</definedName>
    <definedName name="Months_to_Release">#REF!</definedName>
    <definedName name="montht" localSheetId="3">#REF!</definedName>
    <definedName name="montht" localSheetId="1">#REF!</definedName>
    <definedName name="montht">#REF!</definedName>
    <definedName name="mor" localSheetId="5" hidden="1">#REF!</definedName>
    <definedName name="mor" localSheetId="4" hidden="1">#REF!</definedName>
    <definedName name="mor" localSheetId="3" hidden="1">#REF!</definedName>
    <definedName name="mor" localSheetId="1" hidden="1">#REF!</definedName>
    <definedName name="mor" hidden="1">#REF!</definedName>
    <definedName name="mortgage_amount" localSheetId="5">#REF!</definedName>
    <definedName name="mortgage_amount" localSheetId="4">#REF!</definedName>
    <definedName name="mortgage_amount" localSheetId="3">#REF!</definedName>
    <definedName name="mortgage_amount" localSheetId="1">#REF!</definedName>
    <definedName name="mortgage_amount">#REF!</definedName>
    <definedName name="Most_Lease_Expire_Date" localSheetId="3">#REF!</definedName>
    <definedName name="Most_Lease_Expire_Date" localSheetId="1">#REF!</definedName>
    <definedName name="Most_Lease_Expire_Date">#REF!</definedName>
    <definedName name="MP" localSheetId="3">#REF!</definedName>
    <definedName name="MP" localSheetId="1">#REF!</definedName>
    <definedName name="MP">#REF!</definedName>
    <definedName name="MPROA10" localSheetId="3">#REF!</definedName>
    <definedName name="MPROA10" localSheetId="1">#REF!</definedName>
    <definedName name="MPROA10">#REF!</definedName>
    <definedName name="Mq" localSheetId="5">#REF!</definedName>
    <definedName name="Mq" localSheetId="4">#REF!</definedName>
    <definedName name="Mq" localSheetId="3">#REF!</definedName>
    <definedName name="Mq" localSheetId="1">#REF!</definedName>
    <definedName name="Mq">#REF!</definedName>
    <definedName name="MYTD_CHG">14</definedName>
    <definedName name="MZ" localSheetId="5">#REF!</definedName>
    <definedName name="MZ" localSheetId="4">#REF!</definedName>
    <definedName name="MZ" localSheetId="3">#REF!</definedName>
    <definedName name="MZ" localSheetId="1">#REF!</definedName>
    <definedName name="MZ">#REF!</definedName>
    <definedName name="m記" localSheetId="5" hidden="1">{"'買掛金'!$J$6"}</definedName>
    <definedName name="m記" localSheetId="4" hidden="1">{"'買掛金'!$J$6"}</definedName>
    <definedName name="m記" localSheetId="3" hidden="1">{"'買掛金'!$J$6"}</definedName>
    <definedName name="m記" localSheetId="1" hidden="1">{"'買掛金'!$J$6"}</definedName>
    <definedName name="m記" hidden="1">{"'買掛金'!$J$6"}</definedName>
    <definedName name="M행" localSheetId="3">#REF!</definedName>
    <definedName name="M행" localSheetId="1">#REF!</definedName>
    <definedName name="M행">#REF!</definedName>
    <definedName name="N" localSheetId="3">#REF!</definedName>
    <definedName name="N" localSheetId="1">#REF!</definedName>
    <definedName name="N">#REF!</definedName>
    <definedName name="NAME" localSheetId="5">OFFSET(#REF!,0,0,COUNTA(#REF!),1)</definedName>
    <definedName name="NAME" localSheetId="4">OFFSET(#REF!,0,0,COUNTA(#REF!),1)</definedName>
    <definedName name="NAME" localSheetId="3">OFFSET(#REF!,0,0,COUNTA(#REF!),1)</definedName>
    <definedName name="NAME" localSheetId="1">OFFSET(#REF!,0,0,COUNTA(#REF!),1)</definedName>
    <definedName name="NAME">OFFSET(#REF!,0,0,COUNTA(#REF!),1)</definedName>
    <definedName name="NAMELABEL" localSheetId="5">#REF!</definedName>
    <definedName name="NAMELABEL" localSheetId="4">#REF!</definedName>
    <definedName name="NAMELABEL" localSheetId="3">#REF!</definedName>
    <definedName name="NAMELABEL" localSheetId="1">#REF!</definedName>
    <definedName name="NAMELABEL">#REF!</definedName>
    <definedName name="namelist" localSheetId="3">#REF!</definedName>
    <definedName name="namelist" localSheetId="1">#REF!</definedName>
    <definedName name="namelist">#REF!</definedName>
    <definedName name="NCO" localSheetId="3">#REF!</definedName>
    <definedName name="NCO" localSheetId="1">#REF!</definedName>
    <definedName name="NCO">#REF!</definedName>
    <definedName name="NEW" localSheetId="5">#REF!</definedName>
    <definedName name="NEW" localSheetId="4">#REF!</definedName>
    <definedName name="NEW" localSheetId="3">#REF!</definedName>
    <definedName name="NEW" localSheetId="1">#REF!</definedName>
    <definedName name="NEW">#REF!</definedName>
    <definedName name="NewMatrix" localSheetId="5">#REF!</definedName>
    <definedName name="NewMatrix" localSheetId="4">#REF!</definedName>
    <definedName name="NewMatrix" localSheetId="3">#REF!</definedName>
    <definedName name="NewMatrix" localSheetId="1">#REF!</definedName>
    <definedName name="NewMatrix">#REF!</definedName>
    <definedName name="N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 localSheetId="5">#REF!</definedName>
    <definedName name="NL22t" localSheetId="4">#REF!</definedName>
    <definedName name="NL22t" localSheetId="3">#REF!</definedName>
    <definedName name="NL22t" localSheetId="1">#REF!</definedName>
    <definedName name="NL22t">#REF!</definedName>
    <definedName name="NL24t" localSheetId="3">#REF!</definedName>
    <definedName name="NL24t" localSheetId="1">#REF!</definedName>
    <definedName name="NL24t">#REF!</definedName>
    <definedName name="NL25t" localSheetId="3">#REF!</definedName>
    <definedName name="NL25t" localSheetId="1">#REF!</definedName>
    <definedName name="NL25t">#REF!</definedName>
    <definedName name="NL26t" localSheetId="3">#REF!</definedName>
    <definedName name="NL26t" localSheetId="1">#REF!</definedName>
    <definedName name="NL26t">#REF!</definedName>
    <definedName name="NL75t" localSheetId="3">#REF!</definedName>
    <definedName name="NL75t" localSheetId="1">#REF!</definedName>
    <definedName name="NL75t">#REF!</definedName>
    <definedName name="nn" localSheetId="3">#REF!</definedName>
    <definedName name="nn" localSheetId="1">#REF!</definedName>
    <definedName name="nn">#REF!</definedName>
    <definedName name="nnn" localSheetId="5" hidden="1">{#N/A,#N/A,TRUE,"Assumptions";#N/A,#N/A,TRUE,"Sources of Revenue";#N/A,#N/A,TRUE,"P&amp;L";#N/A,#N/A,TRUE,"Bal. Sheet";#N/A,#N/A,TRUE,"Rights Issue &amp; X Adjustment";#N/A,#N/A,TRUE,"Transaction Model"}</definedName>
    <definedName name="nnn" localSheetId="4" hidden="1">{#N/A,#N/A,TRUE,"Assumptions";#N/A,#N/A,TRUE,"Sources of Revenue";#N/A,#N/A,TRUE,"P&amp;L";#N/A,#N/A,TRUE,"Bal. Sheet";#N/A,#N/A,TRUE,"Rights Issue &amp; X Adjustment";#N/A,#N/A,TRUE,"Transaction Model"}</definedName>
    <definedName name="nnn" localSheetId="3" hidden="1">{#N/A,#N/A,TRUE,"Assumptions";#N/A,#N/A,TRUE,"Sources of Revenue";#N/A,#N/A,TRUE,"P&amp;L";#N/A,#N/A,TRUE,"Bal. Sheet";#N/A,#N/A,TRUE,"Rights Issue &amp; X Adjustment";#N/A,#N/A,TRUE,"Transaction Model"}</definedName>
    <definedName name="nnn" localSheetId="1" hidden="1">{#N/A,#N/A,TRUE,"Assumptions";#N/A,#N/A,TRUE,"Sources of Revenue";#N/A,#N/A,TRUE,"P&amp;L";#N/A,#N/A,TRUE,"Bal. Sheet";#N/A,#N/A,TRUE,"Rights Issue &amp; X Adjustment";#N/A,#N/A,TRUE,"Transaction Model"}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 localSheetId="5">#REF!</definedName>
    <definedName name="No" localSheetId="4">#REF!</definedName>
    <definedName name="No" localSheetId="3">#REF!</definedName>
    <definedName name="No" localSheetId="1">#REF!</definedName>
    <definedName name="No">#REF!</definedName>
    <definedName name="No._Parking" localSheetId="3">#REF!</definedName>
    <definedName name="No._Parking" localSheetId="1">#REF!</definedName>
    <definedName name="No._Parking">#REF!</definedName>
    <definedName name="NOC" localSheetId="3">#REF!</definedName>
    <definedName name="NOC" localSheetId="1">#REF!</definedName>
    <definedName name="NOC">#REF!</definedName>
    <definedName name="NOC_col" localSheetId="3">#REF!</definedName>
    <definedName name="NOC_col" localSheetId="1">#REF!</definedName>
    <definedName name="NOC_col">#REF!</definedName>
    <definedName name="NOC_row" localSheetId="3">#REF!</definedName>
    <definedName name="NOC_row" localSheetId="1">#REF!</definedName>
    <definedName name="NOC_row">#REF!</definedName>
    <definedName name="November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localSheetId="5" hidden="1">{"'Sheet1'!$A$1:$H$36"}</definedName>
    <definedName name="NR_1203" localSheetId="4" hidden="1">{"'Sheet1'!$A$1:$H$36"}</definedName>
    <definedName name="NR_1203" localSheetId="3" hidden="1">{"'Sheet1'!$A$1:$H$36"}</definedName>
    <definedName name="NR_1203" localSheetId="1" hidden="1">{"'Sheet1'!$A$1:$H$36"}</definedName>
    <definedName name="NR_1203" hidden="1">{"'Sheet1'!$A$1:$H$36"}</definedName>
    <definedName name="NRA" localSheetId="3">#REF!</definedName>
    <definedName name="NRA" localSheetId="1">#REF!</definedName>
    <definedName name="NRA">#REF!</definedName>
    <definedName name="ny" localSheetId="5" hidden="1">{#N/A,#N/A,FALSE,"95FW"}</definedName>
    <definedName name="ny" localSheetId="4" hidden="1">{#N/A,#N/A,FALSE,"95FW"}</definedName>
    <definedName name="ny" localSheetId="3" hidden="1">{#N/A,#N/A,FALSE,"95FW"}</definedName>
    <definedName name="ny" localSheetId="1" hidden="1">{#N/A,#N/A,FALSE,"95FW"}</definedName>
    <definedName name="ny" hidden="1">{#N/A,#N/A,FALSE,"95FW"}</definedName>
    <definedName name="NYs" localSheetId="5">#REF!</definedName>
    <definedName name="NYs" localSheetId="4">#REF!</definedName>
    <definedName name="NYs" localSheetId="3">#REF!</definedName>
    <definedName name="NYs" localSheetId="1">#REF!</definedName>
    <definedName name="NYs">#REF!</definedName>
    <definedName name="N행" localSheetId="3">#REF!</definedName>
    <definedName name="N행" localSheetId="1">#REF!</definedName>
    <definedName name="N행">#REF!</definedName>
    <definedName name="O" localSheetId="5" hidden="1">{#N/A,#N/A,TRUE,"Y생산";#N/A,#N/A,TRUE,"Y판매";#N/A,#N/A,TRUE,"Y총물량";#N/A,#N/A,TRUE,"Y능력";#N/A,#N/A,TRUE,"YKD"}</definedName>
    <definedName name="O" localSheetId="4" hidden="1">{#N/A,#N/A,TRUE,"Y생산";#N/A,#N/A,TRUE,"Y판매";#N/A,#N/A,TRUE,"Y총물량";#N/A,#N/A,TRUE,"Y능력";#N/A,#N/A,TRUE,"YKD"}</definedName>
    <definedName name="O" localSheetId="3" hidden="1">{#N/A,#N/A,TRUE,"Y생산";#N/A,#N/A,TRUE,"Y판매";#N/A,#N/A,TRUE,"Y총물량";#N/A,#N/A,TRUE,"Y능력";#N/A,#N/A,TRUE,"YKD"}</definedName>
    <definedName name="O" localSheetId="1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¤eE_UYØ¿¿ø" localSheetId="5">#REF!</definedName>
    <definedName name="O¤eE_UYØ¿¿ø" localSheetId="4">#REF!</definedName>
    <definedName name="O¤eE_UYØ¿¿ø" localSheetId="3">#REF!</definedName>
    <definedName name="O¤eE_UYØ¿¿ø" localSheetId="1">#REF!</definedName>
    <definedName name="O¤eE_UYØ¿¿ø">#REF!</definedName>
    <definedName name="º≫≫c¼OAI" localSheetId="3">#REF!</definedName>
    <definedName name="º≫≫c¼OAI" localSheetId="1">#REF!</definedName>
    <definedName name="º≫≫c¼OAI">#REF!</definedName>
    <definedName name="ºA¼R" localSheetId="3">#REF!</definedName>
    <definedName name="ºA¼R" localSheetId="1">#REF!</definedName>
    <definedName name="ºA¼R">#REF!</definedName>
    <definedName name="OBS" localSheetId="3">#REF!</definedName>
    <definedName name="OBS" localSheetId="1">#REF!</definedName>
    <definedName name="OBS">#REF!</definedName>
    <definedName name="OIIUU" localSheetId="3" hidden="1">#REF!</definedName>
    <definedName name="OIIUU" localSheetId="1" hidden="1">#REF!</definedName>
    <definedName name="OIIUU" hidden="1">#REF!</definedName>
    <definedName name="OIUP" localSheetId="3" hidden="1">#REF!</definedName>
    <definedName name="OIUP" localSheetId="1" hidden="1">#REF!</definedName>
    <definedName name="OIUP" hidden="1">#REF!</definedName>
    <definedName name="ok" localSheetId="3">#REF!</definedName>
    <definedName name="ok" localSheetId="1">#REF!</definedName>
    <definedName name="ok">#REF!</definedName>
    <definedName name="okwon" localSheetId="3">#REF!</definedName>
    <definedName name="okwon" localSheetId="1">#REF!</definedName>
    <definedName name="okwon">#REF!</definedName>
    <definedName name="olddeli_turnover_rent" localSheetId="3">#REF!</definedName>
    <definedName name="olddeli_turnover_rent" localSheetId="1">#REF!</definedName>
    <definedName name="olddeli_turnover_rent">#REF!</definedName>
    <definedName name="on" localSheetId="5" hidden="1">#REF!</definedName>
    <definedName name="on" localSheetId="4" hidden="1">#REF!</definedName>
    <definedName name="on" localSheetId="3" hidden="1">#REF!</definedName>
    <definedName name="on" localSheetId="1" hidden="1">#REF!</definedName>
    <definedName name="on" hidden="1">#REF!</definedName>
    <definedName name="oo" localSheetId="5">#REF!</definedName>
    <definedName name="oo" localSheetId="4">#REF!</definedName>
    <definedName name="oo" localSheetId="3">#REF!</definedName>
    <definedName name="oo" localSheetId="1">#REF!</definedName>
    <definedName name="oo">#REF!</definedName>
    <definedName name="OOO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localSheetId="5">#REF!</definedName>
    <definedName name="ooooooo" localSheetId="4">#REF!</definedName>
    <definedName name="ooooooo" localSheetId="3">#REF!</definedName>
    <definedName name="ooooooo" localSheetId="1">#REF!</definedName>
    <definedName name="ooooooo">#REF!</definedName>
    <definedName name="oooooooooooooooo" localSheetId="3">#REF!</definedName>
    <definedName name="oooooooooooooooo" localSheetId="1">#REF!</definedName>
    <definedName name="oooooooooooooooo">#REF!</definedName>
    <definedName name="ooop" localSheetId="5" hidden="1">{"'매출'!$A$1:$I$22"}</definedName>
    <definedName name="ooop" localSheetId="4" hidden="1">{"'매출'!$A$1:$I$22"}</definedName>
    <definedName name="ooop" localSheetId="3" hidden="1">{"'매출'!$A$1:$I$22"}</definedName>
    <definedName name="ooop" localSheetId="1" hidden="1">{"'매출'!$A$1:$I$22"}</definedName>
    <definedName name="ooop" hidden="1">{"'매출'!$A$1:$I$22"}</definedName>
    <definedName name="OpcoBridge" localSheetId="3">#REF!</definedName>
    <definedName name="OpcoBridge" localSheetId="1">#REF!</definedName>
    <definedName name="OpcoBridge">#REF!</definedName>
    <definedName name="OpcoDebt" localSheetId="3">#REF!</definedName>
    <definedName name="OpcoDebt" localSheetId="1">#REF!</definedName>
    <definedName name="OpcoDebt">#REF!</definedName>
    <definedName name="OPEN1">#N/A</definedName>
    <definedName name="opioui" localSheetId="5" hidden="1">{#N/A,#N/A,TRUE,"Assumptions";#N/A,#N/A,TRUE,"Sources of Revenue";#N/A,#N/A,TRUE,"P&amp;L";#N/A,#N/A,TRUE,"Bal. Sheet";#N/A,#N/A,TRUE,"Rights Issue &amp; X Adjustment";#N/A,#N/A,TRUE,"Transaction Model"}</definedName>
    <definedName name="opioui" localSheetId="4" hidden="1">{#N/A,#N/A,TRUE,"Assumptions";#N/A,#N/A,TRUE,"Sources of Revenue";#N/A,#N/A,TRUE,"P&amp;L";#N/A,#N/A,TRUE,"Bal. Sheet";#N/A,#N/A,TRUE,"Rights Issue &amp; X Adjustment";#N/A,#N/A,TRUE,"Transaction Model"}</definedName>
    <definedName name="opioui" localSheetId="3" hidden="1">{#N/A,#N/A,TRUE,"Assumptions";#N/A,#N/A,TRUE,"Sources of Revenue";#N/A,#N/A,TRUE,"P&amp;L";#N/A,#N/A,TRUE,"Bal. Sheet";#N/A,#N/A,TRUE,"Rights Issue &amp; X Adjustment";#N/A,#N/A,TRUE,"Transaction Model"}</definedName>
    <definedName name="opioui" localSheetId="1" hidden="1">{#N/A,#N/A,TRUE,"Assumptions";#N/A,#N/A,TRUE,"Sources of Revenue";#N/A,#N/A,TRUE,"P&amp;L";#N/A,#N/A,TRUE,"Bal. Sheet";#N/A,#N/A,TRUE,"Rights Issue &amp; X Adjustment";#N/A,#N/A,TRUE,"Transaction Model"}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 localSheetId="5">#REF!</definedName>
    <definedName name="OpnTerm" localSheetId="4">#REF!</definedName>
    <definedName name="OpnTerm" localSheetId="3">#REF!</definedName>
    <definedName name="OpnTerm" localSheetId="1">#REF!</definedName>
    <definedName name="OpnTerm">#REF!</definedName>
    <definedName name="Option" localSheetId="5">#REF!</definedName>
    <definedName name="Option" localSheetId="4">#REF!</definedName>
    <definedName name="Option" localSheetId="3">#REF!</definedName>
    <definedName name="Option" localSheetId="1">#REF!</definedName>
    <definedName name="Option">#REF!</definedName>
    <definedName name="OptionButton21_Click">#N/A</definedName>
    <definedName name="ORADDRESS">#N/A</definedName>
    <definedName name="OrderSheet1プリント用" localSheetId="5">#REF!</definedName>
    <definedName name="OrderSheet1プリント用" localSheetId="4">#REF!</definedName>
    <definedName name="OrderSheet1プリント用" localSheetId="3">#REF!</definedName>
    <definedName name="OrderSheet1プリント用" localSheetId="1">#REF!</definedName>
    <definedName name="OrderSheet1プリント用">#REF!</definedName>
    <definedName name="ORDERTYPE">#N/A</definedName>
    <definedName name="Org" localSheetId="5">#REF!</definedName>
    <definedName name="Org" localSheetId="4">#REF!</definedName>
    <definedName name="Org" localSheetId="3">#REF!</definedName>
    <definedName name="Org" localSheetId="1">#REF!</definedName>
    <definedName name="Org">#REF!</definedName>
    <definedName name="Orig_Bank_Statement" localSheetId="5">#REF!</definedName>
    <definedName name="Orig_Bank_Statement" localSheetId="4">#REF!</definedName>
    <definedName name="Orig_Bank_Statement" localSheetId="3">#REF!</definedName>
    <definedName name="Orig_Bank_Statement" localSheetId="1">#REF!</definedName>
    <definedName name="Orig_Bank_Statement">#REF!</definedName>
    <definedName name="OST합계" localSheetId="5">#REF!</definedName>
    <definedName name="OST합계" localSheetId="4">#REF!</definedName>
    <definedName name="OST합계" localSheetId="3">#REF!</definedName>
    <definedName name="OST합계" localSheetId="1">#REF!</definedName>
    <definedName name="OST합계">#REF!</definedName>
    <definedName name="Ot_CarLn" localSheetId="5">#REF!</definedName>
    <definedName name="Ot_CarLn" localSheetId="4">#REF!</definedName>
    <definedName name="Ot_CarLn" localSheetId="3">#REF!</definedName>
    <definedName name="Ot_CarLn" localSheetId="1">#REF!</definedName>
    <definedName name="Ot_CarLn">#REF!</definedName>
    <definedName name="Ot_DB_DthPen" localSheetId="5">#REF!</definedName>
    <definedName name="Ot_DB_DthPen" localSheetId="4">#REF!</definedName>
    <definedName name="Ot_DB_DthPen" localSheetId="3">#REF!</definedName>
    <definedName name="Ot_DB_DthPen" localSheetId="1">#REF!</definedName>
    <definedName name="Ot_DB_DthPen">#REF!</definedName>
    <definedName name="Ot_DB_Payable" localSheetId="5">#REF!</definedName>
    <definedName name="Ot_DB_Payable" localSheetId="4">#REF!</definedName>
    <definedName name="Ot_DB_Payable" localSheetId="3">#REF!</definedName>
    <definedName name="Ot_DB_Payable" localSheetId="1">#REF!</definedName>
    <definedName name="Ot_DB_Payable">#REF!</definedName>
    <definedName name="Ot_DC_Cont" localSheetId="5">#REF!</definedName>
    <definedName name="Ot_DC_Cont" localSheetId="4">#REF!</definedName>
    <definedName name="Ot_DC_Cont" localSheetId="3">#REF!</definedName>
    <definedName name="Ot_DC_Cont" localSheetId="1">#REF!</definedName>
    <definedName name="Ot_DC_Cont">#REF!</definedName>
    <definedName name="Ot_HseLn" localSheetId="5">#REF!</definedName>
    <definedName name="Ot_HseLn" localSheetId="4">#REF!</definedName>
    <definedName name="Ot_HseLn" localSheetId="3">#REF!</definedName>
    <definedName name="Ot_HseLn" localSheetId="1">#REF!</definedName>
    <definedName name="Ot_HseLn">#REF!</definedName>
    <definedName name="Ot_LA_SalDef" localSheetId="5">#REF!</definedName>
    <definedName name="Ot_LA_SalDef" localSheetId="4">#REF!</definedName>
    <definedName name="Ot_LA_SalDef" localSheetId="3">#REF!</definedName>
    <definedName name="Ot_LA_SalDef" localSheetId="1">#REF!</definedName>
    <definedName name="Ot_LA_SalDef">#REF!</definedName>
    <definedName name="Ot_LTD_provA" localSheetId="5">#REF!</definedName>
    <definedName name="Ot_LTD_provA" localSheetId="4">#REF!</definedName>
    <definedName name="Ot_LTD_provA" localSheetId="3">#REF!</definedName>
    <definedName name="Ot_LTD_provA" localSheetId="1">#REF!</definedName>
    <definedName name="Ot_LTD_provA">#REF!</definedName>
    <definedName name="Ot_LTD_provB" localSheetId="5">#REF!</definedName>
    <definedName name="Ot_LTD_provB" localSheetId="4">#REF!</definedName>
    <definedName name="Ot_LTD_provB" localSheetId="3">#REF!</definedName>
    <definedName name="Ot_LTD_provB" localSheetId="1">#REF!</definedName>
    <definedName name="Ot_LTD_provB">#REF!</definedName>
    <definedName name="Ot_LTD_provC" localSheetId="5">#REF!</definedName>
    <definedName name="Ot_LTD_provC" localSheetId="4">#REF!</definedName>
    <definedName name="Ot_LTD_provC" localSheetId="3">#REF!</definedName>
    <definedName name="Ot_LTD_provC" localSheetId="1">#REF!</definedName>
    <definedName name="Ot_LTD_provC">#REF!</definedName>
    <definedName name="Ot_LTD_SalDef" localSheetId="5">#REF!</definedName>
    <definedName name="Ot_LTD_SalDef" localSheetId="4">#REF!</definedName>
    <definedName name="Ot_LTD_SalDef" localSheetId="3">#REF!</definedName>
    <definedName name="Ot_LTD_SalDef" localSheetId="1">#REF!</definedName>
    <definedName name="Ot_LTD_SalDef">#REF!</definedName>
    <definedName name="Ot_Med_PlanType" localSheetId="5">#REF!</definedName>
    <definedName name="Ot_Med_PlanType" localSheetId="4">#REF!</definedName>
    <definedName name="Ot_Med_PlanType" localSheetId="3">#REF!</definedName>
    <definedName name="Ot_Med_PlanType" localSheetId="1">#REF!</definedName>
    <definedName name="Ot_Med_PlanType">#REF!</definedName>
    <definedName name="Ot_Mob" localSheetId="5">#REF!</definedName>
    <definedName name="Ot_Mob" localSheetId="4">#REF!</definedName>
    <definedName name="Ot_Mob" localSheetId="3">#REF!</definedName>
    <definedName name="Ot_Mob" localSheetId="1">#REF!</definedName>
    <definedName name="Ot_Mob">#REF!</definedName>
    <definedName name="Ot_Ret_SalDef" localSheetId="5">#REF!</definedName>
    <definedName name="Ot_Ret_SalDef" localSheetId="4">#REF!</definedName>
    <definedName name="Ot_Ret_SalDef" localSheetId="3">#REF!</definedName>
    <definedName name="Ot_Ret_SalDef" localSheetId="1">#REF!</definedName>
    <definedName name="Ot_Ret_SalDef">#REF!</definedName>
    <definedName name="other" localSheetId="5">#REF!</definedName>
    <definedName name="other" localSheetId="4">#REF!</definedName>
    <definedName name="other" localSheetId="3">#REF!</definedName>
    <definedName name="other" localSheetId="1">#REF!</definedName>
    <definedName name="other">#REF!</definedName>
    <definedName name="Other_Revenue" localSheetId="3">#REF!</definedName>
    <definedName name="Other_Revenue" localSheetId="1">#REF!</definedName>
    <definedName name="Other_Revenue">#REF!</definedName>
    <definedName name="O행" localSheetId="3">#REF!</definedName>
    <definedName name="O행" localSheetId="1">#REF!</definedName>
    <definedName name="O행">#REF!</definedName>
    <definedName name="P" localSheetId="3">#REF!</definedName>
    <definedName name="P" localSheetId="1">#REF!</definedName>
    <definedName name="P">#REF!</definedName>
    <definedName name="p_all" localSheetId="5">#REF!</definedName>
    <definedName name="p_all" localSheetId="4">#REF!</definedName>
    <definedName name="p_all" localSheetId="3">#REF!</definedName>
    <definedName name="p_all" localSheetId="1">#REF!</definedName>
    <definedName name="p_all">#REF!</definedName>
    <definedName name="P_Income" localSheetId="5">#REF!</definedName>
    <definedName name="P_Income" localSheetId="4">#REF!</definedName>
    <definedName name="P_Income" localSheetId="3">#REF!</definedName>
    <definedName name="P_Income" localSheetId="1">#REF!</definedName>
    <definedName name="P_Income">#REF!</definedName>
    <definedName name="P_T" localSheetId="3">#REF!</definedName>
    <definedName name="P_T" localSheetId="1">#REF!</definedName>
    <definedName name="P_T">#REF!</definedName>
    <definedName name="P3가공향상" localSheetId="5" hidden="1">{#N/A,#N/A,TRUE,"Y생산";#N/A,#N/A,TRUE,"Y판매";#N/A,#N/A,TRUE,"Y총물량";#N/A,#N/A,TRUE,"Y능력";#N/A,#N/A,TRUE,"YKD"}</definedName>
    <definedName name="P3가공향상" localSheetId="4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localSheetId="1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2" localSheetId="5">#REF!</definedName>
    <definedName name="PAGE2" localSheetId="4">#REF!</definedName>
    <definedName name="PAGE2" localSheetId="3">#REF!</definedName>
    <definedName name="PAGE2" localSheetId="1">#REF!</definedName>
    <definedName name="PAGE2">#REF!</definedName>
    <definedName name="PAGE3" localSheetId="5">#REF!</definedName>
    <definedName name="PAGE3" localSheetId="4">#REF!</definedName>
    <definedName name="PAGE3" localSheetId="3">#REF!</definedName>
    <definedName name="PAGE3" localSheetId="1">#REF!</definedName>
    <definedName name="PAGE3">#REF!</definedName>
    <definedName name="PAGE4" localSheetId="5">#REF!</definedName>
    <definedName name="PAGE4" localSheetId="4">#REF!</definedName>
    <definedName name="PAGE4" localSheetId="3">#REF!</definedName>
    <definedName name="PAGE4" localSheetId="1">#REF!</definedName>
    <definedName name="PAGE4">#REF!</definedName>
    <definedName name="PAID">#N/A</definedName>
    <definedName name="Parking_No" localSheetId="5">#REF!</definedName>
    <definedName name="Parking_No" localSheetId="4">#REF!</definedName>
    <definedName name="Parking_No" localSheetId="3">#REF!</definedName>
    <definedName name="Parking_No" localSheetId="1">#REF!</definedName>
    <definedName name="Parking_No">#REF!</definedName>
    <definedName name="PART_NAME" localSheetId="3">#REF!</definedName>
    <definedName name="PART_NAME" localSheetId="1">#REF!</definedName>
    <definedName name="PART_NAME">#REF!</definedName>
    <definedName name="PART_NO" localSheetId="3">#REF!</definedName>
    <definedName name="PART_NO" localSheetId="1">#REF!</definedName>
    <definedName name="PART_NO">#REF!</definedName>
    <definedName name="PC_List" localSheetId="3">#REF!</definedName>
    <definedName name="PC_List" localSheetId="1">#REF!</definedName>
    <definedName name="PC_List">#REF!</definedName>
    <definedName name="PC_PROD" localSheetId="3">#REF!</definedName>
    <definedName name="PC_PROD" localSheetId="1">#REF!</definedName>
    <definedName name="PC_PROD">#REF!</definedName>
    <definedName name="pds" localSheetId="3">#REF!</definedName>
    <definedName name="pds" localSheetId="1">#REF!</definedName>
    <definedName name="pds">#REF!</definedName>
    <definedName name="per" localSheetId="5">{"Client Name or Project Name"}</definedName>
    <definedName name="per" localSheetId="4">{"Client Name or Project Name"}</definedName>
    <definedName name="per" localSheetId="3">{"Client Name or Project Name"}</definedName>
    <definedName name="per" localSheetId="1">{"Client Name or Project Name"}</definedName>
    <definedName name="per">{"Client Name or Project Name"}</definedName>
    <definedName name="Per_SF" localSheetId="3">#REF!</definedName>
    <definedName name="Per_SF" localSheetId="1">#REF!</definedName>
    <definedName name="Per_SF">#REF!</definedName>
    <definedName name="Per_SM" localSheetId="3">#REF!</definedName>
    <definedName name="Per_SM" localSheetId="1">#REF!</definedName>
    <definedName name="Per_SM">#REF!</definedName>
    <definedName name="Per_US" localSheetId="3">#REF!</definedName>
    <definedName name="Per_US" localSheetId="1">#REF!</definedName>
    <definedName name="Per_US">#REF!</definedName>
    <definedName name="Period" localSheetId="3">#REF!</definedName>
    <definedName name="Period" localSheetId="1">#REF!</definedName>
    <definedName name="Period">#REF!</definedName>
    <definedName name="PERIOD_END" localSheetId="3">#REF!</definedName>
    <definedName name="PERIOD_END" localSheetId="1">#REF!</definedName>
    <definedName name="PERIOD_END">#REF!</definedName>
    <definedName name="PERSON_1" localSheetId="3">#REF!</definedName>
    <definedName name="PERSON_1" localSheetId="1">#REF!</definedName>
    <definedName name="PERSON_1">#REF!</definedName>
    <definedName name="PERSON_10" localSheetId="3">#REF!</definedName>
    <definedName name="PERSON_10" localSheetId="1">#REF!</definedName>
    <definedName name="PERSON_10">#REF!</definedName>
    <definedName name="PERSON_11" localSheetId="3">#REF!</definedName>
    <definedName name="PERSON_11" localSheetId="1">#REF!</definedName>
    <definedName name="PERSON_11">#REF!</definedName>
    <definedName name="PERSON_12" localSheetId="3">#REF!</definedName>
    <definedName name="PERSON_12" localSheetId="1">#REF!</definedName>
    <definedName name="PERSON_12">#REF!</definedName>
    <definedName name="PERSON_13" localSheetId="3">#REF!</definedName>
    <definedName name="PERSON_13" localSheetId="1">#REF!</definedName>
    <definedName name="PERSON_13">#REF!</definedName>
    <definedName name="PERSON_14" localSheetId="3">#REF!</definedName>
    <definedName name="PERSON_14" localSheetId="1">#REF!</definedName>
    <definedName name="PERSON_14">#REF!</definedName>
    <definedName name="PERSON_15" localSheetId="3">#REF!</definedName>
    <definedName name="PERSON_15" localSheetId="1">#REF!</definedName>
    <definedName name="PERSON_15">#REF!</definedName>
    <definedName name="PERSON_16" localSheetId="3">#REF!</definedName>
    <definedName name="PERSON_16" localSheetId="1">#REF!</definedName>
    <definedName name="PERSON_16">#REF!</definedName>
    <definedName name="PERSON_17" localSheetId="3">#REF!</definedName>
    <definedName name="PERSON_17" localSheetId="1">#REF!</definedName>
    <definedName name="PERSON_17">#REF!</definedName>
    <definedName name="PERSON_18" localSheetId="3">#REF!</definedName>
    <definedName name="PERSON_18" localSheetId="1">#REF!</definedName>
    <definedName name="PERSON_18">#REF!</definedName>
    <definedName name="PERSON_19" localSheetId="3">#REF!</definedName>
    <definedName name="PERSON_19" localSheetId="1">#REF!</definedName>
    <definedName name="PERSON_19">#REF!</definedName>
    <definedName name="PERSON_2" localSheetId="3">#REF!</definedName>
    <definedName name="PERSON_2" localSheetId="1">#REF!</definedName>
    <definedName name="PERSON_2">#REF!</definedName>
    <definedName name="PERSON_20" localSheetId="3">#REF!</definedName>
    <definedName name="PERSON_20" localSheetId="1">#REF!</definedName>
    <definedName name="PERSON_20">#REF!</definedName>
    <definedName name="PERSON_3" localSheetId="3">#REF!</definedName>
    <definedName name="PERSON_3" localSheetId="1">#REF!</definedName>
    <definedName name="PERSON_3">#REF!</definedName>
    <definedName name="PERSON_4" localSheetId="3">#REF!</definedName>
    <definedName name="PERSON_4" localSheetId="1">#REF!</definedName>
    <definedName name="PERSON_4">#REF!</definedName>
    <definedName name="PERSON_5" localSheetId="3">#REF!</definedName>
    <definedName name="PERSON_5" localSheetId="1">#REF!</definedName>
    <definedName name="PERSON_5">#REF!</definedName>
    <definedName name="PERSON_6" localSheetId="3">#REF!</definedName>
    <definedName name="PERSON_6" localSheetId="1">#REF!</definedName>
    <definedName name="PERSON_6">#REF!</definedName>
    <definedName name="PERSON_7" localSheetId="3">#REF!</definedName>
    <definedName name="PERSON_7" localSheetId="1">#REF!</definedName>
    <definedName name="PERSON_7">#REF!</definedName>
    <definedName name="PERSON_8" localSheetId="3">#REF!</definedName>
    <definedName name="PERSON_8" localSheetId="1">#REF!</definedName>
    <definedName name="PERSON_8">#REF!</definedName>
    <definedName name="PERSON_9" localSheetId="3">#REF!</definedName>
    <definedName name="PERSON_9" localSheetId="1">#REF!</definedName>
    <definedName name="PERSON_9">#REF!</definedName>
    <definedName name="PH" localSheetId="3">#REF!</definedName>
    <definedName name="PH" localSheetId="1">#REF!</definedName>
    <definedName name="PH">#REF!</definedName>
    <definedName name="PH단계별" localSheetId="5" hidden="1">{#N/A,#N/A,TRUE,"일정"}</definedName>
    <definedName name="PH단계별" localSheetId="4" hidden="1">{#N/A,#N/A,TRUE,"일정"}</definedName>
    <definedName name="PH단계별" localSheetId="3" hidden="1">{#N/A,#N/A,TRUE,"일정"}</definedName>
    <definedName name="PH단계별" localSheetId="1" hidden="1">{#N/A,#N/A,TRUE,"일정"}</definedName>
    <definedName name="PH단계별" hidden="1">{#N/A,#N/A,TRUE,"일정"}</definedName>
    <definedName name="PI" localSheetId="5" hidden="1">{#N/A,#N/A,TRUE,"Y생산";#N/A,#N/A,TRUE,"Y판매";#N/A,#N/A,TRUE,"Y총물량";#N/A,#N/A,TRUE,"Y능력";#N/A,#N/A,TRUE,"YKD"}</definedName>
    <definedName name="PI" localSheetId="4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localSheetId="1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ckXY" localSheetId="5">#REF!</definedName>
    <definedName name="PickXY" localSheetId="4">#REF!</definedName>
    <definedName name="PickXY" localSheetId="3">#REF!</definedName>
    <definedName name="PickXY" localSheetId="1">#REF!</definedName>
    <definedName name="PickXY">#REF!</definedName>
    <definedName name="picture" localSheetId="3">#REF!</definedName>
    <definedName name="picture" localSheetId="1">#REF!</definedName>
    <definedName name="picture">#REF!</definedName>
    <definedName name="PL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 localSheetId="5">#REF!</definedName>
    <definedName name="plbalance" localSheetId="4">#REF!</definedName>
    <definedName name="plbalance" localSheetId="3">#REF!</definedName>
    <definedName name="plbalance" localSheetId="1">#REF!</definedName>
    <definedName name="plbalance">#REF!</definedName>
    <definedName name="plNote">#N/A</definedName>
    <definedName name="PLS" localSheetId="5">#REF!</definedName>
    <definedName name="PLS" localSheetId="4">#REF!</definedName>
    <definedName name="PLS" localSheetId="3">#REF!</definedName>
    <definedName name="PLS" localSheetId="1">#REF!</definedName>
    <definedName name="PLS">#REF!</definedName>
    <definedName name="PM" localSheetId="3">#REF!</definedName>
    <definedName name="PM" localSheetId="1">#REF!</definedName>
    <definedName name="PM">#REF!</definedName>
    <definedName name="PM0tb0tb198tb32tb34rtOR132C13rt" localSheetId="5">#REF!</definedName>
    <definedName name="PM0tb0tb198tb32tb34rtOR132C13rt" localSheetId="4">#REF!</definedName>
    <definedName name="PM0tb0tb198tb32tb34rtOR132C13rt" localSheetId="3">#REF!</definedName>
    <definedName name="PM0tb0tb198tb32tb34rtOR132C13rt" localSheetId="1">#REF!</definedName>
    <definedName name="PM0tb0tb198tb32tb34rtOR132C13rt">#REF!</definedName>
    <definedName name="PM0tb0tb198tb36tb37rtOR136C13rt" localSheetId="5">#REF!</definedName>
    <definedName name="PM0tb0tb198tb36tb37rtOR136C13rt" localSheetId="4">#REF!</definedName>
    <definedName name="PM0tb0tb198tb36tb37rtOR136C13rt" localSheetId="3">#REF!</definedName>
    <definedName name="PM0tb0tb198tb36tb37rtOR136C13rt" localSheetId="1">#REF!</definedName>
    <definedName name="PM0tb0tb198tb36tb37rtOR136C13rt">#REF!</definedName>
    <definedName name="PM0tb0tb198tb36tb37rtOR136C14rt" localSheetId="5">#REF!</definedName>
    <definedName name="PM0tb0tb198tb36tb37rtOR136C14rt" localSheetId="4">#REF!</definedName>
    <definedName name="PM0tb0tb198tb36tb37rtOR136C14rt" localSheetId="3">#REF!</definedName>
    <definedName name="PM0tb0tb198tb36tb37rtOR136C14rt" localSheetId="1">#REF!</definedName>
    <definedName name="PM0tb0tb198tb36tb37rtOR136C14rt">#REF!</definedName>
    <definedName name="PM0tb0tb198tb36tb38rtOR136C13rt" localSheetId="5">#REF!</definedName>
    <definedName name="PM0tb0tb198tb36tb38rtOR136C13rt" localSheetId="4">#REF!</definedName>
    <definedName name="PM0tb0tb198tb36tb38rtOR136C13rt" localSheetId="3">#REF!</definedName>
    <definedName name="PM0tb0tb198tb36tb38rtOR136C13rt" localSheetId="1">#REF!</definedName>
    <definedName name="PM0tb0tb198tb36tb38rtOR136C13rt">#REF!</definedName>
    <definedName name="PMC_Fee" localSheetId="5">#REF!</definedName>
    <definedName name="PMC_Fee" localSheetId="4">#REF!</definedName>
    <definedName name="PMC_Fee" localSheetId="3">#REF!</definedName>
    <definedName name="PMC_Fee" localSheetId="1">#REF!</definedName>
    <definedName name="PMC_Fee">#REF!</definedName>
    <definedName name="po">#N/A</definedName>
    <definedName name="poiu" localSheetId="5" hidden="1">#REF!</definedName>
    <definedName name="poiu" localSheetId="4" hidden="1">#REF!</definedName>
    <definedName name="poiu" localSheetId="3" hidden="1">#REF!</definedName>
    <definedName name="poiu" localSheetId="1" hidden="1">#REF!</definedName>
    <definedName name="poiu" hidden="1">#REF!</definedName>
    <definedName name="POR1015C413rtPPOR1631C1520rtP" localSheetId="3">#REF!</definedName>
    <definedName name="POR1015C413rtPPOR1631C1520rtP" localSheetId="1">#REF!</definedName>
    <definedName name="POR1015C413rtPPOR1631C1520rtP">#REF!</definedName>
    <definedName name="POR11C45R141C45RTSKS15C5LRTHR5C" localSheetId="5">#REF!</definedName>
    <definedName name="POR11C45R141C45RTSKS15C5LRTHR5C" localSheetId="4">#REF!</definedName>
    <definedName name="POR11C45R141C45RTSKS15C5LRTHR5C" localSheetId="3">#REF!</definedName>
    <definedName name="POR11C45R141C45RTSKS15C5LRTHR5C" localSheetId="1">#REF!</definedName>
    <definedName name="POR11C45R141C45RTSKS15C5LRTHR5C">#REF!</definedName>
    <definedName name="POR137C13RTSC60L40RTM0TB0TB0TB0" localSheetId="5">#REF!</definedName>
    <definedName name="POR137C13RTSC60L40RTM0TB0TB0TB0" localSheetId="4">#REF!</definedName>
    <definedName name="POR137C13RTSC60L40RTM0TB0TB0TB0" localSheetId="3">#REF!</definedName>
    <definedName name="POR137C13RTSC60L40RTM0TB0TB0TB0" localSheetId="1">#REF!</definedName>
    <definedName name="POR137C13RTSC60L40RTM0TB0TB0TB0">#REF!</definedName>
    <definedName name="POR16C16R589C41RTSKS15C6LRTHR8C" localSheetId="5">#REF!</definedName>
    <definedName name="POR16C16R589C41RTSKS15C6LRTHR8C" localSheetId="4">#REF!</definedName>
    <definedName name="POR16C16R589C41RTSKS15C6LRTHR8C" localSheetId="3">#REF!</definedName>
    <definedName name="POR16C16R589C41RTSKS15C6LRTHR8C" localSheetId="1">#REF!</definedName>
    <definedName name="POR16C16R589C41RTSKS15C6LRTHR8C">#REF!</definedName>
    <definedName name="POR3C1R50C13RTSKS15C5LRTHDLRTMT" localSheetId="5">#REF!</definedName>
    <definedName name="POR3C1R50C13RTSKS15C5LRTHDLRTMT" localSheetId="4">#REF!</definedName>
    <definedName name="POR3C1R50C13RTSKS15C5LRTHDLRTMT" localSheetId="3">#REF!</definedName>
    <definedName name="POR3C1R50C13RTSKS15C5LRTHDLRTMT" localSheetId="1">#REF!</definedName>
    <definedName name="POR3C1R50C13RTSKS15C5LRTHDLRTMT">#REF!</definedName>
    <definedName name="POR439C124RTSQKS15C4LRTM0TB0TB0" localSheetId="3">#REF!</definedName>
    <definedName name="POR439C124RTSQKS15C4LRTM0TB0TB0" localSheetId="1">#REF!</definedName>
    <definedName name="POR439C124RTSQKS15C4LRTM0TB0TB0">#REF!</definedName>
    <definedName name="POR52C2R87C15RTMTBTBTBTBTB55RTR" localSheetId="5">#REF!</definedName>
    <definedName name="POR52C2R87C15RTMTBTBTBTBTB55RTR" localSheetId="4">#REF!</definedName>
    <definedName name="POR52C2R87C15RTMTBTBTBTBTB55RTR" localSheetId="3">#REF!</definedName>
    <definedName name="POR52C2R87C15RTMTBTBTBTBTB55RTR" localSheetId="1">#REF!</definedName>
    <definedName name="POR52C2R87C15RTMTBTBTBTBTB55RTR">#REF!</definedName>
    <definedName name="POSFINE" localSheetId="3" hidden="1">#REF!</definedName>
    <definedName name="POSFINE" localSheetId="1" hidden="1">#REF!</definedName>
    <definedName name="POSFINE" hidden="1">#REF!</definedName>
    <definedName name="PositionClass" localSheetId="5">#REF!</definedName>
    <definedName name="PositionClass" localSheetId="4">#REF!</definedName>
    <definedName name="PositionClass" localSheetId="3">#REF!</definedName>
    <definedName name="PositionClass" localSheetId="1">#REF!</definedName>
    <definedName name="PositionClass">#REF!</definedName>
    <definedName name="PP" localSheetId="5">#REF!,#REF!</definedName>
    <definedName name="PP" localSheetId="4">#REF!,#REF!</definedName>
    <definedName name="PP" localSheetId="3">#REF!,#REF!</definedName>
    <definedName name="PP" localSheetId="1">#REF!,#REF!</definedName>
    <definedName name="PP">#REF!,#REF!</definedName>
    <definedName name="PPK" localSheetId="5" hidden="1">{#N/A,#N/A,FALSE,"96 3월물량표";#N/A,#N/A,FALSE,"96 4월물량표";#N/A,#N/A,FALSE,"96 5월물량표"}</definedName>
    <definedName name="PPK" localSheetId="4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localSheetId="1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5">#REF!</definedName>
    <definedName name="ppp" localSheetId="4">#REF!</definedName>
    <definedName name="ppp" localSheetId="3">#REF!</definedName>
    <definedName name="ppp" localSheetId="1">#REF!</definedName>
    <definedName name="ppp">#REF!</definedName>
    <definedName name="PPP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 localSheetId="5">#REF!</definedName>
    <definedName name="ppppppp" localSheetId="4">#REF!</definedName>
    <definedName name="ppppppp" localSheetId="3">#REF!</definedName>
    <definedName name="ppppppp" localSheetId="1">#REF!</definedName>
    <definedName name="ppppppp">#REF!</definedName>
    <definedName name="ppppppppppppppppppppppppppppppppp" localSheetId="3">#REF!</definedName>
    <definedName name="ppppppppppppppppppppppppppppppppp" localSheetId="1">#REF!</definedName>
    <definedName name="ppppppppppppppppppppppppppppppppp">#REF!</definedName>
    <definedName name="PQ점수">"Dialog Frame 1"</definedName>
    <definedName name="PRELIM_TM2" localSheetId="5">#REF!</definedName>
    <definedName name="PRELIM_TM2" localSheetId="4">#REF!</definedName>
    <definedName name="PRELIM_TM2" localSheetId="3">#REF!</definedName>
    <definedName name="PRELIM_TM2" localSheetId="1">#REF!</definedName>
    <definedName name="PRELIM_TM2">#REF!</definedName>
    <definedName name="press" localSheetId="3" hidden="1">#REF!</definedName>
    <definedName name="press" localSheetId="1" hidden="1">#REF!</definedName>
    <definedName name="press" hidden="1">#REF!</definedName>
    <definedName name="press2" localSheetId="3" hidden="1">#REF!</definedName>
    <definedName name="press2" localSheetId="1" hidden="1">#REF!</definedName>
    <definedName name="press2" hidden="1">#REF!</definedName>
    <definedName name="press3" localSheetId="3" hidden="1">#REF!</definedName>
    <definedName name="press3" localSheetId="1" hidden="1">#REF!</definedName>
    <definedName name="press3" hidden="1">#REF!</definedName>
    <definedName name="press4" localSheetId="3" hidden="1">#REF!</definedName>
    <definedName name="press4" localSheetId="1" hidden="1">#REF!</definedName>
    <definedName name="press4" hidden="1">#REF!</definedName>
    <definedName name="press5" localSheetId="3" hidden="1">#REF!</definedName>
    <definedName name="press5" localSheetId="1" hidden="1">#REF!</definedName>
    <definedName name="press5" hidden="1">#REF!</definedName>
    <definedName name="press6" localSheetId="3" hidden="1">#REF!</definedName>
    <definedName name="press6" localSheetId="1" hidden="1">#REF!</definedName>
    <definedName name="press6" hidden="1">#REF!</definedName>
    <definedName name="PRIME" localSheetId="3">#REF!</definedName>
    <definedName name="PRIME" localSheetId="1">#REF!</definedName>
    <definedName name="PRIME">#REF!</definedName>
    <definedName name="PRIMTH">2</definedName>
    <definedName name="PRIMTH_CHG">4</definedName>
    <definedName name="print" localSheetId="5">#REF!</definedName>
    <definedName name="print" localSheetId="4">#REF!</definedName>
    <definedName name="print" localSheetId="3">#REF!</definedName>
    <definedName name="print" localSheetId="1">#REF!</definedName>
    <definedName name="print">#REF!</definedName>
    <definedName name="_xlnm.Print_Area" localSheetId="5">Cash_after!$B$1:$AF$43</definedName>
    <definedName name="_xlnm.Print_Area" localSheetId="4">Cash_before!$B$1:$AF$43</definedName>
    <definedName name="_xlnm.Print_Area" localSheetId="3">#REF!</definedName>
    <definedName name="_xlnm.Print_Area" localSheetId="1">#REF!</definedName>
    <definedName name="_xlnm.Print_Area">#REF!</definedName>
    <definedName name="Print_Area_MI" localSheetId="5">#REF!</definedName>
    <definedName name="Print_Area_MI" localSheetId="4">#REF!</definedName>
    <definedName name="Print_Area_MI" localSheetId="3">#REF!</definedName>
    <definedName name="Print_Area_MI" localSheetId="1">#REF!</definedName>
    <definedName name="Print_Area_MI">#REF!</definedName>
    <definedName name="PRINT_AREA_MI1" localSheetId="5">#REF!</definedName>
    <definedName name="PRINT_AREA_MI1" localSheetId="4">#REF!</definedName>
    <definedName name="PRINT_AREA_MI1" localSheetId="3">#REF!</definedName>
    <definedName name="PRINT_AREA_MI1" localSheetId="1">#REF!</definedName>
    <definedName name="PRINT_AREA_MI1">#REF!</definedName>
    <definedName name="Print_Dedail" localSheetId="3">#REF!</definedName>
    <definedName name="Print_Dedail" localSheetId="1">#REF!</definedName>
    <definedName name="Print_Dedail">#REF!</definedName>
    <definedName name="_xlnm.Print_Titles" localSheetId="3">#REF!</definedName>
    <definedName name="_xlnm.Print_Titles" localSheetId="1">#REF!</definedName>
    <definedName name="_xlnm.Print_Titles">#REF!</definedName>
    <definedName name="Print_Titles_MI" localSheetId="3">#REF!</definedName>
    <definedName name="Print_Titles_MI" localSheetId="1">#REF!</definedName>
    <definedName name="Print_Titles_MI">#REF!</definedName>
    <definedName name="PRINT1">#N/A</definedName>
    <definedName name="printarea" localSheetId="5">#REF!</definedName>
    <definedName name="printarea" localSheetId="4">#REF!</definedName>
    <definedName name="printarea" localSheetId="3">#REF!</definedName>
    <definedName name="printarea" localSheetId="1">#REF!</definedName>
    <definedName name="printarea">#REF!</definedName>
    <definedName name="printer_titles" localSheetId="3">#REF!</definedName>
    <definedName name="printer_titles" localSheetId="1">#REF!</definedName>
    <definedName name="printer_titles">#REF!</definedName>
    <definedName name="printing_stationery" localSheetId="3">#REF!</definedName>
    <definedName name="printing_stationery" localSheetId="1">#REF!</definedName>
    <definedName name="printing_stationery">#REF!</definedName>
    <definedName name="PrintManagerQuery" localSheetId="3">#REF!</definedName>
    <definedName name="PrintManagerQuery" localSheetId="1">#REF!</definedName>
    <definedName name="PrintManagerQuery">#REF!</definedName>
    <definedName name="PrintSelectedSheetsMacroButton" localSheetId="3">#REF!</definedName>
    <definedName name="PrintSelectedSheetsMacroButton" localSheetId="1">#REF!</definedName>
    <definedName name="PrintSelectedSheetsMacroButton">#REF!</definedName>
    <definedName name="PrintTitleArea" localSheetId="3">#REF!</definedName>
    <definedName name="PrintTitleArea" localSheetId="1">#REF!</definedName>
    <definedName name="PrintTitleArea">#REF!</definedName>
    <definedName name="PRO" localSheetId="5" hidden="1">{#N/A,#N/A,TRUE,"일정"}</definedName>
    <definedName name="PRO" localSheetId="4" hidden="1">{#N/A,#N/A,TRUE,"일정"}</definedName>
    <definedName name="PRO" localSheetId="3" hidden="1">{#N/A,#N/A,TRUE,"일정"}</definedName>
    <definedName name="PRO" localSheetId="1" hidden="1">{#N/A,#N/A,TRUE,"일정"}</definedName>
    <definedName name="PRO" hidden="1">{#N/A,#N/A,TRUE,"일정"}</definedName>
    <definedName name="profit" localSheetId="5">#REF!</definedName>
    <definedName name="profit" localSheetId="4">#REF!</definedName>
    <definedName name="profit" localSheetId="3">#REF!</definedName>
    <definedName name="profit" localSheetId="1">#REF!</definedName>
    <definedName name="profit">#REF!</definedName>
    <definedName name="Profits" localSheetId="5">#REF!</definedName>
    <definedName name="Profits" localSheetId="4">#REF!</definedName>
    <definedName name="Profits" localSheetId="3">#REF!</definedName>
    <definedName name="Profits" localSheetId="1">#REF!</definedName>
    <definedName name="Profits">#REF!</definedName>
    <definedName name="Profits_Tax_HK" localSheetId="3">#REF!</definedName>
    <definedName name="Profits_Tax_HK" localSheetId="1">#REF!</definedName>
    <definedName name="Profits_Tax_HK">#REF!</definedName>
    <definedName name="ProImportExport.ImportFile">#N/A</definedName>
    <definedName name="ProImportExport.SaveNewFile">#N/A</definedName>
    <definedName name="PROJEC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 localSheetId="5">#REF!</definedName>
    <definedName name="Project_Name" localSheetId="4">#REF!</definedName>
    <definedName name="Project_Name" localSheetId="3">#REF!</definedName>
    <definedName name="Project_Name" localSheetId="1">#REF!</definedName>
    <definedName name="Project_Name">#REF!</definedName>
    <definedName name="ProjectName" localSheetId="5">{"Client Name or Project Name"}</definedName>
    <definedName name="ProjectName" localSheetId="4">{"Client Name or Project Name"}</definedName>
    <definedName name="ProjectName" localSheetId="3">{"Client Name or Project Name"}</definedName>
    <definedName name="ProjectName" localSheetId="1">{"Client Name or Project Name"}</definedName>
    <definedName name="ProjectName">{"Client Name or Project Name"}</definedName>
    <definedName name="ProjectName2" localSheetId="5">{"Client Name or Project Name"}</definedName>
    <definedName name="ProjectName2" localSheetId="4">{"Client Name or Project Name"}</definedName>
    <definedName name="ProjectName2" localSheetId="3">{"Client Name or Project Name"}</definedName>
    <definedName name="ProjectName2" localSheetId="1">{"Client Name or Project Name"}</definedName>
    <definedName name="ProjectName2">{"Client Name or Project Name"}</definedName>
    <definedName name="promote" localSheetId="3">#REF!</definedName>
    <definedName name="promote" localSheetId="1">#REF!</definedName>
    <definedName name="promote">#REF!</definedName>
    <definedName name="Property_Tax" localSheetId="3">#REF!</definedName>
    <definedName name="Property_Tax" localSheetId="1">#REF!</definedName>
    <definedName name="Property_Tax">#REF!</definedName>
    <definedName name="Property_Units" localSheetId="3">#REF!</definedName>
    <definedName name="Property_Units" localSheetId="1">#REF!</definedName>
    <definedName name="Property_Units">#REF!</definedName>
    <definedName name="Property_Value" localSheetId="3">#REF!</definedName>
    <definedName name="Property_Value" localSheetId="1">#REF!</definedName>
    <definedName name="Property_Value">#REF!</definedName>
    <definedName name="PropertyData" localSheetId="3">#REF!</definedName>
    <definedName name="PropertyData" localSheetId="1">#REF!</definedName>
    <definedName name="PropertyData">#REF!</definedName>
    <definedName name="PROTO" localSheetId="3">#REF!</definedName>
    <definedName name="PROTO" localSheetId="1">#REF!</definedName>
    <definedName name="PROTO">#REF!</definedName>
    <definedName name="PROTO1" localSheetId="3">#REF!</definedName>
    <definedName name="PROTO1" localSheetId="1">#REF!</definedName>
    <definedName name="PROTO1">#REF!</definedName>
    <definedName name="PROTO2" localSheetId="5" hidden="1">{#N/A,#N/A,FALSE,"단축1";#N/A,#N/A,FALSE,"단축2";#N/A,#N/A,FALSE,"단축3";#N/A,#N/A,FALSE,"장축";#N/A,#N/A,FALSE,"4WD"}</definedName>
    <definedName name="PROTO2" localSheetId="4" hidden="1">{#N/A,#N/A,FALSE,"단축1";#N/A,#N/A,FALSE,"단축2";#N/A,#N/A,FALSE,"단축3";#N/A,#N/A,FALSE,"장축";#N/A,#N/A,FALSE,"4WD"}</definedName>
    <definedName name="PROTO2" localSheetId="3" hidden="1">{#N/A,#N/A,FALSE,"단축1";#N/A,#N/A,FALSE,"단축2";#N/A,#N/A,FALSE,"단축3";#N/A,#N/A,FALSE,"장축";#N/A,#N/A,FALSE,"4WD"}</definedName>
    <definedName name="PROTO2" localSheetId="1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5" hidden="1">{#N/A,#N/A,FALSE,"단축1";#N/A,#N/A,FALSE,"단축2";#N/A,#N/A,FALSE,"단축3";#N/A,#N/A,FALSE,"장축";#N/A,#N/A,FALSE,"4WD"}</definedName>
    <definedName name="PROTO3" localSheetId="4" hidden="1">{#N/A,#N/A,FALSE,"단축1";#N/A,#N/A,FALSE,"단축2";#N/A,#N/A,FALSE,"단축3";#N/A,#N/A,FALSE,"장축";#N/A,#N/A,FALSE,"4WD"}</definedName>
    <definedName name="PROTO3" localSheetId="3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 localSheetId="5">#REF!</definedName>
    <definedName name="PTR" localSheetId="4">#REF!</definedName>
    <definedName name="PTR" localSheetId="3">#REF!</definedName>
    <definedName name="PTR" localSheetId="1">#REF!</definedName>
    <definedName name="PTR">#REF!</definedName>
    <definedName name="PURCHASE" localSheetId="3">#REF!</definedName>
    <definedName name="PURCHASE" localSheetId="1">#REF!</definedName>
    <definedName name="PURCHASE">#REF!</definedName>
    <definedName name="PURE" localSheetId="3" hidden="1">#REF!</definedName>
    <definedName name="PURE" localSheetId="1" hidden="1">#REF!</definedName>
    <definedName name="PURE" hidden="1">#REF!</definedName>
    <definedName name="PV_CB" localSheetId="3">#REF!</definedName>
    <definedName name="PV_CB" localSheetId="1">#REF!</definedName>
    <definedName name="PV_CB">#REF!</definedName>
    <definedName name="PV_NO_CB" localSheetId="3">#REF!</definedName>
    <definedName name="PV_NO_CB" localSheetId="1">#REF!</definedName>
    <definedName name="PV_NO_CB">#REF!</definedName>
    <definedName name="py" localSheetId="3">#REF!</definedName>
    <definedName name="py" localSheetId="1">#REF!</definedName>
    <definedName name="py">#REF!</definedName>
    <definedName name="PYA" localSheetId="3">#REF!</definedName>
    <definedName name="PYA" localSheetId="1">#REF!</definedName>
    <definedName name="PYA">#REF!</definedName>
    <definedName name="PYB" localSheetId="3">#REF!</definedName>
    <definedName name="PYB" localSheetId="1">#REF!</definedName>
    <definedName name="PYB">#REF!</definedName>
    <definedName name="PYC" localSheetId="3">#REF!</definedName>
    <definedName name="PYC" localSheetId="1">#REF!</definedName>
    <definedName name="PYC">#REF!</definedName>
    <definedName name="PYD" localSheetId="3">#REF!</definedName>
    <definedName name="PYD" localSheetId="1">#REF!</definedName>
    <definedName name="PYD">#REF!</definedName>
    <definedName name="PYE" localSheetId="3">#REF!</definedName>
    <definedName name="PYE" localSheetId="1">#REF!</definedName>
    <definedName name="PYE">#REF!</definedName>
    <definedName name="PYF" localSheetId="3">#REF!</definedName>
    <definedName name="PYF" localSheetId="1">#REF!</definedName>
    <definedName name="PYF">#REF!</definedName>
    <definedName name="PYG" localSheetId="3">#REF!</definedName>
    <definedName name="PYG" localSheetId="1">#REF!</definedName>
    <definedName name="PYG">#REF!</definedName>
    <definedName name="pyung" localSheetId="3">#REF!</definedName>
    <definedName name="pyung" localSheetId="1">#REF!</definedName>
    <definedName name="pyung">#REF!</definedName>
    <definedName name="Pyung_to_SF" localSheetId="3">#REF!</definedName>
    <definedName name="Pyung_to_SF" localSheetId="1">#REF!</definedName>
    <definedName name="Pyung_to_SF">#REF!</definedName>
    <definedName name="P행" localSheetId="3">#REF!</definedName>
    <definedName name="P행" localSheetId="1">#REF!</definedName>
    <definedName name="P행">#REF!</definedName>
    <definedName name="q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 localSheetId="5">#REF!</definedName>
    <definedName name="Q_ALL" localSheetId="4">#REF!</definedName>
    <definedName name="Q_ALL" localSheetId="3">#REF!</definedName>
    <definedName name="Q_ALL" localSheetId="1">#REF!</definedName>
    <definedName name="Q_ALL">#REF!</definedName>
    <definedName name="Q_실적2" localSheetId="3">#REF!</definedName>
    <definedName name="Q_실적2" localSheetId="1">#REF!</definedName>
    <definedName name="Q_실적2">#REF!</definedName>
    <definedName name="Q2000BUS" localSheetId="3">#REF!</definedName>
    <definedName name="Q2000BUS" localSheetId="1">#REF!</definedName>
    <definedName name="Q2000BUS">#REF!</definedName>
    <definedName name="qa" localSheetId="5" hidden="1">{#N/A,#N/A,FALSE,"Aging Summary";#N/A,#N/A,FALSE,"Ratio Analysis";#N/A,#N/A,FALSE,"Test 120 Day Accts";#N/A,#N/A,FALSE,"Tickmarks"}</definedName>
    <definedName name="qa" localSheetId="4" hidden="1">{#N/A,#N/A,FALSE,"Aging Summary";#N/A,#N/A,FALSE,"Ratio Analysis";#N/A,#N/A,FALSE,"Test 120 Day Accts";#N/A,#N/A,FALSE,"Tickmarks"}</definedName>
    <definedName name="qa" localSheetId="3" hidden="1">{#N/A,#N/A,FALSE,"Aging Summary";#N/A,#N/A,FALSE,"Ratio Analysis";#N/A,#N/A,FALSE,"Test 120 Day Accts";#N/A,#N/A,FALSE,"Tickmarks"}</definedName>
    <definedName name="qa" localSheetId="1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fwe" localSheetId="5" hidden="1">#REF!</definedName>
    <definedName name="qfwe" localSheetId="4" hidden="1">#REF!</definedName>
    <definedName name="qfwe" localSheetId="3" hidden="1">#REF!</definedName>
    <definedName name="qfwe" localSheetId="1" hidden="1">#REF!</definedName>
    <definedName name="qfwe" hidden="1">#REF!</definedName>
    <definedName name="QK" localSheetId="3">#REF!</definedName>
    <definedName name="QK" localSheetId="1">#REF!</definedName>
    <definedName name="QK">#REF!</definedName>
    <definedName name="qkrk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localSheetId="5" hidden="1">{#N/A,#N/A,FALSE,"Aging Summary";#N/A,#N/A,FALSE,"Ratio Analysis";#N/A,#N/A,FALSE,"Test 120 Day Accts";#N/A,#N/A,FALSE,"Tickmarks"}</definedName>
    <definedName name="qkrtnwls" localSheetId="4" hidden="1">{#N/A,#N/A,FALSE,"Aging Summary";#N/A,#N/A,FALSE,"Ratio Analysis";#N/A,#N/A,FALSE,"Test 120 Day Accts";#N/A,#N/A,FALSE,"Tickmarks"}</definedName>
    <definedName name="qkrtnwls" localSheetId="3" hidden="1">{#N/A,#N/A,FALSE,"Aging Summary";#N/A,#N/A,FALSE,"Ratio Analysis";#N/A,#N/A,FALSE,"Test 120 Day Accts";#N/A,#N/A,FALSE,"Tickmarks"}</definedName>
    <definedName name="qkrtnwls" localSheetId="1" hidden="1">{#N/A,#N/A,FALSE,"Aging Summary";#N/A,#N/A,FALSE,"Ratio Analysis";#N/A,#N/A,FALSE,"Test 120 Day Accts";#N/A,#N/A,FALSE,"Tickmarks"}</definedName>
    <definedName name="qkrtnwls" hidden="1">{#N/A,#N/A,FALSE,"Aging Summary";#N/A,#N/A,FALSE,"Ratio Analysis";#N/A,#N/A,FALSE,"Test 120 Day Accts";#N/A,#N/A,FALSE,"Tickmarks"}</definedName>
    <definedName name="QQ" localSheetId="5" hidden="1">{#N/A,#N/A,FALSE,"단축1";#N/A,#N/A,FALSE,"단축2";#N/A,#N/A,FALSE,"단축3";#N/A,#N/A,FALSE,"장축";#N/A,#N/A,FALSE,"4WD"}</definedName>
    <definedName name="QQ" localSheetId="4" hidden="1">{#N/A,#N/A,FALSE,"단축1";#N/A,#N/A,FALSE,"단축2";#N/A,#N/A,FALSE,"단축3";#N/A,#N/A,FALSE,"장축";#N/A,#N/A,FALSE,"4WD"}</definedName>
    <definedName name="QQ" localSheetId="3" hidden="1">{#N/A,#N/A,FALSE,"단축1";#N/A,#N/A,FALSE,"단축2";#N/A,#N/A,FALSE,"단축3";#N/A,#N/A,FALSE,"장축";#N/A,#N/A,FALSE,"4WD"}</definedName>
    <definedName name="QQ" localSheetId="1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" localSheetId="5" hidden="1">{"'買掛金'!$J$6"}</definedName>
    <definedName name="qqq" localSheetId="4" hidden="1">{"'買掛金'!$J$6"}</definedName>
    <definedName name="qqq" localSheetId="3" hidden="1">{"'買掛金'!$J$6"}</definedName>
    <definedName name="qqq" localSheetId="1" hidden="1">{"'買掛金'!$J$6"}</definedName>
    <definedName name="qqq" hidden="1">{"'買掛金'!$J$6"}</definedName>
    <definedName name="QQQAAASSS" localSheetId="5" hidden="1">{#N/A,#N/A,TRUE,"Y생산";#N/A,#N/A,TRUE,"Y판매";#N/A,#N/A,TRUE,"Y총물량";#N/A,#N/A,TRUE,"Y능력";#N/A,#N/A,TRUE,"YKD"}</definedName>
    <definedName name="QQQAAASSS" localSheetId="4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AAASSS_1" localSheetId="5" hidden="1">{#N/A,#N/A,TRUE,"Y생산";#N/A,#N/A,TRUE,"Y판매";#N/A,#N/A,TRUE,"Y총물량";#N/A,#N/A,TRUE,"Y능력";#N/A,#N/A,TRUE,"YKD"}</definedName>
    <definedName name="QQQAAASSS_1" localSheetId="4" hidden="1">{#N/A,#N/A,TRUE,"Y생산";#N/A,#N/A,TRUE,"Y판매";#N/A,#N/A,TRUE,"Y총물량";#N/A,#N/A,TRUE,"Y능력";#N/A,#N/A,TRUE,"YKD"}</definedName>
    <definedName name="QQQAAASSS_1" localSheetId="3" hidden="1">{#N/A,#N/A,TRUE,"Y생산";#N/A,#N/A,TRUE,"Y판매";#N/A,#N/A,TRUE,"Y총물량";#N/A,#N/A,TRUE,"Y능력";#N/A,#N/A,TRUE,"YKD"}</definedName>
    <definedName name="QQQAAASSS_1" localSheetId="1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localSheetId="5" hidden="1">{#N/A,#N/A,FALSE,"단축1";#N/A,#N/A,FALSE,"단축2";#N/A,#N/A,FALSE,"단축3";#N/A,#N/A,FALSE,"장축";#N/A,#N/A,FALSE,"4WD"}</definedName>
    <definedName name="QQQQ" localSheetId="4" hidden="1">{#N/A,#N/A,FALSE,"단축1";#N/A,#N/A,FALSE,"단축2";#N/A,#N/A,FALSE,"단축3";#N/A,#N/A,FALSE,"장축";#N/A,#N/A,FALSE,"4WD"}</definedName>
    <definedName name="QQQQ" localSheetId="3" hidden="1">{#N/A,#N/A,FALSE,"단축1";#N/A,#N/A,FALSE,"단축2";#N/A,#N/A,FALSE,"단축3";#N/A,#N/A,FALSE,"장축";#N/A,#N/A,FALSE,"4WD"}</definedName>
    <definedName name="QQQQ" localSheetId="1" hidden="1">{#N/A,#N/A,FALSE,"단축1";#N/A,#N/A,FALSE,"단축2";#N/A,#N/A,FALSE,"단축3";#N/A,#N/A,FALSE,"장축";#N/A,#N/A,FALSE,"4WD"}</definedName>
    <definedName name="QQQQ" hidden="1">{#N/A,#N/A,FALSE,"단축1";#N/A,#N/A,FALSE,"단축2";#N/A,#N/A,FALSE,"단축3";#N/A,#N/A,FALSE,"장축";#N/A,#N/A,FALSE,"4WD"}</definedName>
    <definedName name="qqqqq" localSheetId="5" hidden="1">#REF!</definedName>
    <definedName name="qqqqq" localSheetId="4" hidden="1">#REF!</definedName>
    <definedName name="qqqqq" localSheetId="3" hidden="1">#REF!</definedName>
    <definedName name="qqqqq" localSheetId="1" hidden="1">#REF!</definedName>
    <definedName name="qqqqq" hidden="1">#REF!</definedName>
    <definedName name="QQQQQQQ" localSheetId="5" hidden="1">{#N/A,#N/A,TRUE,"Y생산";#N/A,#N/A,TRUE,"Y판매";#N/A,#N/A,TRUE,"Y총물량";#N/A,#N/A,TRUE,"Y능력";#N/A,#N/A,TRUE,"YKD"}</definedName>
    <definedName name="QQQQQQQ" localSheetId="4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localSheetId="5" hidden="1">{#N/A,#N/A,TRUE,"Y생산";#N/A,#N/A,TRUE,"Y판매";#N/A,#N/A,TRUE,"Y총물량";#N/A,#N/A,TRUE,"Y능력";#N/A,#N/A,TRUE,"YKD"}</definedName>
    <definedName name="QQQQQQQ_1" localSheetId="4" hidden="1">{#N/A,#N/A,TRUE,"Y생산";#N/A,#N/A,TRUE,"Y판매";#N/A,#N/A,TRUE,"Y총물량";#N/A,#N/A,TRUE,"Y능력";#N/A,#N/A,TRUE,"YKD"}</definedName>
    <definedName name="QQQQQQQ_1" localSheetId="3" hidden="1">{#N/A,#N/A,TRUE,"Y생산";#N/A,#N/A,TRUE,"Y판매";#N/A,#N/A,TRUE,"Y총물량";#N/A,#N/A,TRUE,"Y능력";#N/A,#N/A,TRUE,"YKD"}</definedName>
    <definedName name="QQQQQQQ_1" localSheetId="1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 localSheetId="5">#REF!</definedName>
    <definedName name="qqqqqqqqqq" localSheetId="4">#REF!</definedName>
    <definedName name="qqqqqqqqqq" localSheetId="3">#REF!</definedName>
    <definedName name="qqqqqqqqqq" localSheetId="1">#REF!</definedName>
    <definedName name="qqqqqqqqqq">#REF!</definedName>
    <definedName name="qqqqqqqqqqqqqqqqqqq" localSheetId="3">#REF!</definedName>
    <definedName name="qqqqqqqqqqqqqqqqqqq" localSheetId="1">#REF!</definedName>
    <definedName name="qqqqqqqqqqqqqqqqqqq">#REF!</definedName>
    <definedName name="qqqqqqqqqqqqqqqqqqqqqqqqqqqqqqq" localSheetId="3">#REF!</definedName>
    <definedName name="qqqqqqqqqqqqqqqqqqqqqqqqqqqqqqq" localSheetId="1">#REF!</definedName>
    <definedName name="qqqqqqqqqqqqqqqqqqqqqqqqqqqqqqq">#REF!</definedName>
    <definedName name="qqqw" hidden="1">0</definedName>
    <definedName name="Quality" localSheetId="3">#REF!</definedName>
    <definedName name="Quality" localSheetId="1">#REF!</definedName>
    <definedName name="Quality">#REF!</definedName>
    <definedName name="Query1" localSheetId="3">#REF!</definedName>
    <definedName name="Query1" localSheetId="1">#REF!</definedName>
    <definedName name="Query1">#REF!</definedName>
    <definedName name="quit_button_Click">#N/A</definedName>
    <definedName name="QULITY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5" hidden="1">{#N/A,#N/A,FALSE,"Aging Summary";#N/A,#N/A,FALSE,"Ratio Analysis";#N/A,#N/A,FALSE,"Test 120 Day Accts";#N/A,#N/A,FALSE,"Tickmarks"}</definedName>
    <definedName name="qw" localSheetId="4" hidden="1">{#N/A,#N/A,FALSE,"Aging Summary";#N/A,#N/A,FALSE,"Ratio Analysis";#N/A,#N/A,FALSE,"Test 120 Day Accts";#N/A,#N/A,FALSE,"Tickmarks"}</definedName>
    <definedName name="qw" localSheetId="3" hidden="1">{#N/A,#N/A,FALSE,"Aging Summary";#N/A,#N/A,FALSE,"Ratio Analysis";#N/A,#N/A,FALSE,"Test 120 Day Accts";#N/A,#N/A,FALSE,"Tickmarks"}</definedName>
    <definedName name="qw" localSheetId="1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E" localSheetId="5">#REF!</definedName>
    <definedName name="QWE" localSheetId="4">#REF!</definedName>
    <definedName name="QWE" localSheetId="3">#REF!</definedName>
    <definedName name="QWE" localSheetId="1">#REF!</definedName>
    <definedName name="QWE">#REF!</definedName>
    <definedName name="QWERQ" hidden="1">0</definedName>
    <definedName name="qwqe" localSheetId="5" hidden="1">{#N/A,#N/A,TRUE,"Assumptions";#N/A,#N/A,TRUE,"Sources of Revenue";#N/A,#N/A,TRUE,"P&amp;L";#N/A,#N/A,TRUE,"Bal. Sheet";#N/A,#N/A,TRUE,"Rights Issue &amp; X Adjustment";#N/A,#N/A,TRUE,"Transaction Model"}</definedName>
    <definedName name="qwqe" localSheetId="4" hidden="1">{#N/A,#N/A,TRUE,"Assumptions";#N/A,#N/A,TRUE,"Sources of Revenue";#N/A,#N/A,TRUE,"P&amp;L";#N/A,#N/A,TRUE,"Bal. Sheet";#N/A,#N/A,TRUE,"Rights Issue &amp; X Adjustment";#N/A,#N/A,TRUE,"Transaction Model"}</definedName>
    <definedName name="qwqe" localSheetId="3" hidden="1">{#N/A,#N/A,TRUE,"Assumptions";#N/A,#N/A,TRUE,"Sources of Revenue";#N/A,#N/A,TRUE,"P&amp;L";#N/A,#N/A,TRUE,"Bal. Sheet";#N/A,#N/A,TRUE,"Rights Issue &amp; X Adjustment";#N/A,#N/A,TRUE,"Transaction Model"}</definedName>
    <definedName name="qwqe" localSheetId="1" hidden="1">{#N/A,#N/A,TRUE,"Assumptions";#N/A,#N/A,TRUE,"Sources of Revenue";#N/A,#N/A,TRUE,"P&amp;L";#N/A,#N/A,TRUE,"Bal. Sheet";#N/A,#N/A,TRUE,"Rights Issue &amp; X Adjustment";#N/A,#N/A,TRUE,"Transaction Model"}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 localSheetId="5">#REF!</definedName>
    <definedName name="QWQEW" localSheetId="4">#REF!</definedName>
    <definedName name="QWQEW" localSheetId="3">#REF!</definedName>
    <definedName name="QWQEW" localSheetId="1">#REF!</definedName>
    <definedName name="QWQEW">#REF!</definedName>
    <definedName name="Q행" localSheetId="3">#REF!</definedName>
    <definedName name="Q행" localSheetId="1">#REF!</definedName>
    <definedName name="Q행">#REF!</definedName>
    <definedName name="r_Accident_Data1" localSheetId="5">#REF!,#REF!,#REF!,#REF!,#REF!,#REF!,#REF!</definedName>
    <definedName name="r_Accident_Data1" localSheetId="4">#REF!,#REF!,#REF!,#REF!,#REF!,#REF!,#REF!</definedName>
    <definedName name="r_Accident_Data1" localSheetId="3">#REF!,#REF!,#REF!,#REF!,#REF!,#REF!,#REF!</definedName>
    <definedName name="r_Accident_Data1" localSheetId="1">#REF!,#REF!,#REF!,#REF!,#REF!,#REF!,#REF!</definedName>
    <definedName name="r_Accident_Data1">#REF!,#REF!,#REF!,#REF!,#REF!,#REF!,#REF!</definedName>
    <definedName name="r_Accident_Data2" localSheetId="5">#REF!,#REF!,#REF!,#REF!</definedName>
    <definedName name="r_Accident_Data2" localSheetId="4">#REF!,#REF!,#REF!,#REF!</definedName>
    <definedName name="r_Accident_Data2" localSheetId="3">#REF!,#REF!,#REF!,#REF!</definedName>
    <definedName name="r_Accident_Data2" localSheetId="1">#REF!,#REF!,#REF!,#REF!</definedName>
    <definedName name="r_Accident_Data2">#REF!,#REF!,#REF!,#REF!</definedName>
    <definedName name="r_at_Retirement_DC_Er_Contrib_Match_Cap" localSheetId="5">#REF!</definedName>
    <definedName name="r_at_Retirement_DC_Er_Contrib_Match_Cap" localSheetId="4">#REF!</definedName>
    <definedName name="r_at_Retirement_DC_Er_Contrib_Match_Cap" localSheetId="3">#REF!</definedName>
    <definedName name="r_at_Retirement_DC_Er_Contrib_Match_Cap" localSheetId="1">#REF!</definedName>
    <definedName name="r_at_Retirement_DC_Er_Contrib_Match_Cap">#REF!</definedName>
    <definedName name="r_Compensation_Mix" localSheetId="3">#REF!</definedName>
    <definedName name="r_Compensation_Mix" localSheetId="1">#REF!</definedName>
    <definedName name="r_Compensation_Mix">#REF!</definedName>
    <definedName name="r_Compensation_Mix_Data" localSheetId="3">#REF!</definedName>
    <definedName name="r_Compensation_Mix_Data" localSheetId="1">#REF!</definedName>
    <definedName name="r_Compensation_Mix_Data">#REF!</definedName>
    <definedName name="r_DC_Overallcap" localSheetId="5">#REF!</definedName>
    <definedName name="r_DC_Overallcap" localSheetId="4">#REF!</definedName>
    <definedName name="r_DC_Overallcap" localSheetId="3">#REF!</definedName>
    <definedName name="r_DC_Overallcap" localSheetId="1">#REF!</definedName>
    <definedName name="r_DC_Overallcap">#REF!</definedName>
    <definedName name="r_Inpatient_Data1" localSheetId="5">#REF!,#REF!,#REF!</definedName>
    <definedName name="r_Inpatient_Data1" localSheetId="4">#REF!,#REF!,#REF!</definedName>
    <definedName name="r_Inpatient_Data1" localSheetId="3">#REF!,#REF!,#REF!</definedName>
    <definedName name="r_Inpatient_Data1" localSheetId="1">#REF!,#REF!,#REF!</definedName>
    <definedName name="r_Inpatient_Data1">#REF!,#REF!,#REF!</definedName>
    <definedName name="r_Inpatient_Data2" localSheetId="5">#REF!,#REF!,#REF!,#REF!</definedName>
    <definedName name="r_Inpatient_Data2" localSheetId="4">#REF!,#REF!,#REF!,#REF!</definedName>
    <definedName name="r_Inpatient_Data2" localSheetId="3">#REF!,#REF!,#REF!,#REF!</definedName>
    <definedName name="r_Inpatient_Data2" localSheetId="1">#REF!,#REF!,#REF!,#REF!</definedName>
    <definedName name="r_Inpatient_Data2">#REF!,#REF!,#REF!,#REF!</definedName>
    <definedName name="r_Life_Data1" localSheetId="5">#REF!,#REF!,#REF!,#REF!</definedName>
    <definedName name="r_Life_Data1" localSheetId="4">#REF!,#REF!,#REF!,#REF!</definedName>
    <definedName name="r_Life_Data1" localSheetId="3">#REF!,#REF!,#REF!,#REF!</definedName>
    <definedName name="r_Life_Data1" localSheetId="1">#REF!,#REF!,#REF!,#REF!</definedName>
    <definedName name="r_Life_Data1">#REF!,#REF!,#REF!,#REF!</definedName>
    <definedName name="r_Life_Data2" localSheetId="5">#REF!,#REF!,#REF!,#REF!</definedName>
    <definedName name="r_Life_Data2" localSheetId="4">#REF!,#REF!,#REF!,#REF!</definedName>
    <definedName name="r_Life_Data2" localSheetId="3">#REF!,#REF!,#REF!,#REF!</definedName>
    <definedName name="r_Life_Data2" localSheetId="1">#REF!,#REF!,#REF!,#REF!</definedName>
    <definedName name="r_Life_Data2">#REF!,#REF!,#REF!,#REF!</definedName>
    <definedName name="r_Outpatient_Data" localSheetId="5">#REF!,#REF!,#REF!,#REF!,#REF!,#REF!,#REF!,#REF!,#REF!,#REF!,#REF!,#REF!</definedName>
    <definedName name="r_Outpatient_Data" localSheetId="4">#REF!,#REF!,#REF!,#REF!,#REF!,#REF!,#REF!,#REF!,#REF!,#REF!,#REF!,#REF!</definedName>
    <definedName name="r_Outpatient_Data" localSheetId="3">#REF!,#REF!,#REF!,#REF!,#REF!,#REF!,#REF!,#REF!,#REF!,#REF!,#REF!,#REF!</definedName>
    <definedName name="r_Outpatient_Data" localSheetId="1">#REF!,#REF!,#REF!,#REF!,#REF!,#REF!,#REF!,#REF!,#REF!,#REF!,#REF!,#REF!</definedName>
    <definedName name="r_Outpatient_Data">#REF!,#REF!,#REF!,#REF!,#REF!,#REF!,#REF!,#REF!,#REF!,#REF!,#REF!,#REF!</definedName>
    <definedName name="r_Outpatient_Data1" localSheetId="5">#REF!,#REF!,#REF!</definedName>
    <definedName name="r_Outpatient_Data1" localSheetId="4">#REF!,#REF!,#REF!</definedName>
    <definedName name="r_Outpatient_Data1" localSheetId="3">#REF!,#REF!,#REF!</definedName>
    <definedName name="r_Outpatient_Data1" localSheetId="1">#REF!,#REF!,#REF!</definedName>
    <definedName name="r_Outpatient_Data1">#REF!,#REF!,#REF!</definedName>
    <definedName name="r_Outpatient_Data2" localSheetId="5">#REF!,#REF!,#REF!,#REF!</definedName>
    <definedName name="r_Outpatient_Data2" localSheetId="4">#REF!,#REF!,#REF!,#REF!</definedName>
    <definedName name="r_Outpatient_Data2" localSheetId="3">#REF!,#REF!,#REF!,#REF!</definedName>
    <definedName name="r_Outpatient_Data2" localSheetId="1">#REF!,#REF!,#REF!,#REF!</definedName>
    <definedName name="r_Outpatient_Data2">#REF!,#REF!,#REF!,#REF!</definedName>
    <definedName name="r_Prof_Shar" localSheetId="5">#REF!</definedName>
    <definedName name="r_Prof_Shar" localSheetId="4">#REF!</definedName>
    <definedName name="r_Prof_Shar" localSheetId="3">#REF!</definedName>
    <definedName name="r_Prof_Shar" localSheetId="1">#REF!</definedName>
    <definedName name="r_Prof_Shar">#REF!</definedName>
    <definedName name="r_Profit_Sharing" localSheetId="3">#REF!</definedName>
    <definedName name="r_Profit_Sharing" localSheetId="1">#REF!</definedName>
    <definedName name="r_Profit_Sharing">#REF!</definedName>
    <definedName name="r_raise" localSheetId="3">#REF!</definedName>
    <definedName name="r_raise" localSheetId="1">#REF!</definedName>
    <definedName name="r_raise">#REF!</definedName>
    <definedName name="r_Sales_Inc" localSheetId="3">#REF!</definedName>
    <definedName name="r_Sales_Inc" localSheetId="1">#REF!</definedName>
    <definedName name="r_Sales_Inc">#REF!</definedName>
    <definedName name="r_Sales_Incentives1" localSheetId="3">#REF!</definedName>
    <definedName name="r_Sales_Incentives1" localSheetId="1">#REF!</definedName>
    <definedName name="r_Sales_Incentives1">#REF!</definedName>
    <definedName name="r_Sales_Incentives2" localSheetId="3">#REF!</definedName>
    <definedName name="r_Sales_Incentives2" localSheetId="1">#REF!</definedName>
    <definedName name="r_Sales_Incentives2">#REF!</definedName>
    <definedName name="r_Sales_Incentives3" localSheetId="3">#REF!</definedName>
    <definedName name="r_Sales_Incentives3" localSheetId="1">#REF!</definedName>
    <definedName name="r_Sales_Incentives3">#REF!</definedName>
    <definedName name="r_Sales_Incentives4" localSheetId="5">#REF!,#REF!,#REF!,#REF!,#REF!,#REF!</definedName>
    <definedName name="r_Sales_Incentives4" localSheetId="4">#REF!,#REF!,#REF!,#REF!,#REF!,#REF!</definedName>
    <definedName name="r_Sales_Incentives4" localSheetId="3">#REF!,#REF!,#REF!,#REF!,#REF!,#REF!</definedName>
    <definedName name="r_Sales_Incentives4" localSheetId="1">#REF!,#REF!,#REF!,#REF!,#REF!,#REF!</definedName>
    <definedName name="r_Sales_Incentives4">#REF!,#REF!,#REF!,#REF!,#REF!,#REF!</definedName>
    <definedName name="r_STI_SALSINCT_Data1" localSheetId="5">#REF!,#REF!,#REF!,#REF!,#REF!,#REF!,#REF!</definedName>
    <definedName name="r_STI_SALSINCT_Data1" localSheetId="4">#REF!,#REF!,#REF!,#REF!,#REF!,#REF!,#REF!</definedName>
    <definedName name="r_STI_SALSINCT_Data1" localSheetId="3">#REF!,#REF!,#REF!,#REF!,#REF!,#REF!,#REF!</definedName>
    <definedName name="r_STI_SALSINCT_Data1" localSheetId="1">#REF!,#REF!,#REF!,#REF!,#REF!,#REF!,#REF!</definedName>
    <definedName name="r_STI_SALSINCT_Data1">#REF!,#REF!,#REF!,#REF!,#REF!,#REF!,#REF!</definedName>
    <definedName name="r_v_Bon" localSheetId="5">#REF!</definedName>
    <definedName name="r_v_Bon" localSheetId="4">#REF!</definedName>
    <definedName name="r_v_Bon" localSheetId="3">#REF!</definedName>
    <definedName name="r_v_Bon" localSheetId="1">#REF!</definedName>
    <definedName name="r_v_Bon">#REF!</definedName>
    <definedName name="r_v_Bonus1" localSheetId="3">#REF!</definedName>
    <definedName name="r_v_Bonus1" localSheetId="1">#REF!</definedName>
    <definedName name="r_v_Bonus1">#REF!</definedName>
    <definedName name="r_v_Bonus2" localSheetId="3">#REF!</definedName>
    <definedName name="r_v_Bonus2" localSheetId="1">#REF!</definedName>
    <definedName name="r_v_Bonus2">#REF!</definedName>
    <definedName name="r_v_Bonus3" localSheetId="3">#REF!</definedName>
    <definedName name="r_v_Bonus3" localSheetId="1">#REF!</definedName>
    <definedName name="r_v_Bonus3">#REF!</definedName>
    <definedName name="r_v_Bonus4" localSheetId="5">#REF!,#REF!,#REF!,#REF!</definedName>
    <definedName name="r_v_Bonus4" localSheetId="4">#REF!,#REF!,#REF!,#REF!</definedName>
    <definedName name="r_v_Bonus4" localSheetId="3">#REF!,#REF!,#REF!,#REF!</definedName>
    <definedName name="r_v_Bonus4" localSheetId="1">#REF!,#REF!,#REF!,#REF!</definedName>
    <definedName name="r_v_Bonus4">#REF!,#REF!,#REF!,#REF!</definedName>
    <definedName name="radsdffsda" localSheetId="5" hidden="1">#REF!</definedName>
    <definedName name="radsdffsda" localSheetId="4" hidden="1">#REF!</definedName>
    <definedName name="radsdffsda" localSheetId="3" hidden="1">#REF!</definedName>
    <definedName name="radsdffsda" localSheetId="1" hidden="1">#REF!</definedName>
    <definedName name="radsdffsda" hidden="1">#REF!</definedName>
    <definedName name="range" localSheetId="3">#REF!</definedName>
    <definedName name="range" localSheetId="1">#REF!</definedName>
    <definedName name="range">#REF!</definedName>
    <definedName name="range2" localSheetId="3">#REF!</definedName>
    <definedName name="range2" localSheetId="1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 localSheetId="5">#REF!</definedName>
    <definedName name="rate_1" localSheetId="4">#REF!</definedName>
    <definedName name="rate_1" localSheetId="3">#REF!</definedName>
    <definedName name="rate_1" localSheetId="1">#REF!</definedName>
    <definedName name="rate_1">#REF!</definedName>
    <definedName name="rate_2" localSheetId="3">#REF!</definedName>
    <definedName name="rate_2" localSheetId="1">#REF!</definedName>
    <definedName name="rate_2">#REF!</definedName>
    <definedName name="rate_3" localSheetId="3">#REF!</definedName>
    <definedName name="rate_3" localSheetId="1">#REF!</definedName>
    <definedName name="rate_3">#REF!</definedName>
    <definedName name="rate_4" localSheetId="3">#REF!</definedName>
    <definedName name="rate_4" localSheetId="1">#REF!</definedName>
    <definedName name="rate_4">#REF!</definedName>
    <definedName name="rate_5" localSheetId="3">#REF!</definedName>
    <definedName name="rate_5" localSheetId="1">#REF!</definedName>
    <definedName name="rate_5">#REF!</definedName>
    <definedName name="rate_6" localSheetId="3">#REF!</definedName>
    <definedName name="rate_6" localSheetId="1">#REF!</definedName>
    <definedName name="rate_6">#REF!</definedName>
    <definedName name="RDGRGERTY" localSheetId="5">#REF!</definedName>
    <definedName name="RDGRGERTY" localSheetId="4">#REF!</definedName>
    <definedName name="RDGRGERTY" localSheetId="3">#REF!</definedName>
    <definedName name="RDGRGERTY" localSheetId="1">#REF!</definedName>
    <definedName name="RDGRGERTY">#REF!</definedName>
    <definedName name="realisé" localSheetId="5">#REF!</definedName>
    <definedName name="realisé" localSheetId="4">#REF!</definedName>
    <definedName name="realisé" localSheetId="3">#REF!</definedName>
    <definedName name="realisé" localSheetId="1">#REF!</definedName>
    <definedName name="realisé">#REF!</definedName>
    <definedName name="Rebate" localSheetId="5" hidden="1">{#N/A,#N/A,FALSE,"Aging Summary";#N/A,#N/A,FALSE,"Ratio Analysis";#N/A,#N/A,FALSE,"Test 120 Day Accts";#N/A,#N/A,FALSE,"Tickmarks"}</definedName>
    <definedName name="Rebate" localSheetId="4" hidden="1">{#N/A,#N/A,FALSE,"Aging Summary";#N/A,#N/A,FALSE,"Ratio Analysis";#N/A,#N/A,FALSE,"Test 120 Day Accts";#N/A,#N/A,FALSE,"Tickmarks"}</definedName>
    <definedName name="Rebate" localSheetId="3" hidden="1">{#N/A,#N/A,FALSE,"Aging Summary";#N/A,#N/A,FALSE,"Ratio Analysis";#N/A,#N/A,FALSE,"Test 120 Day Accts";#N/A,#N/A,FALSE,"Tickmarks"}</definedName>
    <definedName name="Rebate" localSheetId="1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CORD" localSheetId="5">#REF!</definedName>
    <definedName name="RECORD" localSheetId="4">#REF!</definedName>
    <definedName name="RECORD" localSheetId="3">#REF!</definedName>
    <definedName name="RECORD" localSheetId="1">#REF!</definedName>
    <definedName name="RECORD">#REF!</definedName>
    <definedName name="_xlnm.Recorder" localSheetId="3">#REF!</definedName>
    <definedName name="_xlnm.Recorder" localSheetId="1">#REF!</definedName>
    <definedName name="_xlnm.Recorder">#REF!</definedName>
    <definedName name="recs" localSheetId="5">#REF!</definedName>
    <definedName name="recs" localSheetId="4">#REF!</definedName>
    <definedName name="recs" localSheetId="3">#REF!</definedName>
    <definedName name="recs" localSheetId="1">#REF!</definedName>
    <definedName name="recs">#REF!</definedName>
    <definedName name="ref" localSheetId="3">#REF!</definedName>
    <definedName name="ref" localSheetId="1">#REF!</definedName>
    <definedName name="ref">#REF!</definedName>
    <definedName name="Refi" localSheetId="3">#REF!</definedName>
    <definedName name="Refi" localSheetId="1">#REF!</definedName>
    <definedName name="Refi">#REF!</definedName>
    <definedName name="refinance" localSheetId="3">#REF!</definedName>
    <definedName name="refinance" localSheetId="1">#REF!</definedName>
    <definedName name="refinance">#REF!</definedName>
    <definedName name="Refurbish_Begin" localSheetId="3">#REF!</definedName>
    <definedName name="Refurbish_Begin" localSheetId="1">#REF!</definedName>
    <definedName name="Refurbish_Begin">#REF!</definedName>
    <definedName name="Refurbish_End" localSheetId="3">#REF!</definedName>
    <definedName name="Refurbish_End" localSheetId="1">#REF!</definedName>
    <definedName name="Refurbish_End">#REF!</definedName>
    <definedName name="Refurbishment" localSheetId="3">#REF!</definedName>
    <definedName name="Refurbishment" localSheetId="1">#REF!</definedName>
    <definedName name="Refurbishment">#REF!</definedName>
    <definedName name="refx" localSheetId="3">#REF!</definedName>
    <definedName name="refx" localSheetId="1">#REF!</definedName>
    <definedName name="refx">#REF!</definedName>
    <definedName name="region" localSheetId="5">#REF!</definedName>
    <definedName name="region" localSheetId="4">#REF!</definedName>
    <definedName name="region" localSheetId="3">#REF!</definedName>
    <definedName name="region" localSheetId="1">#REF!</definedName>
    <definedName name="region">#REF!</definedName>
    <definedName name="Region_AT" localSheetId="3">#REF!</definedName>
    <definedName name="Region_AT" localSheetId="1">#REF!</definedName>
    <definedName name="Region_AT">#REF!</definedName>
    <definedName name="Region_BA" localSheetId="3">#REF!</definedName>
    <definedName name="Region_BA" localSheetId="1">#REF!</definedName>
    <definedName name="Region_BA">#REF!</definedName>
    <definedName name="Region_BE" localSheetId="3">#REF!</definedName>
    <definedName name="Region_BE" localSheetId="1">#REF!</definedName>
    <definedName name="Region_BE">#REF!</definedName>
    <definedName name="Region_BG" localSheetId="3">#REF!</definedName>
    <definedName name="Region_BG" localSheetId="1">#REF!</definedName>
    <definedName name="Region_BG">#REF!</definedName>
    <definedName name="Region_CH" localSheetId="3">#REF!</definedName>
    <definedName name="Region_CH" localSheetId="1">#REF!</definedName>
    <definedName name="Region_CH">#REF!</definedName>
    <definedName name="Region_CZ" localSheetId="3">#REF!</definedName>
    <definedName name="Region_CZ" localSheetId="1">#REF!</definedName>
    <definedName name="Region_CZ">#REF!</definedName>
    <definedName name="Region_DE" localSheetId="3">#REF!</definedName>
    <definedName name="Region_DE" localSheetId="1">#REF!</definedName>
    <definedName name="Region_DE">#REF!</definedName>
    <definedName name="Region_DK" localSheetId="3">#REF!</definedName>
    <definedName name="Region_DK" localSheetId="1">#REF!</definedName>
    <definedName name="Region_DK">#REF!</definedName>
    <definedName name="Region_EE" localSheetId="3">#REF!</definedName>
    <definedName name="Region_EE" localSheetId="1">#REF!</definedName>
    <definedName name="Region_EE">#REF!</definedName>
    <definedName name="Region_ES" localSheetId="3">#REF!</definedName>
    <definedName name="Region_ES" localSheetId="1">#REF!</definedName>
    <definedName name="Region_ES">#REF!</definedName>
    <definedName name="Region_FI" localSheetId="3">#REF!</definedName>
    <definedName name="Region_FI" localSheetId="1">#REF!</definedName>
    <definedName name="Region_FI">#REF!</definedName>
    <definedName name="Region_FR" localSheetId="3">#REF!</definedName>
    <definedName name="Region_FR" localSheetId="1">#REF!</definedName>
    <definedName name="Region_FR">#REF!</definedName>
    <definedName name="Region_HR" localSheetId="3">#REF!</definedName>
    <definedName name="Region_HR" localSheetId="1">#REF!</definedName>
    <definedName name="Region_HR">#REF!</definedName>
    <definedName name="Region_HU" localSheetId="3">#REF!</definedName>
    <definedName name="Region_HU" localSheetId="1">#REF!</definedName>
    <definedName name="Region_HU">#REF!</definedName>
    <definedName name="Region_IE" localSheetId="3">#REF!</definedName>
    <definedName name="Region_IE" localSheetId="1">#REF!</definedName>
    <definedName name="Region_IE">#REF!</definedName>
    <definedName name="Region_IS" localSheetId="3">#REF!</definedName>
    <definedName name="Region_IS" localSheetId="1">#REF!</definedName>
    <definedName name="Region_IS">#REF!</definedName>
    <definedName name="Region_IT" localSheetId="3">#REF!</definedName>
    <definedName name="Region_IT" localSheetId="1">#REF!</definedName>
    <definedName name="Region_IT">#REF!</definedName>
    <definedName name="Region_LT" localSheetId="3">#REF!</definedName>
    <definedName name="Region_LT" localSheetId="1">#REF!</definedName>
    <definedName name="Region_LT">#REF!</definedName>
    <definedName name="Region_LV" localSheetId="3">#REF!</definedName>
    <definedName name="Region_LV" localSheetId="1">#REF!</definedName>
    <definedName name="Region_LV">#REF!</definedName>
    <definedName name="Region_MK" localSheetId="3">#REF!</definedName>
    <definedName name="Region_MK" localSheetId="1">#REF!</definedName>
    <definedName name="Region_MK">#REF!</definedName>
    <definedName name="Region_NL" localSheetId="3">#REF!</definedName>
    <definedName name="Region_NL" localSheetId="1">#REF!</definedName>
    <definedName name="Region_NL">#REF!</definedName>
    <definedName name="Region_NO" localSheetId="3">#REF!</definedName>
    <definedName name="Region_NO" localSheetId="1">#REF!</definedName>
    <definedName name="Region_NO">#REF!</definedName>
    <definedName name="Region_PL" localSheetId="3">#REF!</definedName>
    <definedName name="Region_PL" localSheetId="1">#REF!</definedName>
    <definedName name="Region_PL">#REF!</definedName>
    <definedName name="Region_PT" localSheetId="3">#REF!</definedName>
    <definedName name="Region_PT" localSheetId="1">#REF!</definedName>
    <definedName name="Region_PT">#REF!</definedName>
    <definedName name="Region_RO" localSheetId="3">#REF!</definedName>
    <definedName name="Region_RO" localSheetId="1">#REF!</definedName>
    <definedName name="Region_RO">#REF!</definedName>
    <definedName name="Region_RU" localSheetId="3">#REF!</definedName>
    <definedName name="Region_RU" localSheetId="1">#REF!</definedName>
    <definedName name="Region_RU">#REF!</definedName>
    <definedName name="Region_SB" localSheetId="3">#REF!</definedName>
    <definedName name="Region_SB" localSheetId="1">#REF!</definedName>
    <definedName name="Region_SB">#REF!</definedName>
    <definedName name="Region_SE" localSheetId="3">#REF!</definedName>
    <definedName name="Region_SE" localSheetId="1">#REF!</definedName>
    <definedName name="Region_SE">#REF!</definedName>
    <definedName name="Region_SI" localSheetId="3">#REF!</definedName>
    <definedName name="Region_SI" localSheetId="1">#REF!</definedName>
    <definedName name="Region_SI">#REF!</definedName>
    <definedName name="Region_SK" localSheetId="3">#REF!</definedName>
    <definedName name="Region_SK" localSheetId="1">#REF!</definedName>
    <definedName name="Region_SK">#REF!</definedName>
    <definedName name="Region_TR" localSheetId="3">#REF!</definedName>
    <definedName name="Region_TR" localSheetId="1">#REF!</definedName>
    <definedName name="Region_TR">#REF!</definedName>
    <definedName name="Region_UA" localSheetId="3">#REF!</definedName>
    <definedName name="Region_UA" localSheetId="1">#REF!</definedName>
    <definedName name="Region_UA">#REF!</definedName>
    <definedName name="Region_UK" localSheetId="3">#REF!</definedName>
    <definedName name="Region_UK" localSheetId="1">#REF!</definedName>
    <definedName name="Region_UK">#REF!</definedName>
    <definedName name="remaining_mortgage_amount" localSheetId="3">#REF!</definedName>
    <definedName name="remaining_mortgage_amount" localSheetId="1">#REF!</definedName>
    <definedName name="remaining_mortgage_amount">#REF!</definedName>
    <definedName name="REMARK">#N/A</definedName>
    <definedName name="rent" localSheetId="5">#REF!</definedName>
    <definedName name="rent" localSheetId="4">#REF!</definedName>
    <definedName name="rent" localSheetId="3">#REF!</definedName>
    <definedName name="rent" localSheetId="1">#REF!</definedName>
    <definedName name="rent">#REF!</definedName>
    <definedName name="rent_raise" localSheetId="3">#REF!</definedName>
    <definedName name="rent_raise" localSheetId="1">#REF!</definedName>
    <definedName name="rent_raise">#REF!</definedName>
    <definedName name="rent_rebate" localSheetId="3">#REF!</definedName>
    <definedName name="rent_rebate" localSheetId="1">#REF!</definedName>
    <definedName name="rent_rebate">#REF!</definedName>
    <definedName name="rent_rebate_2nd" localSheetId="3">#REF!</definedName>
    <definedName name="rent_rebate_2nd" localSheetId="1">#REF!</definedName>
    <definedName name="rent_rebate_2nd">#REF!</definedName>
    <definedName name="rent_rebate_co" localSheetId="3">#REF!</definedName>
    <definedName name="rent_rebate_co" localSheetId="1">#REF!</definedName>
    <definedName name="rent_rebate_co">#REF!</definedName>
    <definedName name="rent_rebate_indiv" localSheetId="3">#REF!</definedName>
    <definedName name="rent_rebate_indiv" localSheetId="1">#REF!</definedName>
    <definedName name="rent_rebate_indiv">#REF!</definedName>
    <definedName name="rent_rebate_month_end" localSheetId="3">#REF!</definedName>
    <definedName name="rent_rebate_month_end" localSheetId="1">#REF!</definedName>
    <definedName name="rent_rebate_month_end">#REF!</definedName>
    <definedName name="rent_reduction" localSheetId="3">#REF!</definedName>
    <definedName name="rent_reduction" localSheetId="1">#REF!</definedName>
    <definedName name="rent_reduction">#REF!</definedName>
    <definedName name="Rental_Deposit" localSheetId="3">#REF!</definedName>
    <definedName name="Rental_Deposit" localSheetId="1">#REF!</definedName>
    <definedName name="Rental_Deposit">#REF!</definedName>
    <definedName name="Rental_Deposit_Unit" localSheetId="3">#REF!</definedName>
    <definedName name="Rental_Deposit_Unit" localSheetId="1">#REF!</definedName>
    <definedName name="Rental_Deposit_Unit">#REF!</definedName>
    <definedName name="Rentroll" localSheetId="3">#REF!</definedName>
    <definedName name="Rentroll" localSheetId="1">#REF!</definedName>
    <definedName name="Rentroll">#REF!</definedName>
    <definedName name="REP">#N/A</definedName>
    <definedName name="Replacement_Cost" localSheetId="5">#REF!</definedName>
    <definedName name="Replacement_Cost" localSheetId="4">#REF!</definedName>
    <definedName name="Replacement_Cost" localSheetId="3">#REF!</definedName>
    <definedName name="Replacement_Cost" localSheetId="1">#REF!</definedName>
    <definedName name="Replacement_Cost">#REF!</definedName>
    <definedName name="Replacement_Cost_Percent" localSheetId="3">#REF!</definedName>
    <definedName name="Replacement_Cost_Percent" localSheetId="1">#REF!</definedName>
    <definedName name="Replacement_Cost_Percent">#REF!</definedName>
    <definedName name="REPNORMAL">#N/A</definedName>
    <definedName name="reportPl">#N/A</definedName>
    <definedName name="Reset" localSheetId="5">#REF!</definedName>
    <definedName name="Reset" localSheetId="4">#REF!</definedName>
    <definedName name="Reset" localSheetId="3">#REF!</definedName>
    <definedName name="Reset" localSheetId="1">#REF!</definedName>
    <definedName name="Reset">#REF!</definedName>
    <definedName name="RESP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 localSheetId="5">#REF!</definedName>
    <definedName name="resultat" localSheetId="4">#REF!</definedName>
    <definedName name="resultat" localSheetId="3">#REF!</definedName>
    <definedName name="resultat" localSheetId="1">#REF!</definedName>
    <definedName name="resultat">#REF!</definedName>
    <definedName name="resultatcum" localSheetId="3">#REF!</definedName>
    <definedName name="resultatcum" localSheetId="1">#REF!</definedName>
    <definedName name="resultatcum">#REF!</definedName>
    <definedName name="resultatsit1" localSheetId="3">#REF!</definedName>
    <definedName name="resultatsit1" localSheetId="1">#REF!</definedName>
    <definedName name="resultatsit1">#REF!</definedName>
    <definedName name="Ret_Plan" localSheetId="5">#REF!</definedName>
    <definedName name="Ret_Plan" localSheetId="4">#REF!</definedName>
    <definedName name="Ret_Plan" localSheetId="3">#REF!</definedName>
    <definedName name="Ret_Plan" localSheetId="1">#REF!</definedName>
    <definedName name="Ret_Plan">#REF!</definedName>
    <definedName name="Returns" localSheetId="3">#REF!</definedName>
    <definedName name="Returns" localSheetId="1">#REF!</definedName>
    <definedName name="Returns">#REF!</definedName>
    <definedName name="Returns2" localSheetId="3">#REF!</definedName>
    <definedName name="Returns2" localSheetId="1">#REF!</definedName>
    <definedName name="Returns2">#REF!</definedName>
    <definedName name="RevPer" localSheetId="3">#REF!</definedName>
    <definedName name="RevPer" localSheetId="1">#REF!</definedName>
    <definedName name="RevPer">#REF!</definedName>
    <definedName name="RevYN" localSheetId="3">#REF!</definedName>
    <definedName name="RevYN" localSheetId="1">#REF!</definedName>
    <definedName name="RevYN">#REF!</definedName>
    <definedName name="rewr" localSheetId="5" hidden="1">{#N/A,#N/A,FALSE,"이력서&amp;자기소개서"}</definedName>
    <definedName name="rewr" localSheetId="4" hidden="1">{#N/A,#N/A,FALSE,"이력서&amp;자기소개서"}</definedName>
    <definedName name="rewr" localSheetId="3" hidden="1">{#N/A,#N/A,FALSE,"이력서&amp;자기소개서"}</definedName>
    <definedName name="rewr" localSheetId="1" hidden="1">{#N/A,#N/A,FALSE,"이력서&amp;자기소개서"}</definedName>
    <definedName name="rewr" hidden="1">{#N/A,#N/A,FALSE,"이력서&amp;자기소개서"}</definedName>
    <definedName name="rewr_1" localSheetId="5" hidden="1">{#N/A,#N/A,FALSE,"이력서&amp;자기소개서"}</definedName>
    <definedName name="rewr_1" localSheetId="4" hidden="1">{#N/A,#N/A,FALSE,"이력서&amp;자기소개서"}</definedName>
    <definedName name="rewr_1" localSheetId="3" hidden="1">{#N/A,#N/A,FALSE,"이력서&amp;자기소개서"}</definedName>
    <definedName name="rewr_1" localSheetId="1" hidden="1">{#N/A,#N/A,FALSE,"이력서&amp;자기소개서"}</definedName>
    <definedName name="rewr_1" hidden="1">{#N/A,#N/A,FALSE,"이력서&amp;자기소개서"}</definedName>
    <definedName name="rewrs" localSheetId="5" hidden="1">{#N/A,#N/A,FALSE,"이력서&amp;자기소개서"}</definedName>
    <definedName name="rewrs" localSheetId="4" hidden="1">{#N/A,#N/A,FALSE,"이력서&amp;자기소개서"}</definedName>
    <definedName name="rewrs" localSheetId="3" hidden="1">{#N/A,#N/A,FALSE,"이력서&amp;자기소개서"}</definedName>
    <definedName name="rewrs" localSheetId="1" hidden="1">{#N/A,#N/A,FALSE,"이력서&amp;자기소개서"}</definedName>
    <definedName name="rewrs" hidden="1">{#N/A,#N/A,FALSE,"이력서&amp;자기소개서"}</definedName>
    <definedName name="RHD">#N/A</definedName>
    <definedName name="RI_M1" localSheetId="5">#REF!</definedName>
    <definedName name="RI_M1" localSheetId="4">#REF!</definedName>
    <definedName name="RI_M1" localSheetId="3">#REF!</definedName>
    <definedName name="RI_M1" localSheetId="1">#REF!</definedName>
    <definedName name="RI_M1">#REF!</definedName>
    <definedName name="RI_M2" localSheetId="3">#REF!</definedName>
    <definedName name="RI_M2" localSheetId="1">#REF!</definedName>
    <definedName name="RI_M2">#REF!</definedName>
    <definedName name="RI_P1" localSheetId="3">#REF!</definedName>
    <definedName name="RI_P1" localSheetId="1">#REF!</definedName>
    <definedName name="RI_P1">#REF!</definedName>
    <definedName name="RI_P10" localSheetId="3">#REF!</definedName>
    <definedName name="RI_P10" localSheetId="1">#REF!</definedName>
    <definedName name="RI_P10">#REF!</definedName>
    <definedName name="RI_P2" localSheetId="3">#REF!</definedName>
    <definedName name="RI_P2" localSheetId="1">#REF!</definedName>
    <definedName name="RI_P2">#REF!</definedName>
    <definedName name="RI_P3" localSheetId="3">#REF!</definedName>
    <definedName name="RI_P3" localSheetId="1">#REF!</definedName>
    <definedName name="RI_P3">#REF!</definedName>
    <definedName name="RI_P4" localSheetId="3">#REF!</definedName>
    <definedName name="RI_P4" localSheetId="1">#REF!</definedName>
    <definedName name="RI_P4">#REF!</definedName>
    <definedName name="RI_P5" localSheetId="3">#REF!</definedName>
    <definedName name="RI_P5" localSheetId="1">#REF!</definedName>
    <definedName name="RI_P5">#REF!</definedName>
    <definedName name="RI_P6" localSheetId="3">#REF!</definedName>
    <definedName name="RI_P6" localSheetId="1">#REF!</definedName>
    <definedName name="RI_P6">#REF!</definedName>
    <definedName name="RI_P7" localSheetId="3">#REF!</definedName>
    <definedName name="RI_P7" localSheetId="1">#REF!</definedName>
    <definedName name="RI_P7">#REF!</definedName>
    <definedName name="RI_P8" localSheetId="3">#REF!</definedName>
    <definedName name="RI_P8" localSheetId="1">#REF!</definedName>
    <definedName name="RI_P8">#REF!</definedName>
    <definedName name="RI_P9" localSheetId="3">#REF!</definedName>
    <definedName name="RI_P9" localSheetId="1">#REF!</definedName>
    <definedName name="RI_P9">#REF!</definedName>
    <definedName name="RIII_M1" localSheetId="3">#REF!</definedName>
    <definedName name="RIII_M1" localSheetId="1">#REF!</definedName>
    <definedName name="RIII_M1">#REF!</definedName>
    <definedName name="RIII_M2" localSheetId="3">#REF!</definedName>
    <definedName name="RIII_M2" localSheetId="1">#REF!</definedName>
    <definedName name="RIII_M2">#REF!</definedName>
    <definedName name="RIII_P1" localSheetId="3">#REF!</definedName>
    <definedName name="RIII_P1" localSheetId="1">#REF!</definedName>
    <definedName name="RIII_P1">#REF!</definedName>
    <definedName name="RIII_P10" localSheetId="3">#REF!</definedName>
    <definedName name="RIII_P10" localSheetId="1">#REF!</definedName>
    <definedName name="RIII_P10">#REF!</definedName>
    <definedName name="RIII_P2" localSheetId="3">#REF!</definedName>
    <definedName name="RIII_P2" localSheetId="1">#REF!</definedName>
    <definedName name="RIII_P2">#REF!</definedName>
    <definedName name="RIII_P3" localSheetId="3">#REF!</definedName>
    <definedName name="RIII_P3" localSheetId="1">#REF!</definedName>
    <definedName name="RIII_P3">#REF!</definedName>
    <definedName name="RIII_P4" localSheetId="3">#REF!</definedName>
    <definedName name="RIII_P4" localSheetId="1">#REF!</definedName>
    <definedName name="RIII_P4">#REF!</definedName>
    <definedName name="RIII_P5" localSheetId="3">#REF!</definedName>
    <definedName name="RIII_P5" localSheetId="1">#REF!</definedName>
    <definedName name="RIII_P5">#REF!</definedName>
    <definedName name="RIII_P6" localSheetId="3">#REF!</definedName>
    <definedName name="RIII_P6" localSheetId="1">#REF!</definedName>
    <definedName name="RIII_P6">#REF!</definedName>
    <definedName name="RIII_P7" localSheetId="3">#REF!</definedName>
    <definedName name="RIII_P7" localSheetId="1">#REF!</definedName>
    <definedName name="RIII_P7">#REF!</definedName>
    <definedName name="RIII_P8" localSheetId="3">#REF!</definedName>
    <definedName name="RIII_P8" localSheetId="1">#REF!</definedName>
    <definedName name="RIII_P8">#REF!</definedName>
    <definedName name="RIII_P9" localSheetId="3">#REF!</definedName>
    <definedName name="RIII_P9" localSheetId="1">#REF!</definedName>
    <definedName name="RIII_P9">#REF!</definedName>
    <definedName name="Risk" localSheetId="3">#REF!</definedName>
    <definedName name="Risk" localSheetId="1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5">BlankMacro1</definedName>
    <definedName name="RK" localSheetId="4">BlankMacro1</definedName>
    <definedName name="RK" localSheetId="3">BlankMacro1</definedName>
    <definedName name="RK" localSheetId="2">BlankMacro1</definedName>
    <definedName name="RK" localSheetId="1">BlankMacro1</definedName>
    <definedName name="RK" localSheetId="0">BlankMacro1</definedName>
    <definedName name="RK">BlankMacro1</definedName>
    <definedName name="RKSK" localSheetId="5" hidden="1">#REF!</definedName>
    <definedName name="RKSK" localSheetId="4" hidden="1">#REF!</definedName>
    <definedName name="RKSK" localSheetId="3" hidden="1">#REF!</definedName>
    <definedName name="RKSK" localSheetId="1" hidden="1">#REF!</definedName>
    <definedName name="RKSK" hidden="1">#REF!</definedName>
    <definedName name="rkwk" localSheetId="5" hidden="1">{#N/A,#N/A,FALSE,"1.CRITERIA";#N/A,#N/A,FALSE,"2.IS";#N/A,#N/A,FALSE,"3.BS";#N/A,#N/A,FALSE,"4.PER PL";#N/A,#N/A,FALSE,"5.INVESTMENT";#N/A,#N/A,FALSE,"6.공문";#N/A,#N/A,FALSE,"7.netinvest"}</definedName>
    <definedName name="rkwk" localSheetId="4" hidden="1">{#N/A,#N/A,FALSE,"1.CRITERIA";#N/A,#N/A,FALSE,"2.IS";#N/A,#N/A,FALSE,"3.BS";#N/A,#N/A,FALSE,"4.PER PL";#N/A,#N/A,FALSE,"5.INVESTMENT";#N/A,#N/A,FALSE,"6.공문";#N/A,#N/A,FALSE,"7.netinvest"}</definedName>
    <definedName name="rkwk" localSheetId="3" hidden="1">{#N/A,#N/A,FALSE,"1.CRITERIA";#N/A,#N/A,FALSE,"2.IS";#N/A,#N/A,FALSE,"3.BS";#N/A,#N/A,FALSE,"4.PER PL";#N/A,#N/A,FALSE,"5.INVESTMENT";#N/A,#N/A,FALSE,"6.공문";#N/A,#N/A,FALSE,"7.netinvest"}</definedName>
    <definedName name="rkwk" localSheetId="1" hidden="1">{#N/A,#N/A,FALSE,"1.CRITERIA";#N/A,#N/A,FALSE,"2.IS";#N/A,#N/A,FALSE,"3.BS";#N/A,#N/A,FALSE,"4.PER PL";#N/A,#N/A,FALSE,"5.INVESTMENT";#N/A,#N/A,FALSE,"6.공문";#N/A,#N/A,FALSE,"7.netinvest"}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 localSheetId="5">#REF!</definedName>
    <definedName name="RMRMR" localSheetId="4">#REF!</definedName>
    <definedName name="RMRMR" localSheetId="3">#REF!</definedName>
    <definedName name="RMRMR" localSheetId="1">#REF!</definedName>
    <definedName name="RMRMR">#REF!</definedName>
    <definedName name="RNAO" localSheetId="5" hidden="1">{#N/A,#N/A,FALSE,"Aging Summary";#N/A,#N/A,FALSE,"Ratio Analysis";#N/A,#N/A,FALSE,"Test 120 Day Accts";#N/A,#N/A,FALSE,"Tickmarks"}</definedName>
    <definedName name="RNAO" localSheetId="4" hidden="1">{#N/A,#N/A,FALSE,"Aging Summary";#N/A,#N/A,FALSE,"Ratio Analysis";#N/A,#N/A,FALSE,"Test 120 Day Accts";#N/A,#N/A,FALSE,"Tickmarks"}</definedName>
    <definedName name="RNAO" localSheetId="3" hidden="1">{#N/A,#N/A,FALSE,"Aging Summary";#N/A,#N/A,FALSE,"Ratio Analysis";#N/A,#N/A,FALSE,"Test 120 Day Accts";#N/A,#N/A,FALSE,"Tickmarks"}</definedName>
    <definedName name="RNAO" localSheetId="1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nrnf" localSheetId="5" hidden="1">{"'호선별현황(방식)'!$K$22:$P$22","'호선별현황(방식)'!$K$22:$P$22"}</definedName>
    <definedName name="rnrnf" localSheetId="4" hidden="1">{"'호선별현황(방식)'!$K$22:$P$22","'호선별현황(방식)'!$K$22:$P$22"}</definedName>
    <definedName name="rnrnf" localSheetId="3" hidden="1">{"'호선별현황(방식)'!$K$22:$P$22","'호선별현황(방식)'!$K$22:$P$22"}</definedName>
    <definedName name="rnrnf" localSheetId="1" hidden="1">{"'호선별현황(방식)'!$K$22:$P$22","'호선별현황(방식)'!$K$22:$P$22"}</definedName>
    <definedName name="rnrnf" hidden="1">{"'호선별현황(방식)'!$K$22:$P$22","'호선별현황(방식)'!$K$22:$P$22"}</definedName>
    <definedName name="RNRNRNR" localSheetId="5" hidden="1">{#N/A,#N/A,FALSE,"95FW"}</definedName>
    <definedName name="RNRNRNR" localSheetId="4" hidden="1">{#N/A,#N/A,FALSE,"95FW"}</definedName>
    <definedName name="RNRNRNR" localSheetId="3" hidden="1">{#N/A,#N/A,FALSE,"95FW"}</definedName>
    <definedName name="RNRNRNR" localSheetId="1" hidden="1">{#N/A,#N/A,FALSE,"95FW"}</definedName>
    <definedName name="RNRNRNR" hidden="1">{#N/A,#N/A,FALSE,"95FW"}</definedName>
    <definedName name="ROB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localSheetId="5" hidden="1">{#N/A,#N/A,TRUE,"일정"}</definedName>
    <definedName name="ROOF" localSheetId="4" hidden="1">{#N/A,#N/A,TRUE,"일정"}</definedName>
    <definedName name="ROOF" localSheetId="3" hidden="1">{#N/A,#N/A,TRUE,"일정"}</definedName>
    <definedName name="ROOF" localSheetId="1" hidden="1">{#N/A,#N/A,TRUE,"일정"}</definedName>
    <definedName name="ROOF" hidden="1">{#N/A,#N/A,TRUE,"일정"}</definedName>
    <definedName name="ROOF투자명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localSheetId="5" hidden="1">{"AnnualRentRoll",#N/A,FALSE,"RentRoll"}</definedName>
    <definedName name="ropponngi" localSheetId="4" hidden="1">{"AnnualRentRoll",#N/A,FALSE,"RentRoll"}</definedName>
    <definedName name="ropponngi" localSheetId="3" hidden="1">{"AnnualRentRoll",#N/A,FALSE,"RentRoll"}</definedName>
    <definedName name="ropponngi" localSheetId="1" hidden="1">{"AnnualRentRoll",#N/A,FALSE,"RentRoll"}</definedName>
    <definedName name="ropponngi" hidden="1">{"AnnualRentRoll",#N/A,FALSE,"RentRoll"}</definedName>
    <definedName name="ropponngi_1" localSheetId="5" hidden="1">{"AnnualRentRoll",#N/A,FALSE,"RentRoll"}</definedName>
    <definedName name="ropponngi_1" localSheetId="4" hidden="1">{"AnnualRentRoll",#N/A,FALSE,"RentRoll"}</definedName>
    <definedName name="ropponngi_1" localSheetId="3" hidden="1">{"AnnualRentRoll",#N/A,FALSE,"RentRoll"}</definedName>
    <definedName name="ropponngi_1" localSheetId="1" hidden="1">{"AnnualRentRoll",#N/A,FALSE,"RentRoll"}</definedName>
    <definedName name="ropponngi_1" hidden="1">{"AnnualRentRoll",#N/A,FALSE,"RentRoll"}</definedName>
    <definedName name="ROW" localSheetId="5">#REF!</definedName>
    <definedName name="ROW" localSheetId="4">#REF!</definedName>
    <definedName name="ROW" localSheetId="3">#REF!</definedName>
    <definedName name="ROW" localSheetId="1">#REF!</definedName>
    <definedName name="ROW">#REF!</definedName>
    <definedName name="row_Bonus" localSheetId="3">#REF!</definedName>
    <definedName name="row_Bonus" localSheetId="1">#REF!</definedName>
    <definedName name="row_Bonus">#REF!</definedName>
    <definedName name="row_Compensation_Mix" localSheetId="3">#REF!</definedName>
    <definedName name="row_Compensation_Mix" localSheetId="1">#REF!</definedName>
    <definedName name="row_Compensation_Mix">#REF!</definedName>
    <definedName name="row_Cpy_Car_Data" localSheetId="5">#REF!,#REF!,#REF!,#REF!,#REF!,#REF!,#REF!,#REF!,#REF!</definedName>
    <definedName name="row_Cpy_Car_Data" localSheetId="4">#REF!,#REF!,#REF!,#REF!,#REF!,#REF!,#REF!,#REF!,#REF!</definedName>
    <definedName name="row_Cpy_Car_Data" localSheetId="3">#REF!,#REF!,#REF!,#REF!,#REF!,#REF!,#REF!,#REF!,#REF!</definedName>
    <definedName name="row_Cpy_Car_Data" localSheetId="1">#REF!,#REF!,#REF!,#REF!,#REF!,#REF!,#REF!,#REF!,#REF!</definedName>
    <definedName name="row_Cpy_Car_Data">#REF!,#REF!,#REF!,#REF!,#REF!,#REF!,#REF!,#REF!,#REF!</definedName>
    <definedName name="row_DB_Early_Retirement_Data" localSheetId="5">#REF!,#REF!</definedName>
    <definedName name="row_DB_Early_Retirement_Data" localSheetId="4">#REF!,#REF!</definedName>
    <definedName name="row_DB_Early_Retirement_Data" localSheetId="3">#REF!,#REF!</definedName>
    <definedName name="row_DB_Early_Retirement_Data" localSheetId="1">#REF!,#REF!</definedName>
    <definedName name="row_DB_Early_Retirement_Data">#REF!,#REF!</definedName>
    <definedName name="row_DC_mandatory_3_Data" localSheetId="5">#REF!,#REF!,#REF!,#REF!,#REF!,#REF!,#REF!</definedName>
    <definedName name="row_DC_mandatory_3_Data" localSheetId="4">#REF!,#REF!,#REF!,#REF!,#REF!,#REF!,#REF!</definedName>
    <definedName name="row_DC_mandatory_3_Data" localSheetId="3">#REF!,#REF!,#REF!,#REF!,#REF!,#REF!,#REF!</definedName>
    <definedName name="row_DC_mandatory_3_Data" localSheetId="1">#REF!,#REF!,#REF!,#REF!,#REF!,#REF!,#REF!</definedName>
    <definedName name="row_DC_mandatory_3_Data">#REF!,#REF!,#REF!,#REF!,#REF!,#REF!,#REF!</definedName>
    <definedName name="row_Loan_Car_Data" localSheetId="5">#REF!,#REF!,#REF!,#REF!,#REF!,#REF!,#REF!</definedName>
    <definedName name="row_Loan_Car_Data" localSheetId="4">#REF!,#REF!,#REF!,#REF!,#REF!,#REF!,#REF!</definedName>
    <definedName name="row_Loan_Car_Data" localSheetId="3">#REF!,#REF!,#REF!,#REF!,#REF!,#REF!,#REF!</definedName>
    <definedName name="row_Loan_Car_Data" localSheetId="1">#REF!,#REF!,#REF!,#REF!,#REF!,#REF!,#REF!</definedName>
    <definedName name="row_Loan_Car_Data">#REF!,#REF!,#REF!,#REF!,#REF!,#REF!,#REF!</definedName>
    <definedName name="row_Loan_HardSoft_Data" localSheetId="5">#REF!,#REF!,#REF!,#REF!,#REF!,#REF!,#REF!</definedName>
    <definedName name="row_Loan_HardSoft_Data" localSheetId="4">#REF!,#REF!,#REF!,#REF!,#REF!,#REF!,#REF!</definedName>
    <definedName name="row_Loan_HardSoft_Data" localSheetId="3">#REF!,#REF!,#REF!,#REF!,#REF!,#REF!,#REF!</definedName>
    <definedName name="row_Loan_HardSoft_Data" localSheetId="1">#REF!,#REF!,#REF!,#REF!,#REF!,#REF!,#REF!</definedName>
    <definedName name="row_Loan_HardSoft_Data">#REF!,#REF!,#REF!,#REF!,#REF!,#REF!,#REF!</definedName>
    <definedName name="row_Loan_Hse_Data" localSheetId="5">#REF!,#REF!,#REF!,#REF!,#REF!,#REF!,#REF!</definedName>
    <definedName name="row_Loan_Hse_Data" localSheetId="4">#REF!,#REF!,#REF!,#REF!,#REF!,#REF!,#REF!</definedName>
    <definedName name="row_Loan_Hse_Data" localSheetId="3">#REF!,#REF!,#REF!,#REF!,#REF!,#REF!,#REF!</definedName>
    <definedName name="row_Loan_Hse_Data" localSheetId="1">#REF!,#REF!,#REF!,#REF!,#REF!,#REF!,#REF!</definedName>
    <definedName name="row_Loan_Hse_Data">#REF!,#REF!,#REF!,#REF!,#REF!,#REF!,#REF!</definedName>
    <definedName name="row_Loan_Personal_Data" localSheetId="5">#REF!,#REF!,#REF!,#REF!,#REF!,#REF!,#REF!</definedName>
    <definedName name="row_Loan_Personal_Data" localSheetId="4">#REF!,#REF!,#REF!,#REF!,#REF!,#REF!,#REF!</definedName>
    <definedName name="row_Loan_Personal_Data" localSheetId="3">#REF!,#REF!,#REF!,#REF!,#REF!,#REF!,#REF!</definedName>
    <definedName name="row_Loan_Personal_Data" localSheetId="1">#REF!,#REF!,#REF!,#REF!,#REF!,#REF!,#REF!</definedName>
    <definedName name="row_Loan_Personal_Data">#REF!,#REF!,#REF!,#REF!,#REF!,#REF!,#REF!</definedName>
    <definedName name="row_Product_Services" localSheetId="5">#REF!,#REF!</definedName>
    <definedName name="row_Product_Services" localSheetId="4">#REF!,#REF!</definedName>
    <definedName name="row_Product_Services" localSheetId="3">#REF!,#REF!</definedName>
    <definedName name="row_Product_Services" localSheetId="1">#REF!,#REF!</definedName>
    <definedName name="row_Product_Services">#REF!,#REF!</definedName>
    <definedName name="row_Profit_Sharing" localSheetId="5">#REF!</definedName>
    <definedName name="row_Profit_Sharing" localSheetId="4">#REF!</definedName>
    <definedName name="row_Profit_Sharing" localSheetId="3">#REF!</definedName>
    <definedName name="row_Profit_Sharing" localSheetId="1">#REF!</definedName>
    <definedName name="row_Profit_Sharing">#REF!</definedName>
    <definedName name="row_Retirement_Type_1_Data1" localSheetId="5">#REF!,#REF!,#REF!,#REF!,#REF!,#REF!,#REF!,#REF!,#REF!,#REF!</definedName>
    <definedName name="row_Retirement_Type_1_Data1" localSheetId="4">#REF!,#REF!,#REF!,#REF!,#REF!,#REF!,#REF!,#REF!,#REF!,#REF!</definedName>
    <definedName name="row_Retirement_Type_1_Data1" localSheetId="3">#REF!,#REF!,#REF!,#REF!,#REF!,#REF!,#REF!,#REF!,#REF!,#REF!</definedName>
    <definedName name="row_Retirement_Type_1_Data1" localSheetId="1">#REF!,#REF!,#REF!,#REF!,#REF!,#REF!,#REF!,#REF!,#REF!,#REF!</definedName>
    <definedName name="row_Retirement_Type_1_Data1">#REF!,#REF!,#REF!,#REF!,#REF!,#REF!,#REF!,#REF!,#REF!,#REF!</definedName>
    <definedName name="row_Retirement_Type_1_Data2" localSheetId="5">#REF!,#REF!,#REF!,#REF!,#REF!,#REF!</definedName>
    <definedName name="row_Retirement_Type_1_Data2" localSheetId="4">#REF!,#REF!,#REF!,#REF!,#REF!,#REF!</definedName>
    <definedName name="row_Retirement_Type_1_Data2" localSheetId="3">#REF!,#REF!,#REF!,#REF!,#REF!,#REF!</definedName>
    <definedName name="row_Retirement_Type_1_Data2" localSheetId="1">#REF!,#REF!,#REF!,#REF!,#REF!,#REF!</definedName>
    <definedName name="row_Retirement_Type_1_Data2">#REF!,#REF!,#REF!,#REF!,#REF!,#REF!</definedName>
    <definedName name="row_Retirement_Type_2_Data1" localSheetId="5">#REF!,#REF!,#REF!,#REF!,#REF!,#REF!,#REF!,#REF!,#REF!</definedName>
    <definedName name="row_Retirement_Type_2_Data1" localSheetId="4">#REF!,#REF!,#REF!,#REF!,#REF!,#REF!,#REF!,#REF!,#REF!</definedName>
    <definedName name="row_Retirement_Type_2_Data1" localSheetId="3">#REF!,#REF!,#REF!,#REF!,#REF!,#REF!,#REF!,#REF!,#REF!</definedName>
    <definedName name="row_Retirement_Type_2_Data1" localSheetId="1">#REF!,#REF!,#REF!,#REF!,#REF!,#REF!,#REF!,#REF!,#REF!</definedName>
    <definedName name="row_Retirement_Type_2_Data1">#REF!,#REF!,#REF!,#REF!,#REF!,#REF!,#REF!,#REF!,#REF!</definedName>
    <definedName name="row_Retirement_Type_2_Data2" localSheetId="5">#REF!,#REF!,#REF!,#REF!,#REF!,#REF!</definedName>
    <definedName name="row_Retirement_Type_2_Data2" localSheetId="4">#REF!,#REF!,#REF!,#REF!,#REF!,#REF!</definedName>
    <definedName name="row_Retirement_Type_2_Data2" localSheetId="3">#REF!,#REF!,#REF!,#REF!,#REF!,#REF!</definedName>
    <definedName name="row_Retirement_Type_2_Data2" localSheetId="1">#REF!,#REF!,#REF!,#REF!,#REF!,#REF!</definedName>
    <definedName name="row_Retirement_Type_2_Data2">#REF!,#REF!,#REF!,#REF!,#REF!,#REF!</definedName>
    <definedName name="row_Retirement_Type_2_Data3" localSheetId="5">#REF!,#REF!</definedName>
    <definedName name="row_Retirement_Type_2_Data3" localSheetId="4">#REF!,#REF!</definedName>
    <definedName name="row_Retirement_Type_2_Data3" localSheetId="3">#REF!,#REF!</definedName>
    <definedName name="row_Retirement_Type_2_Data3" localSheetId="1">#REF!,#REF!</definedName>
    <definedName name="row_Retirement_Type_2_Data3">#REF!,#REF!</definedName>
    <definedName name="row_Retirement_Type_2_Data4" localSheetId="5">#REF!,#REF!</definedName>
    <definedName name="row_Retirement_Type_2_Data4" localSheetId="4">#REF!,#REF!</definedName>
    <definedName name="row_Retirement_Type_2_Data4" localSheetId="3">#REF!,#REF!</definedName>
    <definedName name="row_Retirement_Type_2_Data4" localSheetId="1">#REF!,#REF!</definedName>
    <definedName name="row_Retirement_Type_2_Data4">#REF!,#REF!</definedName>
    <definedName name="row_Sales_Incentives" localSheetId="5">#REF!</definedName>
    <definedName name="row_Sales_Incentives" localSheetId="4">#REF!</definedName>
    <definedName name="row_Sales_Incentives" localSheetId="3">#REF!</definedName>
    <definedName name="row_Sales_Incentives" localSheetId="1">#REF!</definedName>
    <definedName name="row_Sales_Incentives">#REF!</definedName>
    <definedName name="row_Share_Data" localSheetId="5">#REF!,#REF!,#REF!,#REF!,#REF! ,#REF! ,#REF!</definedName>
    <definedName name="row_Share_Data" localSheetId="4">#REF!,#REF!,#REF!,#REF!,#REF! ,#REF! ,#REF!</definedName>
    <definedName name="row_Share_Data" localSheetId="3">#REF!,#REF!,#REF!,#REF!,#REF! ,#REF! ,#REF!</definedName>
    <definedName name="row_Share_Data" localSheetId="1">#REF!,#REF!,#REF!,#REF!,#REF! ,#REF! ,#REF!</definedName>
    <definedName name="row_Share_Data">#REF!,#REF!,#REF!,#REF!,#REF! ,#REF! ,#REF!</definedName>
    <definedName name="row_Training_Edu_Data" localSheetId="5">#REF!,#REF!</definedName>
    <definedName name="row_Training_Edu_Data" localSheetId="4">#REF!,#REF!</definedName>
    <definedName name="row_Training_Edu_Data" localSheetId="3">#REF!,#REF!</definedName>
    <definedName name="row_Training_Edu_Data" localSheetId="1">#REF!,#REF!</definedName>
    <definedName name="row_Training_Edu_Data">#REF!,#REF!</definedName>
    <definedName name="row_Travel_Ins_Data" localSheetId="5">#REF!,#REF!</definedName>
    <definedName name="row_Travel_Ins_Data" localSheetId="4">#REF!,#REF!</definedName>
    <definedName name="row_Travel_Ins_Data" localSheetId="3">#REF!,#REF!</definedName>
    <definedName name="row_Travel_Ins_Data" localSheetId="1">#REF!,#REF!</definedName>
    <definedName name="row_Travel_Ins_Data">#REF!,#REF!</definedName>
    <definedName name="row_z_last" localSheetId="5">#REF!</definedName>
    <definedName name="row_z_last" localSheetId="4">#REF!</definedName>
    <definedName name="row_z_last" localSheetId="3">#REF!</definedName>
    <definedName name="row_z_last" localSheetId="1">#REF!</definedName>
    <definedName name="row_z_last">#REF!</definedName>
    <definedName name="RowTitleRegion1..G2" localSheetId="3">#REF!</definedName>
    <definedName name="RowTitleRegion1..G2" localSheetId="1">#REF!</definedName>
    <definedName name="RowTitleRegion1..G2">#REF!</definedName>
    <definedName name="RP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 localSheetId="5">#REF!</definedName>
    <definedName name="rr" localSheetId="4">#REF!</definedName>
    <definedName name="rr" localSheetId="3">#REF!</definedName>
    <definedName name="rr" localSheetId="1">#REF!</definedName>
    <definedName name="rr">#REF!</definedName>
    <definedName name="RRR" localSheetId="5" hidden="1">#REF!</definedName>
    <definedName name="RRR" localSheetId="4" hidden="1">#REF!</definedName>
    <definedName name="RRR" localSheetId="3" hidden="1">#REF!</definedName>
    <definedName name="RRR" localSheetId="1" hidden="1">#REF!</definedName>
    <definedName name="RRR" hidden="1">#REF!</definedName>
    <definedName name="RRRR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localSheetId="5">#REF!</definedName>
    <definedName name="RRRRRRR" localSheetId="4">#REF!</definedName>
    <definedName name="RRRRRRR" localSheetId="3">#REF!</definedName>
    <definedName name="RRRRRRR" localSheetId="1">#REF!</definedName>
    <definedName name="RRRRRRR">#REF!</definedName>
    <definedName name="rrrrrrrrrrrr" localSheetId="5">#REF!</definedName>
    <definedName name="rrrrrrrrrrrr" localSheetId="4">#REF!</definedName>
    <definedName name="rrrrrrrrrrrr" localSheetId="3">#REF!</definedName>
    <definedName name="rrrrrrrrrrrr" localSheetId="1">#REF!</definedName>
    <definedName name="rrrrrrrrrrrr">#REF!</definedName>
    <definedName name="rrrrrrrrrrrrrrrrrrrrrrrrrrrrrrrrrrrrrrrrrrrrrrrrrrrrrrrrrrrrrrrrrrrrrrrrrrrrrrrrrrrrrrrrrrrrrrr" localSheetId="3">#REF!</definedName>
    <definedName name="rrrrrrrrrrrrrrrrrrrrrrrrrrrrrrrrrrrrrrrrrrrrrrrrrrrrrrrrrrrrrrrrrrrrrrrrrrrrrrrrrrrrrrrrrrrrrrr" localSheetId="1">#REF!</definedName>
    <definedName name="rrrrrrrrrrrrrrrrrrrrrrrrrrrrrrrrrrrrrrrrrrrrrrrrrrrrrrrrrrrrrrrrrrrrrrrrrrrrrrrrrrrrrrrrrrrrrrr">#REF!</definedName>
    <definedName name="RT" localSheetId="3" hidden="1">#REF!</definedName>
    <definedName name="RT" localSheetId="1" hidden="1">#REF!</definedName>
    <definedName name="RT" hidden="1">#REF!</definedName>
    <definedName name="RT.RTDK" localSheetId="3">#REF!</definedName>
    <definedName name="RT.RTDK" localSheetId="1">#REF!</definedName>
    <definedName name="RT.RTDK">#REF!</definedName>
    <definedName name="RTCLSPRT" localSheetId="5">#REF!</definedName>
    <definedName name="RTCLSPRT" localSheetId="4">#REF!</definedName>
    <definedName name="RTCLSPRT" localSheetId="3">#REF!</definedName>
    <definedName name="RTCLSPRT" localSheetId="1">#REF!</definedName>
    <definedName name="RTCLSPRT">#REF!</definedName>
    <definedName name="rtclsprtdk" localSheetId="3">#REF!</definedName>
    <definedName name="rtclsprtdk" localSheetId="1">#REF!</definedName>
    <definedName name="rtclsprtdk">#REF!</definedName>
    <definedName name="rtyrty" localSheetId="5" hidden="1">{#N/A,#N/A,TRUE,"Assumptions";#N/A,#N/A,TRUE,"Sources of Revenue";#N/A,#N/A,TRUE,"P&amp;L";#N/A,#N/A,TRUE,"Bal. Sheet";#N/A,#N/A,TRUE,"Rights Issue &amp; X Adjustment";#N/A,#N/A,TRUE,"Transaction Model"}</definedName>
    <definedName name="rtyrty" localSheetId="4" hidden="1">{#N/A,#N/A,TRUE,"Assumptions";#N/A,#N/A,TRUE,"Sources of Revenue";#N/A,#N/A,TRUE,"P&amp;L";#N/A,#N/A,TRUE,"Bal. Sheet";#N/A,#N/A,TRUE,"Rights Issue &amp; X Adjustment";#N/A,#N/A,TRUE,"Transaction Model"}</definedName>
    <definedName name="rtyrty" localSheetId="3" hidden="1">{#N/A,#N/A,TRUE,"Assumptions";#N/A,#N/A,TRUE,"Sources of Revenue";#N/A,#N/A,TRUE,"P&amp;L";#N/A,#N/A,TRUE,"Bal. Sheet";#N/A,#N/A,TRUE,"Rights Issue &amp; X Adjustment";#N/A,#N/A,TRUE,"Transaction Model"}</definedName>
    <definedName name="rtyrty" localSheetId="1" hidden="1">{#N/A,#N/A,TRUE,"Assumptions";#N/A,#N/A,TRUE,"Sources of Revenue";#N/A,#N/A,TRUE,"P&amp;L";#N/A,#N/A,TRUE,"Bal. Sheet";#N/A,#N/A,TRUE,"Rights Issue &amp; X Adjustment";#N/A,#N/A,TRUE,"Transaction Model"}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localSheetId="5" hidden="1">{#N/A,#N/A,TRUE,"Assumptions";#N/A,#N/A,TRUE,"Sources of Revenue";#N/A,#N/A,TRUE,"P&amp;L";#N/A,#N/A,TRUE,"Bal. Sheet";#N/A,#N/A,TRUE,"Rights Issue &amp; X Adjustment";#N/A,#N/A,TRUE,"Transaction Model"}</definedName>
    <definedName name="rtyu" localSheetId="4" hidden="1">{#N/A,#N/A,TRUE,"Assumptions";#N/A,#N/A,TRUE,"Sources of Revenue";#N/A,#N/A,TRUE,"P&amp;L";#N/A,#N/A,TRUE,"Bal. Sheet";#N/A,#N/A,TRUE,"Rights Issue &amp; X Adjustment";#N/A,#N/A,TRUE,"Transaction Model"}</definedName>
    <definedName name="rtyu" localSheetId="3" hidden="1">{#N/A,#N/A,TRUE,"Assumptions";#N/A,#N/A,TRUE,"Sources of Revenue";#N/A,#N/A,TRUE,"P&amp;L";#N/A,#N/A,TRUE,"Bal. Sheet";#N/A,#N/A,TRUE,"Rights Issue &amp; X Adjustment";#N/A,#N/A,TRUE,"Transaction Model"}</definedName>
    <definedName name="rtyu" localSheetId="1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 localSheetId="5">#REF!</definedName>
    <definedName name="RT검사" localSheetId="4">#REF!</definedName>
    <definedName name="RT검사" localSheetId="3">#REF!</definedName>
    <definedName name="RT검사" localSheetId="1">#REF!</definedName>
    <definedName name="RT검사">#REF!</definedName>
    <definedName name="RY" localSheetId="3">#REF!</definedName>
    <definedName name="RY" localSheetId="1">#REF!</definedName>
    <definedName name="RY">#REF!</definedName>
    <definedName name="R행" localSheetId="3">#REF!</definedName>
    <definedName name="R행" localSheetId="1">#REF!</definedName>
    <definedName name="R행">#REF!</definedName>
    <definedName name="S" localSheetId="3">#REF!</definedName>
    <definedName name="S" localSheetId="1">#REF!</definedName>
    <definedName name="S">#REF!</definedName>
    <definedName name="s.v_reduction" localSheetId="3">#REF!</definedName>
    <definedName name="s.v_reduction" localSheetId="1">#REF!</definedName>
    <definedName name="s.v_reduction">#REF!</definedName>
    <definedName name="S_Adjust" localSheetId="5">#REF!</definedName>
    <definedName name="S_Adjust" localSheetId="4">#REF!</definedName>
    <definedName name="S_Adjust" localSheetId="3">#REF!</definedName>
    <definedName name="S_Adjust" localSheetId="1">#REF!</definedName>
    <definedName name="S_Adjust">#REF!</definedName>
    <definedName name="S_AJE_Tot" localSheetId="5">#REF!</definedName>
    <definedName name="S_AJE_Tot" localSheetId="4">#REF!</definedName>
    <definedName name="S_AJE_Tot" localSheetId="3">#REF!</definedName>
    <definedName name="S_AJE_Tot" localSheetId="1">#REF!</definedName>
    <definedName name="S_AJE_Tot">#REF!</definedName>
    <definedName name="S_CY_Beg_Data" localSheetId="3">#REF!</definedName>
    <definedName name="S_CY_Beg_Data" localSheetId="1">#REF!</definedName>
    <definedName name="S_CY_Beg_Data">#REF!</definedName>
    <definedName name="S_CY_End" localSheetId="5">#REF!</definedName>
    <definedName name="S_CY_End" localSheetId="4">#REF!</definedName>
    <definedName name="S_CY_End" localSheetId="3">#REF!</definedName>
    <definedName name="S_CY_End" localSheetId="1">#REF!</definedName>
    <definedName name="S_CY_End">#REF!</definedName>
    <definedName name="S_Diff_Amt" localSheetId="5">#REF!</definedName>
    <definedName name="S_Diff_Amt" localSheetId="4">#REF!</definedName>
    <definedName name="S_Diff_Amt" localSheetId="3">#REF!</definedName>
    <definedName name="S_Diff_Amt" localSheetId="1">#REF!</definedName>
    <definedName name="S_Diff_Amt">#REF!</definedName>
    <definedName name="S_Diff_Pct" localSheetId="5">#REF!</definedName>
    <definedName name="S_Diff_Pct" localSheetId="4">#REF!</definedName>
    <definedName name="S_Diff_Pct" localSheetId="3">#REF!</definedName>
    <definedName name="S_Diff_Pct" localSheetId="1">#REF!</definedName>
    <definedName name="S_Diff_Pct">#REF!</definedName>
    <definedName name="s_raise" localSheetId="5">#REF!</definedName>
    <definedName name="s_raise" localSheetId="4">#REF!</definedName>
    <definedName name="s_raise" localSheetId="3">#REF!</definedName>
    <definedName name="s_raise" localSheetId="1">#REF!</definedName>
    <definedName name="s_raise">#REF!</definedName>
    <definedName name="S_RJE_Tot" localSheetId="5">#REF!</definedName>
    <definedName name="S_RJE_Tot" localSheetId="4">#REF!</definedName>
    <definedName name="S_RJE_Tot" localSheetId="3">#REF!</definedName>
    <definedName name="S_RJE_Tot" localSheetId="1">#REF!</definedName>
    <definedName name="S_RJE_Tot">#REF!</definedName>
    <definedName name="S_S" localSheetId="3">#REF!</definedName>
    <definedName name="S_S" localSheetId="1">#REF!</definedName>
    <definedName name="S_S">#REF!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localSheetId="5" hidden="1">{"MonthlyRentRoll",#N/A,FALSE,"RentRoll"}</definedName>
    <definedName name="sadd" localSheetId="4" hidden="1">{"MonthlyRentRoll",#N/A,FALSE,"RentRoll"}</definedName>
    <definedName name="sadd" localSheetId="3" hidden="1">{"MonthlyRentRoll",#N/A,FALSE,"RentRoll"}</definedName>
    <definedName name="sadd" localSheetId="1" hidden="1">{"MonthlyRentRoll",#N/A,FALSE,"RentRoll"}</definedName>
    <definedName name="sadd" hidden="1">{"MonthlyRentRoll",#N/A,FALSE,"RentRoll"}</definedName>
    <definedName name="sadd_1" localSheetId="5" hidden="1">{"MonthlyRentRoll",#N/A,FALSE,"RentRoll"}</definedName>
    <definedName name="sadd_1" localSheetId="4" hidden="1">{"MonthlyRentRoll",#N/A,FALSE,"RentRoll"}</definedName>
    <definedName name="sadd_1" localSheetId="3" hidden="1">{"MonthlyRentRoll",#N/A,FALSE,"RentRoll"}</definedName>
    <definedName name="sadd_1" localSheetId="1" hidden="1">{"MonthlyRentRoll",#N/A,FALSE,"RentRoll"}</definedName>
    <definedName name="sadd_1" hidden="1">{"MonthlyRentRoll",#N/A,FALSE,"RentRoll"}</definedName>
    <definedName name="saddd" localSheetId="5" hidden="1">{"AnnualRentRoll",#N/A,FALSE,"RentRoll"}</definedName>
    <definedName name="saddd" localSheetId="4" hidden="1">{"AnnualRentRoll",#N/A,FALSE,"RentRoll"}</definedName>
    <definedName name="saddd" localSheetId="3" hidden="1">{"AnnualRentRoll",#N/A,FALSE,"RentRoll"}</definedName>
    <definedName name="saddd" localSheetId="1" hidden="1">{"AnnualRentRoll",#N/A,FALSE,"RentRoll"}</definedName>
    <definedName name="saddd" hidden="1">{"AnnualRentRoll",#N/A,FALSE,"RentRoll"}</definedName>
    <definedName name="saddd_1" localSheetId="5" hidden="1">{"AnnualRentRoll",#N/A,FALSE,"RentRoll"}</definedName>
    <definedName name="saddd_1" localSheetId="4" hidden="1">{"AnnualRentRoll",#N/A,FALSE,"RentRoll"}</definedName>
    <definedName name="saddd_1" localSheetId="3" hidden="1">{"AnnualRentRoll",#N/A,FALSE,"RentRoll"}</definedName>
    <definedName name="saddd_1" localSheetId="1" hidden="1">{"AnnualRentRoll",#N/A,FALSE,"RentRoll"}</definedName>
    <definedName name="saddd_1" hidden="1">{"AnnualRentRoll",#N/A,FALSE,"RentRoll"}</definedName>
    <definedName name="saddddd" localSheetId="5" hidden="1">{"AnnualRentRoll",#N/A,FALSE,"RentRoll"}</definedName>
    <definedName name="saddddd" localSheetId="4" hidden="1">{"AnnualRentRoll",#N/A,FALSE,"RentRoll"}</definedName>
    <definedName name="saddddd" localSheetId="3" hidden="1">{"AnnualRentRoll",#N/A,FALSE,"RentRoll"}</definedName>
    <definedName name="saddddd" localSheetId="1" hidden="1">{"AnnualRentRoll",#N/A,FALSE,"RentRoll"}</definedName>
    <definedName name="saddddd" hidden="1">{"AnnualRentRoll",#N/A,FALSE,"RentRoll"}</definedName>
    <definedName name="saddddd_1" localSheetId="5" hidden="1">{"AnnualRentRoll",#N/A,FALSE,"RentRoll"}</definedName>
    <definedName name="saddddd_1" localSheetId="4" hidden="1">{"AnnualRentRoll",#N/A,FALSE,"RentRoll"}</definedName>
    <definedName name="saddddd_1" localSheetId="3" hidden="1">{"AnnualRentRoll",#N/A,FALSE,"RentRoll"}</definedName>
    <definedName name="saddddd_1" localSheetId="1" hidden="1">{"AnnualRentRoll",#N/A,FALSE,"RentRoll"}</definedName>
    <definedName name="saddddd_1" hidden="1">{"AnnualRentRoll",#N/A,FALSE,"RentRoll"}</definedName>
    <definedName name="sadddddddd" localSheetId="5" hidden="1">{#N/A,#N/A,FALSE,"ExitStratigy"}</definedName>
    <definedName name="sadddddddd" localSheetId="4" hidden="1">{#N/A,#N/A,FALSE,"ExitStratigy"}</definedName>
    <definedName name="sadddddddd" localSheetId="3" hidden="1">{#N/A,#N/A,FALSE,"ExitStratigy"}</definedName>
    <definedName name="sadddddddd" localSheetId="1" hidden="1">{#N/A,#N/A,FALSE,"ExitStratigy"}</definedName>
    <definedName name="sadddddddd" hidden="1">{#N/A,#N/A,FALSE,"ExitStratigy"}</definedName>
    <definedName name="sadddddddd_1" localSheetId="5" hidden="1">{#N/A,#N/A,FALSE,"ExitStratigy"}</definedName>
    <definedName name="sadddddddd_1" localSheetId="4" hidden="1">{#N/A,#N/A,FALSE,"ExitStratigy"}</definedName>
    <definedName name="sadddddddd_1" localSheetId="3" hidden="1">{#N/A,#N/A,FALSE,"ExitStratigy"}</definedName>
    <definedName name="sadddddddd_1" localSheetId="1" hidden="1">{#N/A,#N/A,FALSE,"ExitStratigy"}</definedName>
    <definedName name="sadddddddd_1" hidden="1">{#N/A,#N/A,FALSE,"ExitStratigy"}</definedName>
    <definedName name="sadddddddddd" localSheetId="5" hidden="1">{#N/A,#N/A,FALSE,"LoanAssumptions"}</definedName>
    <definedName name="sadddddddddd" localSheetId="4" hidden="1">{#N/A,#N/A,FALSE,"LoanAssumptions"}</definedName>
    <definedName name="sadddddddddd" localSheetId="3" hidden="1">{#N/A,#N/A,FALSE,"LoanAssumptions"}</definedName>
    <definedName name="sadddddddddd" localSheetId="1" hidden="1">{#N/A,#N/A,FALSE,"LoanAssumptions"}</definedName>
    <definedName name="sadddddddddd" hidden="1">{#N/A,#N/A,FALSE,"LoanAssumptions"}</definedName>
    <definedName name="sadddddddddd_1" localSheetId="5" hidden="1">{#N/A,#N/A,FALSE,"LoanAssumptions"}</definedName>
    <definedName name="sadddddddddd_1" localSheetId="4" hidden="1">{#N/A,#N/A,FALSE,"LoanAssumptions"}</definedName>
    <definedName name="sadddddddddd_1" localSheetId="3" hidden="1">{#N/A,#N/A,FALSE,"LoanAssumptions"}</definedName>
    <definedName name="sadddddddddd_1" localSheetId="1" hidden="1">{#N/A,#N/A,FALSE,"LoanAssumptions"}</definedName>
    <definedName name="sadddddddddd_1" hidden="1">{#N/A,#N/A,FALSE,"LoanAssumptions"}</definedName>
    <definedName name="saddddddddddddd" localSheetId="5" hidden="1">{#N/A,#N/A,FALSE,"OperatingAssumptions"}</definedName>
    <definedName name="saddddddddddddd" localSheetId="4" hidden="1">{#N/A,#N/A,FALSE,"OperatingAssumptions"}</definedName>
    <definedName name="saddddddddddddd" localSheetId="3" hidden="1">{#N/A,#N/A,FALSE,"OperatingAssumptions"}</definedName>
    <definedName name="saddddddddddddd" localSheetId="1" hidden="1">{#N/A,#N/A,FALSE,"OperatingAssumptions"}</definedName>
    <definedName name="saddddddddddddd" hidden="1">{#N/A,#N/A,FALSE,"OperatingAssumptions"}</definedName>
    <definedName name="saddddddddddddd_1" localSheetId="5" hidden="1">{#N/A,#N/A,FALSE,"OperatingAssumptions"}</definedName>
    <definedName name="saddddddddddddd_1" localSheetId="4" hidden="1">{#N/A,#N/A,FALSE,"OperatingAssumptions"}</definedName>
    <definedName name="saddddddddddddd_1" localSheetId="3" hidden="1">{#N/A,#N/A,FALSE,"OperatingAssumptions"}</definedName>
    <definedName name="saddddddddddddd_1" localSheetId="1" hidden="1">{#N/A,#N/A,FALSE,"OperatingAssumptions"}</definedName>
    <definedName name="saddddddddddddd_1" hidden="1">{#N/A,#N/A,FALSE,"OperatingAssumptions"}</definedName>
    <definedName name="sadf" localSheetId="5" hidden="1">#REF!</definedName>
    <definedName name="sadf" localSheetId="4" hidden="1">#REF!</definedName>
    <definedName name="sadf" localSheetId="3" hidden="1">#REF!</definedName>
    <definedName name="sadf" localSheetId="1" hidden="1">#REF!</definedName>
    <definedName name="sadf" hidden="1">#REF!</definedName>
    <definedName name="SALES" localSheetId="3">#REF!</definedName>
    <definedName name="SALES" localSheetId="1">#REF!</definedName>
    <definedName name="SALES">#REF!</definedName>
    <definedName name="sales1" localSheetId="3">#REF!</definedName>
    <definedName name="sales1" localSheetId="1">#REF!</definedName>
    <definedName name="sales1">#REF!</definedName>
    <definedName name="Salesable_Area" localSheetId="3">#REF!</definedName>
    <definedName name="Salesable_Area" localSheetId="1">#REF!</definedName>
    <definedName name="Salesable_Area">#REF!</definedName>
    <definedName name="SAMPLE" localSheetId="3">#REF!</definedName>
    <definedName name="SAMPLE" localSheetId="1">#REF!</definedName>
    <definedName name="SAMPLE">#REF!</definedName>
    <definedName name="Sample1" localSheetId="3">#REF!</definedName>
    <definedName name="Sample1" localSheetId="1">#REF!</definedName>
    <definedName name="Sample1">#REF!</definedName>
    <definedName name="Samuel_Opt">#N/A</definedName>
    <definedName name="SAN">#N/A</definedName>
    <definedName name="SANGDATA" localSheetId="5">#REF!</definedName>
    <definedName name="SANGDATA" localSheetId="4">#REF!</definedName>
    <definedName name="SANGDATA" localSheetId="3">#REF!</definedName>
    <definedName name="SANGDATA" localSheetId="1">#REF!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localSheetId="5" hidden="1">#REF!</definedName>
    <definedName name="sasd" localSheetId="4" hidden="1">#REF!</definedName>
    <definedName name="sasd" localSheetId="3" hidden="1">#REF!</definedName>
    <definedName name="sasd" localSheetId="1" hidden="1">#REF!</definedName>
    <definedName name="sasd" hidden="1">#REF!</definedName>
    <definedName name="savenefile11111" localSheetId="3">#REF!</definedName>
    <definedName name="savenefile11111" localSheetId="1">#REF!</definedName>
    <definedName name="savenefile11111">#REF!</definedName>
    <definedName name="SaveNewFile" localSheetId="3">#REF!</definedName>
    <definedName name="SaveNewFile" localSheetId="1">#REF!</definedName>
    <definedName name="SaveNewFile">#REF!</definedName>
    <definedName name="savenewfile1" localSheetId="3">#REF!</definedName>
    <definedName name="savenewfile1" localSheetId="1">#REF!</definedName>
    <definedName name="savenewfile1">#REF!</definedName>
    <definedName name="sa부하" localSheetId="5" hidden="1">#REF!</definedName>
    <definedName name="sa부하" localSheetId="4" hidden="1">#REF!</definedName>
    <definedName name="sa부하" localSheetId="3" hidden="1">#REF!</definedName>
    <definedName name="sa부하" localSheetId="1" hidden="1">#REF!</definedName>
    <definedName name="sa부하" hidden="1">#REF!</definedName>
    <definedName name="SBC" localSheetId="3" hidden="1">#REF!</definedName>
    <definedName name="SBC" localSheetId="1" hidden="1">#REF!</definedName>
    <definedName name="SBC" hidden="1">#REF!</definedName>
    <definedName name="SC" localSheetId="3">#REF!</definedName>
    <definedName name="SC" localSheetId="1">#REF!</definedName>
    <definedName name="SC">#REF!</definedName>
    <definedName name="SC11월" localSheetId="3">#REF!</definedName>
    <definedName name="SC11월" localSheetId="1">#REF!</definedName>
    <definedName name="SC11월">#REF!</definedName>
    <definedName name="SC12월" localSheetId="3">#REF!</definedName>
    <definedName name="SC12월" localSheetId="1">#REF!</definedName>
    <definedName name="SC12월">#REF!</definedName>
    <definedName name="SC1월" localSheetId="5">#REF!</definedName>
    <definedName name="SC1월" localSheetId="4">#REF!</definedName>
    <definedName name="SC1월" localSheetId="3">#REF!</definedName>
    <definedName name="SC1월" localSheetId="1">#REF!</definedName>
    <definedName name="SC1월">#REF!</definedName>
    <definedName name="SC2월" localSheetId="5">#REF!</definedName>
    <definedName name="SC2월" localSheetId="4">#REF!</definedName>
    <definedName name="SC2월" localSheetId="3">#REF!</definedName>
    <definedName name="SC2월" localSheetId="1">#REF!</definedName>
    <definedName name="SC2월">#REF!</definedName>
    <definedName name="SC2월2" localSheetId="5">#REF!</definedName>
    <definedName name="SC2월2" localSheetId="4">#REF!</definedName>
    <definedName name="SC2월2" localSheetId="3">#REF!</definedName>
    <definedName name="SC2월2" localSheetId="1">#REF!</definedName>
    <definedName name="SC2월2">#REF!</definedName>
    <definedName name="SC3월" localSheetId="5">#REF!</definedName>
    <definedName name="SC3월" localSheetId="4">#REF!</definedName>
    <definedName name="SC3월" localSheetId="3">#REF!</definedName>
    <definedName name="SC3월" localSheetId="1">#REF!</definedName>
    <definedName name="SC3월">#REF!</definedName>
    <definedName name="SC4월" localSheetId="5">#REF!</definedName>
    <definedName name="SC4월" localSheetId="4">#REF!</definedName>
    <definedName name="SC4월" localSheetId="3">#REF!</definedName>
    <definedName name="SC4월" localSheetId="1">#REF!</definedName>
    <definedName name="SC4월">#REF!</definedName>
    <definedName name="SCF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 localSheetId="5">#REF!</definedName>
    <definedName name="SCFP" localSheetId="4">#REF!</definedName>
    <definedName name="SCFP" localSheetId="3">#REF!</definedName>
    <definedName name="SCFP" localSheetId="1">#REF!</definedName>
    <definedName name="SCFP">#REF!</definedName>
    <definedName name="scheda" localSheetId="5">#REF!:#REF!</definedName>
    <definedName name="scheda" localSheetId="4">#REF!:#REF!</definedName>
    <definedName name="scheda" localSheetId="3">#REF!:#REF!</definedName>
    <definedName name="scheda" localSheetId="1">#REF!:#REF!</definedName>
    <definedName name="scheda">#REF!:#REF!</definedName>
    <definedName name="SChonsei" localSheetId="5">#REF!</definedName>
    <definedName name="SChonsei" localSheetId="4">#REF!</definedName>
    <definedName name="SChonsei" localSheetId="3">#REF!</definedName>
    <definedName name="SChonsei" localSheetId="1">#REF!</definedName>
    <definedName name="SChonsei">#REF!</definedName>
    <definedName name="sck" localSheetId="5" hidden="1">{#N/A,#N/A,FALSE,"BS";#N/A,#N/A,FALSE,"PL";#N/A,#N/A,FALSE,"처분";#N/A,#N/A,FALSE,"현금";#N/A,#N/A,FALSE,"매출";#N/A,#N/A,FALSE,"원가";#N/A,#N/A,FALSE,"경영"}</definedName>
    <definedName name="sck" localSheetId="4" hidden="1">{#N/A,#N/A,FALSE,"BS";#N/A,#N/A,FALSE,"PL";#N/A,#N/A,FALSE,"처분";#N/A,#N/A,FALSE,"현금";#N/A,#N/A,FALSE,"매출";#N/A,#N/A,FALSE,"원가";#N/A,#N/A,FALSE,"경영"}</definedName>
    <definedName name="sck" localSheetId="3" hidden="1">{#N/A,#N/A,FALSE,"BS";#N/A,#N/A,FALSE,"PL";#N/A,#N/A,FALSE,"처분";#N/A,#N/A,FALSE,"현금";#N/A,#N/A,FALSE,"매출";#N/A,#N/A,FALSE,"원가";#N/A,#N/A,FALSE,"경영"}</definedName>
    <definedName name="sck" localSheetId="1" hidden="1">{#N/A,#N/A,FALSE,"BS";#N/A,#N/A,FALSE,"PL";#N/A,#N/A,FALSE,"처분";#N/A,#N/A,FALSE,"현금";#N/A,#N/A,FALSE,"매출";#N/A,#N/A,FALSE,"원가";#N/A,#N/A,FALSE,"경영"}</definedName>
    <definedName name="sck" hidden="1">{#N/A,#N/A,FALSE,"BS";#N/A,#N/A,FALSE,"PL";#N/A,#N/A,FALSE,"처분";#N/A,#N/A,FALSE,"현금";#N/A,#N/A,FALSE,"매출";#N/A,#N/A,FALSE,"원가";#N/A,#N/A,FALSE,"경영"}</definedName>
    <definedName name="Scoresheet" localSheetId="5">#REF!</definedName>
    <definedName name="Scoresheet" localSheetId="4">#REF!</definedName>
    <definedName name="Scoresheet" localSheetId="3">#REF!</definedName>
    <definedName name="Scoresheet" localSheetId="1">#REF!</definedName>
    <definedName name="Scoresheet">#REF!</definedName>
    <definedName name="sd" localSheetId="5">#REF!</definedName>
    <definedName name="sd" localSheetId="4">#REF!</definedName>
    <definedName name="sd" localSheetId="3">#REF!</definedName>
    <definedName name="sd" localSheetId="1">#REF!</definedName>
    <definedName name="sd">#REF!</definedName>
    <definedName name="sda" localSheetId="3">#REF!</definedName>
    <definedName name="sda" localSheetId="1">#REF!</definedName>
    <definedName name="sda">#REF!</definedName>
    <definedName name="sdad" localSheetId="5">#REF!</definedName>
    <definedName name="sdad" localSheetId="4">#REF!</definedName>
    <definedName name="sdad" localSheetId="3">#REF!</definedName>
    <definedName name="sdad" localSheetId="1">#REF!</definedName>
    <definedName name="sdad">#REF!</definedName>
    <definedName name="sdafdadfad" localSheetId="5" hidden="1">{#N/A,#N/A,FALSE,"Aging Summary";#N/A,#N/A,FALSE,"Ratio Analysis";#N/A,#N/A,FALSE,"Test 120 Day Accts";#N/A,#N/A,FALSE,"Tickmarks"}</definedName>
    <definedName name="sdafdadfad" localSheetId="4" hidden="1">{#N/A,#N/A,FALSE,"Aging Summary";#N/A,#N/A,FALSE,"Ratio Analysis";#N/A,#N/A,FALSE,"Test 120 Day Accts";#N/A,#N/A,FALSE,"Tickmarks"}</definedName>
    <definedName name="sdafdadfad" localSheetId="3" hidden="1">{#N/A,#N/A,FALSE,"Aging Summary";#N/A,#N/A,FALSE,"Ratio Analysis";#N/A,#N/A,FALSE,"Test 120 Day Accts";#N/A,#N/A,FALSE,"Tickmarks"}</definedName>
    <definedName name="sdafdadfad" localSheetId="1" hidden="1">{#N/A,#N/A,FALSE,"Aging Summary";#N/A,#N/A,FALSE,"Ratio Analysis";#N/A,#N/A,FALSE,"Test 120 Day Accts";#N/A,#N/A,FALSE,"Tickmarks"}</definedName>
    <definedName name="sdafdadfad" hidden="1">{#N/A,#N/A,FALSE,"Aging Summary";#N/A,#N/A,FALSE,"Ratio Analysis";#N/A,#N/A,FALSE,"Test 120 Day Accts";#N/A,#N/A,FALSE,"Tickmarks"}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localSheetId="5" hidden="1">{#N/A,#N/A,FALSE,"채산3501.XLS";#N/A,#N/A,FALSE,"신조수A.XLS";#N/A,#N/A,FALSE,"신조수b.XLS";#N/A,#N/A,FALSE,"채산3502.XLS";#N/A,#N/A,FALSE,"신조원리.XLS";#N/A,#N/A,FALSE,"신조감가.XLS"}</definedName>
    <definedName name="SDF" localSheetId="4" hidden="1">{#N/A,#N/A,FALSE,"채산3501.XLS";#N/A,#N/A,FALSE,"신조수A.XLS";#N/A,#N/A,FALSE,"신조수b.XLS";#N/A,#N/A,FALSE,"채산3502.XLS";#N/A,#N/A,FALSE,"신조원리.XLS";#N/A,#N/A,FALSE,"신조감가.XLS"}</definedName>
    <definedName name="SDF" localSheetId="3" hidden="1">{#N/A,#N/A,FALSE,"채산3501.XLS";#N/A,#N/A,FALSE,"신조수A.XLS";#N/A,#N/A,FALSE,"신조수b.XLS";#N/A,#N/A,FALSE,"채산3502.XLS";#N/A,#N/A,FALSE,"신조원리.XLS";#N/A,#N/A,FALSE,"신조감가.XLS"}</definedName>
    <definedName name="SDF" localSheetId="1" hidden="1">{#N/A,#N/A,FALSE,"채산3501.XLS";#N/A,#N/A,FALSE,"신조수A.XLS";#N/A,#N/A,FALSE,"신조수b.XLS";#N/A,#N/A,FALSE,"채산3502.XLS";#N/A,#N/A,FALSE,"신조원리.XLS";#N/A,#N/A,FALSE,"신조감가.XLS"}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localSheetId="5" hidden="1">{#N/A,#N/A,TRUE,"Assumptions";#N/A,#N/A,TRUE,"Sources of Revenue";#N/A,#N/A,TRUE,"P&amp;L";#N/A,#N/A,TRUE,"Bal. Sheet";#N/A,#N/A,TRUE,"Rights Issue &amp; X Adjustment";#N/A,#N/A,TRUE,"Transaction Model"}</definedName>
    <definedName name="sdfgdfg" localSheetId="4" hidden="1">{#N/A,#N/A,TRUE,"Assumptions";#N/A,#N/A,TRUE,"Sources of Revenue";#N/A,#N/A,TRUE,"P&amp;L";#N/A,#N/A,TRUE,"Bal. Sheet";#N/A,#N/A,TRUE,"Rights Issue &amp; X Adjustment";#N/A,#N/A,TRUE,"Transaction Model"}</definedName>
    <definedName name="sdfgdfg" localSheetId="3" hidden="1">{#N/A,#N/A,TRUE,"Assumptions";#N/A,#N/A,TRUE,"Sources of Revenue";#N/A,#N/A,TRUE,"P&amp;L";#N/A,#N/A,TRUE,"Bal. Sheet";#N/A,#N/A,TRUE,"Rights Issue &amp; X Adjustment";#N/A,#N/A,TRUE,"Transaction Model"}</definedName>
    <definedName name="sdfgdfg" localSheetId="1" hidden="1">{#N/A,#N/A,TRUE,"Assumptions";#N/A,#N/A,TRUE,"Sources of Revenue";#N/A,#N/A,TRUE,"P&amp;L";#N/A,#N/A,TRUE,"Bal. Sheet";#N/A,#N/A,TRUE,"Rights Issue &amp; X Adjustment";#N/A,#N/A,TRUE,"Transaction Model"}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localSheetId="5" hidden="1">{#N/A,#N/A,TRUE,"Assumptions";#N/A,#N/A,TRUE,"Sources of Revenue";#N/A,#N/A,TRUE,"P&amp;L";#N/A,#N/A,TRUE,"Bal. Sheet";#N/A,#N/A,TRUE,"Rights Issue &amp; X Adjustment";#N/A,#N/A,TRUE,"Transaction Model"}</definedName>
    <definedName name="sdfgsdfg" localSheetId="4" hidden="1">{#N/A,#N/A,TRUE,"Assumptions";#N/A,#N/A,TRUE,"Sources of Revenue";#N/A,#N/A,TRUE,"P&amp;L";#N/A,#N/A,TRUE,"Bal. Sheet";#N/A,#N/A,TRUE,"Rights Issue &amp; X Adjustment";#N/A,#N/A,TRUE,"Transaction Model"}</definedName>
    <definedName name="sdfgsdfg" localSheetId="3" hidden="1">{#N/A,#N/A,TRUE,"Assumptions";#N/A,#N/A,TRUE,"Sources of Revenue";#N/A,#N/A,TRUE,"P&amp;L";#N/A,#N/A,TRUE,"Bal. Sheet";#N/A,#N/A,TRUE,"Rights Issue &amp; X Adjustment";#N/A,#N/A,TRUE,"Transaction Model"}</definedName>
    <definedName name="sdfgsdfg" localSheetId="1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localSheetId="5" hidden="1">#REF!</definedName>
    <definedName name="sdfgsdfsdfafasd" localSheetId="4" hidden="1">#REF!</definedName>
    <definedName name="sdfgsdfsdfafasd" localSheetId="3" hidden="1">#REF!</definedName>
    <definedName name="sdfgsdfsdfafasd" localSheetId="1" hidden="1">#REF!</definedName>
    <definedName name="sdfgsdfsdfafasd" hidden="1">#REF!</definedName>
    <definedName name="sdfsf" localSheetId="5" hidden="1">#REF!</definedName>
    <definedName name="sdfsf" localSheetId="4" hidden="1">#REF!</definedName>
    <definedName name="sdfsf" localSheetId="3" hidden="1">#REF!</definedName>
    <definedName name="sdfsf" localSheetId="1" hidden="1">#REF!</definedName>
    <definedName name="sdfsf" hidden="1">#REF!</definedName>
    <definedName name="sdfteseagegwe" localSheetId="3" hidden="1">#REF!</definedName>
    <definedName name="sdfteseagegwe" localSheetId="1" hidden="1">#REF!</definedName>
    <definedName name="sdfteseagegwe" hidden="1">#REF!</definedName>
    <definedName name="SDGEART" localSheetId="3" hidden="1">#REF!</definedName>
    <definedName name="SDGEART" localSheetId="1" hidden="1">#REF!</definedName>
    <definedName name="SDGEART" hidden="1">#REF!</definedName>
    <definedName name="sdklfj" localSheetId="3" hidden="1">#REF!</definedName>
    <definedName name="sdklfj" localSheetId="1" hidden="1">#REF!</definedName>
    <definedName name="sdklfj" hidden="1">#REF!</definedName>
    <definedName name="sds" localSheetId="5">BlankMacro1</definedName>
    <definedName name="sds" localSheetId="4">BlankMacro1</definedName>
    <definedName name="sds" localSheetId="3">BlankMacro1</definedName>
    <definedName name="sds" localSheetId="2">BlankMacro1</definedName>
    <definedName name="sds" localSheetId="1">BlankMacro1</definedName>
    <definedName name="sds" localSheetId="0">BlankMacro1</definedName>
    <definedName name="sds">BlankMacro1</definedName>
    <definedName name="sdsd" localSheetId="5" hidden="1">#REF!</definedName>
    <definedName name="sdsd" localSheetId="4" hidden="1">#REF!</definedName>
    <definedName name="sdsd" localSheetId="3" hidden="1">#REF!</definedName>
    <definedName name="sdsd" localSheetId="1" hidden="1">#REF!</definedName>
    <definedName name="sdsd" hidden="1">#REF!</definedName>
    <definedName name="sdsdsdsdsd" localSheetId="3">#REF!</definedName>
    <definedName name="sdsdsdsdsd" localSheetId="1">#REF!</definedName>
    <definedName name="sdsdsdsdsd">#REF!</definedName>
    <definedName name="sdss" localSheetId="5">#REF!</definedName>
    <definedName name="sdss" localSheetId="4">#REF!</definedName>
    <definedName name="sdss" localSheetId="3">#REF!</definedName>
    <definedName name="sdss" localSheetId="1">#REF!</definedName>
    <definedName name="sdss">#REF!</definedName>
    <definedName name="sdvrys" localSheetId="5" hidden="1">{#N/A,#N/A,TRUE,"Assumptions";#N/A,#N/A,TRUE,"Sources of Revenue";#N/A,#N/A,TRUE,"P&amp;L";#N/A,#N/A,TRUE,"Bal. Sheet";#N/A,#N/A,TRUE,"Rights Issue &amp; X Adjustment";#N/A,#N/A,TRUE,"Transaction Model"}</definedName>
    <definedName name="sdvrys" localSheetId="4" hidden="1">{#N/A,#N/A,TRUE,"Assumptions";#N/A,#N/A,TRUE,"Sources of Revenue";#N/A,#N/A,TRUE,"P&amp;L";#N/A,#N/A,TRUE,"Bal. Sheet";#N/A,#N/A,TRUE,"Rights Issue &amp; X Adjustment";#N/A,#N/A,TRUE,"Transaction Model"}</definedName>
    <definedName name="sdvrys" localSheetId="3" hidden="1">{#N/A,#N/A,TRUE,"Assumptions";#N/A,#N/A,TRUE,"Sources of Revenue";#N/A,#N/A,TRUE,"P&amp;L";#N/A,#N/A,TRUE,"Bal. Sheet";#N/A,#N/A,TRUE,"Rights Issue &amp; X Adjustment";#N/A,#N/A,TRUE,"Transaction Model"}</definedName>
    <definedName name="sdvrys" localSheetId="1" hidden="1">{#N/A,#N/A,TRUE,"Assumptions";#N/A,#N/A,TRUE,"Sources of Revenue";#N/A,#N/A,TRUE,"P&amp;L";#N/A,#N/A,TRUE,"Bal. Sheet";#N/A,#N/A,TRUE,"Rights Issue &amp; X Adjustment";#N/A,#N/A,TRUE,"Transaction Model"}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 localSheetId="5">#REF!</definedName>
    <definedName name="SE" localSheetId="4">#REF!</definedName>
    <definedName name="SE" localSheetId="3">#REF!</definedName>
    <definedName name="SE" localSheetId="1">#REF!</definedName>
    <definedName name="SE">#REF!</definedName>
    <definedName name="second_s" localSheetId="3">#REF!</definedName>
    <definedName name="second_s" localSheetId="1">#REF!</definedName>
    <definedName name="second_s">#REF!</definedName>
    <definedName name="SECT_120" localSheetId="5">#REF!</definedName>
    <definedName name="SECT_120" localSheetId="4">#REF!</definedName>
    <definedName name="SECT_120" localSheetId="3">#REF!</definedName>
    <definedName name="SECT_120" localSheetId="1">#REF!</definedName>
    <definedName name="SECT_120">#REF!</definedName>
    <definedName name="SECT_130" localSheetId="5">#REF!</definedName>
    <definedName name="SECT_130" localSheetId="4">#REF!</definedName>
    <definedName name="SECT_130" localSheetId="3">#REF!</definedName>
    <definedName name="SECT_130" localSheetId="1">#REF!</definedName>
    <definedName name="SECT_130">#REF!</definedName>
    <definedName name="SECT_140" localSheetId="5">#REF!</definedName>
    <definedName name="SECT_140" localSheetId="4">#REF!</definedName>
    <definedName name="SECT_140" localSheetId="3">#REF!</definedName>
    <definedName name="SECT_140" localSheetId="1">#REF!</definedName>
    <definedName name="SECT_140">#REF!</definedName>
    <definedName name="SECT_160" localSheetId="5">#REF!</definedName>
    <definedName name="SECT_160" localSheetId="4">#REF!</definedName>
    <definedName name="SECT_160" localSheetId="3">#REF!</definedName>
    <definedName name="SECT_160" localSheetId="1">#REF!</definedName>
    <definedName name="SECT_160">#REF!</definedName>
    <definedName name="SECT_170" localSheetId="5">#REF!</definedName>
    <definedName name="SECT_170" localSheetId="4">#REF!</definedName>
    <definedName name="SECT_170" localSheetId="3">#REF!</definedName>
    <definedName name="SECT_170" localSheetId="1">#REF!</definedName>
    <definedName name="SECT_170">#REF!</definedName>
    <definedName name="SECT_180" localSheetId="5">#REF!</definedName>
    <definedName name="SECT_180" localSheetId="4">#REF!</definedName>
    <definedName name="SECT_180" localSheetId="3">#REF!</definedName>
    <definedName name="SECT_180" localSheetId="1">#REF!</definedName>
    <definedName name="SECT_180">#REF!</definedName>
    <definedName name="SECT_190" localSheetId="5">#REF!</definedName>
    <definedName name="SECT_190" localSheetId="4">#REF!</definedName>
    <definedName name="SECT_190" localSheetId="3">#REF!</definedName>
    <definedName name="SECT_190" localSheetId="1">#REF!</definedName>
    <definedName name="SECT_190">#REF!</definedName>
    <definedName name="sectionNames" localSheetId="3">#REF!</definedName>
    <definedName name="sectionNames" localSheetId="1">#REF!</definedName>
    <definedName name="sectionNames">#REF!</definedName>
    <definedName name="Security_Deposit_Multiplier" localSheetId="3">#REF!</definedName>
    <definedName name="Security_Deposit_Multiplier" localSheetId="1">#REF!</definedName>
    <definedName name="Security_Deposit_Multiplier">#REF!</definedName>
    <definedName name="segvx" localSheetId="5" hidden="1">{"'買掛金'!$J$6"}</definedName>
    <definedName name="segvx" localSheetId="4" hidden="1">{"'買掛金'!$J$6"}</definedName>
    <definedName name="segvx" localSheetId="3" hidden="1">{"'買掛金'!$J$6"}</definedName>
    <definedName name="segvx" localSheetId="1" hidden="1">{"'買掛金'!$J$6"}</definedName>
    <definedName name="segvx" hidden="1">{"'買掛金'!$J$6"}</definedName>
    <definedName name="Sellers" localSheetId="3">#REF!</definedName>
    <definedName name="Sellers" localSheetId="1">#REF!</definedName>
    <definedName name="Sellers">#REF!</definedName>
    <definedName name="sencount" hidden="1">1</definedName>
    <definedName name="SENG0" localSheetId="5">#REF!</definedName>
    <definedName name="SENG0" localSheetId="4">#REF!</definedName>
    <definedName name="SENG0" localSheetId="3">#REF!</definedName>
    <definedName name="SENG0" localSheetId="1">#REF!</definedName>
    <definedName name="SENG0">#REF!</definedName>
    <definedName name="Sensistivity_BuyPrice" localSheetId="5">#REF!</definedName>
    <definedName name="Sensistivity_BuyPrice" localSheetId="4">#REF!</definedName>
    <definedName name="Sensistivity_BuyPrice" localSheetId="3">#REF!</definedName>
    <definedName name="Sensistivity_BuyPrice" localSheetId="1">#REF!</definedName>
    <definedName name="Sensistivity_BuyPrice">#REF!</definedName>
    <definedName name="Sensistivity_Exit_Price" localSheetId="3">#REF!</definedName>
    <definedName name="Sensistivity_Exit_Price" localSheetId="1">#REF!</definedName>
    <definedName name="Sensistivity_Exit_Price">#REF!</definedName>
    <definedName name="Sensistivity_Hold_Period" localSheetId="3">#REF!</definedName>
    <definedName name="Sensistivity_Hold_Period" localSheetId="1">#REF!</definedName>
    <definedName name="Sensistivity_Hold_Period">#REF!</definedName>
    <definedName name="Sensitivity_Borrow_Cost" localSheetId="3">#REF!</definedName>
    <definedName name="Sensitivity_Borrow_Cost" localSheetId="1">#REF!</definedName>
    <definedName name="Sensitivity_Borrow_Cost">#REF!</definedName>
    <definedName name="Sensitivity_Debt_Ratio" localSheetId="3">#REF!</definedName>
    <definedName name="Sensitivity_Debt_Ratio" localSheetId="1">#REF!</definedName>
    <definedName name="Sensitivity_Debt_Ratio">#REF!</definedName>
    <definedName name="Sensitivity_Exit" localSheetId="3">#REF!</definedName>
    <definedName name="Sensitivity_Exit" localSheetId="1">#REF!</definedName>
    <definedName name="Sensitivity_Exit">#REF!</definedName>
    <definedName name="Sensitivity_Term" localSheetId="3">#REF!</definedName>
    <definedName name="Sensitivity_Term" localSheetId="1">#REF!</definedName>
    <definedName name="Sensitivity_Term">#REF!</definedName>
    <definedName name="Service_Charge_Collection" localSheetId="3">#REF!</definedName>
    <definedName name="Service_Charge_Collection" localSheetId="1">#REF!</definedName>
    <definedName name="Service_Charge_Collection">#REF!</definedName>
    <definedName name="service_raise" localSheetId="3">#REF!</definedName>
    <definedName name="service_raise" localSheetId="1">#REF!</definedName>
    <definedName name="service_raise">#REF!</definedName>
    <definedName name="Set_1" localSheetId="3">#REF!</definedName>
    <definedName name="Set_1" localSheetId="1">#REF!</definedName>
    <definedName name="Set_1">#REF!</definedName>
    <definedName name="sf" localSheetId="3" hidden="1">#REF!</definedName>
    <definedName name="sf" localSheetId="1" hidden="1">#REF!</definedName>
    <definedName name="sf" hidden="1">#REF!</definedName>
    <definedName name="sfd" localSheetId="5" hidden="1">{#N/A,#N/A,FALSE,"95FW"}</definedName>
    <definedName name="sfd" localSheetId="4" hidden="1">{#N/A,#N/A,FALSE,"95FW"}</definedName>
    <definedName name="sfd" localSheetId="3" hidden="1">{#N/A,#N/A,FALSE,"95FW"}</definedName>
    <definedName name="sfd" localSheetId="1" hidden="1">{#N/A,#N/A,FALSE,"95FW"}</definedName>
    <definedName name="sfd" hidden="1">{#N/A,#N/A,FALSE,"95FW"}</definedName>
    <definedName name="SFD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 localSheetId="5">#REF!</definedName>
    <definedName name="Share_MaxAmt" localSheetId="4">#REF!</definedName>
    <definedName name="Share_MaxAmt" localSheetId="3">#REF!</definedName>
    <definedName name="Share_MaxAmt" localSheetId="1">#REF!</definedName>
    <definedName name="Share_MaxAmt">#REF!</definedName>
    <definedName name="Share_Plan" localSheetId="5">#REF!</definedName>
    <definedName name="Share_Plan" localSheetId="4">#REF!</definedName>
    <definedName name="Share_Plan" localSheetId="3">#REF!</definedName>
    <definedName name="Share_Plan" localSheetId="1">#REF!</definedName>
    <definedName name="Share_Plan">#REF!</definedName>
    <definedName name="sheet" localSheetId="5" hidden="1">{#N/A,#N/A,FALSE,"95FW"}</definedName>
    <definedName name="sheet" localSheetId="4" hidden="1">{#N/A,#N/A,FALSE,"95FW"}</definedName>
    <definedName name="sheet" localSheetId="3" hidden="1">{#N/A,#N/A,FALSE,"95FW"}</definedName>
    <definedName name="sheet" localSheetId="1" hidden="1">{#N/A,#N/A,FALSE,"95FW"}</definedName>
    <definedName name="sheet" hidden="1">{#N/A,#N/A,FALSE,"95FW"}</definedName>
    <definedName name="sheet1" localSheetId="5" hidden="1">{#N/A,#N/A,FALSE,"95FW"}</definedName>
    <definedName name="sheet1" localSheetId="4" hidden="1">{#N/A,#N/A,FALSE,"95FW"}</definedName>
    <definedName name="sheet1" localSheetId="3" hidden="1">{#N/A,#N/A,FALSE,"95FW"}</definedName>
    <definedName name="sheet1" localSheetId="1" hidden="1">{#N/A,#N/A,FALSE,"95FW"}</definedName>
    <definedName name="sheet1" hidden="1">{#N/A,#N/A,FALSE,"95FW"}</definedName>
    <definedName name="SHEET2" localSheetId="5" hidden="1">{#N/A,#N/A,FALSE,"단축1";#N/A,#N/A,FALSE,"단축2";#N/A,#N/A,FALSE,"단축3";#N/A,#N/A,FALSE,"장축";#N/A,#N/A,FALSE,"4WD"}</definedName>
    <definedName name="SHEET2" localSheetId="4" hidden="1">{#N/A,#N/A,FALSE,"단축1";#N/A,#N/A,FALSE,"단축2";#N/A,#N/A,FALSE,"단축3";#N/A,#N/A,FALSE,"장축";#N/A,#N/A,FALSE,"4WD"}</definedName>
    <definedName name="SHEET2" localSheetId="3" hidden="1">{#N/A,#N/A,FALSE,"단축1";#N/A,#N/A,FALSE,"단축2";#N/A,#N/A,FALSE,"단축3";#N/A,#N/A,FALSE,"장축";#N/A,#N/A,FALSE,"4WD"}</definedName>
    <definedName name="SHEET2" localSheetId="1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ip" localSheetId="5">#REF!</definedName>
    <definedName name="Ship" localSheetId="4">#REF!</definedName>
    <definedName name="Ship" localSheetId="3">#REF!</definedName>
    <definedName name="Ship" localSheetId="1">#REF!</definedName>
    <definedName name="Ship">#REF!</definedName>
    <definedName name="SHL_Interest" localSheetId="3">#REF!</definedName>
    <definedName name="SHL_Interest" localSheetId="1">#REF!</definedName>
    <definedName name="SHL_Interest">#REF!</definedName>
    <definedName name="SHL_Ratio" localSheetId="3">#REF!</definedName>
    <definedName name="SHL_Ratio" localSheetId="1">#REF!</definedName>
    <definedName name="SHL_Ratio">#REF!</definedName>
    <definedName name="SHL_Tax" localSheetId="3">#REF!</definedName>
    <definedName name="SHL_Tax" localSheetId="1">#REF!</definedName>
    <definedName name="SHL_Tax">#REF!</definedName>
    <definedName name="SHORTNAME">#N/A</definedName>
    <definedName name="Show" localSheetId="5">#REF!</definedName>
    <definedName name="Show" localSheetId="4">#REF!</definedName>
    <definedName name="Show" localSheetId="3">#REF!</definedName>
    <definedName name="Show" localSheetId="1">#REF!</definedName>
    <definedName name="Show">#REF!</definedName>
    <definedName name="SHR" localSheetId="3">#REF!</definedName>
    <definedName name="SHR" localSheetId="1">#REF!</definedName>
    <definedName name="SHR">#REF!</definedName>
    <definedName name="shtName" localSheetId="5">INDEX(wsNames, shtPos)</definedName>
    <definedName name="shtName" localSheetId="4">INDEX(wsNames, shtPos)</definedName>
    <definedName name="shtName" localSheetId="3">INDEX(wsNames, shtPos)</definedName>
    <definedName name="shtName" localSheetId="2">INDEX(wsNames, shtPos)</definedName>
    <definedName name="shtName" localSheetId="1">INDEX(wsNames, shtPos)</definedName>
    <definedName name="shtName" localSheetId="0">INDEX(wsNames, shtPos)</definedName>
    <definedName name="shtName">INDEX(wsNames, shtPos)</definedName>
    <definedName name="Sigma" localSheetId="5">#REF!+(#REF!-#REF!)</definedName>
    <definedName name="Sigma" localSheetId="4">#REF!+(#REF!-#REF!)</definedName>
    <definedName name="Sigma" localSheetId="3">#REF!+(#REF!-#REF!)</definedName>
    <definedName name="Sigma" localSheetId="1">#REF!+(#REF!-#REF!)</definedName>
    <definedName name="Sigma">#REF!+(#REF!-#REF!)</definedName>
    <definedName name="signage_revenue" localSheetId="3">#REF!</definedName>
    <definedName name="signage_revenue" localSheetId="1">#REF!</definedName>
    <definedName name="signage_revenue">#REF!</definedName>
    <definedName name="SINGPORE" localSheetId="3">#REF!</definedName>
    <definedName name="SINGPORE" localSheetId="1">#REF!</definedName>
    <definedName name="SINGPORE">#REF!</definedName>
    <definedName name="SIS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 localSheetId="5">#REF!</definedName>
    <definedName name="Site_Area" localSheetId="4">#REF!</definedName>
    <definedName name="Site_Area" localSheetId="3">#REF!</definedName>
    <definedName name="Site_Area" localSheetId="1">#REF!</definedName>
    <definedName name="Site_Area">#REF!</definedName>
    <definedName name="sj" localSheetId="3">#REF!</definedName>
    <definedName name="sj" localSheetId="1">#REF!</definedName>
    <definedName name="sj">#REF!</definedName>
    <definedName name="sjflkaejflkjglk" localSheetId="3">#REF!</definedName>
    <definedName name="sjflkaejflkjglk" localSheetId="1">#REF!</definedName>
    <definedName name="sjflkaejflkjglk">#REF!</definedName>
    <definedName name="skaaldud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 localSheetId="5">#REF!</definedName>
    <definedName name="SKSK" localSheetId="4">#REF!</definedName>
    <definedName name="SKSK" localSheetId="3">#REF!</definedName>
    <definedName name="SKSK" localSheetId="1">#REF!</definedName>
    <definedName name="SKSK">#REF!</definedName>
    <definedName name="Sm_per_Pyong" localSheetId="3">#REF!</definedName>
    <definedName name="Sm_per_Pyong" localSheetId="1">#REF!</definedName>
    <definedName name="Sm_per_Pyong">#REF!</definedName>
    <definedName name="smarket_eviction_cost" localSheetId="3">#REF!</definedName>
    <definedName name="smarket_eviction_cost" localSheetId="1">#REF!</definedName>
    <definedName name="smarket_eviction_cost">#REF!</definedName>
    <definedName name="smarket_key_money" localSheetId="3">#REF!</definedName>
    <definedName name="smarket_key_money" localSheetId="1">#REF!</definedName>
    <definedName name="smarket_key_money">#REF!</definedName>
    <definedName name="smarket_market_rent" localSheetId="3">#REF!</definedName>
    <definedName name="smarket_market_rent" localSheetId="1">#REF!</definedName>
    <definedName name="smarket_market_rent">#REF!</definedName>
    <definedName name="smarket_percent" localSheetId="3">#REF!</definedName>
    <definedName name="smarket_percent" localSheetId="1">#REF!</definedName>
    <definedName name="smarket_percent">#REF!</definedName>
    <definedName name="smarket_size" localSheetId="3">#REF!</definedName>
    <definedName name="smarket_size" localSheetId="1">#REF!</definedName>
    <definedName name="smarket_size">#REF!</definedName>
    <definedName name="SO" localSheetId="3">#REF!</definedName>
    <definedName name="SO" localSheetId="1">#REF!</definedName>
    <definedName name="SO">#REF!</definedName>
    <definedName name="solid_ctn_poplin" localSheetId="5">#REF!</definedName>
    <definedName name="solid_ctn_poplin" localSheetId="4">#REF!</definedName>
    <definedName name="solid_ctn_poplin" localSheetId="3">#REF!</definedName>
    <definedName name="solid_ctn_poplin" localSheetId="1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5" hidden="1">#REF!</definedName>
    <definedName name="solver_lhs1" localSheetId="4" hidden="1">#REF!</definedName>
    <definedName name="solver_lhs1" localSheetId="3" hidden="1">#REF!</definedName>
    <definedName name="solver_lhs1" localSheetId="1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localSheetId="5" hidden="1">#REF!*1.5</definedName>
    <definedName name="solver_rhs1" localSheetId="4" hidden="1">#REF!*1.5</definedName>
    <definedName name="solver_rhs1" localSheetId="3" hidden="1">#REF!*1.5</definedName>
    <definedName name="solver_rhs1" localSheetId="1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5" hidden="1">#REF!</definedName>
    <definedName name="sort" localSheetId="4" hidden="1">#REF!</definedName>
    <definedName name="sort" localSheetId="3" hidden="1">#REF!</definedName>
    <definedName name="sort" localSheetId="1" hidden="1">#REF!</definedName>
    <definedName name="sort" hidden="1">#REF!</definedName>
    <definedName name="SOU" localSheetId="3">#REF!</definedName>
    <definedName name="SOU" localSheetId="1">#REF!</definedName>
    <definedName name="SOU">#REF!</definedName>
    <definedName name="source" localSheetId="3">#REF!</definedName>
    <definedName name="source" localSheetId="1">#REF!</definedName>
    <definedName name="source">#REF!</definedName>
    <definedName name="SP4월" localSheetId="5">#REF!</definedName>
    <definedName name="SP4월" localSheetId="4">#REF!</definedName>
    <definedName name="SP4월" localSheetId="3">#REF!</definedName>
    <definedName name="SP4월" localSheetId="1">#REF!</definedName>
    <definedName name="SP4월">#REF!</definedName>
    <definedName name="spa" localSheetId="5">#REF!</definedName>
    <definedName name="spa" localSheetId="4">#REF!</definedName>
    <definedName name="spa" localSheetId="3">#REF!</definedName>
    <definedName name="spa" localSheetId="1">#REF!</definedName>
    <definedName name="spa">#REF!</definedName>
    <definedName name="spc_setup" localSheetId="3">#REF!</definedName>
    <definedName name="spc_setup" localSheetId="1">#REF!</definedName>
    <definedName name="spc_setup">#REF!</definedName>
    <definedName name="Special_Capital_Gain_Tax" localSheetId="3">#REF!</definedName>
    <definedName name="Special_Capital_Gain_Tax" localSheetId="1">#REF!</definedName>
    <definedName name="Special_Capital_Gain_Tax">#REF!</definedName>
    <definedName name="SPO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 localSheetId="5">#REF!</definedName>
    <definedName name="SPR134202C113TBH1B0RTSUS" localSheetId="4">#REF!</definedName>
    <definedName name="SPR134202C113TBH1B0RTSUS" localSheetId="3">#REF!</definedName>
    <definedName name="SPR134202C113TBH1B0RTSUS" localSheetId="1">#REF!</definedName>
    <definedName name="SPR134202C113TBH1B0RTSUS">#REF!</definedName>
    <definedName name="SPR165C113TBH1B2RTSUS" localSheetId="5">#REF!</definedName>
    <definedName name="SPR165C113TBH1B2RTSUS" localSheetId="4">#REF!</definedName>
    <definedName name="SPR165C113TBH1B2RTSUS" localSheetId="3">#REF!</definedName>
    <definedName name="SPR165C113TBH1B2RTSUS" localSheetId="1">#REF!</definedName>
    <definedName name="SPR165C113TBH1B2RTSUS">#REF!</definedName>
    <definedName name="SPR188C103121TBH1B0RTSUS" localSheetId="3">#REF!</definedName>
    <definedName name="SPR188C103121TBH1B0RTSUS" localSheetId="1">#REF!</definedName>
    <definedName name="SPR188C103121TBH1B0RTSUS">#REF!</definedName>
    <definedName name="SPR188C116136TBH1B0RTSUS" localSheetId="3">#REF!</definedName>
    <definedName name="SPR188C116136TBH1B0RTSUS" localSheetId="1">#REF!</definedName>
    <definedName name="SPR188C116136TBH1B0RTSUS">#REF!</definedName>
    <definedName name="SPR188C127152TBH1B0RTSUS" localSheetId="3">#REF!</definedName>
    <definedName name="SPR188C127152TBH1B0RTSUS" localSheetId="1">#REF!</definedName>
    <definedName name="SPR188C127152TBH1B0RTSUS">#REF!</definedName>
    <definedName name="SPR188C95111TBH1B0RTSUS" localSheetId="3">#REF!</definedName>
    <definedName name="SPR188C95111TBH1B0RTSUS" localSheetId="1">#REF!</definedName>
    <definedName name="SPR188C95111TBH1B0RTSUS">#REF!</definedName>
    <definedName name="SPR190C3452RTSUS" localSheetId="3">#REF!</definedName>
    <definedName name="SPR190C3452RTSUS" localSheetId="1">#REF!</definedName>
    <definedName name="SPR190C3452RTSUS">#REF!</definedName>
    <definedName name="SPR190C5466RRSUS" localSheetId="3">#REF!</definedName>
    <definedName name="SPR190C5466RRSUS" localSheetId="1">#REF!</definedName>
    <definedName name="SPR190C5466RRSUS">#REF!</definedName>
    <definedName name="SPR190C5466RTSUS" localSheetId="3">#REF!</definedName>
    <definedName name="SPR190C5466RTSUS" localSheetId="1">#REF!</definedName>
    <definedName name="SPR190C5466RTSUS">#REF!</definedName>
    <definedName name="SPR193C127RTSUS" localSheetId="3">#REF!</definedName>
    <definedName name="SPR193C127RTSUS" localSheetId="1">#REF!</definedName>
    <definedName name="SPR193C127RTSUS">#REF!</definedName>
    <definedName name="SPR193C7798RTSUS" localSheetId="3">#REF!</definedName>
    <definedName name="SPR193C7798RTSUS" localSheetId="1">#REF!</definedName>
    <definedName name="SPR193C7798RTSUS">#REF!</definedName>
    <definedName name="SPR68127C113TBH1B2RTSUS" localSheetId="5">#REF!</definedName>
    <definedName name="SPR68127C113TBH1B2RTSUS" localSheetId="4">#REF!</definedName>
    <definedName name="SPR68127C113TBH1B2RTSUS" localSheetId="3">#REF!</definedName>
    <definedName name="SPR68127C113TBH1B2RTSUS" localSheetId="1">#REF!</definedName>
    <definedName name="SPR68127C113TBH1B2RTSUS">#REF!</definedName>
    <definedName name="SPT_FLUSSI" localSheetId="5">#REF!,#REF!</definedName>
    <definedName name="SPT_FLUSSI" localSheetId="4">#REF!,#REF!</definedName>
    <definedName name="SPT_FLUSSI" localSheetId="3">#REF!,#REF!</definedName>
    <definedName name="SPT_FLUSSI" localSheetId="1">#REF!,#REF!</definedName>
    <definedName name="SPT_FLUSSI">#REF!,#REF!</definedName>
    <definedName name="SPWS_WBID">"0D145571-4AA7-4C6E-B8EB-4DF0FED2B8BC"</definedName>
    <definedName name="SQF" localSheetId="5">#REF!</definedName>
    <definedName name="SQF" localSheetId="4">#REF!</definedName>
    <definedName name="SQF" localSheetId="3">#REF!</definedName>
    <definedName name="SQF" localSheetId="1">#REF!</definedName>
    <definedName name="SQF">#REF!</definedName>
    <definedName name="sqft" localSheetId="3">#REF!</definedName>
    <definedName name="sqft" localSheetId="1">#REF!</definedName>
    <definedName name="sqft">#REF!</definedName>
    <definedName name="sqmt" localSheetId="3">#REF!</definedName>
    <definedName name="sqmt" localSheetId="1">#REF!</definedName>
    <definedName name="sqmt">#REF!</definedName>
    <definedName name="SS" localSheetId="5">#REF!</definedName>
    <definedName name="SS" localSheetId="4">#REF!</definedName>
    <definedName name="SS" localSheetId="3">#REF!</definedName>
    <definedName name="SS" localSheetId="1">#REF!</definedName>
    <definedName name="SS">#REF!</definedName>
    <definedName name="SS_CAPEX" localSheetId="5">{"Client Name or Project Name"}</definedName>
    <definedName name="SS_CAPEX" localSheetId="4">{"Client Name or Project Name"}</definedName>
    <definedName name="SS_CAPEX" localSheetId="3">{"Client Name or Project Name"}</definedName>
    <definedName name="SS_CAPEX" localSheetId="1">{"Client Name or Project Name"}</definedName>
    <definedName name="SS_CAPEX">{"Client Name or Project Name"}</definedName>
    <definedName name="ssdsd" localSheetId="3">#REF!</definedName>
    <definedName name="ssdsd" localSheetId="1">#REF!</definedName>
    <definedName name="ssdsd">#REF!</definedName>
    <definedName name="SSRR" localSheetId="5">#REF!</definedName>
    <definedName name="SSRR" localSheetId="4">#REF!</definedName>
    <definedName name="SSRR" localSheetId="3">#REF!</definedName>
    <definedName name="SSRR" localSheetId="1">#REF!</definedName>
    <definedName name="SSRR">#REF!</definedName>
    <definedName name="sss" localSheetId="5" hidden="1">{#N/A,#N/A,FALSE,"95FW"}</definedName>
    <definedName name="sss" localSheetId="4" hidden="1">{#N/A,#N/A,FALSE,"95FW"}</definedName>
    <definedName name="sss" localSheetId="3" hidden="1">{#N/A,#N/A,FALSE,"95FW"}</definedName>
    <definedName name="sss" localSheetId="1" hidden="1">{#N/A,#N/A,FALSE,"95FW"}</definedName>
    <definedName name="sss" hidden="1">{#N/A,#N/A,FALSE,"95FW"}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 localSheetId="5">#REF!</definedName>
    <definedName name="sssssssss" localSheetId="4">#REF!</definedName>
    <definedName name="sssssssss" localSheetId="3">#REF!</definedName>
    <definedName name="sssssssss" localSheetId="1">#REF!</definedName>
    <definedName name="sssssssss">#REF!</definedName>
    <definedName name="sssssssssssssssssssssss" localSheetId="3">#REF!</definedName>
    <definedName name="sssssssssssssssssssssss" localSheetId="1">#REF!</definedName>
    <definedName name="sssssssssssssssssssssss">#REF!</definedName>
    <definedName name="ST_interest" localSheetId="3">#REF!</definedName>
    <definedName name="ST_interest" localSheetId="1">#REF!</definedName>
    <definedName name="ST_interest">#REF!</definedName>
    <definedName name="Stabilized_Vacancy" localSheetId="3">#REF!</definedName>
    <definedName name="Stabilized_Vacancy" localSheetId="1">#REF!</definedName>
    <definedName name="Stabilized_Vacancy">#REF!</definedName>
    <definedName name="stacking">#N/A</definedName>
    <definedName name="stamp" localSheetId="5">#REF!,#REF!</definedName>
    <definedName name="stamp" localSheetId="4">#REF!,#REF!</definedName>
    <definedName name="stamp" localSheetId="3">#REF!,#REF!</definedName>
    <definedName name="stamp" localSheetId="1">#REF!,#REF!</definedName>
    <definedName name="stamp">#REF!,#REF!</definedName>
    <definedName name="STAR" localSheetId="5">#REF!</definedName>
    <definedName name="STAR" localSheetId="4">#REF!</definedName>
    <definedName name="STAR" localSheetId="3">#REF!</definedName>
    <definedName name="STAR" localSheetId="1">#REF!</definedName>
    <definedName name="STAR">#REF!</definedName>
    <definedName name="STAR1" localSheetId="3">#REF!</definedName>
    <definedName name="STAR1" localSheetId="1">#REF!</definedName>
    <definedName name="STAR1">#REF!</definedName>
    <definedName name="start" localSheetId="5">#REF!</definedName>
    <definedName name="start" localSheetId="4">#REF!</definedName>
    <definedName name="start" localSheetId="3">#REF!</definedName>
    <definedName name="start" localSheetId="1">#REF!</definedName>
    <definedName name="start">#REF!</definedName>
    <definedName name="START2" localSheetId="3">#REF!</definedName>
    <definedName name="START2" localSheetId="1">#REF!</definedName>
    <definedName name="START2">#REF!</definedName>
    <definedName name="Stato_Patrimoniale" localSheetId="5">#REF!</definedName>
    <definedName name="Stato_Patrimoniale" localSheetId="4">#REF!</definedName>
    <definedName name="Stato_Patrimoniale" localSheetId="3">#REF!</definedName>
    <definedName name="Stato_Patrimoniale" localSheetId="1">#REF!</definedName>
    <definedName name="Stato_Patrimoniale">#REF!</definedName>
    <definedName name="stcode" localSheetId="5">#REF!</definedName>
    <definedName name="stcode" localSheetId="4">#REF!</definedName>
    <definedName name="stcode" localSheetId="3">#REF!</definedName>
    <definedName name="stcode" localSheetId="1">#REF!</definedName>
    <definedName name="stcode">#REF!</definedName>
    <definedName name="STE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 localSheetId="5">#REF!</definedName>
    <definedName name="step1" localSheetId="4">#REF!</definedName>
    <definedName name="step1" localSheetId="3">#REF!</definedName>
    <definedName name="step1" localSheetId="1">#REF!</definedName>
    <definedName name="step1">#REF!</definedName>
    <definedName name="step2" localSheetId="3">#REF!</definedName>
    <definedName name="step2" localSheetId="1">#REF!</definedName>
    <definedName name="step2">#REF!</definedName>
    <definedName name="STI_Language" localSheetId="3">#REF!</definedName>
    <definedName name="STI_Language" localSheetId="1">#REF!</definedName>
    <definedName name="STI_Language">#REF!</definedName>
    <definedName name="STJ" localSheetId="3">#REF!</definedName>
    <definedName name="STJ" localSheetId="1">#REF!</definedName>
    <definedName name="STJ">#REF!</definedName>
    <definedName name="Stock_List" localSheetId="5">#REF!</definedName>
    <definedName name="Stock_List" localSheetId="4">#REF!</definedName>
    <definedName name="Stock_List" localSheetId="3">#REF!</definedName>
    <definedName name="Stock_List" localSheetId="1">#REF!</definedName>
    <definedName name="Stock_List">#REF!</definedName>
    <definedName name="strloc" localSheetId="5">#REF!</definedName>
    <definedName name="strloc" localSheetId="4">#REF!</definedName>
    <definedName name="strloc" localSheetId="3">#REF!</definedName>
    <definedName name="strloc" localSheetId="1">#REF!</definedName>
    <definedName name="strloc">#REF!</definedName>
    <definedName name="STRU" localSheetId="3">#REF!</definedName>
    <definedName name="STRU" localSheetId="1">#REF!</definedName>
    <definedName name="STRU">#REF!</definedName>
    <definedName name="SU" localSheetId="3">#REF!</definedName>
    <definedName name="SU" localSheetId="1">#REF!</definedName>
    <definedName name="SU">#REF!</definedName>
    <definedName name="sum" localSheetId="3">#REF!</definedName>
    <definedName name="sum" localSheetId="1">#REF!</definedName>
    <definedName name="sum">#REF!</definedName>
    <definedName name="SUMMARY" localSheetId="5">#REF!</definedName>
    <definedName name="SUMMARY" localSheetId="4">#REF!</definedName>
    <definedName name="SUMMARY" localSheetId="3">#REF!</definedName>
    <definedName name="SUMMARY" localSheetId="1">#REF!</definedName>
    <definedName name="SUMMARY">#REF!</definedName>
    <definedName name="surt" localSheetId="3" hidden="1">#REF!</definedName>
    <definedName name="surt" localSheetId="1" hidden="1">#REF!</definedName>
    <definedName name="surt" hidden="1">#REF!</definedName>
    <definedName name="SurveyDate" localSheetId="3">#REF!</definedName>
    <definedName name="SurveyDate" localSheetId="1">#REF!</definedName>
    <definedName name="SurveyDate">#REF!</definedName>
    <definedName name="SurveyName" localSheetId="5">#REF!</definedName>
    <definedName name="SurveyName" localSheetId="4">#REF!</definedName>
    <definedName name="SurveyName" localSheetId="3">#REF!</definedName>
    <definedName name="SurveyName" localSheetId="1">#REF!</definedName>
    <definedName name="SurveyName">#REF!</definedName>
    <definedName name="swds" localSheetId="3" hidden="1">#REF!</definedName>
    <definedName name="swds" localSheetId="1" hidden="1">#REF!</definedName>
    <definedName name="swds" hidden="1">#REF!</definedName>
    <definedName name="SYNOFF" localSheetId="3">#REF!</definedName>
    <definedName name="SYNOFF" localSheetId="1">#REF!</definedName>
    <definedName name="SYNOFF">#REF!</definedName>
    <definedName name="SYNON" localSheetId="3">#REF!</definedName>
    <definedName name="SYNON" localSheetId="1">#REF!</definedName>
    <definedName name="SYNON">#REF!</definedName>
    <definedName name="SYSDATE">#N/A</definedName>
    <definedName name="s부하" localSheetId="5" hidden="1">#REF!</definedName>
    <definedName name="s부하" localSheetId="4" hidden="1">#REF!</definedName>
    <definedName name="s부하" localSheetId="3" hidden="1">#REF!</definedName>
    <definedName name="s부하" localSheetId="1" hidden="1">#REF!</definedName>
    <definedName name="s부하" hidden="1">#REF!</definedName>
    <definedName name="s조향" localSheetId="5" hidden="1">#REF!</definedName>
    <definedName name="s조향" localSheetId="4" hidden="1">#REF!</definedName>
    <definedName name="s조향" localSheetId="3" hidden="1">#REF!</definedName>
    <definedName name="s조향" localSheetId="1" hidden="1">#REF!</definedName>
    <definedName name="s조향" hidden="1">#REF!</definedName>
    <definedName name="S행" localSheetId="3">#REF!</definedName>
    <definedName name="S행" localSheetId="1">#REF!</definedName>
    <definedName name="S행">#REF!</definedName>
    <definedName name="t" localSheetId="5">#REF!</definedName>
    <definedName name="t" localSheetId="4">#REF!</definedName>
    <definedName name="t" localSheetId="3">#REF!</definedName>
    <definedName name="t" localSheetId="1">#REF!</definedName>
    <definedName name="t">#REF!</definedName>
    <definedName name="t_all" localSheetId="5">#REF!</definedName>
    <definedName name="t_all" localSheetId="4">#REF!</definedName>
    <definedName name="t_all" localSheetId="3">#REF!</definedName>
    <definedName name="t_all" localSheetId="1">#REF!</definedName>
    <definedName name="t_all">#REF!</definedName>
    <definedName name="T1_">#N/A</definedName>
    <definedName name="T200팀별투자비" localSheetId="5" hidden="1">{#N/A,#N/A,TRUE,"일정"}</definedName>
    <definedName name="T200팀별투자비" localSheetId="4" hidden="1">{#N/A,#N/A,TRUE,"일정"}</definedName>
    <definedName name="T200팀별투자비" localSheetId="3" hidden="1">{#N/A,#N/A,TRUE,"일정"}</definedName>
    <definedName name="T200팀별투자비" localSheetId="1" hidden="1">{#N/A,#N/A,TRUE,"일정"}</definedName>
    <definedName name="T200팀별투자비" hidden="1">{#N/A,#N/A,TRUE,"일정"}</definedName>
    <definedName name="ta" localSheetId="5" hidden="1">{#N/A,#N/A,FALSE,"Aging Summary";#N/A,#N/A,FALSE,"Ratio Analysis";#N/A,#N/A,FALSE,"Test 120 Day Accts";#N/A,#N/A,FALSE,"Tickmarks"}</definedName>
    <definedName name="ta" localSheetId="4" hidden="1">{#N/A,#N/A,FALSE,"Aging Summary";#N/A,#N/A,FALSE,"Ratio Analysis";#N/A,#N/A,FALSE,"Test 120 Day Accts";#N/A,#N/A,FALSE,"Tickmarks"}</definedName>
    <definedName name="ta" localSheetId="3" hidden="1">{#N/A,#N/A,FALSE,"Aging Summary";#N/A,#N/A,FALSE,"Ratio Analysis";#N/A,#N/A,FALSE,"Test 120 Day Accts";#N/A,#N/A,FALSE,"Tickmarks"}</definedName>
    <definedName name="ta" localSheetId="1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_BUTTON" localSheetId="5">#REF!</definedName>
    <definedName name="TAB_BUTTON" localSheetId="4">#REF!</definedName>
    <definedName name="TAB_BUTTON" localSheetId="3">#REF!</definedName>
    <definedName name="TAB_BUTTON" localSheetId="1">#REF!</definedName>
    <definedName name="TAB_BUTTON">#REF!</definedName>
    <definedName name="TABLE1" localSheetId="3">#REF!</definedName>
    <definedName name="TABLE1" localSheetId="1">#REF!</definedName>
    <definedName name="TABLE1">#REF!</definedName>
    <definedName name="Target" localSheetId="3">#REF!</definedName>
    <definedName name="Target" localSheetId="1">#REF!</definedName>
    <definedName name="Target">#REF!</definedName>
    <definedName name="TARWK" localSheetId="5">#REF!</definedName>
    <definedName name="TARWK" localSheetId="4">#REF!</definedName>
    <definedName name="TARWK" localSheetId="3">#REF!</definedName>
    <definedName name="TARWK" localSheetId="1">#REF!</definedName>
    <definedName name="TARWK">#REF!</definedName>
    <definedName name="tax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 localSheetId="5">#REF!</definedName>
    <definedName name="Tax_Base_above100" localSheetId="4">#REF!</definedName>
    <definedName name="Tax_Base_above100" localSheetId="3">#REF!</definedName>
    <definedName name="Tax_Base_above100" localSheetId="1">#REF!</definedName>
    <definedName name="Tax_Base_above100">#REF!</definedName>
    <definedName name="Tax_Base_below100" localSheetId="3">#REF!</definedName>
    <definedName name="Tax_Base_below100" localSheetId="1">#REF!</definedName>
    <definedName name="Tax_Base_below100">#REF!</definedName>
    <definedName name="Tax_Rate" localSheetId="3">#REF!</definedName>
    <definedName name="Tax_Rate" localSheetId="1">#REF!</definedName>
    <definedName name="Tax_Rate">#REF!</definedName>
    <definedName name="Tax_Rate1" localSheetId="3">#REF!</definedName>
    <definedName name="Tax_Rate1" localSheetId="1">#REF!</definedName>
    <definedName name="Tax_Rate1">#REF!</definedName>
    <definedName name="Tax_Rental_Above100" localSheetId="3">#REF!</definedName>
    <definedName name="Tax_Rental_Above100" localSheetId="1">#REF!</definedName>
    <definedName name="Tax_Rental_Above100">#REF!</definedName>
    <definedName name="Tax_Rental_below100" localSheetId="3">#REF!</definedName>
    <definedName name="Tax_Rental_below100" localSheetId="1">#REF!</definedName>
    <definedName name="Tax_Rental_below100">#REF!</definedName>
    <definedName name="Tax_Withhold_Capital_Gains" localSheetId="3">#REF!</definedName>
    <definedName name="Tax_Withhold_Capital_Gains" localSheetId="1">#REF!</definedName>
    <definedName name="Tax_Withhold_Capital_Gains">#REF!</definedName>
    <definedName name="Tax_Withhold_Dividends" localSheetId="3">#REF!</definedName>
    <definedName name="Tax_Withhold_Dividends" localSheetId="1">#REF!</definedName>
    <definedName name="Tax_Withhold_Dividends">#REF!</definedName>
    <definedName name="TB" localSheetId="3">#REF!</definedName>
    <definedName name="TB" localSheetId="1">#REF!</definedName>
    <definedName name="TB">#REF!</definedName>
    <definedName name="TB112.1" localSheetId="3">#REF!</definedName>
    <definedName name="TB112.1" localSheetId="1">#REF!</definedName>
    <definedName name="TB112.1">#REF!</definedName>
    <definedName name="TB113.1" localSheetId="3">#REF!</definedName>
    <definedName name="TB113.1" localSheetId="1">#REF!</definedName>
    <definedName name="TB113.1">#REF!</definedName>
    <definedName name="TB114.1" localSheetId="3">#REF!</definedName>
    <definedName name="TB114.1" localSheetId="1">#REF!</definedName>
    <definedName name="TB114.1">#REF!</definedName>
    <definedName name="TB115.1" localSheetId="3">#REF!</definedName>
    <definedName name="TB115.1" localSheetId="1">#REF!</definedName>
    <definedName name="TB115.1">#REF!</definedName>
    <definedName name="TB116.1" localSheetId="3">#REF!</definedName>
    <definedName name="TB116.1" localSheetId="1">#REF!</definedName>
    <definedName name="TB116.1">#REF!</definedName>
    <definedName name="TB117.1" localSheetId="3">#REF!</definedName>
    <definedName name="TB117.1" localSheetId="1">#REF!</definedName>
    <definedName name="TB117.1">#REF!</definedName>
    <definedName name="TB212.1" localSheetId="3">#REF!</definedName>
    <definedName name="TB212.1" localSheetId="1">#REF!</definedName>
    <definedName name="TB212.1">#REF!</definedName>
    <definedName name="TB213.1" localSheetId="3">#REF!</definedName>
    <definedName name="TB213.1" localSheetId="1">#REF!</definedName>
    <definedName name="TB213.1">#REF!</definedName>
    <definedName name="TB221.1" localSheetId="3">#REF!</definedName>
    <definedName name="TB221.1" localSheetId="1">#REF!</definedName>
    <definedName name="TB221.1">#REF!</definedName>
    <definedName name="TB222.1" localSheetId="3">#REF!</definedName>
    <definedName name="TB222.1" localSheetId="1">#REF!</definedName>
    <definedName name="TB222.1">#REF!</definedName>
    <definedName name="TB222.2" localSheetId="3">#REF!</definedName>
    <definedName name="TB222.2" localSheetId="1">#REF!</definedName>
    <definedName name="TB222.2">#REF!</definedName>
    <definedName name="TB223.1" localSheetId="3">#REF!</definedName>
    <definedName name="TB223.1" localSheetId="1">#REF!</definedName>
    <definedName name="TB223.1">#REF!</definedName>
    <definedName name="TB224.1" localSheetId="3">#REF!</definedName>
    <definedName name="TB224.1" localSheetId="1">#REF!</definedName>
    <definedName name="TB224.1">#REF!</definedName>
    <definedName name="TB312.1" localSheetId="3">#REF!</definedName>
    <definedName name="TB312.1" localSheetId="1">#REF!</definedName>
    <definedName name="TB312.1">#REF!</definedName>
    <definedName name="TB313.1" localSheetId="3">#REF!</definedName>
    <definedName name="TB313.1" localSheetId="1">#REF!</definedName>
    <definedName name="TB313.1">#REF!</definedName>
    <definedName name="TB314.1" localSheetId="3">#REF!</definedName>
    <definedName name="TB314.1" localSheetId="1">#REF!</definedName>
    <definedName name="TB314.1">#REF!</definedName>
    <definedName name="TB315.1" localSheetId="3">#REF!</definedName>
    <definedName name="TB315.1" localSheetId="1">#REF!</definedName>
    <definedName name="TB315.1">#REF!</definedName>
    <definedName name="TB316.1" localSheetId="3">#REF!</definedName>
    <definedName name="TB316.1" localSheetId="1">#REF!</definedName>
    <definedName name="TB316.1">#REF!</definedName>
    <definedName name="TB317.1" localSheetId="3">#REF!</definedName>
    <definedName name="TB317.1" localSheetId="1">#REF!</definedName>
    <definedName name="TB317.1">#REF!</definedName>
    <definedName name="TB318.1" localSheetId="3">#REF!</definedName>
    <definedName name="TB318.1" localSheetId="1">#REF!</definedName>
    <definedName name="TB318.1">#REF!</definedName>
    <definedName name="TB601.1" localSheetId="3">#REF!</definedName>
    <definedName name="TB601.1" localSheetId="1">#REF!</definedName>
    <definedName name="TB601.1">#REF!</definedName>
    <definedName name="TB605.1" localSheetId="3">#REF!</definedName>
    <definedName name="TB605.1" localSheetId="1">#REF!</definedName>
    <definedName name="TB605.1">#REF!</definedName>
    <definedName name="TB904.1" localSheetId="3">#REF!</definedName>
    <definedName name="TB904.1" localSheetId="1">#REF!</definedName>
    <definedName name="TB904.1">#REF!</definedName>
    <definedName name="TB904.2" localSheetId="3">#REF!</definedName>
    <definedName name="TB904.2" localSheetId="1">#REF!</definedName>
    <definedName name="TB904.2">#REF!</definedName>
    <definedName name="tc" localSheetId="5" hidden="1">{#N/A,#N/A,FALSE,"단축1";#N/A,#N/A,FALSE,"단축2";#N/A,#N/A,FALSE,"단축3";#N/A,#N/A,FALSE,"장축";#N/A,#N/A,FALSE,"4WD"}</definedName>
    <definedName name="tc" localSheetId="4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honsei" localSheetId="5">#REF!</definedName>
    <definedName name="TChonsei" localSheetId="4">#REF!</definedName>
    <definedName name="TChonsei" localSheetId="3">#REF!</definedName>
    <definedName name="TChonsei" localSheetId="1">#REF!</definedName>
    <definedName name="TChonsei">#REF!</definedName>
    <definedName name="tci" localSheetId="5" hidden="1">{#N/A,#N/A,FALSE,"단축1";#N/A,#N/A,FALSE,"단축2";#N/A,#N/A,FALSE,"단축3";#N/A,#N/A,FALSE,"장축";#N/A,#N/A,FALSE,"4WD"}</definedName>
    <definedName name="tci" localSheetId="4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n" localSheetId="5">#REF!</definedName>
    <definedName name="tcn" localSheetId="4">#REF!</definedName>
    <definedName name="tcn" localSheetId="3">#REF!</definedName>
    <definedName name="tcn" localSheetId="1">#REF!</definedName>
    <definedName name="tcn">#REF!</definedName>
    <definedName name="TDeposit" localSheetId="5">#REF!</definedName>
    <definedName name="TDeposit" localSheetId="4">#REF!</definedName>
    <definedName name="TDeposit" localSheetId="3">#REF!</definedName>
    <definedName name="TDeposit" localSheetId="1">#REF!</definedName>
    <definedName name="TDeposit">#REF!</definedName>
    <definedName name="TDS" localSheetId="3">#REF!</definedName>
    <definedName name="TDS" localSheetId="1">#REF!</definedName>
    <definedName name="TDS">#REF!</definedName>
    <definedName name="TEAM" localSheetId="5">#REF!</definedName>
    <definedName name="TEAM" localSheetId="4">#REF!</definedName>
    <definedName name="TEAM" localSheetId="3">#REF!</definedName>
    <definedName name="TEAM" localSheetId="1">#REF!</definedName>
    <definedName name="TEAM">#REF!</definedName>
    <definedName name="Tel" localSheetId="3">#REF!</definedName>
    <definedName name="Tel" localSheetId="1">#REF!</definedName>
    <definedName name="Tel">#REF!</definedName>
    <definedName name="temp" localSheetId="3">#REF!</definedName>
    <definedName name="temp" localSheetId="1">#REF!</definedName>
    <definedName name="temp">#REF!</definedName>
    <definedName name="Tenant" localSheetId="3">#REF!</definedName>
    <definedName name="Tenant" localSheetId="1">#REF!</definedName>
    <definedName name="Tenant">#REF!</definedName>
    <definedName name="TenantData" localSheetId="3">#REF!</definedName>
    <definedName name="TenantData" localSheetId="1">#REF!</definedName>
    <definedName name="TenantData">#REF!</definedName>
    <definedName name="tenmo" localSheetId="3">#REF!</definedName>
    <definedName name="tenmo" localSheetId="1">#REF!</definedName>
    <definedName name="tenmo">#REF!</definedName>
    <definedName name="Term" localSheetId="5">#REF!</definedName>
    <definedName name="Term" localSheetId="4">#REF!</definedName>
    <definedName name="Term" localSheetId="3">#REF!</definedName>
    <definedName name="Term" localSheetId="1">#REF!</definedName>
    <definedName name="Term">#REF!</definedName>
    <definedName name="TEST" localSheetId="3">#REF!</definedName>
    <definedName name="TEST" localSheetId="1">#REF!</definedName>
    <definedName name="TEST">#REF!</definedName>
    <definedName name="TEST_1" localSheetId="3">#REF!</definedName>
    <definedName name="TEST_1" localSheetId="1">#REF!</definedName>
    <definedName name="TEST_1">#REF!</definedName>
    <definedName name="TEST_2" localSheetId="3">#REF!</definedName>
    <definedName name="TEST_2" localSheetId="1">#REF!</definedName>
    <definedName name="TEST_2">#REF!</definedName>
    <definedName name="TEST_A">#N/A</definedName>
    <definedName name="TEST_A1" localSheetId="5">#REF!</definedName>
    <definedName name="TEST_A1" localSheetId="4">#REF!</definedName>
    <definedName name="TEST_A1" localSheetId="3">#REF!</definedName>
    <definedName name="TEST_A1" localSheetId="1">#REF!</definedName>
    <definedName name="TEST_A1">#REF!</definedName>
    <definedName name="TEST_A2" localSheetId="3">#REF!</definedName>
    <definedName name="TEST_A2" localSheetId="1">#REF!</definedName>
    <definedName name="TEST_A2">#REF!</definedName>
    <definedName name="TEST_A3" localSheetId="3">#REF!</definedName>
    <definedName name="TEST_A3" localSheetId="1">#REF!</definedName>
    <definedName name="TEST_A3">#REF!</definedName>
    <definedName name="TEST_B">#N/A</definedName>
    <definedName name="TEST_B1" localSheetId="5">#REF!</definedName>
    <definedName name="TEST_B1" localSheetId="4">#REF!</definedName>
    <definedName name="TEST_B1" localSheetId="3">#REF!</definedName>
    <definedName name="TEST_B1" localSheetId="1">#REF!</definedName>
    <definedName name="TEST_B1">#REF!</definedName>
    <definedName name="TEST_B2" localSheetId="3">#REF!</definedName>
    <definedName name="TEST_B2" localSheetId="1">#REF!</definedName>
    <definedName name="TEST_B2">#REF!</definedName>
    <definedName name="TEST_B3" localSheetId="3">#REF!</definedName>
    <definedName name="TEST_B3" localSheetId="1">#REF!</definedName>
    <definedName name="TEST_B3">#REF!</definedName>
    <definedName name="TEST_C">#N/A</definedName>
    <definedName name="TEST_C1" localSheetId="5">#REF!</definedName>
    <definedName name="TEST_C1" localSheetId="4">#REF!</definedName>
    <definedName name="TEST_C1" localSheetId="3">#REF!</definedName>
    <definedName name="TEST_C1" localSheetId="1">#REF!</definedName>
    <definedName name="TEST_C1">#REF!</definedName>
    <definedName name="TEST_C2" localSheetId="3">#REF!</definedName>
    <definedName name="TEST_C2" localSheetId="1">#REF!</definedName>
    <definedName name="TEST_C2">#REF!</definedName>
    <definedName name="TEST_C3" localSheetId="3">#REF!</definedName>
    <definedName name="TEST_C3" localSheetId="1">#REF!</definedName>
    <definedName name="TEST_C3">#REF!</definedName>
    <definedName name="TEST_D">#N/A</definedName>
    <definedName name="TEST_D1" localSheetId="5">#REF!</definedName>
    <definedName name="TEST_D1" localSheetId="4">#REF!</definedName>
    <definedName name="TEST_D1" localSheetId="3">#REF!</definedName>
    <definedName name="TEST_D1" localSheetId="1">#REF!</definedName>
    <definedName name="TEST_D1">#REF!</definedName>
    <definedName name="TEST_D2" localSheetId="3">#REF!</definedName>
    <definedName name="TEST_D2" localSheetId="1">#REF!</definedName>
    <definedName name="TEST_D2">#REF!</definedName>
    <definedName name="TEST_D3" localSheetId="3">#REF!</definedName>
    <definedName name="TEST_D3" localSheetId="1">#REF!</definedName>
    <definedName name="TEST_D3">#REF!</definedName>
    <definedName name="TEST_E">#N/A</definedName>
    <definedName name="TEST_E1" localSheetId="5">#REF!</definedName>
    <definedName name="TEST_E1" localSheetId="4">#REF!</definedName>
    <definedName name="TEST_E1" localSheetId="3">#REF!</definedName>
    <definedName name="TEST_E1" localSheetId="1">#REF!</definedName>
    <definedName name="TEST_E1">#REF!</definedName>
    <definedName name="TEST_E2" localSheetId="3">#REF!</definedName>
    <definedName name="TEST_E2" localSheetId="1">#REF!</definedName>
    <definedName name="TEST_E2">#REF!</definedName>
    <definedName name="TEST_E3" localSheetId="3">#REF!</definedName>
    <definedName name="TEST_E3" localSheetId="1">#REF!</definedName>
    <definedName name="TEST_E3">#REF!</definedName>
    <definedName name="TEST_F1" localSheetId="3">#REF!</definedName>
    <definedName name="TEST_F1" localSheetId="1">#REF!</definedName>
    <definedName name="TEST_F1">#REF!</definedName>
    <definedName name="TEST_F2" localSheetId="3">#REF!</definedName>
    <definedName name="TEST_F2" localSheetId="1">#REF!</definedName>
    <definedName name="TEST_F2">#REF!</definedName>
    <definedName name="TEST_F3" localSheetId="3">#REF!</definedName>
    <definedName name="TEST_F3" localSheetId="1">#REF!</definedName>
    <definedName name="TEST_F3">#REF!</definedName>
    <definedName name="TEST_G" localSheetId="3">#REF!</definedName>
    <definedName name="TEST_G" localSheetId="1">#REF!</definedName>
    <definedName name="TEST_G">#REF!</definedName>
    <definedName name="TEST_G1" localSheetId="3">#REF!</definedName>
    <definedName name="TEST_G1" localSheetId="1">#REF!</definedName>
    <definedName name="TEST_G1">#REF!</definedName>
    <definedName name="TEST_G2" localSheetId="3">#REF!</definedName>
    <definedName name="TEST_G2" localSheetId="1">#REF!</definedName>
    <definedName name="TEST_G2">#REF!</definedName>
    <definedName name="TEST_G3" localSheetId="3">#REF!</definedName>
    <definedName name="TEST_G3" localSheetId="1">#REF!</definedName>
    <definedName name="TEST_G3">#REF!</definedName>
    <definedName name="TEST_H1" localSheetId="3">#REF!</definedName>
    <definedName name="TEST_H1" localSheetId="1">#REF!</definedName>
    <definedName name="TEST_H1">#REF!</definedName>
    <definedName name="TEST_H2" localSheetId="3">#REF!</definedName>
    <definedName name="TEST_H2" localSheetId="1">#REF!</definedName>
    <definedName name="TEST_H2">#REF!</definedName>
    <definedName name="TEST_H3" localSheetId="3">#REF!</definedName>
    <definedName name="TEST_H3" localSheetId="1">#REF!</definedName>
    <definedName name="TEST_H3">#REF!</definedName>
    <definedName name="TEST_I1" localSheetId="3">#REF!</definedName>
    <definedName name="TEST_I1" localSheetId="1">#REF!</definedName>
    <definedName name="TEST_I1">#REF!</definedName>
    <definedName name="TEST_I2" localSheetId="3">#REF!</definedName>
    <definedName name="TEST_I2" localSheetId="1">#REF!</definedName>
    <definedName name="TEST_I2">#REF!</definedName>
    <definedName name="TEST_I3" localSheetId="3">#REF!</definedName>
    <definedName name="TEST_I3" localSheetId="1">#REF!</definedName>
    <definedName name="TEST_I3">#REF!</definedName>
    <definedName name="TEST_J1" localSheetId="3">#REF!</definedName>
    <definedName name="TEST_J1" localSheetId="1">#REF!</definedName>
    <definedName name="TEST_J1">#REF!</definedName>
    <definedName name="TEST_J2" localSheetId="3">#REF!</definedName>
    <definedName name="TEST_J2" localSheetId="1">#REF!</definedName>
    <definedName name="TEST_J2">#REF!</definedName>
    <definedName name="TEST_J3" localSheetId="3">#REF!</definedName>
    <definedName name="TEST_J3" localSheetId="1">#REF!</definedName>
    <definedName name="TEST_J3">#REF!</definedName>
    <definedName name="TEST_K1" localSheetId="3">#REF!</definedName>
    <definedName name="TEST_K1" localSheetId="1">#REF!</definedName>
    <definedName name="TEST_K1">#REF!</definedName>
    <definedName name="TEST_K2" localSheetId="3">#REF!</definedName>
    <definedName name="TEST_K2" localSheetId="1">#REF!</definedName>
    <definedName name="TEST_K2">#REF!</definedName>
    <definedName name="TEST_K3" localSheetId="3">#REF!</definedName>
    <definedName name="TEST_K3" localSheetId="1">#REF!</definedName>
    <definedName name="TEST_K3">#REF!</definedName>
    <definedName name="TEST_L2" localSheetId="3">#REF!</definedName>
    <definedName name="TEST_L2" localSheetId="1">#REF!</definedName>
    <definedName name="TEST_L2">#REF!</definedName>
    <definedName name="TEST_L3" localSheetId="3">#REF!</definedName>
    <definedName name="TEST_L3" localSheetId="1">#REF!</definedName>
    <definedName name="TEST_L3">#REF!</definedName>
    <definedName name="TEST_M2" localSheetId="3">#REF!</definedName>
    <definedName name="TEST_M2" localSheetId="1">#REF!</definedName>
    <definedName name="TEST_M2">#REF!</definedName>
    <definedName name="TEST_M3" localSheetId="3">#REF!</definedName>
    <definedName name="TEST_M3" localSheetId="1">#REF!</definedName>
    <definedName name="TEST_M3">#REF!</definedName>
    <definedName name="TEST_N2" localSheetId="3">#REF!</definedName>
    <definedName name="TEST_N2" localSheetId="1">#REF!</definedName>
    <definedName name="TEST_N2">#REF!</definedName>
    <definedName name="TEST_N3" localSheetId="3">#REF!</definedName>
    <definedName name="TEST_N3" localSheetId="1">#REF!</definedName>
    <definedName name="TEST_N3">#REF!</definedName>
    <definedName name="TEST_O2" localSheetId="3">#REF!</definedName>
    <definedName name="TEST_O2" localSheetId="1">#REF!</definedName>
    <definedName name="TEST_O2">#REF!</definedName>
    <definedName name="TEST_O3" localSheetId="3">#REF!</definedName>
    <definedName name="TEST_O3" localSheetId="1">#REF!</definedName>
    <definedName name="TEST_O3">#REF!</definedName>
    <definedName name="TEST_P2" localSheetId="3">#REF!</definedName>
    <definedName name="TEST_P2" localSheetId="1">#REF!</definedName>
    <definedName name="TEST_P2">#REF!</definedName>
    <definedName name="TEST_P3" localSheetId="3">#REF!</definedName>
    <definedName name="TEST_P3" localSheetId="1">#REF!</definedName>
    <definedName name="TEST_P3">#REF!</definedName>
    <definedName name="TEST_Q2" localSheetId="3">#REF!</definedName>
    <definedName name="TEST_Q2" localSheetId="1">#REF!</definedName>
    <definedName name="TEST_Q2">#REF!</definedName>
    <definedName name="TEST_Q3" localSheetId="3">#REF!</definedName>
    <definedName name="TEST_Q3" localSheetId="1">#REF!</definedName>
    <definedName name="TEST_Q3">#REF!</definedName>
    <definedName name="TEST_R2" localSheetId="3">#REF!</definedName>
    <definedName name="TEST_R2" localSheetId="1">#REF!</definedName>
    <definedName name="TEST_R2">#REF!</definedName>
    <definedName name="TEST_R3" localSheetId="3">#REF!</definedName>
    <definedName name="TEST_R3" localSheetId="1">#REF!</definedName>
    <definedName name="TEST_R3">#REF!</definedName>
    <definedName name="TEST_S3" localSheetId="3">#REF!</definedName>
    <definedName name="TEST_S3" localSheetId="1">#REF!</definedName>
    <definedName name="TEST_S3">#REF!</definedName>
    <definedName name="TEST_T3" localSheetId="3">#REF!</definedName>
    <definedName name="TEST_T3" localSheetId="1">#REF!</definedName>
    <definedName name="TEST_T3">#REF!</definedName>
    <definedName name="TEST_U3" localSheetId="3">#REF!</definedName>
    <definedName name="TEST_U3" localSheetId="1">#REF!</definedName>
    <definedName name="TEST_U3">#REF!</definedName>
    <definedName name="TEST_V3" localSheetId="3">#REF!</definedName>
    <definedName name="TEST_V3" localSheetId="1">#REF!</definedName>
    <definedName name="TEST_V3">#REF!</definedName>
    <definedName name="TEST_W3" localSheetId="3">#REF!</definedName>
    <definedName name="TEST_W3" localSheetId="1">#REF!</definedName>
    <definedName name="TEST_W3">#REF!</definedName>
    <definedName name="TEST_X3" localSheetId="3">#REF!</definedName>
    <definedName name="TEST_X3" localSheetId="1">#REF!</definedName>
    <definedName name="TEST_X3">#REF!</definedName>
    <definedName name="TEST_Y3" localSheetId="3">#REF!</definedName>
    <definedName name="TEST_Y3" localSheetId="1">#REF!</definedName>
    <definedName name="TEST_Y3">#REF!</definedName>
    <definedName name="TEST_Z3" localSheetId="3">#REF!</definedName>
    <definedName name="TEST_Z3" localSheetId="1">#REF!</definedName>
    <definedName name="TEST_Z3">#REF!</definedName>
    <definedName name="TEST0" localSheetId="3">#REF!</definedName>
    <definedName name="TEST0" localSheetId="1">#REF!</definedName>
    <definedName name="TEST0">#REF!</definedName>
    <definedName name="TEST1" localSheetId="3">#REF!</definedName>
    <definedName name="TEST1" localSheetId="1">#REF!</definedName>
    <definedName name="TEST1">#REF!</definedName>
    <definedName name="TESTDTA_F4095" localSheetId="3">#REF!</definedName>
    <definedName name="TESTDTA_F4095" localSheetId="1">#REF!</definedName>
    <definedName name="TESTDTA_F4095">#REF!</definedName>
    <definedName name="TESTHKEY" localSheetId="3">#REF!</definedName>
    <definedName name="TESTHKEY" localSheetId="1">#REF!</definedName>
    <definedName name="TESTHKEY">#REF!</definedName>
    <definedName name="TESTKEYS" localSheetId="3">#REF!</definedName>
    <definedName name="TESTKEYS" localSheetId="1">#REF!</definedName>
    <definedName name="TESTKEYS">#REF!</definedName>
    <definedName name="TESTVKEY" localSheetId="3">#REF!</definedName>
    <definedName name="TESTVKEY" localSheetId="1">#REF!</definedName>
    <definedName name="TESTVKEY">#REF!</definedName>
    <definedName name="TEXT16" localSheetId="3">#REF!</definedName>
    <definedName name="TEXT16" localSheetId="1">#REF!</definedName>
    <definedName name="TEXT16">#REF!</definedName>
    <definedName name="TextRefCopy1" localSheetId="3">#REF!</definedName>
    <definedName name="TextRefCopy1" localSheetId="1">#REF!</definedName>
    <definedName name="TextRefCopy1">#REF!</definedName>
    <definedName name="TextRefCopy10" localSheetId="3">#REF!</definedName>
    <definedName name="TextRefCopy10" localSheetId="1">#REF!</definedName>
    <definedName name="TextRefCopy10">#REF!</definedName>
    <definedName name="TextRefCopy11" localSheetId="3">#REF!</definedName>
    <definedName name="TextRefCopy11" localSheetId="1">#REF!</definedName>
    <definedName name="TextRefCopy11">#REF!</definedName>
    <definedName name="TextRefCopy12" localSheetId="3">#REF!</definedName>
    <definedName name="TextRefCopy12" localSheetId="1">#REF!</definedName>
    <definedName name="TextRefCopy12">#REF!</definedName>
    <definedName name="TextRefCopy13" localSheetId="3">#REF!</definedName>
    <definedName name="TextRefCopy13" localSheetId="1">#REF!</definedName>
    <definedName name="TextRefCopy13">#REF!</definedName>
    <definedName name="TextRefCopy14" localSheetId="3">#REF!</definedName>
    <definedName name="TextRefCopy14" localSheetId="1">#REF!</definedName>
    <definedName name="TextRefCopy14">#REF!</definedName>
    <definedName name="TextRefCopy15" localSheetId="3">#REF!</definedName>
    <definedName name="TextRefCopy15" localSheetId="1">#REF!</definedName>
    <definedName name="TextRefCopy15">#REF!</definedName>
    <definedName name="TextRefCopy16" localSheetId="3">#REF!</definedName>
    <definedName name="TextRefCopy16" localSheetId="1">#REF!</definedName>
    <definedName name="TextRefCopy16">#REF!</definedName>
    <definedName name="TextRefCopy17" localSheetId="3">#REF!</definedName>
    <definedName name="TextRefCopy17" localSheetId="1">#REF!</definedName>
    <definedName name="TextRefCopy17">#REF!</definedName>
    <definedName name="TextRefCopy18" localSheetId="3">#REF!</definedName>
    <definedName name="TextRefCopy18" localSheetId="1">#REF!</definedName>
    <definedName name="TextRefCopy18">#REF!</definedName>
    <definedName name="TextRefCopy2" localSheetId="3">#REF!</definedName>
    <definedName name="TextRefCopy2" localSheetId="1">#REF!</definedName>
    <definedName name="TextRefCopy2">#REF!</definedName>
    <definedName name="TextRefCopy3" localSheetId="3">#REF!</definedName>
    <definedName name="TextRefCopy3" localSheetId="1">#REF!</definedName>
    <definedName name="TextRefCopy3">#REF!</definedName>
    <definedName name="TextRefCopy4" localSheetId="5">#REF!</definedName>
    <definedName name="TextRefCopy4" localSheetId="4">#REF!</definedName>
    <definedName name="TextRefCopy4" localSheetId="3">#REF!</definedName>
    <definedName name="TextRefCopy4" localSheetId="1">#REF!</definedName>
    <definedName name="TextRefCopy4">#REF!</definedName>
    <definedName name="TextRefCopy5" localSheetId="3">#REF!</definedName>
    <definedName name="TextRefCopy5" localSheetId="1">#REF!</definedName>
    <definedName name="TextRefCopy5">#REF!</definedName>
    <definedName name="TextRefCopy6" localSheetId="3">#REF!</definedName>
    <definedName name="TextRefCopy6" localSheetId="1">#REF!</definedName>
    <definedName name="TextRefCopy6">#REF!</definedName>
    <definedName name="TextRefCopy7" localSheetId="3">#REF!</definedName>
    <definedName name="TextRefCopy7" localSheetId="1">#REF!</definedName>
    <definedName name="TextRefCopy7">#REF!</definedName>
    <definedName name="TextRefCopy8" localSheetId="3">#REF!</definedName>
    <definedName name="TextRefCopy8" localSheetId="1">#REF!</definedName>
    <definedName name="TextRefCopy8">#REF!</definedName>
    <definedName name="TextRefCopy9" localSheetId="3">#REF!</definedName>
    <definedName name="TextRefCopy9" localSheetId="1">#REF!</definedName>
    <definedName name="TextRefCopy9">#REF!</definedName>
    <definedName name="TextRefCopyRangeCount" hidden="1">2</definedName>
    <definedName name="THEME2" localSheetId="5" hidden="1">{#N/A,#N/A,FALSE,"96 3월물량표";#N/A,#N/A,FALSE,"96 4월물량표";#N/A,#N/A,FALSE,"96 5월물량표"}</definedName>
    <definedName name="THEME2" localSheetId="4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localSheetId="1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EMONTH" localSheetId="5">#REF!</definedName>
    <definedName name="THEMONTH" localSheetId="4">#REF!</definedName>
    <definedName name="THEMONTH" localSheetId="3">#REF!</definedName>
    <definedName name="THEMONTH" localSheetId="1">#REF!</definedName>
    <definedName name="THEMONTH">#REF!</definedName>
    <definedName name="This_Quarter" localSheetId="3">#REF!</definedName>
    <definedName name="This_Quarter" localSheetId="1">#REF!</definedName>
    <definedName name="This_Quarter">#REF!</definedName>
    <definedName name="ThisPeriod" localSheetId="3">#REF!</definedName>
    <definedName name="ThisPeriod" localSheetId="1">#REF!</definedName>
    <definedName name="ThisPeriod">#REF!</definedName>
    <definedName name="ThisYear" localSheetId="3">#REF!</definedName>
    <definedName name="ThisYear" localSheetId="1">#REF!</definedName>
    <definedName name="ThisYear">#REF!</definedName>
    <definedName name="thsdls" localSheetId="5" hidden="1">{#N/A,#N/A,FALSE,"Aging Summary";#N/A,#N/A,FALSE,"Ratio Analysis";#N/A,#N/A,FALSE,"Test 120 Day Accts";#N/A,#N/A,FALSE,"Tickmarks"}</definedName>
    <definedName name="thsdls" localSheetId="4" hidden="1">{#N/A,#N/A,FALSE,"Aging Summary";#N/A,#N/A,FALSE,"Ratio Analysis";#N/A,#N/A,FALSE,"Test 120 Day Accts";#N/A,#N/A,FALSE,"Tickmarks"}</definedName>
    <definedName name="thsdls" localSheetId="3" hidden="1">{#N/A,#N/A,FALSE,"Aging Summary";#N/A,#N/A,FALSE,"Ratio Analysis";#N/A,#N/A,FALSE,"Test 120 Day Accts";#N/A,#N/A,FALSE,"Tickmarks"}</definedName>
    <definedName name="thsdls" localSheetId="1" hidden="1">{#N/A,#N/A,FALSE,"Aging Summary";#N/A,#N/A,FALSE,"Ratio Analysis";#N/A,#N/A,FALSE,"Test 120 Day Accts";#N/A,#N/A,FALSE,"Tickmarks"}</definedName>
    <definedName name="thsdls" hidden="1">{#N/A,#N/A,FALSE,"Aging Summary";#N/A,#N/A,FALSE,"Ratio Analysis";#N/A,#N/A,FALSE,"Test 120 Day Accts";#N/A,#N/A,FALSE,"Tickmarks"}</definedName>
    <definedName name="thtty" localSheetId="5" hidden="1">{#N/A,#N/A,FALSE,"96 3월물량표";#N/A,#N/A,FALSE,"96 4월물량표";#N/A,#N/A,FALSE,"96 5월물량표"}</definedName>
    <definedName name="thtty" localSheetId="4" hidden="1">{#N/A,#N/A,FALSE,"96 3월물량표";#N/A,#N/A,FALSE,"96 4월물량표";#N/A,#N/A,FALSE,"96 5월물량표"}</definedName>
    <definedName name="thtty" localSheetId="3" hidden="1">{#N/A,#N/A,FALSE,"96 3월물량표";#N/A,#N/A,FALSE,"96 4월물량표";#N/A,#N/A,FALSE,"96 5월물량표"}</definedName>
    <definedName name="thtty" localSheetId="1" hidden="1">{#N/A,#N/A,FALSE,"96 3월물량표";#N/A,#N/A,FALSE,"96 4월물량표";#N/A,#N/A,FALSE,"96 5월물량표"}</definedName>
    <definedName name="thtty" hidden="1">{#N/A,#N/A,FALSE,"96 3월물량표";#N/A,#N/A,FALSE,"96 4월물량표";#N/A,#N/A,FALSE,"96 5월물량표"}</definedName>
    <definedName name="ti" localSheetId="5">#REF!</definedName>
    <definedName name="ti" localSheetId="4">#REF!</definedName>
    <definedName name="ti" localSheetId="3">#REF!</definedName>
    <definedName name="ti" localSheetId="1">#REF!</definedName>
    <definedName name="ti">#REF!</definedName>
    <definedName name="Time" localSheetId="3">#REF!</definedName>
    <definedName name="Time" localSheetId="1">#REF!</definedName>
    <definedName name="Time">#REF!</definedName>
    <definedName name="TIMESTAMP" localSheetId="3">#REF!</definedName>
    <definedName name="TIMESTAMP" localSheetId="1">#REF!</definedName>
    <definedName name="TIMESTAMP">#REF!</definedName>
    <definedName name="TIPS_Actual_Title" localSheetId="3">#REF!</definedName>
    <definedName name="TIPS_Actual_Title" localSheetId="1">#REF!</definedName>
    <definedName name="TIPS_Actual_Title">#REF!</definedName>
    <definedName name="TIPS_AGENCY_COFEE" localSheetId="3">#REF!</definedName>
    <definedName name="TIPS_AGENCY_COFEE" localSheetId="1">#REF!</definedName>
    <definedName name="TIPS_AGENCY_COFEE">#REF!</definedName>
    <definedName name="TIPS_AGENCY_EEFEE" localSheetId="3">#REF!</definedName>
    <definedName name="TIPS_AGENCY_EEFEE" localSheetId="1">#REF!</definedName>
    <definedName name="TIPS_AGENCY_EEFEE">#REF!</definedName>
    <definedName name="TIPS_ALLOW_RUNCOST" localSheetId="3">#REF!</definedName>
    <definedName name="TIPS_ALLOW_RUNCOST" localSheetId="1">#REF!</definedName>
    <definedName name="TIPS_ALLOW_RUNCOST">#REF!</definedName>
    <definedName name="TIPS_ALLOWANCE" localSheetId="3">#REF!</definedName>
    <definedName name="TIPS_ALLOWANCE" localSheetId="1">#REF!</definedName>
    <definedName name="TIPS_ALLOWANCE">#REF!</definedName>
    <definedName name="TIPS_ANN_BASE" localSheetId="3">#REF!</definedName>
    <definedName name="TIPS_ANN_BASE" localSheetId="1">#REF!</definedName>
    <definedName name="TIPS_ANN_BASE">#REF!</definedName>
    <definedName name="TIPS_ANN_EC_GIVEN" localSheetId="3">#REF!</definedName>
    <definedName name="TIPS_ANN_EC_GIVEN" localSheetId="1">#REF!</definedName>
    <definedName name="TIPS_ANN_EC_GIVEN">#REF!</definedName>
    <definedName name="TIPS_AREA_ALW" localSheetId="3">#REF!</definedName>
    <definedName name="TIPS_AREA_ALW" localSheetId="1">#REF!</definedName>
    <definedName name="TIPS_AREA_ALW">#REF!</definedName>
    <definedName name="TIPS_BENEFITPOLICY" localSheetId="3">#REF!</definedName>
    <definedName name="TIPS_BENEFITPOLICY" localSheetId="1">#REF!</definedName>
    <definedName name="TIPS_BENEFITPOLICY">#REF!</definedName>
    <definedName name="TIPS_Benefits_1" localSheetId="3">#REF!</definedName>
    <definedName name="TIPS_Benefits_1" localSheetId="1">#REF!</definedName>
    <definedName name="TIPS_Benefits_1">#REF!</definedName>
    <definedName name="TIPS_Benefits_2" localSheetId="3">#REF!</definedName>
    <definedName name="TIPS_Benefits_2" localSheetId="1">#REF!</definedName>
    <definedName name="TIPS_Benefits_2">#REF!</definedName>
    <definedName name="TIPS_BON_ACT" localSheetId="3">#REF!</definedName>
    <definedName name="TIPS_BON_ACT" localSheetId="1">#REF!</definedName>
    <definedName name="TIPS_BON_ACT">#REF!</definedName>
    <definedName name="TIPS_BON_ACT2" localSheetId="3">#REF!</definedName>
    <definedName name="TIPS_BON_ACT2" localSheetId="1">#REF!</definedName>
    <definedName name="TIPS_BON_ACT2">#REF!</definedName>
    <definedName name="TIPS_BON_ELIG" localSheetId="3">#REF!</definedName>
    <definedName name="TIPS_BON_ELIG" localSheetId="1">#REF!</definedName>
    <definedName name="TIPS_BON_ELIG">#REF!</definedName>
    <definedName name="TIPS_BON_TGT" localSheetId="3">#REF!</definedName>
    <definedName name="TIPS_BON_TGT" localSheetId="1">#REF!</definedName>
    <definedName name="TIPS_BON_TGT">#REF!</definedName>
    <definedName name="TIPS_BON_TGT2" localSheetId="3">#REF!</definedName>
    <definedName name="TIPS_BON_TGT2" localSheetId="1">#REF!</definedName>
    <definedName name="TIPS_BON_TGT2">#REF!</definedName>
    <definedName name="TIPS_BURN_ALW" localSheetId="3">#REF!</definedName>
    <definedName name="TIPS_BURN_ALW" localSheetId="1">#REF!</definedName>
    <definedName name="TIPS_BURN_ALW">#REF!</definedName>
    <definedName name="TIPS_CAR_ENGINE" localSheetId="3">#REF!</definedName>
    <definedName name="TIPS_CAR_ENGINE" localSheetId="1">#REF!</definedName>
    <definedName name="TIPS_CAR_ENGINE">#REF!</definedName>
    <definedName name="TIPS_CAR_MODEL" localSheetId="3">#REF!</definedName>
    <definedName name="TIPS_CAR_MODEL" localSheetId="1">#REF!</definedName>
    <definedName name="TIPS_CAR_MODEL">#REF!</definedName>
    <definedName name="TIPS_CAR_PLAN" localSheetId="3">#REF!</definedName>
    <definedName name="TIPS_CAR_PLAN" localSheetId="1">#REF!</definedName>
    <definedName name="TIPS_CAR_PLAN">#REF!</definedName>
    <definedName name="TIPS_CAR_PRK" localSheetId="3">#REF!</definedName>
    <definedName name="TIPS_CAR_PRK" localSheetId="1">#REF!</definedName>
    <definedName name="TIPS_CAR_PRK">#REF!</definedName>
    <definedName name="TIPS_CHILD_EDUC" localSheetId="3">#REF!</definedName>
    <definedName name="TIPS_CHILD_EDUC" localSheetId="1">#REF!</definedName>
    <definedName name="TIPS_CHILD_EDUC">#REF!</definedName>
    <definedName name="TIPS_Class_of_Lawyer" localSheetId="3">#REF!</definedName>
    <definedName name="TIPS_Class_of_Lawyer" localSheetId="1">#REF!</definedName>
    <definedName name="TIPS_Class_of_Lawyer">#REF!</definedName>
    <definedName name="TIPS_CLEAN_ALW" localSheetId="3">#REF!</definedName>
    <definedName name="TIPS_CLEAN_ALW" localSheetId="1">#REF!</definedName>
    <definedName name="TIPS_CLEAN_ALW">#REF!</definedName>
    <definedName name="TIPS_CLOTH_ALW" localSheetId="3">#REF!</definedName>
    <definedName name="TIPS_CLOTH_ALW" localSheetId="1">#REF!</definedName>
    <definedName name="TIPS_CLOTH_ALW">#REF!</definedName>
    <definedName name="TIPS_CLUB_BEN" localSheetId="3">#REF!</definedName>
    <definedName name="TIPS_CLUB_BEN" localSheetId="1">#REF!</definedName>
    <definedName name="TIPS_CLUB_BEN">#REF!</definedName>
    <definedName name="TIPS_Combined_MUPCS_Title" localSheetId="3">#REF!</definedName>
    <definedName name="TIPS_Combined_MUPCS_Title" localSheetId="1">#REF!</definedName>
    <definedName name="TIPS_Combined_MUPCS_Title">#REF!</definedName>
    <definedName name="TIPS_Country_Code" localSheetId="3">#REF!</definedName>
    <definedName name="TIPS_Country_Code" localSheetId="1">#REF!</definedName>
    <definedName name="TIPS_Country_Code">#REF!</definedName>
    <definedName name="TIPS_CURR_CODE" localSheetId="3">#REF!</definedName>
    <definedName name="TIPS_CURR_CODE" localSheetId="1">#REF!</definedName>
    <definedName name="TIPS_CURR_CODE">#REF!</definedName>
    <definedName name="TIPS_DBPOLICY" localSheetId="3">#REF!</definedName>
    <definedName name="TIPS_DBPOLICY" localSheetId="1">#REF!</definedName>
    <definedName name="TIPS_DBPOLICY">#REF!</definedName>
    <definedName name="TIPS_DCPOLICY" localSheetId="3">#REF!</definedName>
    <definedName name="TIPS_DCPOLICY" localSheetId="1">#REF!</definedName>
    <definedName name="TIPS_DCPOLICY">#REF!</definedName>
    <definedName name="TIPS_DEEMOT_ALW" localSheetId="3">#REF!</definedName>
    <definedName name="TIPS_DEEMOT_ALW" localSheetId="1">#REF!</definedName>
    <definedName name="TIPS_DEEMOT_ALW">#REF!</definedName>
    <definedName name="TIPS_DEEMOT_PRO" localSheetId="3">#REF!</definedName>
    <definedName name="TIPS_DEEMOT_PRO" localSheetId="1">#REF!</definedName>
    <definedName name="TIPS_DEEMOT_PRO">#REF!</definedName>
    <definedName name="TIPS_DRIVER_SAL" localSheetId="3">#REF!</definedName>
    <definedName name="TIPS_DRIVER_SAL" localSheetId="1">#REF!</definedName>
    <definedName name="TIPS_DRIVER_SAL">#REF!</definedName>
    <definedName name="TIPS_Education_Allw" localSheetId="3">#REF!</definedName>
    <definedName name="TIPS_Education_Allw" localSheetId="1">#REF!</definedName>
    <definedName name="TIPS_Education_Allw">#REF!</definedName>
    <definedName name="TIPS_Employee_ID" localSheetId="3">#REF!</definedName>
    <definedName name="TIPS_Employee_ID" localSheetId="1">#REF!</definedName>
    <definedName name="TIPS_Employee_ID">#REF!</definedName>
    <definedName name="TIPS_EPI_RATE" localSheetId="3">#REF!</definedName>
    <definedName name="TIPS_EPI_RATE" localSheetId="1">#REF!</definedName>
    <definedName name="TIPS_EPI_RATE">#REF!</definedName>
    <definedName name="TIPS_FAMILY_ALW" localSheetId="3">#REF!</definedName>
    <definedName name="TIPS_FAMILY_ALW" localSheetId="1">#REF!</definedName>
    <definedName name="TIPS_FAMILY_ALW">#REF!</definedName>
    <definedName name="TIPS_FBT_ITEMS" localSheetId="3">#REF!</definedName>
    <definedName name="TIPS_FBT_ITEMS" localSheetId="1">#REF!</definedName>
    <definedName name="TIPS_FBT_ITEMS">#REF!</definedName>
    <definedName name="TIPS_FEST_BON" localSheetId="3">#REF!</definedName>
    <definedName name="TIPS_FEST_BON" localSheetId="1">#REF!</definedName>
    <definedName name="TIPS_FEST_BON">#REF!</definedName>
    <definedName name="TIPS_Financial_Vol" localSheetId="3">#REF!</definedName>
    <definedName name="TIPS_Financial_Vol" localSheetId="1">#REF!</definedName>
    <definedName name="TIPS_Financial_Vol">#REF!</definedName>
    <definedName name="TIPS_FIXED_BON" localSheetId="3">#REF!</definedName>
    <definedName name="TIPS_FIXED_BON" localSheetId="1">#REF!</definedName>
    <definedName name="TIPS_FIXED_BON">#REF!</definedName>
    <definedName name="TIPS_FIXEMP_TEC" localSheetId="3">#REF!</definedName>
    <definedName name="TIPS_FIXEMP_TEC" localSheetId="1">#REF!</definedName>
    <definedName name="TIPS_FIXEMP_TEC">#REF!</definedName>
    <definedName name="TIPS_FLEX_ALW" localSheetId="3">#REF!</definedName>
    <definedName name="TIPS_FLEX_ALW" localSheetId="1">#REF!</definedName>
    <definedName name="TIPS_FLEX_ALW">#REF!</definedName>
    <definedName name="TIPS_FLEX_BEN" localSheetId="3">#REF!</definedName>
    <definedName name="TIPS_FLEX_BEN" localSheetId="1">#REF!</definedName>
    <definedName name="TIPS_FLEX_BEN">#REF!</definedName>
    <definedName name="TIPS_FUEL" localSheetId="3">#REF!</definedName>
    <definedName name="TIPS_FUEL" localSheetId="1">#REF!</definedName>
    <definedName name="TIPS_FUEL">#REF!</definedName>
    <definedName name="TIPS_Geog_Resp" localSheetId="3">#REF!</definedName>
    <definedName name="TIPS_Geog_Resp" localSheetId="1">#REF!</definedName>
    <definedName name="TIPS_Geog_Resp">#REF!</definedName>
    <definedName name="TIPS_GOVT_FUND" localSheetId="3">#REF!</definedName>
    <definedName name="TIPS_GOVT_FUND" localSheetId="1">#REF!</definedName>
    <definedName name="TIPS_GOVT_FUND">#REF!</definedName>
    <definedName name="TIPS_GRATUITY" localSheetId="3">#REF!</definedName>
    <definedName name="TIPS_GRATUITY" localSheetId="1">#REF!</definedName>
    <definedName name="TIPS_GRATUITY">#REF!</definedName>
    <definedName name="TIPS_Headcount" localSheetId="3">#REF!</definedName>
    <definedName name="TIPS_Headcount" localSheetId="1">#REF!</definedName>
    <definedName name="TIPS_Headcount">#REF!</definedName>
    <definedName name="TIPS_HEADORG_TYPE" localSheetId="3">#REF!</definedName>
    <definedName name="TIPS_HEADORG_TYPE" localSheetId="1">#REF!</definedName>
    <definedName name="TIPS_HEADORG_TYPE">#REF!</definedName>
    <definedName name="TIPS_HI_RATE" localSheetId="3">#REF!</definedName>
    <definedName name="TIPS_HI_RATE" localSheetId="1">#REF!</definedName>
    <definedName name="TIPS_HI_RATE">#REF!</definedName>
    <definedName name="TIPS_Highest_Qual" localSheetId="3">#REF!</definedName>
    <definedName name="TIPS_Highest_Qual" localSheetId="1">#REF!</definedName>
    <definedName name="TIPS_Highest_Qual">#REF!</definedName>
    <definedName name="TIPS_HLTH_PREM" localSheetId="3">#REF!</definedName>
    <definedName name="TIPS_HLTH_PREM" localSheetId="1">#REF!</definedName>
    <definedName name="TIPS_HLTH_PREM">#REF!</definedName>
    <definedName name="TIPS_HOUSE_ALW" localSheetId="3">#REF!</definedName>
    <definedName name="TIPS_HOUSE_ALW" localSheetId="1">#REF!</definedName>
    <definedName name="TIPS_HOUSE_ALW">#REF!</definedName>
    <definedName name="TIPS_HOUSE_RENTAL" localSheetId="3">#REF!</definedName>
    <definedName name="TIPS_HOUSE_RENTAL" localSheetId="1">#REF!</definedName>
    <definedName name="TIPS_HOUSE_RENTAL">#REF!</definedName>
    <definedName name="TIPS_INCENT_ACT" localSheetId="3">#REF!</definedName>
    <definedName name="TIPS_INCENT_ACT" localSheetId="1">#REF!</definedName>
    <definedName name="TIPS_INCENT_ACT">#REF!</definedName>
    <definedName name="TIPS_INCENT_ACT2" localSheetId="3">#REF!</definedName>
    <definedName name="TIPS_INCENT_ACT2" localSheetId="1">#REF!</definedName>
    <definedName name="TIPS_INCENT_ACT2">#REF!</definedName>
    <definedName name="TIPS_INCENT_ELIG" localSheetId="3">#REF!</definedName>
    <definedName name="TIPS_INCENT_ELIG" localSheetId="1">#REF!</definedName>
    <definedName name="TIPS_INCENT_ELIG">#REF!</definedName>
    <definedName name="TIPS_INCENT_TGT" localSheetId="3">#REF!</definedName>
    <definedName name="TIPS_INCENT_TGT" localSheetId="1">#REF!</definedName>
    <definedName name="TIPS_INCENT_TGT">#REF!</definedName>
    <definedName name="TIPS_INCENT_TGT2" localSheetId="3">#REF!</definedName>
    <definedName name="TIPS_INCENT_TGT2" localSheetId="1">#REF!</definedName>
    <definedName name="TIPS_INCENT_TGT2">#REF!</definedName>
    <definedName name="TIPS_Incumbent_Data" localSheetId="3">#REF!</definedName>
    <definedName name="TIPS_Incumbent_Data" localSheetId="1">#REF!</definedName>
    <definedName name="TIPS_Incumbent_Data">#REF!</definedName>
    <definedName name="TIPS_IND_TYPE_SALES" localSheetId="3">#REF!</definedName>
    <definedName name="TIPS_IND_TYPE_SALES" localSheetId="1">#REF!</definedName>
    <definedName name="TIPS_IND_TYPE_SALES">#REF!</definedName>
    <definedName name="TIPS_Industry_List" localSheetId="3">#REF!</definedName>
    <definedName name="TIPS_Industry_List" localSheetId="1">#REF!</definedName>
    <definedName name="TIPS_Industry_List">#REF!</definedName>
    <definedName name="TIPS_INSURANCE" localSheetId="3">#REF!</definedName>
    <definedName name="TIPS_INSURANCE" localSheetId="1">#REF!</definedName>
    <definedName name="TIPS_INSURANCE">#REF!</definedName>
    <definedName name="TIPS_Internal_BU" localSheetId="3">#REF!</definedName>
    <definedName name="TIPS_Internal_BU" localSheetId="1">#REF!</definedName>
    <definedName name="TIPS_Internal_BU">#REF!</definedName>
    <definedName name="TIPS_Intl_Assignment" localSheetId="3">#REF!</definedName>
    <definedName name="TIPS_Intl_Assignment" localSheetId="1">#REF!</definedName>
    <definedName name="TIPS_Intl_Assignment">#REF!</definedName>
    <definedName name="TIPS_JOB_ALW" localSheetId="3">#REF!</definedName>
    <definedName name="TIPS_JOB_ALW" localSheetId="1">#REF!</definedName>
    <definedName name="TIPS_JOB_ALW">#REF!</definedName>
    <definedName name="TIPS_Job_Code" localSheetId="3">#REF!</definedName>
    <definedName name="TIPS_Job_Code" localSheetId="1">#REF!</definedName>
    <definedName name="TIPS_Job_Code">#REF!</definedName>
    <definedName name="TIPS_Job_Family" localSheetId="3">#REF!</definedName>
    <definedName name="TIPS_Job_Family" localSheetId="1">#REF!</definedName>
    <definedName name="TIPS_Job_Family">#REF!</definedName>
    <definedName name="TIPS_Job_Grade" localSheetId="3">#REF!</definedName>
    <definedName name="TIPS_Job_Grade" localSheetId="1">#REF!</definedName>
    <definedName name="TIPS_Job_Grade">#REF!</definedName>
    <definedName name="TIPS_Job_Identifier_Other" localSheetId="3">#REF!</definedName>
    <definedName name="TIPS_Job_Identifier_Other" localSheetId="1">#REF!</definedName>
    <definedName name="TIPS_Job_Identifier_Other">#REF!</definedName>
    <definedName name="TIPS_Job_Level" localSheetId="3">#REF!</definedName>
    <definedName name="TIPS_Job_Level" localSheetId="1">#REF!</definedName>
    <definedName name="TIPS_Job_Level">#REF!</definedName>
    <definedName name="TIPS_KIWI_CONVAL" localSheetId="3">#REF!</definedName>
    <definedName name="TIPS_KIWI_CONVAL" localSheetId="1">#REF!</definedName>
    <definedName name="TIPS_KIWI_CONVAL">#REF!</definedName>
    <definedName name="TIPS_KIWI_FUND" localSheetId="3">#REF!</definedName>
    <definedName name="TIPS_KIWI_FUND" localSheetId="1">#REF!</definedName>
    <definedName name="TIPS_KIWI_FUND">#REF!</definedName>
    <definedName name="TIPS_KIWI_OTHER" localSheetId="3">#REF!</definedName>
    <definedName name="TIPS_KIWI_OTHER" localSheetId="1">#REF!</definedName>
    <definedName name="TIPS_KIWI_OTHER">#REF!</definedName>
    <definedName name="TIPS_KIWI_TEC" localSheetId="3">#REF!</definedName>
    <definedName name="TIPS_KIWI_TEC" localSheetId="1">#REF!</definedName>
    <definedName name="TIPS_KIWI_TEC">#REF!</definedName>
    <definedName name="TIPS_KR_Actual_Title" localSheetId="3">#REF!</definedName>
    <definedName name="TIPS_KR_Actual_Title" localSheetId="1">#REF!</definedName>
    <definedName name="TIPS_KR_Actual_Title">#REF!</definedName>
    <definedName name="TIPS_KR_Code_Title" localSheetId="3">#REF!</definedName>
    <definedName name="TIPS_KR_Code_Title" localSheetId="1">#REF!</definedName>
    <definedName name="TIPS_KR_Code_Title">#REF!</definedName>
    <definedName name="TIPS_Last_Salary_Review" localSheetId="3">#REF!</definedName>
    <definedName name="TIPS_Last_Salary_Review" localSheetId="1">#REF!</definedName>
    <definedName name="TIPS_Last_Salary_Review">#REF!</definedName>
    <definedName name="TIPS_LEASEPRICE" localSheetId="3">#REF!</definedName>
    <definedName name="TIPS_LEASEPRICE" localSheetId="1">#REF!</definedName>
    <definedName name="TIPS_LEASEPRICE">#REF!</definedName>
    <definedName name="TIPS_LEASEPRICE2" localSheetId="3">#REF!</definedName>
    <definedName name="TIPS_LEASEPRICE2" localSheetId="1">#REF!</definedName>
    <definedName name="TIPS_LEASEPRICE2">#REF!</definedName>
    <definedName name="TIPS_LEASEPRICEFBT" localSheetId="3">#REF!</definedName>
    <definedName name="TIPS_LEASEPRICEFBT" localSheetId="1">#REF!</definedName>
    <definedName name="TIPS_LEASEPRICEFBT">#REF!</definedName>
    <definedName name="TIPS_LEAVE_LOAD" localSheetId="3">#REF!</definedName>
    <definedName name="TIPS_LEAVE_LOAD" localSheetId="1">#REF!</definedName>
    <definedName name="TIPS_LEAVE_LOAD">#REF!</definedName>
    <definedName name="TIPS_Location" localSheetId="3">#REF!</definedName>
    <definedName name="TIPS_Location" localSheetId="1">#REF!</definedName>
    <definedName name="TIPS_Location">#REF!</definedName>
    <definedName name="TIPS_LocationPOST" localSheetId="3">#REF!</definedName>
    <definedName name="TIPS_LocationPOST" localSheetId="1">#REF!</definedName>
    <definedName name="TIPS_LocationPOST">#REF!</definedName>
    <definedName name="TIPS_LTI_ELIG" localSheetId="3">#REF!</definedName>
    <definedName name="TIPS_LTI_ELIG" localSheetId="1">#REF!</definedName>
    <definedName name="TIPS_LTI_ELIG">#REF!</definedName>
    <definedName name="TIPS_LTIACCVAL1" localSheetId="3">#REF!</definedName>
    <definedName name="TIPS_LTIACCVAL1" localSheetId="1">#REF!</definedName>
    <definedName name="TIPS_LTIACCVAL1">#REF!</definedName>
    <definedName name="TIPS_LTICASH1" localSheetId="3">#REF!</definedName>
    <definedName name="TIPS_LTICASH1" localSheetId="1">#REF!</definedName>
    <definedName name="TIPS_LTICASH1">#REF!</definedName>
    <definedName name="TIPS_LTICUR1" localSheetId="3">#REF!</definedName>
    <definedName name="TIPS_LTICUR1" localSheetId="1">#REF!</definedName>
    <definedName name="TIPS_LTICUR1">#REF!</definedName>
    <definedName name="TIPS_LTIDTEGR1" localSheetId="3">#REF!</definedName>
    <definedName name="TIPS_LTIDTEGR1" localSheetId="1">#REF!</definedName>
    <definedName name="TIPS_LTIDTEGR1">#REF!</definedName>
    <definedName name="TIPS_LTIFMV1" localSheetId="3">#REF!</definedName>
    <definedName name="TIPS_LTIFMV1" localSheetId="1">#REF!</definedName>
    <definedName name="TIPS_LTIFMV1">#REF!</definedName>
    <definedName name="TIPS_LTIFREQ1" localSheetId="3">#REF!</definedName>
    <definedName name="TIPS_LTIFREQ1" localSheetId="1">#REF!</definedName>
    <definedName name="TIPS_LTIFREQ1">#REF!</definedName>
    <definedName name="TIPS_LTIMAXAWRD1" localSheetId="3">#REF!</definedName>
    <definedName name="TIPS_LTIMAXAWRD1" localSheetId="1">#REF!</definedName>
    <definedName name="TIPS_LTIMAXAWRD1">#REF!</definedName>
    <definedName name="TIPS_LTIPERFMEA1" localSheetId="3">#REF!</definedName>
    <definedName name="TIPS_LTIPERFMEA1" localSheetId="1">#REF!</definedName>
    <definedName name="TIPS_LTIPERFMEA1">#REF!</definedName>
    <definedName name="TIPS_LTIPLNTYP1" localSheetId="3">#REF!</definedName>
    <definedName name="TIPS_LTIPLNTYP1" localSheetId="1">#REF!</definedName>
    <definedName name="TIPS_LTIPLNTYP1">#REF!</definedName>
    <definedName name="TIPS_LTIPRCGR1" localSheetId="3">#REF!</definedName>
    <definedName name="TIPS_LTIPRCGR1" localSheetId="1">#REF!</definedName>
    <definedName name="TIPS_LTIPRCGR1">#REF!</definedName>
    <definedName name="TIPS_LTISHARES1" localSheetId="3">#REF!</definedName>
    <definedName name="TIPS_LTISHARES1" localSheetId="1">#REF!</definedName>
    <definedName name="TIPS_LTISHARES1">#REF!</definedName>
    <definedName name="TIPS_LTISTRUCT1" localSheetId="3">#REF!</definedName>
    <definedName name="TIPS_LTISTRUCT1" localSheetId="1">#REF!</definedName>
    <definedName name="TIPS_LTISTRUCT1">#REF!</definedName>
    <definedName name="TIPS_LTITERM1" localSheetId="3">#REF!</definedName>
    <definedName name="TIPS_LTITERM1" localSheetId="1">#REF!</definedName>
    <definedName name="TIPS_LTITERM1">#REF!</definedName>
    <definedName name="TIPS_MAINTENANCE" localSheetId="3">#REF!</definedName>
    <definedName name="TIPS_MAINTENANCE" localSheetId="1">#REF!</definedName>
    <definedName name="TIPS_MAINTENANCE">#REF!</definedName>
    <definedName name="TIPS_MEAL_ALW" localSheetId="3">#REF!</definedName>
    <definedName name="TIPS_MEAL_ALW" localSheetId="1">#REF!</definedName>
    <definedName name="TIPS_MEAL_ALW">#REF!</definedName>
    <definedName name="TIPS_MED_ALW" localSheetId="3">#REF!</definedName>
    <definedName name="TIPS_MED_ALW" localSheetId="1">#REF!</definedName>
    <definedName name="TIPS_MED_ALW">#REF!</definedName>
    <definedName name="TIPS_MEDCARE_BEN" localSheetId="3">#REF!</definedName>
    <definedName name="TIPS_MEDCARE_BEN" localSheetId="1">#REF!</definedName>
    <definedName name="TIPS_MEDCARE_BEN">#REF!</definedName>
    <definedName name="TIPS_Mercer_PC" localSheetId="3">#REF!</definedName>
    <definedName name="TIPS_Mercer_PC" localSheetId="1">#REF!</definedName>
    <definedName name="TIPS_Mercer_PC">#REF!</definedName>
    <definedName name="TIPS_MSU_INSURE" localSheetId="3">#REF!</definedName>
    <definedName name="TIPS_MSU_INSURE" localSheetId="1">#REF!</definedName>
    <definedName name="TIPS_MSU_INSURE">#REF!</definedName>
    <definedName name="TIPS_MTH_BASE" localSheetId="3">#REF!</definedName>
    <definedName name="TIPS_MTH_BASE" localSheetId="1">#REF!</definedName>
    <definedName name="TIPS_MTH_BASE">#REF!</definedName>
    <definedName name="TIPS_MUPC" localSheetId="3">#REF!</definedName>
    <definedName name="TIPS_MUPC" localSheetId="1">#REF!</definedName>
    <definedName name="TIPS_MUPC">#REF!</definedName>
    <definedName name="TIPS_NFBT_ITEMS" localSheetId="3">#REF!</definedName>
    <definedName name="TIPS_NFBT_ITEMS" localSheetId="1">#REF!</definedName>
    <definedName name="TIPS_NFBT_ITEMS">#REF!</definedName>
    <definedName name="TIPS_NUM_MTH" localSheetId="3">#REF!</definedName>
    <definedName name="TIPS_NUM_MTH" localSheetId="1">#REF!</definedName>
    <definedName name="TIPS_NUM_MTH">#REF!</definedName>
    <definedName name="TIPS_NUM_MTH2" localSheetId="3">#REF!</definedName>
    <definedName name="TIPS_NUM_MTH2" localSheetId="1">#REF!</definedName>
    <definedName name="TIPS_NUM_MTH2">#REF!</definedName>
    <definedName name="TIPS_Org_Ownership" localSheetId="3">#REF!</definedName>
    <definedName name="TIPS_Org_Ownership" localSheetId="1">#REF!</definedName>
    <definedName name="TIPS_Org_Ownership">#REF!</definedName>
    <definedName name="TIPS_Org_Type" localSheetId="3">#REF!</definedName>
    <definedName name="TIPS_Org_Type" localSheetId="1">#REF!</definedName>
    <definedName name="TIPS_Org_Type">#REF!</definedName>
    <definedName name="TIPS_ORG_TYPE_incumbent" localSheetId="3">#REF!</definedName>
    <definedName name="TIPS_ORG_TYPE_incumbent" localSheetId="1">#REF!</definedName>
    <definedName name="TIPS_ORG_TYPE_incumbent">#REF!</definedName>
    <definedName name="TIPS_Org_Type1" localSheetId="3">#REF!</definedName>
    <definedName name="TIPS_Org_Type1" localSheetId="1">#REF!</definedName>
    <definedName name="TIPS_Org_Type1">#REF!</definedName>
    <definedName name="TIPS_OTH_ALW" localSheetId="3">#REF!</definedName>
    <definedName name="TIPS_OTH_ALW" localSheetId="1">#REF!</definedName>
    <definedName name="TIPS_OTH_ALW">#REF!</definedName>
    <definedName name="TIPS_OTH_BEN" localSheetId="3">#REF!</definedName>
    <definedName name="TIPS_OTH_BEN" localSheetId="1">#REF!</definedName>
    <definedName name="TIPS_OTH_BEN">#REF!</definedName>
    <definedName name="TIPS_OTHBON_ACT" localSheetId="3">#REF!</definedName>
    <definedName name="TIPS_OTHBON_ACT" localSheetId="1">#REF!</definedName>
    <definedName name="TIPS_OTHBON_ACT">#REF!</definedName>
    <definedName name="TIPS_OTHBON_ACT2" localSheetId="3">#REF!</definedName>
    <definedName name="TIPS_OTHBON_ACT2" localSheetId="1">#REF!</definedName>
    <definedName name="TIPS_OTHBON_ACT2">#REF!</definedName>
    <definedName name="TIPS_OTHBON_TGT" localSheetId="3">#REF!</definedName>
    <definedName name="TIPS_OTHBON_TGT" localSheetId="1">#REF!</definedName>
    <definedName name="TIPS_OTHBON_TGT">#REF!</definedName>
    <definedName name="TIPS_OTHBON_TGT2" localSheetId="3">#REF!</definedName>
    <definedName name="TIPS_OTHBON_TGT2" localSheetId="1">#REF!</definedName>
    <definedName name="TIPS_OTHBON_TGT2">#REF!</definedName>
    <definedName name="TIPS_Other_LocalPlus_Allw" localSheetId="3">#REF!</definedName>
    <definedName name="TIPS_Other_LocalPlus_Allw" localSheetId="1">#REF!</definedName>
    <definedName name="TIPS_Other_LocalPlus_Allw">#REF!</definedName>
    <definedName name="TIPS_OTHSUP_TEC" localSheetId="3">#REF!</definedName>
    <definedName name="TIPS_OTHSUP_TEC" localSheetId="1">#REF!</definedName>
    <definedName name="TIPS_OTHSUP_TEC">#REF!</definedName>
    <definedName name="TIPS_PAG_IBIG" localSheetId="3">#REF!</definedName>
    <definedName name="TIPS_PAG_IBIG" localSheetId="1">#REF!</definedName>
    <definedName name="TIPS_PAG_IBIG">#REF!</definedName>
    <definedName name="TIPS_PERSONALUSE" localSheetId="3">#REF!</definedName>
    <definedName name="TIPS_PERSONALUSE" localSheetId="1">#REF!</definedName>
    <definedName name="TIPS_PERSONALUSE">#REF!</definedName>
    <definedName name="TIPS_PHONE_ALW" localSheetId="3">#REF!</definedName>
    <definedName name="TIPS_PHONE_ALW" localSheetId="1">#REF!</definedName>
    <definedName name="TIPS_PHONE_ALW">#REF!</definedName>
    <definedName name="TIPS_POS_FOCUS" localSheetId="3">#REF!</definedName>
    <definedName name="TIPS_POS_FOCUS" localSheetId="1">#REF!</definedName>
    <definedName name="TIPS_POS_FOCUS">#REF!</definedName>
    <definedName name="TIPS_POS_REVTGT" localSheetId="3">#REF!</definedName>
    <definedName name="TIPS_POS_REVTGT" localSheetId="1">#REF!</definedName>
    <definedName name="TIPS_POS_REVTGT">#REF!</definedName>
    <definedName name="TIPS_PP_CTRY" localSheetId="3">#REF!</definedName>
    <definedName name="TIPS_PP_CTRY" localSheetId="1">#REF!</definedName>
    <definedName name="TIPS_PP_CTRY">#REF!</definedName>
    <definedName name="TIPS_PREVENT_HLTH" localSheetId="3">#REF!</definedName>
    <definedName name="TIPS_PREVENT_HLTH" localSheetId="1">#REF!</definedName>
    <definedName name="TIPS_PREVENT_HLTH">#REF!</definedName>
    <definedName name="TIPS_PRICE" localSheetId="3">#REF!</definedName>
    <definedName name="TIPS_PRICE" localSheetId="1">#REF!</definedName>
    <definedName name="TIPS_PRICE">#REF!</definedName>
    <definedName name="TIPS_PRICE2" localSheetId="3">#REF!</definedName>
    <definedName name="TIPS_PRICE2" localSheetId="1">#REF!</definedName>
    <definedName name="TIPS_PRICE2">#REF!</definedName>
    <definedName name="TIPS_Product" localSheetId="3">#REF!</definedName>
    <definedName name="TIPS_Product" localSheetId="1">#REF!</definedName>
    <definedName name="TIPS_Product">#REF!</definedName>
    <definedName name="TIPS_PURCHASEDISCOUNT" localSheetId="3">#REF!</definedName>
    <definedName name="TIPS_PURCHASEDISCOUNT" localSheetId="1">#REF!</definedName>
    <definedName name="TIPS_PURCHASEDISCOUNT">#REF!</definedName>
    <definedName name="TIPS_REPLACEMENTTERM" localSheetId="3">#REF!</definedName>
    <definedName name="TIPS_REPLACEMENTTERM" localSheetId="1">#REF!</definedName>
    <definedName name="TIPS_REPLACEMENTTERM">#REF!</definedName>
    <definedName name="TIPS_RET_BENVAL" localSheetId="3">#REF!</definedName>
    <definedName name="TIPS_RET_BENVAL" localSheetId="1">#REF!</definedName>
    <definedName name="TIPS_RET_BENVAL">#REF!</definedName>
    <definedName name="TIPS_RET_CONVAL" localSheetId="3">#REF!</definedName>
    <definedName name="TIPS_RET_CONVAL" localSheetId="1">#REF!</definedName>
    <definedName name="TIPS_RET_CONVAL">#REF!</definedName>
    <definedName name="TIPS_Retirement" localSheetId="3">#REF!</definedName>
    <definedName name="TIPS_Retirement" localSheetId="1">#REF!</definedName>
    <definedName name="TIPS_Retirement">#REF!</definedName>
    <definedName name="TIPS_Salary_Increase" localSheetId="3">#REF!</definedName>
    <definedName name="TIPS_Salary_Increase" localSheetId="1">#REF!</definedName>
    <definedName name="TIPS_Salary_Increase">#REF!</definedName>
    <definedName name="TIPS_SCOPE_ALW" localSheetId="3">#REF!</definedName>
    <definedName name="TIPS_SCOPE_ALW" localSheetId="1">#REF!</definedName>
    <definedName name="TIPS_SCOPE_ALW">#REF!</definedName>
    <definedName name="TIPS_Service" localSheetId="3">#REF!</definedName>
    <definedName name="TIPS_Service" localSheetId="1">#REF!</definedName>
    <definedName name="TIPS_Service">#REF!</definedName>
    <definedName name="TIPS_SHARE_ROLE" localSheetId="3">#REF!</definedName>
    <definedName name="TIPS_SHARE_ROLE" localSheetId="1">#REF!</definedName>
    <definedName name="TIPS_SHARE_ROLE">#REF!</definedName>
    <definedName name="TIPS_SHIFT12_ALW" localSheetId="3">#REF!</definedName>
    <definedName name="TIPS_SHIFT12_ALW" localSheetId="1">#REF!</definedName>
    <definedName name="TIPS_SHIFT12_ALW">#REF!</definedName>
    <definedName name="TIPS_SHIFT8_ALW" localSheetId="3">#REF!</definedName>
    <definedName name="TIPS_SHIFT8_ALW" localSheetId="1">#REF!</definedName>
    <definedName name="TIPS_SHIFT8_ALW">#REF!</definedName>
    <definedName name="TIPS_SITE_ALW" localSheetId="3">#REF!</definedName>
    <definedName name="TIPS_SITE_ALW" localSheetId="1">#REF!</definedName>
    <definedName name="TIPS_SITE_ALW">#REF!</definedName>
    <definedName name="TIPS_SITEOFF_ALW" localSheetId="3">#REF!</definedName>
    <definedName name="TIPS_SITEOFF_ALW" localSheetId="1">#REF!</definedName>
    <definedName name="TIPS_SITEOFF_ALW">#REF!</definedName>
    <definedName name="TIPS_SKILL_ALW" localSheetId="3">#REF!</definedName>
    <definedName name="TIPS_SKILL_ALW" localSheetId="1">#REF!</definedName>
    <definedName name="TIPS_SKILL_ALW">#REF!</definedName>
    <definedName name="TIPS_SKILL_SPEC" localSheetId="3">#REF!</definedName>
    <definedName name="TIPS_SKILL_SPEC" localSheetId="1">#REF!</definedName>
    <definedName name="TIPS_SKILL_SPEC">#REF!</definedName>
    <definedName name="TIPS_SLSMAN_ALW" localSheetId="3">#REF!</definedName>
    <definedName name="TIPS_SLSMAN_ALW" localSheetId="1">#REF!</definedName>
    <definedName name="TIPS_SLSMAN_ALW">#REF!</definedName>
    <definedName name="TIPS_SS_BEN" localSheetId="3">#REF!</definedName>
    <definedName name="TIPS_SS_BEN" localSheetId="1">#REF!</definedName>
    <definedName name="TIPS_SS_BEN">#REF!</definedName>
    <definedName name="TIPS_SS_RATE" localSheetId="3">#REF!</definedName>
    <definedName name="TIPS_SS_RATE" localSheetId="1">#REF!</definedName>
    <definedName name="TIPS_SS_RATE">#REF!</definedName>
    <definedName name="TIPS_STK_CTRY" localSheetId="3">#REF!</definedName>
    <definedName name="TIPS_STK_CTRY" localSheetId="1">#REF!</definedName>
    <definedName name="TIPS_STK_CTRY">#REF!</definedName>
    <definedName name="TIPS_STK_EXCH" localSheetId="3">#REF!</definedName>
    <definedName name="TIPS_STK_EXCH" localSheetId="1">#REF!</definedName>
    <definedName name="TIPS_STK_EXCH">#REF!</definedName>
    <definedName name="TIPS_STK_TICKER" localSheetId="3">#REF!</definedName>
    <definedName name="TIPS_STK_TICKER" localSheetId="1">#REF!</definedName>
    <definedName name="TIPS_STK_TICKER">#REF!</definedName>
    <definedName name="TIPS_Store_Type" localSheetId="3">#REF!</definedName>
    <definedName name="TIPS_Store_Type" localSheetId="1">#REF!</definedName>
    <definedName name="TIPS_Store_Type">#REF!</definedName>
    <definedName name="TIPS_SUPP_HFUND" localSheetId="3">#REF!</definedName>
    <definedName name="TIPS_SUPP_HFUND" localSheetId="1">#REF!</definedName>
    <definedName name="TIPS_SUPP_HFUND">#REF!</definedName>
    <definedName name="TIPS_TRANS_ALW" localSheetId="3">#REF!</definedName>
    <definedName name="TIPS_TRANS_ALW" localSheetId="1">#REF!</definedName>
    <definedName name="TIPS_TRANS_ALW">#REF!</definedName>
    <definedName name="TIPS_TRAVEL_ALW" localSheetId="3">#REF!</definedName>
    <definedName name="TIPS_TRAVEL_ALW" localSheetId="1">#REF!</definedName>
    <definedName name="TIPS_TRAVEL_ALW">#REF!</definedName>
    <definedName name="TIPS_Type_of_contract" localSheetId="3">#REF!</definedName>
    <definedName name="TIPS_Type_of_contract" localSheetId="1">#REF!</definedName>
    <definedName name="TIPS_Type_of_contract">#REF!</definedName>
    <definedName name="TIPS_Type_of_Empl" localSheetId="3">#REF!</definedName>
    <definedName name="TIPS_Type_of_Empl" localSheetId="1">#REF!</definedName>
    <definedName name="TIPS_Type_of_Empl">#REF!</definedName>
    <definedName name="TIPS_UNION_COFEE" localSheetId="3">#REF!</definedName>
    <definedName name="TIPS_UNION_COFEE" localSheetId="1">#REF!</definedName>
    <definedName name="TIPS_UNION_COFEE">#REF!</definedName>
    <definedName name="TIPS_UNION_EEFEE" localSheetId="3">#REF!</definedName>
    <definedName name="TIPS_UNION_EEFEE" localSheetId="1">#REF!</definedName>
    <definedName name="TIPS_UNION_EEFEE">#REF!</definedName>
    <definedName name="TIPS_VESTOPT1" localSheetId="3">#REF!</definedName>
    <definedName name="TIPS_VESTOPT1" localSheetId="1">#REF!</definedName>
    <definedName name="TIPS_VESTOPT1">#REF!</definedName>
    <definedName name="TIPS_VESTOTH1" localSheetId="3">#REF!</definedName>
    <definedName name="TIPS_VESTOTH1" localSheetId="1">#REF!</definedName>
    <definedName name="TIPS_VESTOTH1">#REF!</definedName>
    <definedName name="TIPS_VESTPER1" localSheetId="3">#REF!</definedName>
    <definedName name="TIPS_VESTPER1" localSheetId="1">#REF!</definedName>
    <definedName name="TIPS_VESTPER1">#REF!</definedName>
    <definedName name="TIPS_VESTTYP1" localSheetId="3">#REF!</definedName>
    <definedName name="TIPS_VESTTYP1" localSheetId="1">#REF!</definedName>
    <definedName name="TIPS_VESTTYP1">#REF!</definedName>
    <definedName name="TI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 localSheetId="5">#REF!</definedName>
    <definedName name="TITLE" localSheetId="4">#REF!</definedName>
    <definedName name="TITLE" localSheetId="3">#REF!</definedName>
    <definedName name="TITLE" localSheetId="1">#REF!</definedName>
    <definedName name="TITLE">#REF!</definedName>
    <definedName name="title_tranfer_timing" localSheetId="3">#REF!</definedName>
    <definedName name="title_tranfer_timing" localSheetId="1">#REF!</definedName>
    <definedName name="title_tranfer_timing">#REF!</definedName>
    <definedName name="title_transfer_month" localSheetId="3">#REF!</definedName>
    <definedName name="title_transfer_month" localSheetId="1">#REF!</definedName>
    <definedName name="title_transfer_month">#REF!</definedName>
    <definedName name="title_transfer_month_lookup" localSheetId="3">#REF!</definedName>
    <definedName name="title_transfer_month_lookup" localSheetId="1">#REF!</definedName>
    <definedName name="title_transfer_month_lookup">#REF!</definedName>
    <definedName name="T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 localSheetId="5">#REF!</definedName>
    <definedName name="tkrwp" localSheetId="4">#REF!</definedName>
    <definedName name="tkrwp" localSheetId="3">#REF!</definedName>
    <definedName name="tkrwp" localSheetId="1">#REF!</definedName>
    <definedName name="tkrwp">#REF!</definedName>
    <definedName name="to" localSheetId="5" hidden="1">{#N/A,#N/A,FALSE,"표지";#N/A,#N/A,FALSE,"전제";#N/A,#N/A,FALSE,"손익-자 (2)";#N/A,#N/A,FALSE,"손익-자";#N/A,#N/A,FALSE,"손익-마 (2)";#N/A,#N/A,FALSE,"손익-마";#N/A,#N/A,FALSE,"총손최종"}</definedName>
    <definedName name="to" localSheetId="4" hidden="1">{#N/A,#N/A,FALSE,"표지";#N/A,#N/A,FALSE,"전제";#N/A,#N/A,FALSE,"손익-자 (2)";#N/A,#N/A,FALSE,"손익-자";#N/A,#N/A,FALSE,"손익-마 (2)";#N/A,#N/A,FALSE,"손익-마";#N/A,#N/A,FALSE,"총손최종"}</definedName>
    <definedName name="to" localSheetId="3" hidden="1">{#N/A,#N/A,FALSE,"표지";#N/A,#N/A,FALSE,"전제";#N/A,#N/A,FALSE,"손익-자 (2)";#N/A,#N/A,FALSE,"손익-자";#N/A,#N/A,FALSE,"손익-마 (2)";#N/A,#N/A,FALSE,"손익-마";#N/A,#N/A,FALSE,"총손최종"}</definedName>
    <definedName name="to" localSheetId="1" hidden="1">{#N/A,#N/A,FALSE,"표지";#N/A,#N/A,FALSE,"전제";#N/A,#N/A,FALSE,"손익-자 (2)";#N/A,#N/A,FALSE,"손익-자";#N/A,#N/A,FALSE,"손익-마 (2)";#N/A,#N/A,FALSE,"손익-마";#N/A,#N/A,FALSE,"총손최종"}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localSheetId="5" hidden="1">#REF!</definedName>
    <definedName name="todoroki" localSheetId="4" hidden="1">#REF!</definedName>
    <definedName name="todoroki" localSheetId="3" hidden="1">#REF!</definedName>
    <definedName name="todoroki" localSheetId="1" hidden="1">#REF!</definedName>
    <definedName name="todoroki" hidden="1">#REF!</definedName>
    <definedName name="To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 localSheetId="5">#REF!</definedName>
    <definedName name="TOT" localSheetId="4">#REF!</definedName>
    <definedName name="TOT" localSheetId="3">#REF!</definedName>
    <definedName name="TOT" localSheetId="1">#REF!</definedName>
    <definedName name="TOT">#REF!</definedName>
    <definedName name="Tot_Outstand_Check" localSheetId="3">#REF!</definedName>
    <definedName name="Tot_Outstand_Check" localSheetId="1">#REF!</definedName>
    <definedName name="Tot_Outstand_Check">#REF!</definedName>
    <definedName name="TOTAL" localSheetId="5" hidden="1">{#N/A,#N/A,TRUE,"일정"}</definedName>
    <definedName name="TOTAL" localSheetId="4" hidden="1">{#N/A,#N/A,TRUE,"일정"}</definedName>
    <definedName name="TOTAL" localSheetId="3" hidden="1">{#N/A,#N/A,TRUE,"일정"}</definedName>
    <definedName name="TOTAL" localSheetId="1" hidden="1">{#N/A,#N/A,TRUE,"일정"}</definedName>
    <definedName name="TOTAL" hidden="1">{#N/A,#N/A,TRUE,"일정"}</definedName>
    <definedName name="Total_Contracted_Gross_Area" localSheetId="5">#REF!</definedName>
    <definedName name="Total_Contracted_Gross_Area" localSheetId="4">#REF!</definedName>
    <definedName name="Total_Contracted_Gross_Area" localSheetId="3">#REF!</definedName>
    <definedName name="Total_Contracted_Gross_Area" localSheetId="1">#REF!</definedName>
    <definedName name="Total_Contracted_Gross_Area">#REF!</definedName>
    <definedName name="TOTAL1" localSheetId="3">#REF!</definedName>
    <definedName name="TOTAL1" localSheetId="1">#REF!</definedName>
    <definedName name="TOTAL1">#REF!</definedName>
    <definedName name="TOTAL2" localSheetId="3">#REF!</definedName>
    <definedName name="TOTAL2" localSheetId="1">#REF!</definedName>
    <definedName name="TOTAL2">#REF!</definedName>
    <definedName name="TOTALCARR">#N/A</definedName>
    <definedName name="TOTALDOC">#N/A</definedName>
    <definedName name="TOTALGOODS">#N/A</definedName>
    <definedName name="TotalPyung" localSheetId="5">#REF!</definedName>
    <definedName name="TotalPyung" localSheetId="4">#REF!</definedName>
    <definedName name="TotalPyung" localSheetId="3">#REF!</definedName>
    <definedName name="TotalPyung" localSheetId="1">#REF!</definedName>
    <definedName name="TotalPyung">#REF!</definedName>
    <definedName name="TOTALVAT">#N/A</definedName>
    <definedName name="totamt" localSheetId="5">#REF!</definedName>
    <definedName name="totamt" localSheetId="4">#REF!</definedName>
    <definedName name="totamt" localSheetId="3">#REF!</definedName>
    <definedName name="totamt" localSheetId="1">#REF!</definedName>
    <definedName name="totamt">#REF!</definedName>
    <definedName name="TOWN">#N/A</definedName>
    <definedName name="TP1t" localSheetId="5">#REF!</definedName>
    <definedName name="TP1t" localSheetId="4">#REF!</definedName>
    <definedName name="TP1t" localSheetId="3">#REF!</definedName>
    <definedName name="TP1t" localSheetId="1">#REF!</definedName>
    <definedName name="TP1t">#REF!</definedName>
    <definedName name="TP2t" localSheetId="3">#REF!</definedName>
    <definedName name="TP2t" localSheetId="1">#REF!</definedName>
    <definedName name="TP2t">#REF!</definedName>
    <definedName name="TP3t" localSheetId="3">#REF!</definedName>
    <definedName name="TP3t" localSheetId="1">#REF!</definedName>
    <definedName name="TP3t">#REF!</definedName>
    <definedName name="TP5t" localSheetId="3">#REF!</definedName>
    <definedName name="TP5t" localSheetId="1">#REF!</definedName>
    <definedName name="TP5t">#REF!</definedName>
    <definedName name="tr" localSheetId="3" hidden="1">#REF!</definedName>
    <definedName name="tr" localSheetId="1" hidden="1">#REF!</definedName>
    <definedName name="tr" hidden="1">#REF!</definedName>
    <definedName name="TRAD" localSheetId="3">#REF!</definedName>
    <definedName name="TRAD" localSheetId="1">#REF!</definedName>
    <definedName name="TRAD">#REF!</definedName>
    <definedName name="TrafficLY" localSheetId="5">OFFSET(#REF!,1,#REF!,12,1)</definedName>
    <definedName name="TrafficLY" localSheetId="4">OFFSET(#REF!,1,#REF!,12,1)</definedName>
    <definedName name="TrafficLY" localSheetId="3">OFFSET(#REF!,1,#REF!,12,1)</definedName>
    <definedName name="TrafficLY" localSheetId="1">OFFSET(#REF!,1,#REF!,12,1)</definedName>
    <definedName name="TrafficLY">OFFSET(#REF!,1,#REF!,12,1)</definedName>
    <definedName name="TrafficTY" localSheetId="5">OFFSET(#REF!,,#REF!,12,1)</definedName>
    <definedName name="TrafficTY" localSheetId="4">OFFSET(#REF!,,#REF!,12,1)</definedName>
    <definedName name="TrafficTY" localSheetId="3">OFFSET(#REF!,,#REF!,12,1)</definedName>
    <definedName name="TrafficTY" localSheetId="1">OFFSET(#REF!,,#REF!,12,1)</definedName>
    <definedName name="TrafficTY">OFFSET(#REF!,,#REF!,12,1)</definedName>
    <definedName name="Training" localSheetId="5">#REF!</definedName>
    <definedName name="Training" localSheetId="4">#REF!</definedName>
    <definedName name="Training" localSheetId="3">#REF!</definedName>
    <definedName name="Training" localSheetId="1">#REF!</definedName>
    <definedName name="Training">#REF!</definedName>
    <definedName name="TransNum" localSheetId="3">#REF!</definedName>
    <definedName name="TransNum" localSheetId="1">#REF!</definedName>
    <definedName name="TransNum">#REF!</definedName>
    <definedName name="TRent" localSheetId="3">#REF!</definedName>
    <definedName name="TRent" localSheetId="1">#REF!</definedName>
    <definedName name="TRent">#REF!</definedName>
    <definedName name="TrialBalance2" localSheetId="3">#REF!</definedName>
    <definedName name="TrialBalance2" localSheetId="1">#REF!</definedName>
    <definedName name="TrialBalance2">#REF!</definedName>
    <definedName name="TRIM" localSheetId="5">#REF!</definedName>
    <definedName name="TRIM" localSheetId="4">#REF!</definedName>
    <definedName name="TRIM" localSheetId="3">#REF!</definedName>
    <definedName name="TRIM" localSheetId="1">#REF!</definedName>
    <definedName name="TRIM">#REF!</definedName>
    <definedName name="TRK" localSheetId="5">#REF!</definedName>
    <definedName name="TRK" localSheetId="4">#REF!</definedName>
    <definedName name="TRK" localSheetId="3">#REF!</definedName>
    <definedName name="TRK" localSheetId="1">#REF!</definedName>
    <definedName name="TRK">#REF!</definedName>
    <definedName name="TRLY" localSheetId="5">OFFSET(#REF!,1,#REF!,12,1)</definedName>
    <definedName name="TRLY" localSheetId="4">OFFSET(#REF!,1,#REF!,12,1)</definedName>
    <definedName name="TRLY" localSheetId="3">OFFSET(#REF!,1,#REF!,12,1)</definedName>
    <definedName name="TRLY" localSheetId="1">OFFSET(#REF!,1,#REF!,12,1)</definedName>
    <definedName name="TRLY">OFFSET(#REF!,1,#REF!,12,1)</definedName>
    <definedName name="TRTY" localSheetId="5">OFFSET(#REF!,,#REF!,12,1)</definedName>
    <definedName name="TRTY" localSheetId="4">OFFSET(#REF!,,#REF!,12,1)</definedName>
    <definedName name="TRTY" localSheetId="3">OFFSET(#REF!,,#REF!,12,1)</definedName>
    <definedName name="TRTY" localSheetId="1">OFFSET(#REF!,,#REF!,12,1)</definedName>
    <definedName name="TRTY">OFFSET(#REF!,,#REF!,12,1)</definedName>
    <definedName name="Trust_Fee" localSheetId="5">#REF!</definedName>
    <definedName name="Trust_Fee" localSheetId="4">#REF!</definedName>
    <definedName name="Trust_Fee" localSheetId="3">#REF!</definedName>
    <definedName name="Trust_Fee" localSheetId="1">#REF!</definedName>
    <definedName name="Trust_Fee">#REF!</definedName>
    <definedName name="TT" localSheetId="3">#REF!</definedName>
    <definedName name="TT" localSheetId="1">#REF!</definedName>
    <definedName name="TT">#REF!</definedName>
    <definedName name="TTN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localSheetId="5">#REF!</definedName>
    <definedName name="tttt" localSheetId="4">#REF!</definedName>
    <definedName name="tttt" localSheetId="3">#REF!</definedName>
    <definedName name="tttt" localSheetId="1">#REF!</definedName>
    <definedName name="tttt">#REF!</definedName>
    <definedName name="TTTTTTT" localSheetId="5">#REF!</definedName>
    <definedName name="TTTTTTT" localSheetId="4">#REF!</definedName>
    <definedName name="TTTTTTT" localSheetId="3">#REF!</definedName>
    <definedName name="TTTTTTT" localSheetId="1">#REF!</definedName>
    <definedName name="TTTTTTT">#REF!</definedName>
    <definedName name="ttttttttt" localSheetId="5">#REF!</definedName>
    <definedName name="ttttttttt" localSheetId="4">#REF!</definedName>
    <definedName name="ttttttttt" localSheetId="3">#REF!</definedName>
    <definedName name="ttttttttt" localSheetId="1">#REF!</definedName>
    <definedName name="ttttttttt">#REF!</definedName>
    <definedName name="tttttttttttt" localSheetId="3">#REF!</definedName>
    <definedName name="tttttttttttt" localSheetId="1">#REF!</definedName>
    <definedName name="tttttttttttt">#REF!</definedName>
    <definedName name="ttttttttttttttttttttttttttttttttttttttttttttttttttttt" localSheetId="3">#REF!</definedName>
    <definedName name="ttttttttttttttttttttttttttttttttttttttttttttttttttttt" localSheetId="1">#REF!</definedName>
    <definedName name="ttttttttttttttttttttttttttttttttttttttttttttttttttttt">#REF!</definedName>
    <definedName name="ttxx" localSheetId="3">#REF!</definedName>
    <definedName name="ttxx" localSheetId="1">#REF!</definedName>
    <definedName name="ttxx">#REF!</definedName>
    <definedName name="ttxxxx" localSheetId="3">#REF!</definedName>
    <definedName name="ttxxxx" localSheetId="1">#REF!</definedName>
    <definedName name="ttxxxx">#REF!</definedName>
    <definedName name="ttxxxxx" localSheetId="3">#REF!</definedName>
    <definedName name="ttxxxxx" localSheetId="1">#REF!</definedName>
    <definedName name="ttxxxxx">#REF!</definedName>
    <definedName name="TV" localSheetId="3">#REF!</definedName>
    <definedName name="TV" localSheetId="1">#REF!</definedName>
    <definedName name="TV">#REF!</definedName>
    <definedName name="TVMETH1" localSheetId="3">#REF!</definedName>
    <definedName name="TVMETH1" localSheetId="1">#REF!</definedName>
    <definedName name="TVMETH1">#REF!</definedName>
    <definedName name="TVMETH2" localSheetId="3">#REF!</definedName>
    <definedName name="TVMETH2" localSheetId="1">#REF!</definedName>
    <definedName name="TVMETH2">#REF!</definedName>
    <definedName name="TVMETH3" localSheetId="3">#REF!</definedName>
    <definedName name="TVMETH3" localSheetId="1">#REF!</definedName>
    <definedName name="TVMETH3">#REF!</definedName>
    <definedName name="TVMETH4" localSheetId="3">#REF!</definedName>
    <definedName name="TVMETH4" localSheetId="1">#REF!</definedName>
    <definedName name="TVMETH4">#REF!</definedName>
    <definedName name="TVMETH5" localSheetId="3">#REF!</definedName>
    <definedName name="TVMETH5" localSheetId="1">#REF!</definedName>
    <definedName name="TVMETH5">#REF!</definedName>
    <definedName name="TWN" localSheetId="3">#REF!</definedName>
    <definedName name="TWN" localSheetId="1">#REF!</definedName>
    <definedName name="TWN">#REF!</definedName>
    <definedName name="TXH" localSheetId="3">#REF!</definedName>
    <definedName name="TXH" localSheetId="1">#REF!</definedName>
    <definedName name="TXH">#REF!</definedName>
    <definedName name="TXK" localSheetId="3">#REF!</definedName>
    <definedName name="TXK" localSheetId="1">#REF!</definedName>
    <definedName name="TXK">#REF!</definedName>
    <definedName name="txx" localSheetId="3">#REF!</definedName>
    <definedName name="txx" localSheetId="1">#REF!</definedName>
    <definedName name="txx">#REF!</definedName>
    <definedName name="TYPE" localSheetId="5">#REF!</definedName>
    <definedName name="TYPE" localSheetId="4">#REF!</definedName>
    <definedName name="TYPE" localSheetId="3">#REF!</definedName>
    <definedName name="TYPE" localSheetId="1">#REF!</definedName>
    <definedName name="TYPE">#REF!</definedName>
    <definedName name="tyuiiut" localSheetId="5" hidden="1">{#N/A,#N/A,TRUE,"Assumptions";#N/A,#N/A,TRUE,"Sources of Revenue";#N/A,#N/A,TRUE,"P&amp;L";#N/A,#N/A,TRUE,"Bal. Sheet";#N/A,#N/A,TRUE,"Rights Issue &amp; X Adjustment";#N/A,#N/A,TRUE,"Transaction Model"}</definedName>
    <definedName name="tyuiiut" localSheetId="4" hidden="1">{#N/A,#N/A,TRUE,"Assumptions";#N/A,#N/A,TRUE,"Sources of Revenue";#N/A,#N/A,TRUE,"P&amp;L";#N/A,#N/A,TRUE,"Bal. Sheet";#N/A,#N/A,TRUE,"Rights Issue &amp; X Adjustment";#N/A,#N/A,TRUE,"Transaction Model"}</definedName>
    <definedName name="tyuiiut" localSheetId="3" hidden="1">{#N/A,#N/A,TRUE,"Assumptions";#N/A,#N/A,TRUE,"Sources of Revenue";#N/A,#N/A,TRUE,"P&amp;L";#N/A,#N/A,TRUE,"Bal. Sheet";#N/A,#N/A,TRUE,"Rights Issue &amp; X Adjustment";#N/A,#N/A,TRUE,"Transaction Model"}</definedName>
    <definedName name="tyuiiut" localSheetId="1" hidden="1">{#N/A,#N/A,TRUE,"Assumptions";#N/A,#N/A,TRUE,"Sources of Revenue";#N/A,#N/A,TRUE,"P&amp;L";#N/A,#N/A,TRUE,"Bal. Sheet";#N/A,#N/A,TRUE,"Rights Issue &amp; X Adjustment";#N/A,#N/A,TRUE,"Transaction Model"}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5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4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3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1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5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4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3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1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 localSheetId="5">#REF!</definedName>
    <definedName name="TYUTUYUYUTYJUTYJ" localSheetId="4">#REF!</definedName>
    <definedName name="TYUTUYUYUTYJUTYJ" localSheetId="3">#REF!</definedName>
    <definedName name="TYUTUYUYUTYJUTYJ" localSheetId="1">#REF!</definedName>
    <definedName name="TYUTUYUYUTYJUTYJ">#REF!</definedName>
    <definedName name="T행" localSheetId="3">#REF!</definedName>
    <definedName name="T행" localSheetId="1">#REF!</definedName>
    <definedName name="T행">#REF!</definedName>
    <definedName name="U" localSheetId="5">#REF!</definedName>
    <definedName name="U" localSheetId="4">#REF!</definedName>
    <definedName name="U" localSheetId="3">#REF!</definedName>
    <definedName name="U" localSheetId="1">#REF!</definedName>
    <definedName name="U">#REF!</definedName>
    <definedName name="U_C11" localSheetId="5">#REF!</definedName>
    <definedName name="U_C11" localSheetId="4">#REF!</definedName>
    <definedName name="U_C11" localSheetId="3">#REF!</definedName>
    <definedName name="U_C11" localSheetId="1">#REF!</definedName>
    <definedName name="U_C11">#REF!</definedName>
    <definedName name="u100ti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localSheetId="5" hidden="1">{#N/A,#N/A,FALSE,"Aging Summary";#N/A,#N/A,FALSE,"Ratio Analysis";#N/A,#N/A,FALSE,"Test 120 Day Accts";#N/A,#N/A,FALSE,"Tickmarks"}</definedName>
    <definedName name="ua" localSheetId="4" hidden="1">{#N/A,#N/A,FALSE,"Aging Summary";#N/A,#N/A,FALSE,"Ratio Analysis";#N/A,#N/A,FALSE,"Test 120 Day Accts";#N/A,#N/A,FALSE,"Tickmarks"}</definedName>
    <definedName name="ua" localSheetId="3" hidden="1">{#N/A,#N/A,FALSE,"Aging Summary";#N/A,#N/A,FALSE,"Ratio Analysis";#N/A,#N/A,FALSE,"Test 120 Day Accts";#N/A,#N/A,FALSE,"Tickmarks"}</definedName>
    <definedName name="ua" localSheetId="1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ighkj" localSheetId="5" hidden="1">{#N/A,#N/A,TRUE,"Assumptions";#N/A,#N/A,TRUE,"Sources of Revenue";#N/A,#N/A,TRUE,"P&amp;L";#N/A,#N/A,TRUE,"Bal. Sheet";#N/A,#N/A,TRUE,"Rights Issue &amp; X Adjustment";#N/A,#N/A,TRUE,"Transaction Model"}</definedName>
    <definedName name="uighkj" localSheetId="4" hidden="1">{#N/A,#N/A,TRUE,"Assumptions";#N/A,#N/A,TRUE,"Sources of Revenue";#N/A,#N/A,TRUE,"P&amp;L";#N/A,#N/A,TRUE,"Bal. Sheet";#N/A,#N/A,TRUE,"Rights Issue &amp; X Adjustment";#N/A,#N/A,TRUE,"Transaction Model"}</definedName>
    <definedName name="uighkj" localSheetId="3" hidden="1">{#N/A,#N/A,TRUE,"Assumptions";#N/A,#N/A,TRUE,"Sources of Revenue";#N/A,#N/A,TRUE,"P&amp;L";#N/A,#N/A,TRUE,"Bal. Sheet";#N/A,#N/A,TRUE,"Rights Issue &amp; X Adjustment";#N/A,#N/A,TRUE,"Transaction Model"}</definedName>
    <definedName name="uighkj" localSheetId="1" hidden="1">{#N/A,#N/A,TRUE,"Assumptions";#N/A,#N/A,TRUE,"Sources of Revenue";#N/A,#N/A,TRUE,"P&amp;L";#N/A,#N/A,TRUE,"Bal. Sheet";#N/A,#N/A,TRUE,"Rights Issue &amp; X Adjustment";#N/A,#N/A,TRUE,"Transaction Model"}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localSheetId="5" hidden="1">{#N/A,#N/A,TRUE,"Assumptions";#N/A,#N/A,TRUE,"Sources of Revenue";#N/A,#N/A,TRUE,"P&amp;L";#N/A,#N/A,TRUE,"Bal. Sheet";#N/A,#N/A,TRUE,"Rights Issue &amp; X Adjustment";#N/A,#N/A,TRUE,"Transaction Model"}</definedName>
    <definedName name="uio" localSheetId="4" hidden="1">{#N/A,#N/A,TRUE,"Assumptions";#N/A,#N/A,TRUE,"Sources of Revenue";#N/A,#N/A,TRUE,"P&amp;L";#N/A,#N/A,TRUE,"Bal. Sheet";#N/A,#N/A,TRUE,"Rights Issue &amp; X Adjustment";#N/A,#N/A,TRUE,"Transaction Model"}</definedName>
    <definedName name="uio" localSheetId="3" hidden="1">{#N/A,#N/A,TRUE,"Assumptions";#N/A,#N/A,TRUE,"Sources of Revenue";#N/A,#N/A,TRUE,"P&amp;L";#N/A,#N/A,TRUE,"Bal. Sheet";#N/A,#N/A,TRUE,"Rights Issue &amp; X Adjustment";#N/A,#N/A,TRUE,"Transaction Model"}</definedName>
    <definedName name="uio" localSheetId="1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5">#REF!</definedName>
    <definedName name="unit" localSheetId="4">#REF!</definedName>
    <definedName name="unit" localSheetId="3">#REF!</definedName>
    <definedName name="unit" localSheetId="1">#REF!</definedName>
    <definedName name="unit">#REF!</definedName>
    <definedName name="Unit_천원" localSheetId="3">#REF!</definedName>
    <definedName name="Unit_천원" localSheetId="1">#REF!</definedName>
    <definedName name="Unit_천원">#REF!</definedName>
    <definedName name="Units" localSheetId="3">#REF!</definedName>
    <definedName name="Units" localSheetId="1">#REF!</definedName>
    <definedName name="Units">#REF!</definedName>
    <definedName name="Untitled" localSheetId="3">#REF!</definedName>
    <definedName name="Untitled" localSheetId="1">#REF!</definedName>
    <definedName name="Untitled">#REF!</definedName>
    <definedName name="UP_KOPIE" localSheetId="3">#REF!</definedName>
    <definedName name="UP_KOPIE" localSheetId="1">#REF!</definedName>
    <definedName name="UP_KOPIE">#REF!</definedName>
    <definedName name="UPC" localSheetId="3">#REF!</definedName>
    <definedName name="UPC" localSheetId="1">#REF!</definedName>
    <definedName name="UPC">#REF!</definedName>
    <definedName name="update" localSheetId="3">#REF!</definedName>
    <definedName name="update" localSheetId="1">#REF!</definedName>
    <definedName name="update">#REF!</definedName>
    <definedName name="UploadFile" localSheetId="3">#REF!</definedName>
    <definedName name="UploadFile" localSheetId="1">#REF!</definedName>
    <definedName name="UploadFile">#REF!</definedName>
    <definedName name="uti">#N/A</definedName>
    <definedName name="UtileBilver_utileBilCEE" localSheetId="5">#REF!</definedName>
    <definedName name="UtileBilver_utileBilCEE" localSheetId="4">#REF!</definedName>
    <definedName name="UtileBilver_utileBilCEE" localSheetId="3">#REF!</definedName>
    <definedName name="UtileBilver_utileBilCEE" localSheetId="1">#REF!</definedName>
    <definedName name="UtileBilver_utileBilCEE">#REF!</definedName>
    <definedName name="uto">#N/A</definedName>
    <definedName name="UT검사" localSheetId="5">#REF!</definedName>
    <definedName name="UT검사" localSheetId="4">#REF!</definedName>
    <definedName name="UT검사" localSheetId="3">#REF!</definedName>
    <definedName name="UT검사" localSheetId="1">#REF!</definedName>
    <definedName name="UT검사">#REF!</definedName>
    <definedName name="uu" localSheetId="3">#REF!</definedName>
    <definedName name="uu" localSheetId="1">#REF!</definedName>
    <definedName name="uu">#REF!</definedName>
    <definedName name="UUU" localSheetId="3" hidden="1">#REF!</definedName>
    <definedName name="UUU" localSheetId="1" hidden="1">#REF!</definedName>
    <definedName name="UUU" hidden="1">#REF!</definedName>
    <definedName name="uuuuuu" localSheetId="3">#REF!</definedName>
    <definedName name="uuuuuu" localSheetId="1">#REF!</definedName>
    <definedName name="uuuuuu">#REF!</definedName>
    <definedName name="uuuuuuuuuuuuuuuuuuuuuuuuuuuuuuuuuuuuuuuuuuuuuuuuuuuuuuuuuuuuuuuuuuuuuuuuuuuuuuuuuuuuuuuuuuuuuuuuuuuuuu" localSheetId="3">#REF!</definedName>
    <definedName name="uuuuuuuuuuuuuuuuuuuuuuuuuuuuuuuuuuuuuuuuuuuuuuuuuuuuuuuuuuuuuuuuuuuuuuuuuuuuuuuuuuuuuuuuuuuuuuuuuuuuuu" localSheetId="1">#REF!</definedName>
    <definedName name="uuuuuuuuuuuuuuuuuuuuuuuuuuuuuuuuuuuuuuuuuuuuuuuuuuuuuuuuuuuuuuuuuuuuuuuuuuuuuuuuuuuuuuuuuuuuuuuuuuuuuu">#REF!</definedName>
    <definedName name="U행" localSheetId="3">#REF!</definedName>
    <definedName name="U행" localSheetId="1">#REF!</definedName>
    <definedName name="U행">#REF!</definedName>
    <definedName name="V" localSheetId="5">#REF!</definedName>
    <definedName name="V" localSheetId="4">#REF!</definedName>
    <definedName name="V" localSheetId="3">#REF!</definedName>
    <definedName name="V" localSheetId="1">#REF!</definedName>
    <definedName name="V">#REF!</definedName>
    <definedName name="variance" localSheetId="5">#REF!</definedName>
    <definedName name="variance" localSheetId="4">#REF!</definedName>
    <definedName name="variance" localSheetId="3">#REF!</definedName>
    <definedName name="variance" localSheetId="1">#REF!</definedName>
    <definedName name="variance">#REF!</definedName>
    <definedName name="vat_at_aquisition" localSheetId="3">#REF!</definedName>
    <definedName name="vat_at_aquisition" localSheetId="1">#REF!</definedName>
    <definedName name="vat_at_aquisition">#REF!</definedName>
    <definedName name="vatloan" localSheetId="3">#REF!</definedName>
    <definedName name="vatloan" localSheetId="1">#REF!</definedName>
    <definedName name="vatloan">#REF!</definedName>
    <definedName name="vbn" localSheetId="5" hidden="1">{#N/A,#N/A,TRUE,"Assumptions";#N/A,#N/A,TRUE,"Sources of Revenue";#N/A,#N/A,TRUE,"P&amp;L";#N/A,#N/A,TRUE,"Bal. Sheet";#N/A,#N/A,TRUE,"Rights Issue &amp; X Adjustment";#N/A,#N/A,TRUE,"Transaction Model"}</definedName>
    <definedName name="vbn" localSheetId="4" hidden="1">{#N/A,#N/A,TRUE,"Assumptions";#N/A,#N/A,TRUE,"Sources of Revenue";#N/A,#N/A,TRUE,"P&amp;L";#N/A,#N/A,TRUE,"Bal. Sheet";#N/A,#N/A,TRUE,"Rights Issue &amp; X Adjustment";#N/A,#N/A,TRUE,"Transaction Model"}</definedName>
    <definedName name="vbn" localSheetId="3" hidden="1">{#N/A,#N/A,TRUE,"Assumptions";#N/A,#N/A,TRUE,"Sources of Revenue";#N/A,#N/A,TRUE,"P&amp;L";#N/A,#N/A,TRUE,"Bal. Sheet";#N/A,#N/A,TRUE,"Rights Issue &amp; X Adjustment";#N/A,#N/A,TRUE,"Transaction Model"}</definedName>
    <definedName name="vbn" localSheetId="1" hidden="1">{#N/A,#N/A,TRUE,"Assumptions";#N/A,#N/A,TRUE,"Sources of Revenue";#N/A,#N/A,TRUE,"P&amp;L";#N/A,#N/A,TRUE,"Bal. Sheet";#N/A,#N/A,TRUE,"Rights Issue &amp; X Adjustment";#N/A,#N/A,TRUE,"Transaction Model"}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localSheetId="5" hidden="1">{"'買掛金'!$J$6"}</definedName>
    <definedName name="vds" localSheetId="4" hidden="1">{"'買掛金'!$J$6"}</definedName>
    <definedName name="vds" localSheetId="3" hidden="1">{"'買掛金'!$J$6"}</definedName>
    <definedName name="vds" localSheetId="1" hidden="1">{"'買掛金'!$J$6"}</definedName>
    <definedName name="vds" hidden="1">{"'買掛金'!$J$6"}</definedName>
    <definedName name="VDSAG" localSheetId="5" hidden="1">{#N/A,#N/A,TRUE,"일정"}</definedName>
    <definedName name="VDSAG" localSheetId="4" hidden="1">{#N/A,#N/A,TRUE,"일정"}</definedName>
    <definedName name="VDSAG" localSheetId="3" hidden="1">{#N/A,#N/A,TRUE,"일정"}</definedName>
    <definedName name="VDSAG" localSheetId="1" hidden="1">{#N/A,#N/A,TRUE,"일정"}</definedName>
    <definedName name="VDSAG" hidden="1">{#N/A,#N/A,TRUE,"일정"}</definedName>
    <definedName name="vfdf" localSheetId="5" hidden="1">{#N/A,#N/A,TRUE,"Assumptions";#N/A,#N/A,TRUE,"Sources of Revenue";#N/A,#N/A,TRUE,"P&amp;L";#N/A,#N/A,TRUE,"Bal. Sheet";#N/A,#N/A,TRUE,"Rights Issue &amp; X Adjustment";#N/A,#N/A,TRUE,"Transaction Model"}</definedName>
    <definedName name="vfdf" localSheetId="4" hidden="1">{#N/A,#N/A,TRUE,"Assumptions";#N/A,#N/A,TRUE,"Sources of Revenue";#N/A,#N/A,TRUE,"P&amp;L";#N/A,#N/A,TRUE,"Bal. Sheet";#N/A,#N/A,TRUE,"Rights Issue &amp; X Adjustment";#N/A,#N/A,TRUE,"Transaction Model"}</definedName>
    <definedName name="vfdf" localSheetId="3" hidden="1">{#N/A,#N/A,TRUE,"Assumptions";#N/A,#N/A,TRUE,"Sources of Revenue";#N/A,#N/A,TRUE,"P&amp;L";#N/A,#N/A,TRUE,"Bal. Sheet";#N/A,#N/A,TRUE,"Rights Issue &amp; X Adjustment";#N/A,#N/A,TRUE,"Transaction Model"}</definedName>
    <definedName name="vfdf" localSheetId="1" hidden="1">{#N/A,#N/A,TRUE,"Assumptions";#N/A,#N/A,TRUE,"Sources of Revenue";#N/A,#N/A,TRUE,"P&amp;L";#N/A,#N/A,TRUE,"Bal. Sheet";#N/A,#N/A,TRUE,"Rights Issue &amp; X Adjustment";#N/A,#N/A,TRUE,"Transaction Model"}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 localSheetId="5">#REF!</definedName>
    <definedName name="vips_turnover_rent" localSheetId="4">#REF!</definedName>
    <definedName name="vips_turnover_rent" localSheetId="3">#REF!</definedName>
    <definedName name="vips_turnover_rent" localSheetId="1">#REF!</definedName>
    <definedName name="vips_turnover_rent">#REF!</definedName>
    <definedName name="voc" localSheetId="5" hidden="1">#REF!</definedName>
    <definedName name="voc" localSheetId="4" hidden="1">#REF!</definedName>
    <definedName name="voc" localSheetId="3" hidden="1">#REF!</definedName>
    <definedName name="voc" localSheetId="1" hidden="1">#REF!</definedName>
    <definedName name="voc" hidden="1">#REF!</definedName>
    <definedName name="VOCDIDTLR2" localSheetId="3" hidden="1">#REF!</definedName>
    <definedName name="VOCDIDTLR2" localSheetId="1" hidden="1">#REF!</definedName>
    <definedName name="VOCDIDTLR2" hidden="1">#REF!</definedName>
    <definedName name="VSUMCL" localSheetId="5">#REF!</definedName>
    <definedName name="VSUMCL" localSheetId="4">#REF!</definedName>
    <definedName name="VSUMCL" localSheetId="3">#REF!</definedName>
    <definedName name="VSUMCL" localSheetId="1">#REF!</definedName>
    <definedName name="VSUMCL">#REF!</definedName>
    <definedName name="VT" localSheetId="5">#REF!</definedName>
    <definedName name="VT" localSheetId="4">#REF!</definedName>
    <definedName name="VT" localSheetId="3">#REF!</definedName>
    <definedName name="VT" localSheetId="1">#REF!</definedName>
    <definedName name="VT">#REF!</definedName>
    <definedName name="VV" localSheetId="3">#REF!</definedName>
    <definedName name="VV" localSheetId="1">#REF!</definedName>
    <definedName name="VV">#REF!</definedName>
    <definedName name="VVT" localSheetId="3">#REF!</definedName>
    <definedName name="VVT" localSheetId="1">#REF!</definedName>
    <definedName name="VVT">#REF!</definedName>
    <definedName name="vvv" localSheetId="5" hidden="1">{"'買掛金'!$J$6"}</definedName>
    <definedName name="vvv" localSheetId="4" hidden="1">{"'買掛金'!$J$6"}</definedName>
    <definedName name="vvv" localSheetId="3" hidden="1">{"'買掛金'!$J$6"}</definedName>
    <definedName name="vvv" localSheetId="1" hidden="1">{"'買掛金'!$J$6"}</definedName>
    <definedName name="vvv" hidden="1">{"'買掛金'!$J$6"}</definedName>
    <definedName name="vvvvv" localSheetId="5">#REF!</definedName>
    <definedName name="vvvvv" localSheetId="4">#REF!</definedName>
    <definedName name="vvvvv" localSheetId="3">#REF!</definedName>
    <definedName name="vvvvv" localSheetId="1">#REF!</definedName>
    <definedName name="vvvvv">#REF!</definedName>
    <definedName name="vvvvvvvvvvvvvv" localSheetId="3">#REF!</definedName>
    <definedName name="vvvvvvvvvvvvvv" localSheetId="1">#REF!</definedName>
    <definedName name="vvvvvvvvvvvvvv">#REF!</definedName>
    <definedName name="vxccx" localSheetId="5" hidden="1">{"'買掛金'!$J$6"}</definedName>
    <definedName name="vxccx" localSheetId="4" hidden="1">{"'買掛金'!$J$6"}</definedName>
    <definedName name="vxccx" localSheetId="3" hidden="1">{"'買掛金'!$J$6"}</definedName>
    <definedName name="vxccx" localSheetId="1" hidden="1">{"'買掛金'!$J$6"}</definedName>
    <definedName name="vxccx" hidden="1">{"'買掛金'!$J$6"}</definedName>
    <definedName name="V행" localSheetId="3">#REF!</definedName>
    <definedName name="V행" localSheetId="1">#REF!</definedName>
    <definedName name="V행">#REF!</definedName>
    <definedName name="w" localSheetId="5" hidden="1">{#N/A,#N/A,FALSE,"Aging Summary";#N/A,#N/A,FALSE,"Ratio Analysis";#N/A,#N/A,FALSE,"Test 120 Day Accts";#N/A,#N/A,FALSE,"Tickmarks"}</definedName>
    <definedName name="w" localSheetId="4" hidden="1">{#N/A,#N/A,FALSE,"Aging Summary";#N/A,#N/A,FALSE,"Ratio Analysis";#N/A,#N/A,FALSE,"Test 120 Day Accts";#N/A,#N/A,FALSE,"Tickmarks"}</definedName>
    <definedName name="w" localSheetId="3" hidden="1">{#N/A,#N/A,FALSE,"Aging Summary";#N/A,#N/A,FALSE,"Ratio Analysis";#N/A,#N/A,FALSE,"Test 120 Day Accts";#N/A,#N/A,FALSE,"Tickmarks"}</definedName>
    <definedName name="w" localSheetId="1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 localSheetId="5">#REF!</definedName>
    <definedName name="warrants" localSheetId="4">#REF!</definedName>
    <definedName name="warrants" localSheetId="3">#REF!</definedName>
    <definedName name="warrants" localSheetId="1">#REF!</definedName>
    <definedName name="warrants">#REF!</definedName>
    <definedName name="warrants1" localSheetId="3">#REF!</definedName>
    <definedName name="warrants1" localSheetId="1">#REF!</definedName>
    <definedName name="warrants1">#REF!</definedName>
    <definedName name="WBS" localSheetId="5" hidden="1">{#N/A,#N/A,FALSE,"Aging Summary";#N/A,#N/A,FALSE,"Ratio Analysis";#N/A,#N/A,FALSE,"Test 120 Day Accts";#N/A,#N/A,FALSE,"Tickmarks"}</definedName>
    <definedName name="WBS" localSheetId="4" hidden="1">{#N/A,#N/A,FALSE,"Aging Summary";#N/A,#N/A,FALSE,"Ratio Analysis";#N/A,#N/A,FALSE,"Test 120 Day Accts";#N/A,#N/A,FALSE,"Tickmarks"}</definedName>
    <definedName name="WBS" localSheetId="3" hidden="1">{#N/A,#N/A,FALSE,"Aging Summary";#N/A,#N/A,FALSE,"Ratio Analysis";#N/A,#N/A,FALSE,"Test 120 Day Accts";#N/A,#N/A,FALSE,"Tickmarks"}</definedName>
    <definedName name="WBS" localSheetId="1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localSheetId="5" hidden="1">{#N/A,#N/A,TRUE,"Y생산";#N/A,#N/A,TRUE,"Y판매";#N/A,#N/A,TRUE,"Y총물량";#N/A,#N/A,TRUE,"Y능력";#N/A,#N/A,TRUE,"YKD"}</definedName>
    <definedName name="WEARF" localSheetId="4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ARF_1" localSheetId="5" hidden="1">{#N/A,#N/A,TRUE,"Y생산";#N/A,#N/A,TRUE,"Y판매";#N/A,#N/A,TRUE,"Y총물량";#N/A,#N/A,TRUE,"Y능력";#N/A,#N/A,TRUE,"YKD"}</definedName>
    <definedName name="WEARF_1" localSheetId="4" hidden="1">{#N/A,#N/A,TRUE,"Y생산";#N/A,#N/A,TRUE,"Y판매";#N/A,#N/A,TRUE,"Y총물량";#N/A,#N/A,TRUE,"Y능력";#N/A,#N/A,TRUE,"YKD"}</definedName>
    <definedName name="WEARF_1" localSheetId="3" hidden="1">{#N/A,#N/A,TRUE,"Y생산";#N/A,#N/A,TRUE,"Y판매";#N/A,#N/A,TRUE,"Y총물량";#N/A,#N/A,TRUE,"Y능력";#N/A,#N/A,TRUE,"YKD"}</definedName>
    <definedName name="WEARF_1" localSheetId="1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localSheetId="5" hidden="1">{#N/A,#N/A,TRUE,"Assumptions";#N/A,#N/A,TRUE,"Sources of Revenue";#N/A,#N/A,TRUE,"P&amp;L";#N/A,#N/A,TRUE,"Bal. Sheet";#N/A,#N/A,TRUE,"Rights Issue &amp; X Adjustment";#N/A,#N/A,TRUE,"Transaction Model"}</definedName>
    <definedName name="wer" localSheetId="4" hidden="1">{#N/A,#N/A,TRUE,"Assumptions";#N/A,#N/A,TRUE,"Sources of Revenue";#N/A,#N/A,TRUE,"P&amp;L";#N/A,#N/A,TRUE,"Bal. Sheet";#N/A,#N/A,TRUE,"Rights Issue &amp; X Adjustment";#N/A,#N/A,TRUE,"Transaction Model"}</definedName>
    <definedName name="wer" localSheetId="3" hidden="1">{#N/A,#N/A,TRUE,"Assumptions";#N/A,#N/A,TRUE,"Sources of Revenue";#N/A,#N/A,TRUE,"P&amp;L";#N/A,#N/A,TRUE,"Bal. Sheet";#N/A,#N/A,TRUE,"Rights Issue &amp; X Adjustment";#N/A,#N/A,TRUE,"Transaction Model"}</definedName>
    <definedName name="wer" localSheetId="1" hidden="1">{#N/A,#N/A,TRUE,"Assumptions";#N/A,#N/A,TRUE,"Sources of Revenue";#N/A,#N/A,TRUE,"P&amp;L";#N/A,#N/A,TRUE,"Bal. Sheet";#N/A,#N/A,TRUE,"Rights Issue &amp; X Adjustment";#N/A,#N/A,TRUE,"Transaction Model"}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 localSheetId="5">#REF!</definedName>
    <definedName name="werq" localSheetId="4">#REF!</definedName>
    <definedName name="werq" localSheetId="3">#REF!</definedName>
    <definedName name="werq" localSheetId="1">#REF!</definedName>
    <definedName name="werq">#REF!</definedName>
    <definedName name="wetr" localSheetId="5" hidden="1">{#N/A,#N/A,TRUE,"Assumptions";#N/A,#N/A,TRUE,"Sources of Revenue";#N/A,#N/A,TRUE,"P&amp;L";#N/A,#N/A,TRUE,"Bal. Sheet";#N/A,#N/A,TRUE,"Rights Issue &amp; X Adjustment";#N/A,#N/A,TRUE,"Transaction Model"}</definedName>
    <definedName name="wetr" localSheetId="4" hidden="1">{#N/A,#N/A,TRUE,"Assumptions";#N/A,#N/A,TRUE,"Sources of Revenue";#N/A,#N/A,TRUE,"P&amp;L";#N/A,#N/A,TRUE,"Bal. Sheet";#N/A,#N/A,TRUE,"Rights Issue &amp; X Adjustment";#N/A,#N/A,TRUE,"Transaction Model"}</definedName>
    <definedName name="wetr" localSheetId="3" hidden="1">{#N/A,#N/A,TRUE,"Assumptions";#N/A,#N/A,TRUE,"Sources of Revenue";#N/A,#N/A,TRUE,"P&amp;L";#N/A,#N/A,TRUE,"Bal. Sheet";#N/A,#N/A,TRUE,"Rights Issue &amp; X Adjustment";#N/A,#N/A,TRUE,"Transaction Model"}</definedName>
    <definedName name="wetr" localSheetId="1" hidden="1">{#N/A,#N/A,TRUE,"Assumptions";#N/A,#N/A,TRUE,"Sources of Revenue";#N/A,#N/A,TRUE,"P&amp;L";#N/A,#N/A,TRUE,"Bal. Sheet";#N/A,#N/A,TRUE,"Rights Issue &amp; X Adjustment";#N/A,#N/A,TRUE,"Transaction Model"}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localSheetId="5" hidden="1">{#N/A,#N/A,TRUE,"Assumptions";#N/A,#N/A,TRUE,"Sources of Revenue";#N/A,#N/A,TRUE,"P&amp;L";#N/A,#N/A,TRUE,"Bal. Sheet";#N/A,#N/A,TRUE,"Rights Issue &amp; X Adjustment";#N/A,#N/A,TRUE,"Transaction Model"}</definedName>
    <definedName name="wetrwet" localSheetId="4" hidden="1">{#N/A,#N/A,TRUE,"Assumptions";#N/A,#N/A,TRUE,"Sources of Revenue";#N/A,#N/A,TRUE,"P&amp;L";#N/A,#N/A,TRUE,"Bal. Sheet";#N/A,#N/A,TRUE,"Rights Issue &amp; X Adjustment";#N/A,#N/A,TRUE,"Transaction Model"}</definedName>
    <definedName name="wetrwet" localSheetId="3" hidden="1">{#N/A,#N/A,TRUE,"Assumptions";#N/A,#N/A,TRUE,"Sources of Revenue";#N/A,#N/A,TRUE,"P&amp;L";#N/A,#N/A,TRUE,"Bal. Sheet";#N/A,#N/A,TRUE,"Rights Issue &amp; X Adjustment";#N/A,#N/A,TRUE,"Transaction Model"}</definedName>
    <definedName name="wetrwet" localSheetId="1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 localSheetId="5">#REF!</definedName>
    <definedName name="WEW" localSheetId="4">#REF!</definedName>
    <definedName name="WEW" localSheetId="3">#REF!</definedName>
    <definedName name="WEW" localSheetId="1">#REF!</definedName>
    <definedName name="WEW">#REF!</definedName>
    <definedName name="white_non_see_thru_solid_ctn_poplin" localSheetId="5">#REF!</definedName>
    <definedName name="white_non_see_thru_solid_ctn_poplin" localSheetId="4">#REF!</definedName>
    <definedName name="white_non_see_thru_solid_ctn_poplin" localSheetId="3">#REF!</definedName>
    <definedName name="white_non_see_thru_solid_ctn_poplin" localSheetId="1">#REF!</definedName>
    <definedName name="white_non_see_thru_solid_ctn_poplin">#REF!</definedName>
    <definedName name="wide_wale_cord" localSheetId="5">#REF!</definedName>
    <definedName name="wide_wale_cord" localSheetId="4">#REF!</definedName>
    <definedName name="wide_wale_cord" localSheetId="3">#REF!</definedName>
    <definedName name="wide_wale_cord" localSheetId="1">#REF!</definedName>
    <definedName name="wide_wale_cord">#REF!</definedName>
    <definedName name="widebs" localSheetId="3">#REF!</definedName>
    <definedName name="widebs" localSheetId="1">#REF!</definedName>
    <definedName name="widebs">#REF!</definedName>
    <definedName name="Winter" localSheetId="5" hidden="1">{#N/A,#N/A,FALSE,"95FW"}</definedName>
    <definedName name="Winter" localSheetId="4" hidden="1">{#N/A,#N/A,FALSE,"95FW"}</definedName>
    <definedName name="Winter" localSheetId="3" hidden="1">{#N/A,#N/A,FALSE,"95FW"}</definedName>
    <definedName name="Winter" localSheetId="1" hidden="1">{#N/A,#N/A,FALSE,"95FW"}</definedName>
    <definedName name="Winter" hidden="1">{#N/A,#N/A,FALSE,"95FW"}</definedName>
    <definedName name="wkd" localSheetId="5" hidden="1">{#N/A,#N/A,FALSE,"3가";#N/A,#N/A,FALSE,"3나";#N/A,#N/A,FALSE,"3다"}</definedName>
    <definedName name="wkd" localSheetId="4" hidden="1">{#N/A,#N/A,FALSE,"3가";#N/A,#N/A,FALSE,"3나";#N/A,#N/A,FALSE,"3다"}</definedName>
    <definedName name="wkd" localSheetId="3" hidden="1">{#N/A,#N/A,FALSE,"3가";#N/A,#N/A,FALSE,"3나";#N/A,#N/A,FALSE,"3다"}</definedName>
    <definedName name="wkd" localSheetId="1" hidden="1">{#N/A,#N/A,FALSE,"3가";#N/A,#N/A,FALSE,"3나";#N/A,#N/A,FALSE,"3다"}</definedName>
    <definedName name="wkd" hidden="1">{#N/A,#N/A,FALSE,"3가";#N/A,#N/A,FALSE,"3나";#N/A,#N/A,FALSE,"3다"}</definedName>
    <definedName name="wkgk" localSheetId="5" hidden="1">{#N/A,#N/A,FALSE,"BS";#N/A,#N/A,FALSE,"PL";#N/A,#N/A,FALSE,"처분";#N/A,#N/A,FALSE,"현금";#N/A,#N/A,FALSE,"매출";#N/A,#N/A,FALSE,"원가";#N/A,#N/A,FALSE,"경영"}</definedName>
    <definedName name="wkgk" localSheetId="4" hidden="1">{#N/A,#N/A,FALSE,"BS";#N/A,#N/A,FALSE,"PL";#N/A,#N/A,FALSE,"처분";#N/A,#N/A,FALSE,"현금";#N/A,#N/A,FALSE,"매출";#N/A,#N/A,FALSE,"원가";#N/A,#N/A,FALSE,"경영"}</definedName>
    <definedName name="wkgk" localSheetId="3" hidden="1">{#N/A,#N/A,FALSE,"BS";#N/A,#N/A,FALSE,"PL";#N/A,#N/A,FALSE,"처분";#N/A,#N/A,FALSE,"현금";#N/A,#N/A,FALSE,"매출";#N/A,#N/A,FALSE,"원가";#N/A,#N/A,FALSE,"경영"}</definedName>
    <definedName name="wkgk" localSheetId="1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ks" localSheetId="5">#REF!</definedName>
    <definedName name="wks" localSheetId="4">#REF!</definedName>
    <definedName name="wks" localSheetId="3">#REF!</definedName>
    <definedName name="wks" localSheetId="1">#REF!</definedName>
    <definedName name="wks">#REF!</definedName>
    <definedName name="wkworhgk" localSheetId="5" hidden="1">{#N/A,#N/A,TRUE,"Y생산";#N/A,#N/A,TRUE,"Y판매";#N/A,#N/A,TRUE,"Y총물량";#N/A,#N/A,TRUE,"Y능력";#N/A,#N/A,TRUE,"YKD"}</definedName>
    <definedName name="wkworhgk" localSheetId="4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localSheetId="1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5" hidden="1">{#N/A,#N/A,TRUE,"Y생산";#N/A,#N/A,TRUE,"Y판매";#N/A,#N/A,TRUE,"Y총물량";#N/A,#N/A,TRUE,"Y능력";#N/A,#N/A,TRUE,"YKD"}</definedName>
    <definedName name="wnd" localSheetId="4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localSheetId="1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 localSheetId="5">#REF!</definedName>
    <definedName name="Woori_Growth_Grate" localSheetId="4">#REF!</definedName>
    <definedName name="Woori_Growth_Grate" localSheetId="3">#REF!</definedName>
    <definedName name="Woori_Growth_Grate" localSheetId="1">#REF!</definedName>
    <definedName name="Woori_Growth_Grate">#REF!</definedName>
    <definedName name="Woori_Growth_rate" localSheetId="3">#REF!</definedName>
    <definedName name="Woori_Growth_rate" localSheetId="1">#REF!</definedName>
    <definedName name="Woori_Growth_rate">#REF!</definedName>
    <definedName name="WORK_COM">#N/A</definedName>
    <definedName name="WPL" localSheetId="5" hidden="1">{#N/A,#N/A,FALSE,"Aging Summary";#N/A,#N/A,FALSE,"Ratio Analysis";#N/A,#N/A,FALSE,"Test 120 Day Accts";#N/A,#N/A,FALSE,"Tickmarks"}</definedName>
    <definedName name="WPL" localSheetId="4" hidden="1">{#N/A,#N/A,FALSE,"Aging Summary";#N/A,#N/A,FALSE,"Ratio Analysis";#N/A,#N/A,FALSE,"Test 120 Day Accts";#N/A,#N/A,FALSE,"Tickmarks"}</definedName>
    <definedName name="WPL" localSheetId="3" hidden="1">{#N/A,#N/A,FALSE,"Aging Summary";#N/A,#N/A,FALSE,"Ratio Analysis";#N/A,#N/A,FALSE,"Test 120 Day Accts";#N/A,#N/A,FALSE,"Tickmarks"}</definedName>
    <definedName name="WPL" localSheetId="1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P투자사업개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5" hidden="1">{#N/A,#N/A,TRUE,"일정"}</definedName>
    <definedName name="wq" localSheetId="4" hidden="1">{#N/A,#N/A,TRUE,"일정"}</definedName>
    <definedName name="wq" localSheetId="3" hidden="1">{#N/A,#N/A,TRUE,"일정"}</definedName>
    <definedName name="wq" localSheetId="1" hidden="1">{#N/A,#N/A,TRUE,"일정"}</definedName>
    <definedName name="wq" hidden="1">{#N/A,#N/A,TRUE,"일정"}</definedName>
    <definedName name="wrn.345." localSheetId="5" hidden="1">{#N/A,#N/A,FALSE,"96 3월물량표";#N/A,#N/A,FALSE,"96 4월물량표";#N/A,#N/A,FALSE,"96 5월물량표"}</definedName>
    <definedName name="wrn.345." localSheetId="4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localSheetId="1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5._.fw._.진행현황." localSheetId="5" hidden="1">{#N/A,#N/A,FALSE,"95FW"}</definedName>
    <definedName name="wrn.95._.fw._.진행현황." localSheetId="4" hidden="1">{#N/A,#N/A,FALSE,"95FW"}</definedName>
    <definedName name="wrn.95._.fw._.진행현황." localSheetId="3" hidden="1">{#N/A,#N/A,FALSE,"95FW"}</definedName>
    <definedName name="wrn.95._.fw._.진행현황." localSheetId="1" hidden="1">{#N/A,#N/A,FALSE,"95FW"}</definedName>
    <definedName name="wrn.95._.fw._.진행현황." hidden="1">{#N/A,#N/A,FALSE,"95FW"}</definedName>
    <definedName name="wrn.97년._.9월._.임차현황." localSheetId="5" hidden="1">{#N/A,#N/A,FALSE,"동부"}</definedName>
    <definedName name="wrn.97년._.9월._.임차현황." localSheetId="4" hidden="1">{#N/A,#N/A,FALSE,"동부"}</definedName>
    <definedName name="wrn.97년._.9월._.임차현황." localSheetId="3" hidden="1">{#N/A,#N/A,FALSE,"동부"}</definedName>
    <definedName name="wrn.97년._.9월._.임차현황." localSheetId="1" hidden="1">{#N/A,#N/A,FALSE,"동부"}</definedName>
    <definedName name="wrn.97년._.9월._.임차현황." hidden="1">{#N/A,#N/A,FALSE,"동부"}</definedName>
    <definedName name="wrn.97년._.9월._.임차현황._1" localSheetId="5" hidden="1">{#N/A,#N/A,FALSE,"동부"}</definedName>
    <definedName name="wrn.97년._.9월._.임차현황._1" localSheetId="4" hidden="1">{#N/A,#N/A,FALSE,"동부"}</definedName>
    <definedName name="wrn.97년._.9월._.임차현황._1" localSheetId="3" hidden="1">{#N/A,#N/A,FALSE,"동부"}</definedName>
    <definedName name="wrn.97년._.9월._.임차현황._1" localSheetId="1" hidden="1">{#N/A,#N/A,FALSE,"동부"}</definedName>
    <definedName name="wrn.97년._.9월._.임차현황._1" hidden="1">{#N/A,#N/A,FALSE,"동부"}</definedName>
    <definedName name="WRN.AAA." localSheetId="5" hidden="1">{#N/A,#N/A,FALSE,"단축1";#N/A,#N/A,FALSE,"단축2";#N/A,#N/A,FALSE,"단축3";#N/A,#N/A,FALSE,"장축";#N/A,#N/A,FALSE,"4WD"}</definedName>
    <definedName name="WRN.AAA." localSheetId="4" hidden="1">{#N/A,#N/A,FALSE,"단축1";#N/A,#N/A,FALSE,"단축2";#N/A,#N/A,FALSE,"단축3";#N/A,#N/A,FALSE,"장축";#N/A,#N/A,FALSE,"4WD"}</definedName>
    <definedName name="WRN.AAA." localSheetId="3" hidden="1">{#N/A,#N/A,FALSE,"단축1";#N/A,#N/A,FALSE,"단축2";#N/A,#N/A,FALSE,"단축3";#N/A,#N/A,FALSE,"장축";#N/A,#N/A,FALSE,"4WD"}</definedName>
    <definedName name="WRN.AAA." localSheetId="1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CCEL._.PERF." localSheetId="5" hidden="1">{#N/A,#N/A,FALSE,"입력SHT"}</definedName>
    <definedName name="wrn.ACCEL._.PERF." localSheetId="4" hidden="1">{#N/A,#N/A,FALSE,"입력SHT"}</definedName>
    <definedName name="wrn.ACCEL._.PERF." localSheetId="3" hidden="1">{#N/A,#N/A,FALSE,"입력SHT"}</definedName>
    <definedName name="wrn.ACCEL._.PERF." localSheetId="1" hidden="1">{#N/A,#N/A,FALSE,"입력SHT"}</definedName>
    <definedName name="wrn.ACCEL._.PERF." hidden="1">{#N/A,#N/A,FALSE,"입력SHT"}</definedName>
    <definedName name="wrn.ACHESON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localSheetId="5" hidden="1">{#N/A,#N/A,FALSE,"PROG &amp; MARKET";#N/A,#N/A,FALSE,"SUMMARY";#N/A,#N/A,FALSE,"LANDSIDE -DETAIL";#N/A,#N/A,FALSE,"VESSEL"}</definedName>
    <definedName name="wrn.ALL." localSheetId="4" hidden="1">{#N/A,#N/A,FALSE,"PROG &amp; MARKET";#N/A,#N/A,FALSE,"SUMMARY";#N/A,#N/A,FALSE,"LANDSIDE -DETAIL";#N/A,#N/A,FALSE,"VESSEL"}</definedName>
    <definedName name="wrn.ALL." localSheetId="3" hidden="1">{#N/A,#N/A,FALSE,"PROG &amp; MARKET";#N/A,#N/A,FALSE,"SUMMARY";#N/A,#N/A,FALSE,"LANDSIDE -DETAIL";#N/A,#N/A,FALSE,"VESSEL"}</definedName>
    <definedName name="wrn.ALL." localSheetId="1" hidden="1">{#N/A,#N/A,FALSE,"PROG &amp; MARKET";#N/A,#N/A,FALSE,"SUMMARY";#N/A,#N/A,FALSE,"LANDSIDE -DETAIL";#N/A,#N/A,FALSE,"VESSEL"}</definedName>
    <definedName name="wrn.ALL." hidden="1">{#N/A,#N/A,FALSE,"PROG &amp; MARKET";#N/A,#N/A,FALSE,"SUMMARY";#N/A,#N/A,FALSE,"LANDSIDE -DETAIL";#N/A,#N/A,FALSE,"VESSEL"}</definedName>
    <definedName name="wrn.ALL._.METRICS." localSheetId="5" hidden="1">{#N/A,#N/A,TRUE,"contents";#N/A,#N/A,TRUE,"production";#N/A,#N/A,TRUE,"svcg";#N/A,#N/A,TRUE,"cent_offices";#N/A,#N/A,TRUE,"subs"}</definedName>
    <definedName name="wrn.ALL._.METRICS." localSheetId="4" hidden="1">{#N/A,#N/A,TRUE,"contents";#N/A,#N/A,TRUE,"production";#N/A,#N/A,TRUE,"svcg";#N/A,#N/A,TRUE,"cent_offices";#N/A,#N/A,TRUE,"subs"}</definedName>
    <definedName name="wrn.ALL._.METRICS." localSheetId="3" hidden="1">{#N/A,#N/A,TRUE,"contents";#N/A,#N/A,TRUE,"production";#N/A,#N/A,TRUE,"svcg";#N/A,#N/A,TRUE,"cent_offices";#N/A,#N/A,TRUE,"subs"}</definedName>
    <definedName name="wrn.ALL._.METRICS." localSheetId="1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Sheets." localSheetId="5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4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3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1" hidden="1">{#N/A,#N/A,TRUE,"Assumptions";#N/A,#N/A,TRUE,"Sources of Revenue";#N/A,#N/A,TRUE,"P&amp;L";#N/A,#N/A,TRUE,"Bal. Sheet";#N/A,#N/A,TRUE,"Rights Issue &amp; X Adjustment";#N/A,#N/A,TRUE,"Transaction Model"}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localSheetId="5" hidden="1">{#N/A,#N/A,FALSE,"PROG &amp; MARKET";#N/A,#N/A,FALSE,"SUMMARY";#N/A,#N/A,FALSE,"LANDSIDE -DETAIL";#N/A,#N/A,FALSE,"VESSEL"}</definedName>
    <definedName name="wrn.ALL._1" localSheetId="4" hidden="1">{#N/A,#N/A,FALSE,"PROG &amp; MARKET";#N/A,#N/A,FALSE,"SUMMARY";#N/A,#N/A,FALSE,"LANDSIDE -DETAIL";#N/A,#N/A,FALSE,"VESSEL"}</definedName>
    <definedName name="wrn.ALL._1" localSheetId="3" hidden="1">{#N/A,#N/A,FALSE,"PROG &amp; MARKET";#N/A,#N/A,FALSE,"SUMMARY";#N/A,#N/A,FALSE,"LANDSIDE -DETAIL";#N/A,#N/A,FALSE,"VESSEL"}</definedName>
    <definedName name="wrn.ALL._1" localSheetId="1" hidden="1">{#N/A,#N/A,FALSE,"PROG &amp; MARKET";#N/A,#N/A,FALSE,"SUMMARY";#N/A,#N/A,FALSE,"LANDSIDE -DETAIL";#N/A,#N/A,FALSE,"VESSEL"}</definedName>
    <definedName name="wrn.ALL._1" hidden="1">{#N/A,#N/A,FALSE,"PROG &amp; MARKET";#N/A,#N/A,FALSE,"SUMMARY";#N/A,#N/A,FALSE,"LANDSIDE -DETAIL";#N/A,#N/A,FALSE,"VESSEL"}</definedName>
    <definedName name="wrn.AnnualRentRoll" localSheetId="5" hidden="1">{"AnnualRentRoll",#N/A,FALSE,"RentRoll"}</definedName>
    <definedName name="wrn.AnnualRentRoll" localSheetId="4" hidden="1">{"AnnualRentRoll",#N/A,FALSE,"RentRoll"}</definedName>
    <definedName name="wrn.AnnualRentRoll" localSheetId="3" hidden="1">{"AnnualRentRoll",#N/A,FALSE,"RentRoll"}</definedName>
    <definedName name="wrn.AnnualRentRoll" localSheetId="1" hidden="1">{"AnnualRentRoll",#N/A,FALSE,"RentRoll"}</definedName>
    <definedName name="wrn.AnnualRentRoll" hidden="1">{"AnnualRentRoll",#N/A,FALSE,"RentRoll"}</definedName>
    <definedName name="wrn.AnnualRentRoll." localSheetId="5" hidden="1">{"AnnualRentRoll",#N/A,FALSE,"RentRoll"}</definedName>
    <definedName name="wrn.AnnualRentRoll." localSheetId="4" hidden="1">{"AnnualRentRoll",#N/A,FALSE,"RentRoll"}</definedName>
    <definedName name="wrn.AnnualRentRoll." localSheetId="3" hidden="1">{"AnnualRentRoll",#N/A,FALSE,"RentRoll"}</definedName>
    <definedName name="wrn.AnnualRentRoll." localSheetId="1" hidden="1">{"AnnualRentRoll",#N/A,FALSE,"RentRoll"}</definedName>
    <definedName name="wrn.AnnualRentRoll." hidden="1">{"AnnualRentRoll",#N/A,FALSE,"RentRoll"}</definedName>
    <definedName name="wrn.AnnualRentRoll._1" localSheetId="5" hidden="1">{"AnnualRentRoll",#N/A,FALSE,"RentRoll"}</definedName>
    <definedName name="wrn.AnnualRentRoll._1" localSheetId="4" hidden="1">{"AnnualRentRoll",#N/A,FALSE,"RentRoll"}</definedName>
    <definedName name="wrn.AnnualRentRoll._1" localSheetId="3" hidden="1">{"AnnualRentRoll",#N/A,FALSE,"RentRoll"}</definedName>
    <definedName name="wrn.AnnualRentRoll._1" localSheetId="1" hidden="1">{"AnnualRentRoll",#N/A,FALSE,"RentRoll"}</definedName>
    <definedName name="wrn.AnnualRentRoll._1" hidden="1">{"AnnualRentRoll",#N/A,FALSE,"RentRoll"}</definedName>
    <definedName name="wrn.AnnualRentRoll_1" localSheetId="5" hidden="1">{"AnnualRentRoll",#N/A,FALSE,"RentRoll"}</definedName>
    <definedName name="wrn.AnnualRentRoll_1" localSheetId="4" hidden="1">{"AnnualRentRoll",#N/A,FALSE,"RentRoll"}</definedName>
    <definedName name="wrn.AnnualRentRoll_1" localSheetId="3" hidden="1">{"AnnualRentRoll",#N/A,FALSE,"RentRoll"}</definedName>
    <definedName name="wrn.AnnualRentRoll_1" localSheetId="1" hidden="1">{"AnnualRentRoll",#N/A,FALSE,"RentRoll"}</definedName>
    <definedName name="wrn.AnnualRentRoll_1" hidden="1">{"AnnualRentRoll",#N/A,FALSE,"RentRoll"}</definedName>
    <definedName name="wrn.balance._.franc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localSheetId="5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4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3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1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localSheetId="5" hidden="1">{#N/A,#N/A,FALSE,"단축1";#N/A,#N/A,FALSE,"단축2";#N/A,#N/A,FALSE,"단축3";#N/A,#N/A,FALSE,"장축";#N/A,#N/A,FALSE,"4WD"}</definedName>
    <definedName name="wrn.bbb." localSheetId="4" hidden="1">{#N/A,#N/A,FALSE,"단축1";#N/A,#N/A,FALSE,"단축2";#N/A,#N/A,FALSE,"단축3";#N/A,#N/A,FALSE,"장축";#N/A,#N/A,FALSE,"4WD"}</definedName>
    <definedName name="wrn.bbb." localSheetId="3" hidden="1">{#N/A,#N/A,FALSE,"단축1";#N/A,#N/A,FALSE,"단축2";#N/A,#N/A,FALSE,"단축3";#N/A,#N/A,FALSE,"장축";#N/A,#N/A,FALSE,"4WD"}</definedName>
    <definedName name="wrn.bbb." localSheetId="1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BL94TAXRETURN." localSheetId="5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localSheetId="5" hidden="1">{"budget1",#N/A,FALSE,"BUDG.XLS";"budget2",#N/A,FALSE,"BUDG.XLS"}</definedName>
    <definedName name="wrn.budget." localSheetId="4" hidden="1">{"budget1",#N/A,FALSE,"BUDG.XLS";"budget2",#N/A,FALSE,"BUDG.XLS"}</definedName>
    <definedName name="wrn.budget." localSheetId="3" hidden="1">{"budget1",#N/A,FALSE,"BUDG.XLS";"budget2",#N/A,FALSE,"BUDG.XLS"}</definedName>
    <definedName name="wrn.budget." localSheetId="1" hidden="1">{"budget1",#N/A,FALSE,"BUDG.XLS";"budget2",#N/A,FALSE,"BUDG.XLS"}</definedName>
    <definedName name="wrn.budget." hidden="1">{"budget1",#N/A,FALSE,"BUDG.XLS";"budget2",#N/A,FALSE,"BUDG.XLS"}</definedName>
    <definedName name="wrn.budget._1" localSheetId="5" hidden="1">{"budget1",#N/A,FALSE,"BUDG.XLS";"budget2",#N/A,FALSE,"BUDG.XLS"}</definedName>
    <definedName name="wrn.budget._1" localSheetId="4" hidden="1">{"budget1",#N/A,FALSE,"BUDG.XLS";"budget2",#N/A,FALSE,"BUDG.XLS"}</definedName>
    <definedName name="wrn.budget._1" localSheetId="3" hidden="1">{"budget1",#N/A,FALSE,"BUDG.XLS";"budget2",#N/A,FALSE,"BUDG.XLS"}</definedName>
    <definedName name="wrn.budget._1" localSheetId="1" hidden="1">{"budget1",#N/A,FALSE,"BUDG.XLS";"budget2",#N/A,FALSE,"BUDG.XLS"}</definedName>
    <definedName name="wrn.budget._1" hidden="1">{"budget1",#N/A,FALSE,"BUDG.XLS";"budget2",#N/A,FALSE,"BUDG.XLS"}</definedName>
    <definedName name="wrn.CIC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3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3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5" hidden="1">{#N/A,#N/A,FALSE,"BS";#N/A,#N/A,FALSE,"PL";#N/A,#N/A,FALSE,"처분";#N/A,#N/A,FALSE,"현금";#N/A,#N/A,FALSE,"매출";#N/A,#N/A,FALSE,"원가";#N/A,#N/A,FALSE,"경영"}</definedName>
    <definedName name="wrn.COSA._.FS._.국문._1" localSheetId="4" hidden="1">{#N/A,#N/A,FALSE,"BS";#N/A,#N/A,FALSE,"PL";#N/A,#N/A,FALSE,"처분";#N/A,#N/A,FALSE,"현금";#N/A,#N/A,FALSE,"매출";#N/A,#N/A,FALSE,"원가";#N/A,#N/A,FALSE,"경영"}</definedName>
    <definedName name="wrn.COSA._.FS._.국문._1" localSheetId="3" hidden="1">{#N/A,#N/A,FALSE,"BS";#N/A,#N/A,FALSE,"PL";#N/A,#N/A,FALSE,"처분";#N/A,#N/A,FALSE,"현금";#N/A,#N/A,FALSE,"매출";#N/A,#N/A,FALSE,"원가";#N/A,#N/A,FALSE,"경영"}</definedName>
    <definedName name="wrn.COSA._.FS._.국문._1" localSheetId="1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5" hidden="1">{#N/A,#N/A,FALSE,"1.CRITERIA";#N/A,#N/A,FALSE,"2.IS";#N/A,#N/A,FALSE,"3.BS";#N/A,#N/A,FALSE,"4.PER PL";#N/A,#N/A,FALSE,"5.INVESTMENT";#N/A,#N/A,FALSE,"6.공문";#N/A,#N/A,FALSE,"7.netinvest"}</definedName>
    <definedName name="wrn.criteria.95p." localSheetId="4" hidden="1">{#N/A,#N/A,FALSE,"1.CRITERIA";#N/A,#N/A,FALSE,"2.IS";#N/A,#N/A,FALSE,"3.BS";#N/A,#N/A,FALSE,"4.PER PL";#N/A,#N/A,FALSE,"5.INVESTMENT";#N/A,#N/A,FALSE,"6.공문";#N/A,#N/A,FALSE,"7.netinvest"}</definedName>
    <definedName name="wrn.criteria.95p." localSheetId="3" hidden="1">{#N/A,#N/A,FALSE,"1.CRITERIA";#N/A,#N/A,FALSE,"2.IS";#N/A,#N/A,FALSE,"3.BS";#N/A,#N/A,FALSE,"4.PER PL";#N/A,#N/A,FALSE,"5.INVESTMENT";#N/A,#N/A,FALSE,"6.공문";#N/A,#N/A,FALSE,"7.netinvest"}</definedName>
    <definedName name="wrn.criteria.95p." localSheetId="1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3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localSheetId="5" hidden="1">{#N/A,#N/A,FALSE,"ExitStratigy"}</definedName>
    <definedName name="wrn.ExitAndSalesAssumptions." localSheetId="4" hidden="1">{#N/A,#N/A,FALSE,"ExitStratigy"}</definedName>
    <definedName name="wrn.ExitAndSalesAssumptions." localSheetId="3" hidden="1">{#N/A,#N/A,FALSE,"ExitStratigy"}</definedName>
    <definedName name="wrn.ExitAndSalesAssumptions." localSheetId="1" hidden="1">{#N/A,#N/A,FALSE,"ExitStratigy"}</definedName>
    <definedName name="wrn.ExitAndSalesAssumptions." hidden="1">{#N/A,#N/A,FALSE,"ExitStratigy"}</definedName>
    <definedName name="wrn.ExitAndSalesAssumptions._1" localSheetId="5" hidden="1">{#N/A,#N/A,FALSE,"ExitStratigy"}</definedName>
    <definedName name="wrn.ExitAndSalesAssumptions._1" localSheetId="4" hidden="1">{#N/A,#N/A,FALSE,"ExitStratigy"}</definedName>
    <definedName name="wrn.ExitAndSalesAssumptions._1" localSheetId="3" hidden="1">{#N/A,#N/A,FALSE,"ExitStratigy"}</definedName>
    <definedName name="wrn.ExitAndSalesAssumptions._1" localSheetId="1" hidden="1">{#N/A,#N/A,FALSE,"ExitStratigy"}</definedName>
    <definedName name="wrn.ExitAndSalesAssumptions._1" hidden="1">{#N/A,#N/A,FALSE,"ExitStratigy"}</definedName>
    <definedName name="wrn.FULL." localSheetId="5" hidden="1">{#N/A,#N/A,FALSE,"B"}</definedName>
    <definedName name="wrn.FULL." localSheetId="4" hidden="1">{#N/A,#N/A,FALSE,"B"}</definedName>
    <definedName name="wrn.FULL." localSheetId="3" hidden="1">{#N/A,#N/A,FALSE,"B"}</definedName>
    <definedName name="wrn.FULL." localSheetId="1" hidden="1">{#N/A,#N/A,FALSE,"B"}</definedName>
    <definedName name="wrn.FULL." hidden="1">{#N/A,#N/A,FALSE,"B"}</definedName>
    <definedName name="wrn.FULL._1" localSheetId="5" hidden="1">{#N/A,#N/A,FALSE,"B"}</definedName>
    <definedName name="wrn.FULL._1" localSheetId="4" hidden="1">{#N/A,#N/A,FALSE,"B"}</definedName>
    <definedName name="wrn.FULL._1" localSheetId="3" hidden="1">{#N/A,#N/A,FALSE,"B"}</definedName>
    <definedName name="wrn.FULL._1" localSheetId="1" hidden="1">{#N/A,#N/A,FALSE,"B"}</definedName>
    <definedName name="wrn.FULL._1" hidden="1">{#N/A,#N/A,FALSE,"B"}</definedName>
    <definedName name="wrn.HILTON._.GARDEN._.INN.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3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3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5" hidden="1">{#N/A,#N/A,FALSE,"LoanAssumptions"}</definedName>
    <definedName name="wrn.LoanInformation." localSheetId="4" hidden="1">{#N/A,#N/A,FALSE,"LoanAssumptions"}</definedName>
    <definedName name="wrn.LoanInformation." localSheetId="3" hidden="1">{#N/A,#N/A,FALSE,"LoanAssumptions"}</definedName>
    <definedName name="wrn.LoanInformation." localSheetId="1" hidden="1">{#N/A,#N/A,FALSE,"LoanAssumptions"}</definedName>
    <definedName name="wrn.LoanInformation." hidden="1">{#N/A,#N/A,FALSE,"LoanAssumptions"}</definedName>
    <definedName name="wrn.LoanInformation._1" localSheetId="5" hidden="1">{#N/A,#N/A,FALSE,"LoanAssumptions"}</definedName>
    <definedName name="wrn.LoanInformation._1" localSheetId="4" hidden="1">{#N/A,#N/A,FALSE,"LoanAssumptions"}</definedName>
    <definedName name="wrn.LoanInformation._1" localSheetId="3" hidden="1">{#N/A,#N/A,FALSE,"LoanAssumptions"}</definedName>
    <definedName name="wrn.LoanInformation._1" localSheetId="1" hidden="1">{#N/A,#N/A,FALSE,"LoanAssumptions"}</definedName>
    <definedName name="wrn.LoanInformation._1" hidden="1">{#N/A,#N/A,FALSE,"LoanAssumptions"}</definedName>
    <definedName name="wrn.lodging." localSheetId="5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localSheetId="3" hidden="1">{"p",#N/A,FALSE,"Sheet1";"p 2",#N/A,FALSE,"Sheet1";"p 3",#N/A,FALSE,"Sheet1"}</definedName>
    <definedName name="wrn.lodging." localSheetId="1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localSheetId="5" hidden="1">{"p",#N/A,FALSE,"Sheet1";"p 2",#N/A,FALSE,"Sheet1";"p 3",#N/A,FALSE,"Sheet1"}</definedName>
    <definedName name="wrn.lodging._1" localSheetId="4" hidden="1">{"p",#N/A,FALSE,"Sheet1";"p 2",#N/A,FALSE,"Sheet1";"p 3",#N/A,FALSE,"Sheet1"}</definedName>
    <definedName name="wrn.lodging._1" localSheetId="3" hidden="1">{"p",#N/A,FALSE,"Sheet1";"p 2",#N/A,FALSE,"Sheet1";"p 3",#N/A,FALSE,"Sheet1"}</definedName>
    <definedName name="wrn.lodging._1" localSheetId="1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localSheetId="5" hidden="1">{"MonthlyRentRoll",#N/A,FALSE,"RentRoll"}</definedName>
    <definedName name="wrn.MonthlyRentRoll." localSheetId="4" hidden="1">{"MonthlyRentRoll",#N/A,FALSE,"RentRoll"}</definedName>
    <definedName name="wrn.MonthlyRentRoll." localSheetId="3" hidden="1">{"MonthlyRentRoll",#N/A,FALSE,"RentRoll"}</definedName>
    <definedName name="wrn.MonthlyRentRoll." localSheetId="1" hidden="1">{"MonthlyRentRoll",#N/A,FALSE,"RentRoll"}</definedName>
    <definedName name="wrn.MonthlyRentRoll." hidden="1">{"MonthlyRentRoll",#N/A,FALSE,"RentRoll"}</definedName>
    <definedName name="wrn.MonthlyRentRoll._1" localSheetId="5" hidden="1">{"MonthlyRentRoll",#N/A,FALSE,"RentRoll"}</definedName>
    <definedName name="wrn.MonthlyRentRoll._1" localSheetId="4" hidden="1">{"MonthlyRentRoll",#N/A,FALSE,"RentRoll"}</definedName>
    <definedName name="wrn.MonthlyRentRoll._1" localSheetId="3" hidden="1">{"MonthlyRentRoll",#N/A,FALSE,"RentRoll"}</definedName>
    <definedName name="wrn.MonthlyRentRoll._1" localSheetId="1" hidden="1">{"MonthlyRentRoll",#N/A,FALSE,"RentRoll"}</definedName>
    <definedName name="wrn.MonthlyRentRoll._1" hidden="1">{"MonthlyRentRoll",#N/A,FALSE,"RentRoll"}</definedName>
    <definedName name="wrn.no.1." localSheetId="5" hidden="1">{#N/A,#N/A,FALSE,"Const";#N/A,#N/A,FALSE,"P&amp;L";#N/A,#N/A,FALSE,"Sale"}</definedName>
    <definedName name="wrn.no.1." localSheetId="4" hidden="1">{#N/A,#N/A,FALSE,"Const";#N/A,#N/A,FALSE,"P&amp;L";#N/A,#N/A,FALSE,"Sale"}</definedName>
    <definedName name="wrn.no.1." localSheetId="3" hidden="1">{#N/A,#N/A,FALSE,"Const";#N/A,#N/A,FALSE,"P&amp;L";#N/A,#N/A,FALSE,"Sale"}</definedName>
    <definedName name="wrn.no.1." localSheetId="1" hidden="1">{#N/A,#N/A,FALSE,"Const";#N/A,#N/A,FALSE,"P&amp;L";#N/A,#N/A,FALSE,"Sale"}</definedName>
    <definedName name="wrn.no.1." hidden="1">{#N/A,#N/A,FALSE,"Const";#N/A,#N/A,FALSE,"P&amp;L";#N/A,#N/A,FALSE,"Sale"}</definedName>
    <definedName name="Wrn.nov29" localSheetId="5" hidden="1">{#N/A,#N/A,FALSE,"BALLY COSTS";#N/A,#N/A,FALSE,"FF&amp;E";#N/A,#N/A,FALSE,"FEES";#N/A,#N/A,FALSE,"CONTINGENCY";#N/A,#N/A,FALSE,"SOFT COSTS";#N/A,#N/A,FALSE,"DETAIL";#N/A,#N/A,FALSE,"sum12-3"}</definedName>
    <definedName name="Wrn.nov29" localSheetId="4" hidden="1">{#N/A,#N/A,FALSE,"BALLY COSTS";#N/A,#N/A,FALSE,"FF&amp;E";#N/A,#N/A,FALSE,"FEES";#N/A,#N/A,FALSE,"CONTINGENCY";#N/A,#N/A,FALSE,"SOFT COSTS";#N/A,#N/A,FALSE,"DETAIL";#N/A,#N/A,FALSE,"sum12-3"}</definedName>
    <definedName name="Wrn.nov29" localSheetId="3" hidden="1">{#N/A,#N/A,FALSE,"BALLY COSTS";#N/A,#N/A,FALSE,"FF&amp;E";#N/A,#N/A,FALSE,"FEES";#N/A,#N/A,FALSE,"CONTINGENCY";#N/A,#N/A,FALSE,"SOFT COSTS";#N/A,#N/A,FALSE,"DETAIL";#N/A,#N/A,FALSE,"sum12-3"}</definedName>
    <definedName name="Wrn.nov29" localSheetId="1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localSheetId="5" hidden="1">{#N/A,#N/A,FALSE,"BALLY COSTS";#N/A,#N/A,FALSE,"FF&amp;E";#N/A,#N/A,FALSE,"FEES";#N/A,#N/A,FALSE,"CONTINGENCY";#N/A,#N/A,FALSE,"SOFT COSTS";#N/A,#N/A,FALSE,"DETAIL";#N/A,#N/A,FALSE,"sum12-3"}</definedName>
    <definedName name="Wrn.nov29_1" localSheetId="4" hidden="1">{#N/A,#N/A,FALSE,"BALLY COSTS";#N/A,#N/A,FALSE,"FF&amp;E";#N/A,#N/A,FALSE,"FEES";#N/A,#N/A,FALSE,"CONTINGENCY";#N/A,#N/A,FALSE,"SOFT COSTS";#N/A,#N/A,FALSE,"DETAIL";#N/A,#N/A,FALSE,"sum12-3"}</definedName>
    <definedName name="Wrn.nov29_1" localSheetId="3" hidden="1">{#N/A,#N/A,FALSE,"BALLY COSTS";#N/A,#N/A,FALSE,"FF&amp;E";#N/A,#N/A,FALSE,"FEES";#N/A,#N/A,FALSE,"CONTINGENCY";#N/A,#N/A,FALSE,"SOFT COSTS";#N/A,#N/A,FALSE,"DETAIL";#N/A,#N/A,FALSE,"sum12-3"}</definedName>
    <definedName name="Wrn.nov29_1" localSheetId="1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localSheetId="5" hidden="1">{#N/A,#N/A,FALSE,"BALLY COSTS";#N/A,#N/A,FALSE,"FF&amp;E";#N/A,#N/A,FALSE,"FEES";#N/A,#N/A,FALSE,"CONTINGENCY";#N/A,#N/A,FALSE,"SOFT COSTS";#N/A,#N/A,FALSE,"DETAIL";#N/A,#N/A,FALSE,"sum12-3"}</definedName>
    <definedName name="wrn.NOV30." localSheetId="4" hidden="1">{#N/A,#N/A,FALSE,"BALLY COSTS";#N/A,#N/A,FALSE,"FF&amp;E";#N/A,#N/A,FALSE,"FEES";#N/A,#N/A,FALSE,"CONTINGENCY";#N/A,#N/A,FALSE,"SOFT COSTS";#N/A,#N/A,FALSE,"DETAIL";#N/A,#N/A,FALSE,"sum12-3"}</definedName>
    <definedName name="wrn.NOV30." localSheetId="3" hidden="1">{#N/A,#N/A,FALSE,"BALLY COSTS";#N/A,#N/A,FALSE,"FF&amp;E";#N/A,#N/A,FALSE,"FEES";#N/A,#N/A,FALSE,"CONTINGENCY";#N/A,#N/A,FALSE,"SOFT COSTS";#N/A,#N/A,FALSE,"DETAIL";#N/A,#N/A,FALSE,"sum12-3"}</definedName>
    <definedName name="wrn.NOV30." localSheetId="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5" hidden="1">{#N/A,#N/A,FALSE,"BALLY COSTS";#N/A,#N/A,FALSE,"FF&amp;E";#N/A,#N/A,FALSE,"FEES";#N/A,#N/A,FALSE,"CONTINGENCY";#N/A,#N/A,FALSE,"SOFT COSTS";#N/A,#N/A,FALSE,"DETAIL";#N/A,#N/A,FALSE,"sum12-3"}</definedName>
    <definedName name="wrn.NOV30._1" localSheetId="4" hidden="1">{#N/A,#N/A,FALSE,"BALLY COSTS";#N/A,#N/A,FALSE,"FF&amp;E";#N/A,#N/A,FALSE,"FEES";#N/A,#N/A,FALSE,"CONTINGENCY";#N/A,#N/A,FALSE,"SOFT COSTS";#N/A,#N/A,FALSE,"DETAIL";#N/A,#N/A,FALSE,"sum12-3"}</definedName>
    <definedName name="wrn.NOV30._1" localSheetId="3" hidden="1">{#N/A,#N/A,FALSE,"BALLY COSTS";#N/A,#N/A,FALSE,"FF&amp;E";#N/A,#N/A,FALSE,"FEES";#N/A,#N/A,FALSE,"CONTINGENCY";#N/A,#N/A,FALSE,"SOFT COSTS";#N/A,#N/A,FALSE,"DETAIL";#N/A,#N/A,FALSE,"sum12-3"}</definedName>
    <definedName name="wrn.NOV30._1" localSheetId="1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localSheetId="5" hidden="1">{#N/A,#N/A,FALSE,"OperatingAssumptions"}</definedName>
    <definedName name="wrn.OperatingAssumtions." localSheetId="4" hidden="1">{#N/A,#N/A,FALSE,"OperatingAssumptions"}</definedName>
    <definedName name="wrn.OperatingAssumtions." localSheetId="3" hidden="1">{#N/A,#N/A,FALSE,"OperatingAssumptions"}</definedName>
    <definedName name="wrn.OperatingAssumtions." localSheetId="1" hidden="1">{#N/A,#N/A,FALSE,"OperatingAssumptions"}</definedName>
    <definedName name="wrn.OperatingAssumtions." hidden="1">{#N/A,#N/A,FALSE,"OperatingAssumptions"}</definedName>
    <definedName name="wrn.OperatingAssumtions._1" localSheetId="5" hidden="1">{#N/A,#N/A,FALSE,"OperatingAssumptions"}</definedName>
    <definedName name="wrn.OperatingAssumtions._1" localSheetId="4" hidden="1">{#N/A,#N/A,FALSE,"OperatingAssumptions"}</definedName>
    <definedName name="wrn.OperatingAssumtions._1" localSheetId="3" hidden="1">{#N/A,#N/A,FALSE,"OperatingAssumptions"}</definedName>
    <definedName name="wrn.OperatingAssumtions._1" localSheetId="1" hidden="1">{#N/A,#N/A,FALSE,"OperatingAssumptions"}</definedName>
    <definedName name="wrn.OperatingAssumtions._1" hidden="1">{#N/A,#N/A,FALSE,"OperatingAssumptions"}</definedName>
    <definedName name="wrn.PAIM._.TAX._.PRO.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5" hidden="1">{#N/A,#N/A,FALSE,"SUMMARY SHEET";#N/A,#N/A,FALSE,"VARIANCE REPORT";#N/A,#N/A,FALSE,"CAT1-16 SUMM";#N/A,#N/A,FALSE,"GCS";#N/A,#N/A,FALSE,"FF &amp; E";#N/A,#N/A,FALSE,"DESIGN COSTS"}</definedName>
    <definedName name="wrn.PRESENTATION." localSheetId="4" hidden="1">{#N/A,#N/A,FALSE,"SUMMARY SHEET";#N/A,#N/A,FALSE,"VARIANCE REPORT";#N/A,#N/A,FALSE,"CAT1-16 SUMM";#N/A,#N/A,FALSE,"GCS";#N/A,#N/A,FALSE,"FF &amp; E";#N/A,#N/A,FALSE,"DESIGN COSTS"}</definedName>
    <definedName name="wrn.PRESENTATION." localSheetId="3" hidden="1">{#N/A,#N/A,FALSE,"SUMMARY SHEET";#N/A,#N/A,FALSE,"VARIANCE REPORT";#N/A,#N/A,FALSE,"CAT1-16 SUMM";#N/A,#N/A,FALSE,"GCS";#N/A,#N/A,FALSE,"FF &amp; E";#N/A,#N/A,FALSE,"DESIGN COSTS"}</definedName>
    <definedName name="wrn.PRESENTATION." localSheetId="1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localSheetId="5" hidden="1">{#N/A,#N/A,FALSE,"SUMMARY SHEET";#N/A,#N/A,FALSE,"VARIANCE REPORT";#N/A,#N/A,FALSE,"CAT1-16 SUMM";#N/A,#N/A,FALSE,"GCS";#N/A,#N/A,FALSE,"FF &amp; E";#N/A,#N/A,FALSE,"DESIGN COSTS"}</definedName>
    <definedName name="wrn.PRESENTATION._1" localSheetId="4" hidden="1">{#N/A,#N/A,FALSE,"SUMMARY SHEET";#N/A,#N/A,FALSE,"VARIANCE REPORT";#N/A,#N/A,FALSE,"CAT1-16 SUMM";#N/A,#N/A,FALSE,"GCS";#N/A,#N/A,FALSE,"FF &amp; E";#N/A,#N/A,FALSE,"DESIGN COSTS"}</definedName>
    <definedName name="wrn.PRESENTATION._1" localSheetId="3" hidden="1">{#N/A,#N/A,FALSE,"SUMMARY SHEET";#N/A,#N/A,FALSE,"VARIANCE REPORT";#N/A,#N/A,FALSE,"CAT1-16 SUMM";#N/A,#N/A,FALSE,"GCS";#N/A,#N/A,FALSE,"FF &amp; E";#N/A,#N/A,FALSE,"DESIGN COSTS"}</definedName>
    <definedName name="wrn.PRESENTATION._1" localSheetId="1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localSheetId="5" hidden="1">{"page1",#N/A,FALSE,"Sheet1";"page2",#N/A,FALSE,"Sheet1"}</definedName>
    <definedName name="wrn.print." localSheetId="4" hidden="1">{"page1",#N/A,FALSE,"Sheet1";"page2",#N/A,FALSE,"Sheet1"}</definedName>
    <definedName name="wrn.print." localSheetId="3" hidden="1">{"page1",#N/A,FALSE,"Sheet1";"page2",#N/A,FALSE,"Sheet1"}</definedName>
    <definedName name="wrn.print." localSheetId="1" hidden="1">{"page1",#N/A,FALSE,"Sheet1";"page2",#N/A,FALSE,"Sheet1"}</definedName>
    <definedName name="wrn.print." hidden="1">{"page1",#N/A,FALSE,"Sheet1";"page2",#N/A,FALSE,"Sheet1"}</definedName>
    <definedName name="wrn.print._1" localSheetId="5" hidden="1">{"page1",#N/A,FALSE,"Sheet1";"page2",#N/A,FALSE,"Sheet1"}</definedName>
    <definedName name="wrn.print._1" localSheetId="4" hidden="1">{"page1",#N/A,FALSE,"Sheet1";"page2",#N/A,FALSE,"Sheet1"}</definedName>
    <definedName name="wrn.print._1" localSheetId="3" hidden="1">{"page1",#N/A,FALSE,"Sheet1";"page2",#N/A,FALSE,"Sheet1"}</definedName>
    <definedName name="wrn.print._1" localSheetId="1" hidden="1">{"page1",#N/A,FALSE,"Sheet1";"page2",#N/A,FALSE,"Sheet1"}</definedName>
    <definedName name="wrn.print._1" hidden="1">{"page1",#N/A,FALSE,"Sheet1";"page2",#N/A,FALSE,"Sheet1"}</definedName>
    <definedName name="wrn.PropertyInformation." localSheetId="5" hidden="1">{#N/A,#N/A,FALSE,"PropertyInfo"}</definedName>
    <definedName name="wrn.PropertyInformation." localSheetId="4" hidden="1">{#N/A,#N/A,FALSE,"PropertyInfo"}</definedName>
    <definedName name="wrn.PropertyInformation." localSheetId="3" hidden="1">{#N/A,#N/A,FALSE,"PropertyInfo"}</definedName>
    <definedName name="wrn.PropertyInformation." localSheetId="1" hidden="1">{#N/A,#N/A,FALSE,"PropertyInfo"}</definedName>
    <definedName name="wrn.PropertyInformation." hidden="1">{#N/A,#N/A,FALSE,"PropertyInfo"}</definedName>
    <definedName name="wrn.PropertyInformation._1" localSheetId="5" hidden="1">{#N/A,#N/A,FALSE,"PropertyInfo"}</definedName>
    <definedName name="wrn.PropertyInformation._1" localSheetId="4" hidden="1">{#N/A,#N/A,FALSE,"PropertyInfo"}</definedName>
    <definedName name="wrn.PropertyInformation._1" localSheetId="3" hidden="1">{#N/A,#N/A,FALSE,"PropertyInfo"}</definedName>
    <definedName name="wrn.PropertyInformation._1" localSheetId="1" hidden="1">{#N/A,#N/A,FALSE,"PropertyInfo"}</definedName>
    <definedName name="wrn.PropertyInformation._1" hidden="1">{#N/A,#N/A,FALSE,"PropertyInfo"}</definedName>
    <definedName name="wrn.REPORT._.ALL.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3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3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localSheetId="5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4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3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5" hidden="1">{#N/A,#N/A,FALSE,"Summary"}</definedName>
    <definedName name="wrn.Summary." localSheetId="4" hidden="1">{#N/A,#N/A,FALSE,"Summary"}</definedName>
    <definedName name="wrn.Summary." localSheetId="3" hidden="1">{#N/A,#N/A,FALSE,"Summary"}</definedName>
    <definedName name="wrn.Summary." localSheetId="1" hidden="1">{#N/A,#N/A,FALSE,"Summary"}</definedName>
    <definedName name="wrn.Summary." hidden="1">{#N/A,#N/A,FALSE,"Summary"}</definedName>
    <definedName name="wrn.Summary._1" localSheetId="5" hidden="1">{#N/A,#N/A,FALSE,"Summary"}</definedName>
    <definedName name="wrn.Summary._1" localSheetId="4" hidden="1">{#N/A,#N/A,FALSE,"Summary"}</definedName>
    <definedName name="wrn.Summary._1" localSheetId="3" hidden="1">{#N/A,#N/A,FALSE,"Summary"}</definedName>
    <definedName name="wrn.Summary._1" localSheetId="1" hidden="1">{#N/A,#N/A,FALSE,"Summary"}</definedName>
    <definedName name="wrn.Summary._1" hidden="1">{#N/A,#N/A,FALSE,"Summary"}</definedName>
    <definedName name="wrn.TEST." localSheetId="5" hidden="1">{#N/A,#N/A,FALSE,"3가";#N/A,#N/A,FALSE,"3나";#N/A,#N/A,FALSE,"3다"}</definedName>
    <definedName name="wrn.TEST." localSheetId="4" hidden="1">{#N/A,#N/A,FALSE,"3가";#N/A,#N/A,FALSE,"3나";#N/A,#N/A,FALSE,"3다"}</definedName>
    <definedName name="wrn.TEST." localSheetId="3" hidden="1">{#N/A,#N/A,FALSE,"3가";#N/A,#N/A,FALSE,"3나";#N/A,#N/A,FALSE,"3다"}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UNIONGAS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5" hidden="1">{#N/A,#N/A,TRUE,"Y생산";#N/A,#N/A,TRUE,"Y판매";#N/A,#N/A,TRUE,"Y총물량";#N/A,#N/A,TRUE,"Y능력";#N/A,#N/A,TRUE,"YKD"}</definedName>
    <definedName name="wrn.Y차._.종합." localSheetId="4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5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4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3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1" hidden="1">{#N/A,#N/A,TRUE,"1호 과표세액";#N/A,#N/A,TRUE,"6호 첨부(익)";#N/A,#N/A,TRUE,"6-3호 퇴충";#N/A,#N/A,TRUE,"PL";#N/A,#N/A,TRUE,"BS";#N/A,#N/A,TRUE,"RE";#N/A,#N/A,TRUE,"표지"}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localSheetId="5" hidden="1">{#N/A,#N/A,TRUE,"대 차 대 조 표"}</definedName>
    <definedName name="wrn.대차._.대조표." localSheetId="4" hidden="1">{#N/A,#N/A,TRUE,"대 차 대 조 표"}</definedName>
    <definedName name="wrn.대차._.대조표." localSheetId="3" hidden="1">{#N/A,#N/A,TRUE,"대 차 대 조 표"}</definedName>
    <definedName name="wrn.대차._.대조표." localSheetId="1" hidden="1">{#N/A,#N/A,TRUE,"대 차 대 조 표"}</definedName>
    <definedName name="wrn.대차._.대조표." hidden="1">{#N/A,#N/A,TRUE,"대 차 대 조 표"}</definedName>
    <definedName name="wrn.대차._.대조표._1" localSheetId="5" hidden="1">{#N/A,#N/A,TRUE,"대 차 대 조 표"}</definedName>
    <definedName name="wrn.대차._.대조표._1" localSheetId="4" hidden="1">{#N/A,#N/A,TRUE,"대 차 대 조 표"}</definedName>
    <definedName name="wrn.대차._.대조표._1" localSheetId="3" hidden="1">{#N/A,#N/A,TRUE,"대 차 대 조 표"}</definedName>
    <definedName name="wrn.대차._.대조표._1" localSheetId="1" hidden="1">{#N/A,#N/A,TRUE,"대 차 대 조 표"}</definedName>
    <definedName name="wrn.대차._.대조표._1" hidden="1">{#N/A,#N/A,TRUE,"대 차 대 조 표"}</definedName>
    <definedName name="wrn.보고서." localSheetId="5" hidden="1">{#N/A,#N/A,FALSE,"Sheet1";#N/A,#N/A,FALSE,"기평9607"}</definedName>
    <definedName name="wrn.보고서." localSheetId="4" hidden="1">{#N/A,#N/A,FALSE,"Sheet1";#N/A,#N/A,FALSE,"기평9607"}</definedName>
    <definedName name="wrn.보고서." localSheetId="3" hidden="1">{#N/A,#N/A,FALSE,"Sheet1";#N/A,#N/A,FALSE,"기평9607"}</definedName>
    <definedName name="wrn.보고서." localSheetId="1" hidden="1">{#N/A,#N/A,FALSE,"Sheet1";#N/A,#N/A,FALSE,"기평9607"}</definedName>
    <definedName name="wrn.보고서." hidden="1">{#N/A,#N/A,FALSE,"Sheet1";#N/A,#N/A,FALSE,"기평9607"}</definedName>
    <definedName name="wrn.보고서._1" localSheetId="5" hidden="1">{#N/A,#N/A,FALSE,"Sheet1";#N/A,#N/A,FALSE,"기평9607"}</definedName>
    <definedName name="wrn.보고서._1" localSheetId="4" hidden="1">{#N/A,#N/A,FALSE,"Sheet1";#N/A,#N/A,FALSE,"기평9607"}</definedName>
    <definedName name="wrn.보고서._1" localSheetId="3" hidden="1">{#N/A,#N/A,FALSE,"Sheet1";#N/A,#N/A,FALSE,"기평9607"}</definedName>
    <definedName name="wrn.보고서._1" localSheetId="1" hidden="1">{#N/A,#N/A,FALSE,"Sheet1";#N/A,#N/A,FALSE,"기평9607"}</definedName>
    <definedName name="wrn.보고서._1" hidden="1">{#N/A,#N/A,FALSE,"Sheet1";#N/A,#N/A,FALSE,"기평9607"}</definedName>
    <definedName name="wrn.부하계획." localSheetId="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localSheetId="5" hidden="1">{#N/A,#N/A,FALSE,"SILO현황";#N/A,#N/A,FALSE,"타업체";#N/A,#N/A,FALSE,"생산능력"}</definedName>
    <definedName name="wrn.사업계획." localSheetId="4" hidden="1">{#N/A,#N/A,FALSE,"SILO현황";#N/A,#N/A,FALSE,"타업체";#N/A,#N/A,FALSE,"생산능력"}</definedName>
    <definedName name="wrn.사업계획." localSheetId="3" hidden="1">{#N/A,#N/A,FALSE,"SILO현황";#N/A,#N/A,FALSE,"타업체";#N/A,#N/A,FALSE,"생산능력"}</definedName>
    <definedName name="wrn.사업계획." localSheetId="1" hidden="1">{#N/A,#N/A,FALSE,"SILO현황";#N/A,#N/A,FALSE,"타업체";#N/A,#N/A,FALSE,"생산능력"}</definedName>
    <definedName name="wrn.사업계획." hidden="1">{#N/A,#N/A,FALSE,"SILO현황";#N/A,#N/A,FALSE,"타업체";#N/A,#N/A,FALSE,"생산능력"}</definedName>
    <definedName name="wrn.사업계획서." localSheetId="5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4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3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1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localSheetId="5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4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3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1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localSheetId="5" hidden="1">{#N/A,#N/A,FALSE,"품의서";#N/A,#N/A,FALSE,"전제";#N/A,#N/A,FALSE,"총손";#N/A,#N/A,FALSE,"손익"}</definedName>
    <definedName name="wrn.선사." localSheetId="4" hidden="1">{#N/A,#N/A,FALSE,"품의서";#N/A,#N/A,FALSE,"전제";#N/A,#N/A,FALSE,"총손";#N/A,#N/A,FALSE,"손익"}</definedName>
    <definedName name="wrn.선사." localSheetId="3" hidden="1">{#N/A,#N/A,FALSE,"품의서";#N/A,#N/A,FALSE,"전제";#N/A,#N/A,FALSE,"총손";#N/A,#N/A,FALSE,"손익"}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localSheetId="5" hidden="1">{#N/A,#N/A,FALSE,"월추정감가상각비";#N/A,#N/A,FALSE,"main_prog"}</definedName>
    <definedName name="wrn.월추정." localSheetId="4" hidden="1">{#N/A,#N/A,FALSE,"월추정감가상각비";#N/A,#N/A,FALSE,"main_prog"}</definedName>
    <definedName name="wrn.월추정." localSheetId="3" hidden="1">{#N/A,#N/A,FALSE,"월추정감가상각비";#N/A,#N/A,FALSE,"main_prog"}</definedName>
    <definedName name="wrn.월추정." localSheetId="1" hidden="1">{#N/A,#N/A,FALSE,"월추정감가상각비";#N/A,#N/A,FALSE,"main_prog"}</definedName>
    <definedName name="wrn.월추정." hidden="1">{#N/A,#N/A,FALSE,"월추정감가상각비";#N/A,#N/A,FALSE,"main_prog"}</definedName>
    <definedName name="wrn.유형자산." localSheetId="5" hidden="1">{#N/A,#N/A,FALSE,"Sheet1"}</definedName>
    <definedName name="wrn.유형자산." localSheetId="4" hidden="1">{#N/A,#N/A,FALSE,"Sheet1"}</definedName>
    <definedName name="wrn.유형자산." localSheetId="3" hidden="1">{#N/A,#N/A,FALSE,"Sheet1"}</definedName>
    <definedName name="wrn.유형자산." localSheetId="1" hidden="1">{#N/A,#N/A,FALSE,"Sheet1"}</definedName>
    <definedName name="wrn.유형자산." hidden="1">{#N/A,#N/A,FALSE,"Sheet1"}</definedName>
    <definedName name="wrn.이력서._.자기소개서." localSheetId="5" hidden="1">{#N/A,#N/A,FALSE,"이력서&amp;자기소개서"}</definedName>
    <definedName name="wrn.이력서._.자기소개서." localSheetId="4" hidden="1">{#N/A,#N/A,FALSE,"이력서&amp;자기소개서"}</definedName>
    <definedName name="wrn.이력서._.자기소개서." localSheetId="3" hidden="1">{#N/A,#N/A,FALSE,"이력서&amp;자기소개서"}</definedName>
    <definedName name="wrn.이력서._.자기소개서." localSheetId="1" hidden="1">{#N/A,#N/A,FALSE,"이력서&amp;자기소개서"}</definedName>
    <definedName name="wrn.이력서._.자기소개서." hidden="1">{#N/A,#N/A,FALSE,"이력서&amp;자기소개서"}</definedName>
    <definedName name="wrn.이력서._.자기소개서._1" localSheetId="5" hidden="1">{#N/A,#N/A,FALSE,"이력서&amp;자기소개서"}</definedName>
    <definedName name="wrn.이력서._.자기소개서._1" localSheetId="4" hidden="1">{#N/A,#N/A,FALSE,"이력서&amp;자기소개서"}</definedName>
    <definedName name="wrn.이력서._.자기소개서._1" localSheetId="3" hidden="1">{#N/A,#N/A,FALSE,"이력서&amp;자기소개서"}</definedName>
    <definedName name="wrn.이력서._.자기소개서._1" localSheetId="1" hidden="1">{#N/A,#N/A,FALSE,"이력서&amp;자기소개서"}</definedName>
    <definedName name="wrn.이력서._.자기소개서._1" hidden="1">{#N/A,#N/A,FALSE,"이력서&amp;자기소개서"}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5" hidden="1">{#N/A,#N/A,FALSE,"BS";#N/A,#N/A,FALSE,"IS";#N/A,#N/A,FALSE,"결손금처리";#N/A,#N/A,FALSE,"cashflow"}</definedName>
    <definedName name="wrn.재무제표." localSheetId="4" hidden="1">{#N/A,#N/A,FALSE,"BS";#N/A,#N/A,FALSE,"IS";#N/A,#N/A,FALSE,"결손금처리";#N/A,#N/A,FALSE,"cashflow"}</definedName>
    <definedName name="wrn.재무제표." localSheetId="3" hidden="1">{#N/A,#N/A,FALSE,"BS";#N/A,#N/A,FALSE,"IS";#N/A,#N/A,FALSE,"결손금처리";#N/A,#N/A,FALSE,"cashflow"}</definedName>
    <definedName name="wrn.재무제표." localSheetId="1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흥94세무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localSheetId="5" hidden="1">{#N/A,#N/A,TRUE,"일정"}</definedName>
    <definedName name="wrn.주간._.보고." localSheetId="4" hidden="1">{#N/A,#N/A,TRUE,"일정"}</definedName>
    <definedName name="wrn.주간._.보고." localSheetId="3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rn.중국.XLS.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5" hidden="1">{#N/A,#N/A,FALSE,"표지";#N/A,#N/A,FALSE,"전제";#N/A,#N/A,FALSE,"대당";#N/A,#N/A,FALSE,"가공비";#N/A,#N/A,FALSE,"재료비";#N/A,#N/A,FALSE,"손익"}</definedName>
    <definedName name="wrn.직중." localSheetId="4" hidden="1">{#N/A,#N/A,FALSE,"표지";#N/A,#N/A,FALSE,"전제";#N/A,#N/A,FALSE,"대당";#N/A,#N/A,FALSE,"가공비";#N/A,#N/A,FALSE,"재료비";#N/A,#N/A,FALSE,"손익"}</definedName>
    <definedName name="wrn.직중." localSheetId="3" hidden="1">{#N/A,#N/A,FALSE,"표지";#N/A,#N/A,FALSE,"전제";#N/A,#N/A,FALSE,"대당";#N/A,#N/A,FALSE,"가공비";#N/A,#N/A,FALSE,"재료비";#N/A,#N/A,FALSE,"손익"}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5" hidden="1">{#N/A,#N/A,FALSE,"채권채무";#N/A,#N/A,FALSE,"control sheet"}</definedName>
    <definedName name="wrn.채권채무조회서." localSheetId="4" hidden="1">{#N/A,#N/A,FALSE,"채권채무";#N/A,#N/A,FALSE,"control sheet"}</definedName>
    <definedName name="wrn.채권채무조회서." localSheetId="3" hidden="1">{#N/A,#N/A,FALSE,"채권채무";#N/A,#N/A,FALSE,"control sheet"}</definedName>
    <definedName name="wrn.채권채무조회서." localSheetId="1" hidden="1">{#N/A,#N/A,FALSE,"채권채무";#N/A,#N/A,FALSE,"control sheet"}</definedName>
    <definedName name="wrn.채권채무조회서." hidden="1">{#N/A,#N/A,FALSE,"채권채무";#N/A,#N/A,FALSE,"control sheet"}</definedName>
    <definedName name="wrn.통신지." localSheetId="5" hidden="1">{#N/A,#N/A,FALSE,"기안지";#N/A,#N/A,FALSE,"통신지"}</definedName>
    <definedName name="wrn.통신지." localSheetId="4" hidden="1">{#N/A,#N/A,FALSE,"기안지";#N/A,#N/A,FALSE,"통신지"}</definedName>
    <definedName name="wrn.통신지." localSheetId="3" hidden="1">{#N/A,#N/A,FALSE,"기안지";#N/A,#N/A,FALSE,"통신지"}</definedName>
    <definedName name="wrn.통신지." localSheetId="1" hidden="1">{#N/A,#N/A,FALSE,"기안지";#N/A,#N/A,FALSE,"통신지"}</definedName>
    <definedName name="wrn.통신지." hidden="1">{#N/A,#N/A,FALSE,"기안지";#N/A,#N/A,FALSE,"통신지"}</definedName>
    <definedName name="wrn.포장단가." localSheetId="5" hidden="1">{#N/A,#N/A,FALSE,"포장단가"}</definedName>
    <definedName name="wrn.포장단가." localSheetId="4" hidden="1">{#N/A,#N/A,FALSE,"포장단가"}</definedName>
    <definedName name="wrn.포장단가." localSheetId="3" hidden="1">{#N/A,#N/A,FALSE,"포장단가"}</definedName>
    <definedName name="wrn.포장단가." localSheetId="1" hidden="1">{#N/A,#N/A,FALSE,"포장단가"}</definedName>
    <definedName name="wrn.포장단가." hidden="1">{#N/A,#N/A,FALSE,"포장단가"}</definedName>
    <definedName name="wrn.포항강판." localSheetId="5" hidden="1">{"현수",#N/A,FALSE,"월추정감가상각비"}</definedName>
    <definedName name="wrn.포항강판." localSheetId="4" hidden="1">{"현수",#N/A,FALSE,"월추정감가상각비"}</definedName>
    <definedName name="wrn.포항강판." localSheetId="3" hidden="1">{"현수",#N/A,FALSE,"월추정감가상각비"}</definedName>
    <definedName name="wrn.포항강판." localSheetId="1" hidden="1">{"현수",#N/A,FALSE,"월추정감가상각비"}</definedName>
    <definedName name="wrn.포항강판." hidden="1">{"현수",#N/A,FALSE,"월추정감가상각비"}</definedName>
    <definedName name="wrn.현대정공구매현황." localSheetId="5" hidden="1">{#N/A,#N/A,FALSE,"정공"}</definedName>
    <definedName name="wrn.현대정공구매현황." localSheetId="4" hidden="1">{#N/A,#N/A,FALSE,"정공"}</definedName>
    <definedName name="wrn.현대정공구매현황." localSheetId="3" hidden="1">{#N/A,#N/A,FALSE,"정공"}</definedName>
    <definedName name="wrn.현대정공구매현황." localSheetId="1" hidden="1">{#N/A,#N/A,FALSE,"정공"}</definedName>
    <definedName name="wrn.현대정공구매현황." hidden="1">{#N/A,#N/A,FALSE,"정공"}</definedName>
    <definedName name="wrn.회의0104.XLS." localSheetId="5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4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3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 localSheetId="5">#REF!</definedName>
    <definedName name="ww" localSheetId="4">#REF!</definedName>
    <definedName name="ww" localSheetId="3">#REF!</definedName>
    <definedName name="ww" localSheetId="1">#REF!</definedName>
    <definedName name="ww">#REF!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localSheetId="5" hidden="1">{"'호선별현황(방식)'!$K$22:$P$22","'호선별현황(방식)'!$K$22:$P$22"}</definedName>
    <definedName name="WWWWW" localSheetId="4" hidden="1">{"'호선별현황(방식)'!$K$22:$P$22","'호선별현황(방식)'!$K$22:$P$22"}</definedName>
    <definedName name="WWWWW" localSheetId="3" hidden="1">{"'호선별현황(방식)'!$K$22:$P$22","'호선별현황(방식)'!$K$22:$P$22"}</definedName>
    <definedName name="WWWWW" localSheetId="1" hidden="1">{"'호선별현황(방식)'!$K$22:$P$22","'호선별현황(방식)'!$K$22:$P$22"}</definedName>
    <definedName name="WWWWW" hidden="1">{"'호선별현황(방식)'!$K$22:$P$22","'호선별현황(방식)'!$K$22:$P$22"}</definedName>
    <definedName name="wwwwww" localSheetId="5" hidden="1">{"'호선별현황(방식)'!$K$22:$P$22","'호선별현황(방식)'!$K$22:$P$22"}</definedName>
    <definedName name="wwwwww" localSheetId="4" hidden="1">{"'호선별현황(방식)'!$K$22:$P$22","'호선별현황(방식)'!$K$22:$P$22"}</definedName>
    <definedName name="wwwwww" localSheetId="3" hidden="1">{"'호선별현황(방식)'!$K$22:$P$22","'호선별현황(방식)'!$K$22:$P$22"}</definedName>
    <definedName name="wwwwww" localSheetId="1" hidden="1">{"'호선별현황(방식)'!$K$22:$P$22","'호선별현황(방식)'!$K$22:$P$22"}</definedName>
    <definedName name="wwwwww" hidden="1">{"'호선별현황(방식)'!$K$22:$P$22","'호선별현황(방식)'!$K$22:$P$22"}</definedName>
    <definedName name="wwwwwwww" localSheetId="5">#REF!</definedName>
    <definedName name="wwwwwwww" localSheetId="4">#REF!</definedName>
    <definedName name="wwwwwwww" localSheetId="3">#REF!</definedName>
    <definedName name="wwwwwwww" localSheetId="1">#REF!</definedName>
    <definedName name="wwwwwwww">#REF!</definedName>
    <definedName name="wwwwwwwwwwwww" localSheetId="3">#REF!</definedName>
    <definedName name="wwwwwwwwwwwww" localSheetId="1">#REF!</definedName>
    <definedName name="wwwwwwwwwwwww">#REF!</definedName>
    <definedName name="wwwwwwwwwwwwwwwwww" localSheetId="3">#REF!</definedName>
    <definedName name="wwwwwwwwwwwwwwwwww" localSheetId="1">#REF!</definedName>
    <definedName name="wwwwwwwwwwwwwwwwww">#REF!</definedName>
    <definedName name="W행" localSheetId="3">#REF!</definedName>
    <definedName name="W행" localSheetId="1">#REF!</definedName>
    <definedName name="W행">#REF!</definedName>
    <definedName name="W행1">#N/A</definedName>
    <definedName name="x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 localSheetId="5">#REF!</definedName>
    <definedName name="X9802장판원본_원본_List" localSheetId="4">#REF!</definedName>
    <definedName name="X9802장판원본_원본_List" localSheetId="3">#REF!</definedName>
    <definedName name="X9802장판원본_원본_List" localSheetId="1">#REF!</definedName>
    <definedName name="X9802장판원본_원본_List">#REF!</definedName>
    <definedName name="XG액션" localSheetId="3">#REF!</definedName>
    <definedName name="XG액션" localSheetId="1">#REF!</definedName>
    <definedName name="XG액션">#REF!</definedName>
    <definedName name="XIII._당기순이익" localSheetId="5">#REF!</definedName>
    <definedName name="XIII._당기순이익" localSheetId="4">#REF!</definedName>
    <definedName name="XIII._당기순이익" localSheetId="3">#REF!</definedName>
    <definedName name="XIII._당기순이익" localSheetId="1">#REF!</definedName>
    <definedName name="XIII._당기순이익">#REF!</definedName>
    <definedName name="XL" localSheetId="3">#REF!</definedName>
    <definedName name="XL" localSheetId="1">#REF!</definedName>
    <definedName name="XL">#REF!</definedName>
    <definedName name="XOUT" localSheetId="3">#REF!</definedName>
    <definedName name="XOUT" localSheetId="1">#REF!</definedName>
    <definedName name="XOUT">#REF!</definedName>
    <definedName name="XREF_COLUMN_1" localSheetId="5" hidden="1">#REF!</definedName>
    <definedName name="XREF_COLUMN_1" localSheetId="4" hidden="1">#REF!</definedName>
    <definedName name="XREF_COLUMN_1" localSheetId="3" hidden="1">#REF!</definedName>
    <definedName name="XREF_COLUMN_1" localSheetId="1" hidden="1">#REF!</definedName>
    <definedName name="XREF_COLUMN_1" hidden="1">#REF!</definedName>
    <definedName name="XREF_COLUMN_10" localSheetId="5" hidden="1">#REF!</definedName>
    <definedName name="XREF_COLUMN_10" localSheetId="4" hidden="1">#REF!</definedName>
    <definedName name="XREF_COLUMN_10" localSheetId="3" hidden="1">#REF!</definedName>
    <definedName name="XREF_COLUMN_10" localSheetId="1" hidden="1">#REF!</definedName>
    <definedName name="XREF_COLUMN_10" hidden="1">#REF!</definedName>
    <definedName name="XREF_COLUMN_11" localSheetId="5" hidden="1">#REF!</definedName>
    <definedName name="XREF_COLUMN_11" localSheetId="4" hidden="1">#REF!</definedName>
    <definedName name="XREF_COLUMN_11" localSheetId="3" hidden="1">#REF!</definedName>
    <definedName name="XREF_COLUMN_11" localSheetId="1" hidden="1">#REF!</definedName>
    <definedName name="XREF_COLUMN_11" hidden="1">#REF!</definedName>
    <definedName name="XREF_COLUMN_110" localSheetId="5" hidden="1">#REF!</definedName>
    <definedName name="XREF_COLUMN_110" localSheetId="4" hidden="1">#REF!</definedName>
    <definedName name="XREF_COLUMN_110" localSheetId="3" hidden="1">#REF!</definedName>
    <definedName name="XREF_COLUMN_110" localSheetId="1" hidden="1">#REF!</definedName>
    <definedName name="XREF_COLUMN_110" hidden="1">#REF!</definedName>
    <definedName name="XREF_COLUMN_12" localSheetId="5" hidden="1">#REF!</definedName>
    <definedName name="XREF_COLUMN_12" localSheetId="4" hidden="1">#REF!</definedName>
    <definedName name="XREF_COLUMN_12" localSheetId="3" hidden="1">#REF!</definedName>
    <definedName name="XREF_COLUMN_12" localSheetId="1" hidden="1">#REF!</definedName>
    <definedName name="XREF_COLUMN_12" hidden="1">#REF!</definedName>
    <definedName name="XREF_COLUMN_13" localSheetId="5" hidden="1">#REF!</definedName>
    <definedName name="XREF_COLUMN_13" localSheetId="4" hidden="1">#REF!</definedName>
    <definedName name="XREF_COLUMN_13" localSheetId="3" hidden="1">#REF!</definedName>
    <definedName name="XREF_COLUMN_13" localSheetId="1" hidden="1">#REF!</definedName>
    <definedName name="XREF_COLUMN_13" hidden="1">#REF!</definedName>
    <definedName name="XREF_COLUMN_14" localSheetId="3" hidden="1">#REF!</definedName>
    <definedName name="XREF_COLUMN_14" localSheetId="1" hidden="1">#REF!</definedName>
    <definedName name="XREF_COLUMN_14" hidden="1">#REF!</definedName>
    <definedName name="XREF_COLUMN_15" localSheetId="3" hidden="1">#REF!</definedName>
    <definedName name="XREF_COLUMN_15" localSheetId="1" hidden="1">#REF!</definedName>
    <definedName name="XREF_COLUMN_15" hidden="1">#REF!</definedName>
    <definedName name="XREF_COLUMN_16" localSheetId="3" hidden="1">#REF!</definedName>
    <definedName name="XREF_COLUMN_16" localSheetId="1" hidden="1">#REF!</definedName>
    <definedName name="XREF_COLUMN_16" hidden="1">#REF!</definedName>
    <definedName name="XREF_COLUMN_17" localSheetId="3" hidden="1">#REF!</definedName>
    <definedName name="XREF_COLUMN_17" localSheetId="1" hidden="1">#REF!</definedName>
    <definedName name="XREF_COLUMN_17" hidden="1">#REF!</definedName>
    <definedName name="XREF_COLUMN_18" localSheetId="3" hidden="1">#REF!</definedName>
    <definedName name="XREF_COLUMN_18" localSheetId="1" hidden="1">#REF!</definedName>
    <definedName name="XREF_COLUMN_18" hidden="1">#REF!</definedName>
    <definedName name="XREF_COLUMN_19" localSheetId="5" hidden="1">#REF!</definedName>
    <definedName name="XREF_COLUMN_19" localSheetId="4" hidden="1">#REF!</definedName>
    <definedName name="XREF_COLUMN_19" localSheetId="3" hidden="1">#REF!</definedName>
    <definedName name="XREF_COLUMN_19" localSheetId="1" hidden="1">#REF!</definedName>
    <definedName name="XREF_COLUMN_19" hidden="1">#REF!</definedName>
    <definedName name="XREF_COLUMN_2" localSheetId="5" hidden="1">#REF!</definedName>
    <definedName name="XREF_COLUMN_2" localSheetId="4" hidden="1">#REF!</definedName>
    <definedName name="XREF_COLUMN_2" localSheetId="3" hidden="1">#REF!</definedName>
    <definedName name="XREF_COLUMN_2" localSheetId="1" hidden="1">#REF!</definedName>
    <definedName name="XREF_COLUMN_2" hidden="1">#REF!</definedName>
    <definedName name="XREF_COLUMN_20" localSheetId="3" hidden="1">#REF!</definedName>
    <definedName name="XREF_COLUMN_20" localSheetId="1" hidden="1">#REF!</definedName>
    <definedName name="XREF_COLUMN_20" hidden="1">#REF!</definedName>
    <definedName name="XREF_COLUMN_21" localSheetId="5" hidden="1">#REF!</definedName>
    <definedName name="XREF_COLUMN_21" localSheetId="4" hidden="1">#REF!</definedName>
    <definedName name="XREF_COLUMN_21" localSheetId="3" hidden="1">#REF!</definedName>
    <definedName name="XREF_COLUMN_21" localSheetId="1" hidden="1">#REF!</definedName>
    <definedName name="XREF_COLUMN_21" hidden="1">#REF!</definedName>
    <definedName name="XREF_COLUMN_22" localSheetId="5" hidden="1">#REF!</definedName>
    <definedName name="XREF_COLUMN_22" localSheetId="4" hidden="1">#REF!</definedName>
    <definedName name="XREF_COLUMN_22" localSheetId="3" hidden="1">#REF!</definedName>
    <definedName name="XREF_COLUMN_22" localSheetId="1" hidden="1">#REF!</definedName>
    <definedName name="XREF_COLUMN_22" hidden="1">#REF!</definedName>
    <definedName name="XREF_COLUMN_23" localSheetId="5" hidden="1">#REF!</definedName>
    <definedName name="XREF_COLUMN_23" localSheetId="4" hidden="1">#REF!</definedName>
    <definedName name="XREF_COLUMN_23" localSheetId="3" hidden="1">#REF!</definedName>
    <definedName name="XREF_COLUMN_23" localSheetId="1" hidden="1">#REF!</definedName>
    <definedName name="XREF_COLUMN_23" hidden="1">#REF!</definedName>
    <definedName name="XREF_COLUMN_24" localSheetId="5" hidden="1">#REF!</definedName>
    <definedName name="XREF_COLUMN_24" localSheetId="4" hidden="1">#REF!</definedName>
    <definedName name="XREF_COLUMN_24" localSheetId="3" hidden="1">#REF!</definedName>
    <definedName name="XREF_COLUMN_24" localSheetId="1" hidden="1">#REF!</definedName>
    <definedName name="XREF_COLUMN_24" hidden="1">#REF!</definedName>
    <definedName name="XREF_COLUMN_25" localSheetId="5" hidden="1">#REF!</definedName>
    <definedName name="XREF_COLUMN_25" localSheetId="4" hidden="1">#REF!</definedName>
    <definedName name="XREF_COLUMN_25" localSheetId="3" hidden="1">#REF!</definedName>
    <definedName name="XREF_COLUMN_25" localSheetId="1" hidden="1">#REF!</definedName>
    <definedName name="XREF_COLUMN_25" hidden="1">#REF!</definedName>
    <definedName name="XREF_COLUMN_26" localSheetId="5" hidden="1">#REF!</definedName>
    <definedName name="XREF_COLUMN_26" localSheetId="4" hidden="1">#REF!</definedName>
    <definedName name="XREF_COLUMN_26" localSheetId="3" hidden="1">#REF!</definedName>
    <definedName name="XREF_COLUMN_26" localSheetId="1" hidden="1">#REF!</definedName>
    <definedName name="XREF_COLUMN_26" hidden="1">#REF!</definedName>
    <definedName name="XREF_COLUMN_27" localSheetId="5" hidden="1">#REF!</definedName>
    <definedName name="XREF_COLUMN_27" localSheetId="4" hidden="1">#REF!</definedName>
    <definedName name="XREF_COLUMN_27" localSheetId="3" hidden="1">#REF!</definedName>
    <definedName name="XREF_COLUMN_27" localSheetId="1" hidden="1">#REF!</definedName>
    <definedName name="XREF_COLUMN_27" hidden="1">#REF!</definedName>
    <definedName name="XREF_COLUMN_28" localSheetId="5" hidden="1">#REF!</definedName>
    <definedName name="XREF_COLUMN_28" localSheetId="4" hidden="1">#REF!</definedName>
    <definedName name="XREF_COLUMN_28" localSheetId="3" hidden="1">#REF!</definedName>
    <definedName name="XREF_COLUMN_28" localSheetId="1" hidden="1">#REF!</definedName>
    <definedName name="XREF_COLUMN_28" hidden="1">#REF!</definedName>
    <definedName name="XREF_COLUMN_29" localSheetId="5" hidden="1">#REF!</definedName>
    <definedName name="XREF_COLUMN_29" localSheetId="4" hidden="1">#REF!</definedName>
    <definedName name="XREF_COLUMN_29" localSheetId="3" hidden="1">#REF!</definedName>
    <definedName name="XREF_COLUMN_29" localSheetId="1" hidden="1">#REF!</definedName>
    <definedName name="XREF_COLUMN_29" hidden="1">#REF!</definedName>
    <definedName name="XREF_COLUMN_3" localSheetId="5" hidden="1">#REF!</definedName>
    <definedName name="XREF_COLUMN_3" localSheetId="4" hidden="1">#REF!</definedName>
    <definedName name="XREF_COLUMN_3" localSheetId="3" hidden="1">#REF!</definedName>
    <definedName name="XREF_COLUMN_3" localSheetId="1" hidden="1">#REF!</definedName>
    <definedName name="XREF_COLUMN_3" hidden="1">#REF!</definedName>
    <definedName name="XREF_COLUMN_30" localSheetId="5" hidden="1">#REF!</definedName>
    <definedName name="XREF_COLUMN_30" localSheetId="4" hidden="1">#REF!</definedName>
    <definedName name="XREF_COLUMN_30" localSheetId="3" hidden="1">#REF!</definedName>
    <definedName name="XREF_COLUMN_30" localSheetId="1" hidden="1">#REF!</definedName>
    <definedName name="XREF_COLUMN_30" hidden="1">#REF!</definedName>
    <definedName name="XREF_COLUMN_31" localSheetId="5" hidden="1">#REF!</definedName>
    <definedName name="XREF_COLUMN_31" localSheetId="4" hidden="1">#REF!</definedName>
    <definedName name="XREF_COLUMN_31" localSheetId="3" hidden="1">#REF!</definedName>
    <definedName name="XREF_COLUMN_31" localSheetId="1" hidden="1">#REF!</definedName>
    <definedName name="XREF_COLUMN_31" hidden="1">#REF!</definedName>
    <definedName name="XREF_COLUMN_32" localSheetId="5" hidden="1">#REF!</definedName>
    <definedName name="XREF_COLUMN_32" localSheetId="4" hidden="1">#REF!</definedName>
    <definedName name="XREF_COLUMN_32" localSheetId="3" hidden="1">#REF!</definedName>
    <definedName name="XREF_COLUMN_32" localSheetId="1" hidden="1">#REF!</definedName>
    <definedName name="XREF_COLUMN_32" hidden="1">#REF!</definedName>
    <definedName name="XREF_COLUMN_33" localSheetId="5" hidden="1">#REF!</definedName>
    <definedName name="XREF_COLUMN_33" localSheetId="4" hidden="1">#REF!</definedName>
    <definedName name="XREF_COLUMN_33" localSheetId="3" hidden="1">#REF!</definedName>
    <definedName name="XREF_COLUMN_33" localSheetId="1" hidden="1">#REF!</definedName>
    <definedName name="XREF_COLUMN_33" hidden="1">#REF!</definedName>
    <definedName name="XREF_COLUMN_34" localSheetId="5" hidden="1">#REF!</definedName>
    <definedName name="XREF_COLUMN_34" localSheetId="4" hidden="1">#REF!</definedName>
    <definedName name="XREF_COLUMN_34" localSheetId="3" hidden="1">#REF!</definedName>
    <definedName name="XREF_COLUMN_34" localSheetId="1" hidden="1">#REF!</definedName>
    <definedName name="XREF_COLUMN_34" hidden="1">#REF!</definedName>
    <definedName name="XREF_COLUMN_35" localSheetId="5" hidden="1">#REF!</definedName>
    <definedName name="XREF_COLUMN_35" localSheetId="4" hidden="1">#REF!</definedName>
    <definedName name="XREF_COLUMN_35" localSheetId="3" hidden="1">#REF!</definedName>
    <definedName name="XREF_COLUMN_35" localSheetId="1" hidden="1">#REF!</definedName>
    <definedName name="XREF_COLUMN_35" hidden="1">#REF!</definedName>
    <definedName name="XREF_COLUMN_36" localSheetId="5" hidden="1">#REF!</definedName>
    <definedName name="XREF_COLUMN_36" localSheetId="4" hidden="1">#REF!</definedName>
    <definedName name="XREF_COLUMN_36" localSheetId="3" hidden="1">#REF!</definedName>
    <definedName name="XREF_COLUMN_36" localSheetId="1" hidden="1">#REF!</definedName>
    <definedName name="XREF_COLUMN_36" hidden="1">#REF!</definedName>
    <definedName name="XREF_COLUMN_37" localSheetId="3" hidden="1">#REF!</definedName>
    <definedName name="XREF_COLUMN_37" localSheetId="1" hidden="1">#REF!</definedName>
    <definedName name="XREF_COLUMN_37" hidden="1">#REF!</definedName>
    <definedName name="XREF_COLUMN_38" localSheetId="5" hidden="1">#REF!</definedName>
    <definedName name="XREF_COLUMN_38" localSheetId="4" hidden="1">#REF!</definedName>
    <definedName name="XREF_COLUMN_38" localSheetId="3" hidden="1">#REF!</definedName>
    <definedName name="XREF_COLUMN_38" localSheetId="1" hidden="1">#REF!</definedName>
    <definedName name="XREF_COLUMN_38" hidden="1">#REF!</definedName>
    <definedName name="XREF_COLUMN_39" localSheetId="5" hidden="1">#REF!</definedName>
    <definedName name="XREF_COLUMN_39" localSheetId="4" hidden="1">#REF!</definedName>
    <definedName name="XREF_COLUMN_39" localSheetId="3" hidden="1">#REF!</definedName>
    <definedName name="XREF_COLUMN_39" localSheetId="1" hidden="1">#REF!</definedName>
    <definedName name="XREF_COLUMN_39" hidden="1">#REF!</definedName>
    <definedName name="XREF_COLUMN_4" localSheetId="5" hidden="1">#REF!</definedName>
    <definedName name="XREF_COLUMN_4" localSheetId="4" hidden="1">#REF!</definedName>
    <definedName name="XREF_COLUMN_4" localSheetId="3" hidden="1">#REF!</definedName>
    <definedName name="XREF_COLUMN_4" localSheetId="1" hidden="1">#REF!</definedName>
    <definedName name="XREF_COLUMN_4" hidden="1">#REF!</definedName>
    <definedName name="XREF_COLUMN_40" localSheetId="5" hidden="1">#REF!</definedName>
    <definedName name="XREF_COLUMN_40" localSheetId="4" hidden="1">#REF!</definedName>
    <definedName name="XREF_COLUMN_40" localSheetId="3" hidden="1">#REF!</definedName>
    <definedName name="XREF_COLUMN_40" localSheetId="1" hidden="1">#REF!</definedName>
    <definedName name="XREF_COLUMN_40" hidden="1">#REF!</definedName>
    <definedName name="XREF_COLUMN_41" localSheetId="5" hidden="1">#REF!</definedName>
    <definedName name="XREF_COLUMN_41" localSheetId="4" hidden="1">#REF!</definedName>
    <definedName name="XREF_COLUMN_41" localSheetId="3" hidden="1">#REF!</definedName>
    <definedName name="XREF_COLUMN_41" localSheetId="1" hidden="1">#REF!</definedName>
    <definedName name="XREF_COLUMN_41" hidden="1">#REF!</definedName>
    <definedName name="XREF_COLUMN_42" localSheetId="5" hidden="1">#REF!</definedName>
    <definedName name="XREF_COLUMN_42" localSheetId="4" hidden="1">#REF!</definedName>
    <definedName name="XREF_COLUMN_42" localSheetId="3" hidden="1">#REF!</definedName>
    <definedName name="XREF_COLUMN_42" localSheetId="1" hidden="1">#REF!</definedName>
    <definedName name="XREF_COLUMN_42" hidden="1">#REF!</definedName>
    <definedName name="XREF_COLUMN_43" localSheetId="5" hidden="1">#REF!</definedName>
    <definedName name="XREF_COLUMN_43" localSheetId="4" hidden="1">#REF!</definedName>
    <definedName name="XREF_COLUMN_43" localSheetId="3" hidden="1">#REF!</definedName>
    <definedName name="XREF_COLUMN_43" localSheetId="1" hidden="1">#REF!</definedName>
    <definedName name="XREF_COLUMN_43" hidden="1">#REF!</definedName>
    <definedName name="XREF_COLUMN_44" localSheetId="5" hidden="1">#REF!</definedName>
    <definedName name="XREF_COLUMN_44" localSheetId="4" hidden="1">#REF!</definedName>
    <definedName name="XREF_COLUMN_44" localSheetId="3" hidden="1">#REF!</definedName>
    <definedName name="XREF_COLUMN_44" localSheetId="1" hidden="1">#REF!</definedName>
    <definedName name="XREF_COLUMN_44" hidden="1">#REF!</definedName>
    <definedName name="XREF_COLUMN_45" localSheetId="5" hidden="1">#REF!</definedName>
    <definedName name="XREF_COLUMN_45" localSheetId="4" hidden="1">#REF!</definedName>
    <definedName name="XREF_COLUMN_45" localSheetId="3" hidden="1">#REF!</definedName>
    <definedName name="XREF_COLUMN_45" localSheetId="1" hidden="1">#REF!</definedName>
    <definedName name="XREF_COLUMN_45" hidden="1">#REF!</definedName>
    <definedName name="XREF_COLUMN_46" localSheetId="3" hidden="1">#REF!</definedName>
    <definedName name="XREF_COLUMN_46" localSheetId="1" hidden="1">#REF!</definedName>
    <definedName name="XREF_COLUMN_46" hidden="1">#REF!</definedName>
    <definedName name="XREF_COLUMN_47" localSheetId="5" hidden="1">#REF!</definedName>
    <definedName name="XREF_COLUMN_47" localSheetId="4" hidden="1">#REF!</definedName>
    <definedName name="XREF_COLUMN_47" localSheetId="3" hidden="1">#REF!</definedName>
    <definedName name="XREF_COLUMN_47" localSheetId="1" hidden="1">#REF!</definedName>
    <definedName name="XREF_COLUMN_47" hidden="1">#REF!</definedName>
    <definedName name="XREF_COLUMN_48" localSheetId="5" hidden="1">#REF!</definedName>
    <definedName name="XREF_COLUMN_48" localSheetId="4" hidden="1">#REF!</definedName>
    <definedName name="XREF_COLUMN_48" localSheetId="3" hidden="1">#REF!</definedName>
    <definedName name="XREF_COLUMN_48" localSheetId="1" hidden="1">#REF!</definedName>
    <definedName name="XREF_COLUMN_48" hidden="1">#REF!</definedName>
    <definedName name="XREF_COLUMN_49" localSheetId="5" hidden="1">#REF!</definedName>
    <definedName name="XREF_COLUMN_49" localSheetId="4" hidden="1">#REF!</definedName>
    <definedName name="XREF_COLUMN_49" localSheetId="3" hidden="1">#REF!</definedName>
    <definedName name="XREF_COLUMN_49" localSheetId="1" hidden="1">#REF!</definedName>
    <definedName name="XREF_COLUMN_49" hidden="1">#REF!</definedName>
    <definedName name="XREF_COLUMN_5" localSheetId="5" hidden="1">#REF!</definedName>
    <definedName name="XREF_COLUMN_5" localSheetId="4" hidden="1">#REF!</definedName>
    <definedName name="XREF_COLUMN_5" localSheetId="3" hidden="1">#REF!</definedName>
    <definedName name="XREF_COLUMN_5" localSheetId="1" hidden="1">#REF!</definedName>
    <definedName name="XREF_COLUMN_5" hidden="1">#REF!</definedName>
    <definedName name="XREF_COLUMN_50" localSheetId="5" hidden="1">#REF!</definedName>
    <definedName name="XREF_COLUMN_50" localSheetId="4" hidden="1">#REF!</definedName>
    <definedName name="XREF_COLUMN_50" localSheetId="3" hidden="1">#REF!</definedName>
    <definedName name="XREF_COLUMN_50" localSheetId="1" hidden="1">#REF!</definedName>
    <definedName name="XREF_COLUMN_50" hidden="1">#REF!</definedName>
    <definedName name="XREF_COLUMN_51" localSheetId="5" hidden="1">#REF!</definedName>
    <definedName name="XREF_COLUMN_51" localSheetId="4" hidden="1">#REF!</definedName>
    <definedName name="XREF_COLUMN_51" localSheetId="3" hidden="1">#REF!</definedName>
    <definedName name="XREF_COLUMN_51" localSheetId="1" hidden="1">#REF!</definedName>
    <definedName name="XREF_COLUMN_51" hidden="1">#REF!</definedName>
    <definedName name="XREF_COLUMN_52" localSheetId="5" hidden="1">#REF!</definedName>
    <definedName name="XREF_COLUMN_52" localSheetId="4" hidden="1">#REF!</definedName>
    <definedName name="XREF_COLUMN_52" localSheetId="3" hidden="1">#REF!</definedName>
    <definedName name="XREF_COLUMN_52" localSheetId="1" hidden="1">#REF!</definedName>
    <definedName name="XREF_COLUMN_52" hidden="1">#REF!</definedName>
    <definedName name="XREF_COLUMN_53" localSheetId="5" hidden="1">#REF!</definedName>
    <definedName name="XREF_COLUMN_53" localSheetId="4" hidden="1">#REF!</definedName>
    <definedName name="XREF_COLUMN_53" localSheetId="3" hidden="1">#REF!</definedName>
    <definedName name="XREF_COLUMN_53" localSheetId="1" hidden="1">#REF!</definedName>
    <definedName name="XREF_COLUMN_53" hidden="1">#REF!</definedName>
    <definedName name="XREF_COLUMN_54" localSheetId="3" hidden="1">#REF!</definedName>
    <definedName name="XREF_COLUMN_54" localSheetId="1" hidden="1">#REF!</definedName>
    <definedName name="XREF_COLUMN_54" hidden="1">#REF!</definedName>
    <definedName name="XREF_COLUMN_55" localSheetId="5" hidden="1">#REF!</definedName>
    <definedName name="XREF_COLUMN_55" localSheetId="4" hidden="1">#REF!</definedName>
    <definedName name="XREF_COLUMN_55" localSheetId="3" hidden="1">#REF!</definedName>
    <definedName name="XREF_COLUMN_55" localSheetId="1" hidden="1">#REF!</definedName>
    <definedName name="XREF_COLUMN_55" hidden="1">#REF!</definedName>
    <definedName name="XREF_COLUMN_56" localSheetId="3" hidden="1">#REF!</definedName>
    <definedName name="XREF_COLUMN_56" localSheetId="1" hidden="1">#REF!</definedName>
    <definedName name="XREF_COLUMN_56" hidden="1">#REF!</definedName>
    <definedName name="XREF_COLUMN_57" localSheetId="5" hidden="1">#REF!</definedName>
    <definedName name="XREF_COLUMN_57" localSheetId="4" hidden="1">#REF!</definedName>
    <definedName name="XREF_COLUMN_57" localSheetId="3" hidden="1">#REF!</definedName>
    <definedName name="XREF_COLUMN_57" localSheetId="1" hidden="1">#REF!</definedName>
    <definedName name="XREF_COLUMN_57" hidden="1">#REF!</definedName>
    <definedName name="XREF_COLUMN_58" localSheetId="5" hidden="1">#REF!</definedName>
    <definedName name="XREF_COLUMN_58" localSheetId="4" hidden="1">#REF!</definedName>
    <definedName name="XREF_COLUMN_58" localSheetId="3" hidden="1">#REF!</definedName>
    <definedName name="XREF_COLUMN_58" localSheetId="1" hidden="1">#REF!</definedName>
    <definedName name="XREF_COLUMN_58" hidden="1">#REF!</definedName>
    <definedName name="XREF_COLUMN_59" localSheetId="5" hidden="1">#REF!</definedName>
    <definedName name="XREF_COLUMN_59" localSheetId="4" hidden="1">#REF!</definedName>
    <definedName name="XREF_COLUMN_59" localSheetId="3" hidden="1">#REF!</definedName>
    <definedName name="XREF_COLUMN_59" localSheetId="1" hidden="1">#REF!</definedName>
    <definedName name="XREF_COLUMN_59" hidden="1">#REF!</definedName>
    <definedName name="XREF_COLUMN_6" localSheetId="5" hidden="1">#REF!</definedName>
    <definedName name="XREF_COLUMN_6" localSheetId="4" hidden="1">#REF!</definedName>
    <definedName name="XREF_COLUMN_6" localSheetId="3" hidden="1">#REF!</definedName>
    <definedName name="XREF_COLUMN_6" localSheetId="1" hidden="1">#REF!</definedName>
    <definedName name="XREF_COLUMN_6" hidden="1">#REF!</definedName>
    <definedName name="XREF_COLUMN_60" localSheetId="3" hidden="1">#REF!</definedName>
    <definedName name="XREF_COLUMN_60" localSheetId="1" hidden="1">#REF!</definedName>
    <definedName name="XREF_COLUMN_60" hidden="1">#REF!</definedName>
    <definedName name="XREF_COLUMN_61" localSheetId="5" hidden="1">#REF!</definedName>
    <definedName name="XREF_COLUMN_61" localSheetId="4" hidden="1">#REF!</definedName>
    <definedName name="XREF_COLUMN_61" localSheetId="3" hidden="1">#REF!</definedName>
    <definedName name="XREF_COLUMN_61" localSheetId="1" hidden="1">#REF!</definedName>
    <definedName name="XREF_COLUMN_61" hidden="1">#REF!</definedName>
    <definedName name="XREF_COLUMN_62" localSheetId="5" hidden="1">#REF!</definedName>
    <definedName name="XREF_COLUMN_62" localSheetId="4" hidden="1">#REF!</definedName>
    <definedName name="XREF_COLUMN_62" localSheetId="3" hidden="1">#REF!</definedName>
    <definedName name="XREF_COLUMN_62" localSheetId="1" hidden="1">#REF!</definedName>
    <definedName name="XREF_COLUMN_62" hidden="1">#REF!</definedName>
    <definedName name="XREF_COLUMN_63" localSheetId="5" hidden="1">#REF!</definedName>
    <definedName name="XREF_COLUMN_63" localSheetId="4" hidden="1">#REF!</definedName>
    <definedName name="XREF_COLUMN_63" localSheetId="3" hidden="1">#REF!</definedName>
    <definedName name="XREF_COLUMN_63" localSheetId="1" hidden="1">#REF!</definedName>
    <definedName name="XREF_COLUMN_63" hidden="1">#REF!</definedName>
    <definedName name="XREF_COLUMN_64" localSheetId="5" hidden="1">#REF!</definedName>
    <definedName name="XREF_COLUMN_64" localSheetId="4" hidden="1">#REF!</definedName>
    <definedName name="XREF_COLUMN_64" localSheetId="3" hidden="1">#REF!</definedName>
    <definedName name="XREF_COLUMN_64" localSheetId="1" hidden="1">#REF!</definedName>
    <definedName name="XREF_COLUMN_64" hidden="1">#REF!</definedName>
    <definedName name="XREF_COLUMN_65" localSheetId="5" hidden="1">#REF!</definedName>
    <definedName name="XREF_COLUMN_65" localSheetId="4" hidden="1">#REF!</definedName>
    <definedName name="XREF_COLUMN_65" localSheetId="3" hidden="1">#REF!</definedName>
    <definedName name="XREF_COLUMN_65" localSheetId="1" hidden="1">#REF!</definedName>
    <definedName name="XREF_COLUMN_65" hidden="1">#REF!</definedName>
    <definedName name="XREF_COLUMN_66" localSheetId="5" hidden="1">#REF!</definedName>
    <definedName name="XREF_COLUMN_66" localSheetId="4" hidden="1">#REF!</definedName>
    <definedName name="XREF_COLUMN_66" localSheetId="3" hidden="1">#REF!</definedName>
    <definedName name="XREF_COLUMN_66" localSheetId="1" hidden="1">#REF!</definedName>
    <definedName name="XREF_COLUMN_66" hidden="1">#REF!</definedName>
    <definedName name="XREF_COLUMN_67" localSheetId="5" hidden="1">#REF!</definedName>
    <definedName name="XREF_COLUMN_67" localSheetId="4" hidden="1">#REF!</definedName>
    <definedName name="XREF_COLUMN_67" localSheetId="3" hidden="1">#REF!</definedName>
    <definedName name="XREF_COLUMN_67" localSheetId="1" hidden="1">#REF!</definedName>
    <definedName name="XREF_COLUMN_67" hidden="1">#REF!</definedName>
    <definedName name="XREF_COLUMN_68" localSheetId="5" hidden="1">#REF!</definedName>
    <definedName name="XREF_COLUMN_68" localSheetId="4" hidden="1">#REF!</definedName>
    <definedName name="XREF_COLUMN_68" localSheetId="3" hidden="1">#REF!</definedName>
    <definedName name="XREF_COLUMN_68" localSheetId="1" hidden="1">#REF!</definedName>
    <definedName name="XREF_COLUMN_68" hidden="1">#REF!</definedName>
    <definedName name="XREF_COLUMN_69" localSheetId="5" hidden="1">#REF!</definedName>
    <definedName name="XREF_COLUMN_69" localSheetId="4" hidden="1">#REF!</definedName>
    <definedName name="XREF_COLUMN_69" localSheetId="3" hidden="1">#REF!</definedName>
    <definedName name="XREF_COLUMN_69" localSheetId="1" hidden="1">#REF!</definedName>
    <definedName name="XREF_COLUMN_69" hidden="1">#REF!</definedName>
    <definedName name="XREF_COLUMN_7" localSheetId="3" hidden="1">#REF!</definedName>
    <definedName name="XREF_COLUMN_7" localSheetId="1" hidden="1">#REF!</definedName>
    <definedName name="XREF_COLUMN_7" hidden="1">#REF!</definedName>
    <definedName name="XREF_COLUMN_70" localSheetId="5" hidden="1">#REF!</definedName>
    <definedName name="XREF_COLUMN_70" localSheetId="4" hidden="1">#REF!</definedName>
    <definedName name="XREF_COLUMN_70" localSheetId="3" hidden="1">#REF!</definedName>
    <definedName name="XREF_COLUMN_70" localSheetId="1" hidden="1">#REF!</definedName>
    <definedName name="XREF_COLUMN_70" hidden="1">#REF!</definedName>
    <definedName name="XREF_COLUMN_71" localSheetId="5" hidden="1">#REF!</definedName>
    <definedName name="XREF_COLUMN_71" localSheetId="4" hidden="1">#REF!</definedName>
    <definedName name="XREF_COLUMN_71" localSheetId="3" hidden="1">#REF!</definedName>
    <definedName name="XREF_COLUMN_71" localSheetId="1" hidden="1">#REF!</definedName>
    <definedName name="XREF_COLUMN_71" hidden="1">#REF!</definedName>
    <definedName name="XREF_COLUMN_72" localSheetId="5" hidden="1">#REF!</definedName>
    <definedName name="XREF_COLUMN_72" localSheetId="4" hidden="1">#REF!</definedName>
    <definedName name="XREF_COLUMN_72" localSheetId="3" hidden="1">#REF!</definedName>
    <definedName name="XREF_COLUMN_72" localSheetId="1" hidden="1">#REF!</definedName>
    <definedName name="XREF_COLUMN_72" hidden="1">#REF!</definedName>
    <definedName name="XREF_COLUMN_73" localSheetId="5" hidden="1">#REF!</definedName>
    <definedName name="XREF_COLUMN_73" localSheetId="4" hidden="1">#REF!</definedName>
    <definedName name="XREF_COLUMN_73" localSheetId="3" hidden="1">#REF!</definedName>
    <definedName name="XREF_COLUMN_73" localSheetId="1" hidden="1">#REF!</definedName>
    <definedName name="XREF_COLUMN_73" hidden="1">#REF!</definedName>
    <definedName name="XREF_COLUMN_74" localSheetId="5" hidden="1">#REF!</definedName>
    <definedName name="XREF_COLUMN_74" localSheetId="4" hidden="1">#REF!</definedName>
    <definedName name="XREF_COLUMN_74" localSheetId="3" hidden="1">#REF!</definedName>
    <definedName name="XREF_COLUMN_74" localSheetId="1" hidden="1">#REF!</definedName>
    <definedName name="XREF_COLUMN_74" hidden="1">#REF!</definedName>
    <definedName name="XREF_COLUMN_75" localSheetId="5" hidden="1">#REF!</definedName>
    <definedName name="XREF_COLUMN_75" localSheetId="4" hidden="1">#REF!</definedName>
    <definedName name="XREF_COLUMN_75" localSheetId="3" hidden="1">#REF!</definedName>
    <definedName name="XREF_COLUMN_75" localSheetId="1" hidden="1">#REF!</definedName>
    <definedName name="XREF_COLUMN_75" hidden="1">#REF!</definedName>
    <definedName name="XREF_COLUMN_76" localSheetId="5" hidden="1">#REF!</definedName>
    <definedName name="XREF_COLUMN_76" localSheetId="4" hidden="1">#REF!</definedName>
    <definedName name="XREF_COLUMN_76" localSheetId="3" hidden="1">#REF!</definedName>
    <definedName name="XREF_COLUMN_76" localSheetId="1" hidden="1">#REF!</definedName>
    <definedName name="XREF_COLUMN_76" hidden="1">#REF!</definedName>
    <definedName name="XREF_COLUMN_77" localSheetId="5" hidden="1">#REF!</definedName>
    <definedName name="XREF_COLUMN_77" localSheetId="4" hidden="1">#REF!</definedName>
    <definedName name="XREF_COLUMN_77" localSheetId="3" hidden="1">#REF!</definedName>
    <definedName name="XREF_COLUMN_77" localSheetId="1" hidden="1">#REF!</definedName>
    <definedName name="XREF_COLUMN_77" hidden="1">#REF!</definedName>
    <definedName name="XREF_COLUMN_79" localSheetId="5" hidden="1">#REF!</definedName>
    <definedName name="XREF_COLUMN_79" localSheetId="4" hidden="1">#REF!</definedName>
    <definedName name="XREF_COLUMN_79" localSheetId="3" hidden="1">#REF!</definedName>
    <definedName name="XREF_COLUMN_79" localSheetId="1" hidden="1">#REF!</definedName>
    <definedName name="XREF_COLUMN_79" hidden="1">#REF!</definedName>
    <definedName name="XREF_COLUMN_8" localSheetId="5" hidden="1">#REF!</definedName>
    <definedName name="XREF_COLUMN_8" localSheetId="4" hidden="1">#REF!</definedName>
    <definedName name="XREF_COLUMN_8" localSheetId="3" hidden="1">#REF!</definedName>
    <definedName name="XREF_COLUMN_8" localSheetId="1" hidden="1">#REF!</definedName>
    <definedName name="XREF_COLUMN_8" hidden="1">#REF!</definedName>
    <definedName name="XREF_COLUMN_81" localSheetId="5" hidden="1">#REF!</definedName>
    <definedName name="XREF_COLUMN_81" localSheetId="4" hidden="1">#REF!</definedName>
    <definedName name="XREF_COLUMN_81" localSheetId="3" hidden="1">#REF!</definedName>
    <definedName name="XREF_COLUMN_81" localSheetId="1" hidden="1">#REF!</definedName>
    <definedName name="XREF_COLUMN_81" hidden="1">#REF!</definedName>
    <definedName name="XREF_COLUMN_83" localSheetId="5" hidden="1">#REF!</definedName>
    <definedName name="XREF_COLUMN_83" localSheetId="4" hidden="1">#REF!</definedName>
    <definedName name="XREF_COLUMN_83" localSheetId="3" hidden="1">#REF!</definedName>
    <definedName name="XREF_COLUMN_83" localSheetId="1" hidden="1">#REF!</definedName>
    <definedName name="XREF_COLUMN_83" hidden="1">#REF!</definedName>
    <definedName name="XREF_COLUMN_87" localSheetId="5" hidden="1">#REF!</definedName>
    <definedName name="XREF_COLUMN_87" localSheetId="4" hidden="1">#REF!</definedName>
    <definedName name="XREF_COLUMN_87" localSheetId="3" hidden="1">#REF!</definedName>
    <definedName name="XREF_COLUMN_87" localSheetId="1" hidden="1">#REF!</definedName>
    <definedName name="XREF_COLUMN_87" hidden="1">#REF!</definedName>
    <definedName name="XREF_COLUMN_89" localSheetId="5" hidden="1">#REF!</definedName>
    <definedName name="XREF_COLUMN_89" localSheetId="4" hidden="1">#REF!</definedName>
    <definedName name="XREF_COLUMN_89" localSheetId="3" hidden="1">#REF!</definedName>
    <definedName name="XREF_COLUMN_89" localSheetId="1" hidden="1">#REF!</definedName>
    <definedName name="XREF_COLUMN_89" hidden="1">#REF!</definedName>
    <definedName name="XREF_COLUMN_9" localSheetId="5" hidden="1">#REF!</definedName>
    <definedName name="XREF_COLUMN_9" localSheetId="4" hidden="1">#REF!</definedName>
    <definedName name="XREF_COLUMN_9" localSheetId="3" hidden="1">#REF!</definedName>
    <definedName name="XREF_COLUMN_9" localSheetId="1" hidden="1">#REF!</definedName>
    <definedName name="XREF_COLUMN_9" hidden="1">#REF!</definedName>
    <definedName name="XREF_COLUMN_91" localSheetId="5" hidden="1">#REF!</definedName>
    <definedName name="XREF_COLUMN_91" localSheetId="4" hidden="1">#REF!</definedName>
    <definedName name="XREF_COLUMN_91" localSheetId="3" hidden="1">#REF!</definedName>
    <definedName name="XREF_COLUMN_91" localSheetId="1" hidden="1">#REF!</definedName>
    <definedName name="XREF_COLUMN_91" hidden="1">#REF!</definedName>
    <definedName name="XREF_COLUMN_93" localSheetId="5" hidden="1">#REF!</definedName>
    <definedName name="XREF_COLUMN_93" localSheetId="4" hidden="1">#REF!</definedName>
    <definedName name="XREF_COLUMN_93" localSheetId="3" hidden="1">#REF!</definedName>
    <definedName name="XREF_COLUMN_93" localSheetId="1" hidden="1">#REF!</definedName>
    <definedName name="XREF_COLUMN_93" hidden="1">#REF!</definedName>
    <definedName name="XREF_COLUMN_95" localSheetId="5" hidden="1">#REF!</definedName>
    <definedName name="XREF_COLUMN_95" localSheetId="4" hidden="1">#REF!</definedName>
    <definedName name="XREF_COLUMN_95" localSheetId="3" hidden="1">#REF!</definedName>
    <definedName name="XREF_COLUMN_95" localSheetId="1" hidden="1">#REF!</definedName>
    <definedName name="XREF_COLUMN_95" hidden="1">#REF!</definedName>
    <definedName name="XREF_COLUMN_97" localSheetId="5" hidden="1">#REF!</definedName>
    <definedName name="XREF_COLUMN_97" localSheetId="4" hidden="1">#REF!</definedName>
    <definedName name="XREF_COLUMN_97" localSheetId="3" hidden="1">#REF!</definedName>
    <definedName name="XREF_COLUMN_97" localSheetId="1" hidden="1">#REF!</definedName>
    <definedName name="XREF_COLUMN_97" hidden="1">#REF!</definedName>
    <definedName name="XRefActiveRow" localSheetId="5" hidden="1">#REF!</definedName>
    <definedName name="XRefActiveRow" localSheetId="4" hidden="1">#REF!</definedName>
    <definedName name="XRefActiveRow" localSheetId="3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5" hidden="1">#REF!</definedName>
    <definedName name="XRefCopy1" localSheetId="4" hidden="1">#REF!</definedName>
    <definedName name="XRefCopy1" localSheetId="3" hidden="1">#REF!</definedName>
    <definedName name="XRefCopy1" localSheetId="1" hidden="1">#REF!</definedName>
    <definedName name="XRefCopy1" hidden="1">#REF!</definedName>
    <definedName name="XRefCopy10" localSheetId="3" hidden="1">#REF!</definedName>
    <definedName name="XRefCopy10" localSheetId="1" hidden="1">#REF!</definedName>
    <definedName name="XRefCopy10" hidden="1">#REF!</definedName>
    <definedName name="XRefCopy100" localSheetId="3" hidden="1">#REF!</definedName>
    <definedName name="XRefCopy100" localSheetId="1" hidden="1">#REF!</definedName>
    <definedName name="XRefCopy100" hidden="1">#REF!</definedName>
    <definedName name="XRefCopy101" localSheetId="3" hidden="1">#REF!</definedName>
    <definedName name="XRefCopy101" localSheetId="1" hidden="1">#REF!</definedName>
    <definedName name="XRefCopy101" hidden="1">#REF!</definedName>
    <definedName name="XRefCopy102" localSheetId="3" hidden="1">#REF!</definedName>
    <definedName name="XRefCopy102" localSheetId="1" hidden="1">#REF!</definedName>
    <definedName name="XRefCopy102" hidden="1">#REF!</definedName>
    <definedName name="XRefCopy103" localSheetId="3" hidden="1">#REF!</definedName>
    <definedName name="XRefCopy103" localSheetId="1" hidden="1">#REF!</definedName>
    <definedName name="XRefCopy103" hidden="1">#REF!</definedName>
    <definedName name="XRefCopy104" localSheetId="5" hidden="1">#REF!</definedName>
    <definedName name="XRefCopy104" localSheetId="4" hidden="1">#REF!</definedName>
    <definedName name="XRefCopy104" localSheetId="3" hidden="1">#REF!</definedName>
    <definedName name="XRefCopy104" localSheetId="1" hidden="1">#REF!</definedName>
    <definedName name="XRefCopy104" hidden="1">#REF!</definedName>
    <definedName name="XRefCopy105" localSheetId="3" hidden="1">#REF!</definedName>
    <definedName name="XRefCopy105" localSheetId="1" hidden="1">#REF!</definedName>
    <definedName name="XRefCopy105" hidden="1">#REF!</definedName>
    <definedName name="XRefCopy10Row" localSheetId="5" hidden="1">#REF!</definedName>
    <definedName name="XRefCopy10Row" localSheetId="4" hidden="1">#REF!</definedName>
    <definedName name="XRefCopy10Row" localSheetId="3" hidden="1">#REF!</definedName>
    <definedName name="XRefCopy10Row" localSheetId="1" hidden="1">#REF!</definedName>
    <definedName name="XRefCopy10Row" hidden="1">#REF!</definedName>
    <definedName name="XRefCopy11" localSheetId="5" hidden="1">#REF!</definedName>
    <definedName name="XRefCopy11" localSheetId="4" hidden="1">#REF!</definedName>
    <definedName name="XRefCopy11" localSheetId="3" hidden="1">#REF!</definedName>
    <definedName name="XRefCopy11" localSheetId="1" hidden="1">#REF!</definedName>
    <definedName name="XRefCopy11" hidden="1">#REF!</definedName>
    <definedName name="XRefCopy11Row" localSheetId="5" hidden="1">#REF!</definedName>
    <definedName name="XRefCopy11Row" localSheetId="4" hidden="1">#REF!</definedName>
    <definedName name="XRefCopy11Row" localSheetId="3" hidden="1">#REF!</definedName>
    <definedName name="XRefCopy11Row" localSheetId="1" hidden="1">#REF!</definedName>
    <definedName name="XRefCopy11Row" hidden="1">#REF!</definedName>
    <definedName name="XRefCopy12" localSheetId="5" hidden="1">#REF!</definedName>
    <definedName name="XRefCopy12" localSheetId="4" hidden="1">#REF!</definedName>
    <definedName name="XRefCopy12" localSheetId="3" hidden="1">#REF!</definedName>
    <definedName name="XRefCopy12" localSheetId="1" hidden="1">#REF!</definedName>
    <definedName name="XRefCopy12" hidden="1">#REF!</definedName>
    <definedName name="XRefCopy12Row" localSheetId="5" hidden="1">#REF!</definedName>
    <definedName name="XRefCopy12Row" localSheetId="4" hidden="1">#REF!</definedName>
    <definedName name="XRefCopy12Row" localSheetId="3" hidden="1">#REF!</definedName>
    <definedName name="XRefCopy12Row" localSheetId="1" hidden="1">#REF!</definedName>
    <definedName name="XRefCopy12Row" hidden="1">#REF!</definedName>
    <definedName name="XRefCopy13" localSheetId="5" hidden="1">#REF!</definedName>
    <definedName name="XRefCopy13" localSheetId="4" hidden="1">#REF!</definedName>
    <definedName name="XRefCopy13" localSheetId="3" hidden="1">#REF!</definedName>
    <definedName name="XRefCopy13" localSheetId="1" hidden="1">#REF!</definedName>
    <definedName name="XRefCopy13" hidden="1">#REF!</definedName>
    <definedName name="XRefCopy13Row" localSheetId="5" hidden="1">#REF!</definedName>
    <definedName name="XRefCopy13Row" localSheetId="4" hidden="1">#REF!</definedName>
    <definedName name="XRefCopy13Row" localSheetId="3" hidden="1">#REF!</definedName>
    <definedName name="XRefCopy13Row" localSheetId="1" hidden="1">#REF!</definedName>
    <definedName name="XRefCopy13Row" hidden="1">#REF!</definedName>
    <definedName name="XRefCopy14" localSheetId="5" hidden="1">#REF!</definedName>
    <definedName name="XRefCopy14" localSheetId="4" hidden="1">#REF!</definedName>
    <definedName name="XRefCopy14" localSheetId="3" hidden="1">#REF!</definedName>
    <definedName name="XRefCopy14" localSheetId="1" hidden="1">#REF!</definedName>
    <definedName name="XRefCopy14" hidden="1">#REF!</definedName>
    <definedName name="XRefCopy14Row" localSheetId="5" hidden="1">#REF!</definedName>
    <definedName name="XRefCopy14Row" localSheetId="4" hidden="1">#REF!</definedName>
    <definedName name="XRefCopy14Row" localSheetId="3" hidden="1">#REF!</definedName>
    <definedName name="XRefCopy14Row" localSheetId="1" hidden="1">#REF!</definedName>
    <definedName name="XRefCopy14Row" hidden="1">#REF!</definedName>
    <definedName name="XRefCopy15" localSheetId="5" hidden="1">#REF!</definedName>
    <definedName name="XRefCopy15" localSheetId="4" hidden="1">#REF!</definedName>
    <definedName name="XRefCopy15" localSheetId="3" hidden="1">#REF!</definedName>
    <definedName name="XRefCopy15" localSheetId="1" hidden="1">#REF!</definedName>
    <definedName name="XRefCopy15" hidden="1">#REF!</definedName>
    <definedName name="XRefCopy15Row" localSheetId="5" hidden="1">#REF!</definedName>
    <definedName name="XRefCopy15Row" localSheetId="4" hidden="1">#REF!</definedName>
    <definedName name="XRefCopy15Row" localSheetId="3" hidden="1">#REF!</definedName>
    <definedName name="XRefCopy15Row" localSheetId="1" hidden="1">#REF!</definedName>
    <definedName name="XRefCopy15Row" hidden="1">#REF!</definedName>
    <definedName name="XRefCopy16" localSheetId="5" hidden="1">#REF!</definedName>
    <definedName name="XRefCopy16" localSheetId="4" hidden="1">#REF!</definedName>
    <definedName name="XRefCopy16" localSheetId="3" hidden="1">#REF!</definedName>
    <definedName name="XRefCopy16" localSheetId="1" hidden="1">#REF!</definedName>
    <definedName name="XRefCopy16" hidden="1">#REF!</definedName>
    <definedName name="XRefCopy16Row" localSheetId="3" hidden="1">#REF!</definedName>
    <definedName name="XRefCopy16Row" localSheetId="1" hidden="1">#REF!</definedName>
    <definedName name="XRefCopy16Row" hidden="1">#REF!</definedName>
    <definedName name="XRefCopy17" localSheetId="5" hidden="1">#REF!</definedName>
    <definedName name="XRefCopy17" localSheetId="4" hidden="1">#REF!</definedName>
    <definedName name="XRefCopy17" localSheetId="3" hidden="1">#REF!</definedName>
    <definedName name="XRefCopy17" localSheetId="1" hidden="1">#REF!</definedName>
    <definedName name="XRefCopy17" hidden="1">#REF!</definedName>
    <definedName name="XRefCopy17Row" localSheetId="5" hidden="1">#REF!</definedName>
    <definedName name="XRefCopy17Row" localSheetId="4" hidden="1">#REF!</definedName>
    <definedName name="XRefCopy17Row" localSheetId="3" hidden="1">#REF!</definedName>
    <definedName name="XRefCopy17Row" localSheetId="1" hidden="1">#REF!</definedName>
    <definedName name="XRefCopy17Row" hidden="1">#REF!</definedName>
    <definedName name="XRefCopy18" localSheetId="5" hidden="1">#REF!</definedName>
    <definedName name="XRefCopy18" localSheetId="4" hidden="1">#REF!</definedName>
    <definedName name="XRefCopy18" localSheetId="3" hidden="1">#REF!</definedName>
    <definedName name="XRefCopy18" localSheetId="1" hidden="1">#REF!</definedName>
    <definedName name="XRefCopy18" hidden="1">#REF!</definedName>
    <definedName name="XRefCopy18Row" localSheetId="5" hidden="1">#REF!</definedName>
    <definedName name="XRefCopy18Row" localSheetId="4" hidden="1">#REF!</definedName>
    <definedName name="XRefCopy18Row" localSheetId="3" hidden="1">#REF!</definedName>
    <definedName name="XRefCopy18Row" localSheetId="1" hidden="1">#REF!</definedName>
    <definedName name="XRefCopy18Row" hidden="1">#REF!</definedName>
    <definedName name="XRefCopy19" localSheetId="5" hidden="1">#REF!</definedName>
    <definedName name="XRefCopy19" localSheetId="4" hidden="1">#REF!</definedName>
    <definedName name="XRefCopy19" localSheetId="3" hidden="1">#REF!</definedName>
    <definedName name="XRefCopy19" localSheetId="1" hidden="1">#REF!</definedName>
    <definedName name="XRefCopy19" hidden="1">#REF!</definedName>
    <definedName name="XRefCopy19Row" localSheetId="5" hidden="1">#REF!</definedName>
    <definedName name="XRefCopy19Row" localSheetId="4" hidden="1">#REF!</definedName>
    <definedName name="XRefCopy19Row" localSheetId="3" hidden="1">#REF!</definedName>
    <definedName name="XRefCopy19Row" localSheetId="1" hidden="1">#REF!</definedName>
    <definedName name="XRefCopy19Row" hidden="1">#REF!</definedName>
    <definedName name="XRefCopy1Row" localSheetId="5" hidden="1">#REF!</definedName>
    <definedName name="XRefCopy1Row" localSheetId="4" hidden="1">#REF!</definedName>
    <definedName name="XRefCopy1Row" localSheetId="3" hidden="1">#REF!</definedName>
    <definedName name="XRefCopy1Row" localSheetId="1" hidden="1">#REF!</definedName>
    <definedName name="XRefCopy1Row" hidden="1">#REF!</definedName>
    <definedName name="XRefCopy2" localSheetId="3" hidden="1">#REF!</definedName>
    <definedName name="XRefCopy2" localSheetId="1" hidden="1">#REF!</definedName>
    <definedName name="XRefCopy2" hidden="1">#REF!</definedName>
    <definedName name="XRefCopy20" localSheetId="5" hidden="1">#REF!</definedName>
    <definedName name="XRefCopy20" localSheetId="4" hidden="1">#REF!</definedName>
    <definedName name="XRefCopy20" localSheetId="3" hidden="1">#REF!</definedName>
    <definedName name="XRefCopy20" localSheetId="1" hidden="1">#REF!</definedName>
    <definedName name="XRefCopy20" hidden="1">#REF!</definedName>
    <definedName name="XRefCopy20Row" localSheetId="5" hidden="1">#REF!</definedName>
    <definedName name="XRefCopy20Row" localSheetId="4" hidden="1">#REF!</definedName>
    <definedName name="XRefCopy20Row" localSheetId="3" hidden="1">#REF!</definedName>
    <definedName name="XRefCopy20Row" localSheetId="1" hidden="1">#REF!</definedName>
    <definedName name="XRefCopy20Row" hidden="1">#REF!</definedName>
    <definedName name="XRefCopy21" localSheetId="5" hidden="1">#REF!</definedName>
    <definedName name="XRefCopy21" localSheetId="4" hidden="1">#REF!</definedName>
    <definedName name="XRefCopy21" localSheetId="3" hidden="1">#REF!</definedName>
    <definedName name="XRefCopy21" localSheetId="1" hidden="1">#REF!</definedName>
    <definedName name="XRefCopy21" hidden="1">#REF!</definedName>
    <definedName name="XRefCopy21Row" localSheetId="5" hidden="1">#REF!</definedName>
    <definedName name="XRefCopy21Row" localSheetId="4" hidden="1">#REF!</definedName>
    <definedName name="XRefCopy21Row" localSheetId="3" hidden="1">#REF!</definedName>
    <definedName name="XRefCopy21Row" localSheetId="1" hidden="1">#REF!</definedName>
    <definedName name="XRefCopy21Row" hidden="1">#REF!</definedName>
    <definedName name="XRefCopy22" localSheetId="5" hidden="1">#REF!</definedName>
    <definedName name="XRefCopy22" localSheetId="4" hidden="1">#REF!</definedName>
    <definedName name="XRefCopy22" localSheetId="3" hidden="1">#REF!</definedName>
    <definedName name="XRefCopy22" localSheetId="1" hidden="1">#REF!</definedName>
    <definedName name="XRefCopy22" hidden="1">#REF!</definedName>
    <definedName name="XRefCopy22Row" localSheetId="5" hidden="1">#REF!</definedName>
    <definedName name="XRefCopy22Row" localSheetId="4" hidden="1">#REF!</definedName>
    <definedName name="XRefCopy22Row" localSheetId="3" hidden="1">#REF!</definedName>
    <definedName name="XRefCopy22Row" localSheetId="1" hidden="1">#REF!</definedName>
    <definedName name="XRefCopy22Row" hidden="1">#REF!</definedName>
    <definedName name="XRefCopy23" localSheetId="5" hidden="1">#REF!</definedName>
    <definedName name="XRefCopy23" localSheetId="4" hidden="1">#REF!</definedName>
    <definedName name="XRefCopy23" localSheetId="3" hidden="1">#REF!</definedName>
    <definedName name="XRefCopy23" localSheetId="1" hidden="1">#REF!</definedName>
    <definedName name="XRefCopy23" hidden="1">#REF!</definedName>
    <definedName name="XRefCopy23Row" localSheetId="5" hidden="1">#REF!</definedName>
    <definedName name="XRefCopy23Row" localSheetId="4" hidden="1">#REF!</definedName>
    <definedName name="XRefCopy23Row" localSheetId="3" hidden="1">#REF!</definedName>
    <definedName name="XRefCopy23Row" localSheetId="1" hidden="1">#REF!</definedName>
    <definedName name="XRefCopy23Row" hidden="1">#REF!</definedName>
    <definedName name="XRefCopy24" localSheetId="5" hidden="1">#REF!</definedName>
    <definedName name="XRefCopy24" localSheetId="4" hidden="1">#REF!</definedName>
    <definedName name="XRefCopy24" localSheetId="3" hidden="1">#REF!</definedName>
    <definedName name="XRefCopy24" localSheetId="1" hidden="1">#REF!</definedName>
    <definedName name="XRefCopy24" hidden="1">#REF!</definedName>
    <definedName name="XRefCopy24Row" localSheetId="5" hidden="1">#REF!</definedName>
    <definedName name="XRefCopy24Row" localSheetId="4" hidden="1">#REF!</definedName>
    <definedName name="XRefCopy24Row" localSheetId="3" hidden="1">#REF!</definedName>
    <definedName name="XRefCopy24Row" localSheetId="1" hidden="1">#REF!</definedName>
    <definedName name="XRefCopy24Row" hidden="1">#REF!</definedName>
    <definedName name="XRefCopy25" localSheetId="5" hidden="1">#REF!</definedName>
    <definedName name="XRefCopy25" localSheetId="4" hidden="1">#REF!</definedName>
    <definedName name="XRefCopy25" localSheetId="3" hidden="1">#REF!</definedName>
    <definedName name="XRefCopy25" localSheetId="1" hidden="1">#REF!</definedName>
    <definedName name="XRefCopy25" hidden="1">#REF!</definedName>
    <definedName name="XRefCopy25Row" localSheetId="5" hidden="1">#REF!</definedName>
    <definedName name="XRefCopy25Row" localSheetId="4" hidden="1">#REF!</definedName>
    <definedName name="XRefCopy25Row" localSheetId="3" hidden="1">#REF!</definedName>
    <definedName name="XRefCopy25Row" localSheetId="1" hidden="1">#REF!</definedName>
    <definedName name="XRefCopy25Row" hidden="1">#REF!</definedName>
    <definedName name="XRefCopy26" localSheetId="5" hidden="1">#REF!</definedName>
    <definedName name="XRefCopy26" localSheetId="4" hidden="1">#REF!</definedName>
    <definedName name="XRefCopy26" localSheetId="3" hidden="1">#REF!</definedName>
    <definedName name="XRefCopy26" localSheetId="1" hidden="1">#REF!</definedName>
    <definedName name="XRefCopy26" hidden="1">#REF!</definedName>
    <definedName name="XRefCopy26Row" localSheetId="5" hidden="1">#REF!</definedName>
    <definedName name="XRefCopy26Row" localSheetId="4" hidden="1">#REF!</definedName>
    <definedName name="XRefCopy26Row" localSheetId="3" hidden="1">#REF!</definedName>
    <definedName name="XRefCopy26Row" localSheetId="1" hidden="1">#REF!</definedName>
    <definedName name="XRefCopy26Row" hidden="1">#REF!</definedName>
    <definedName name="XRefCopy27" localSheetId="5" hidden="1">#REF!</definedName>
    <definedName name="XRefCopy27" localSheetId="4" hidden="1">#REF!</definedName>
    <definedName name="XRefCopy27" localSheetId="3" hidden="1">#REF!</definedName>
    <definedName name="XRefCopy27" localSheetId="1" hidden="1">#REF!</definedName>
    <definedName name="XRefCopy27" hidden="1">#REF!</definedName>
    <definedName name="XRefCopy27Row" localSheetId="3" hidden="1">#REF!</definedName>
    <definedName name="XRefCopy27Row" localSheetId="1" hidden="1">#REF!</definedName>
    <definedName name="XRefCopy27Row" hidden="1">#REF!</definedName>
    <definedName name="XRefCopy28" localSheetId="3" hidden="1">#REF!</definedName>
    <definedName name="XRefCopy28" localSheetId="1" hidden="1">#REF!</definedName>
    <definedName name="XRefCopy28" hidden="1">#REF!</definedName>
    <definedName name="XRefCopy28Row" localSheetId="5" hidden="1">#REF!</definedName>
    <definedName name="XRefCopy28Row" localSheetId="4" hidden="1">#REF!</definedName>
    <definedName name="XRefCopy28Row" localSheetId="3" hidden="1">#REF!</definedName>
    <definedName name="XRefCopy28Row" localSheetId="1" hidden="1">#REF!</definedName>
    <definedName name="XRefCopy28Row" hidden="1">#REF!</definedName>
    <definedName name="XRefCopy29" localSheetId="3" hidden="1">#REF!</definedName>
    <definedName name="XRefCopy29" localSheetId="1" hidden="1">#REF!</definedName>
    <definedName name="XRefCopy29" hidden="1">#REF!</definedName>
    <definedName name="XRefCopy29Row" localSheetId="5" hidden="1">#REF!</definedName>
    <definedName name="XRefCopy29Row" localSheetId="4" hidden="1">#REF!</definedName>
    <definedName name="XRefCopy29Row" localSheetId="3" hidden="1">#REF!</definedName>
    <definedName name="XRefCopy29Row" localSheetId="1" hidden="1">#REF!</definedName>
    <definedName name="XRefCopy29Row" hidden="1">#REF!</definedName>
    <definedName name="XRefCopy2Row" localSheetId="5" hidden="1">#REF!</definedName>
    <definedName name="XRefCopy2Row" localSheetId="4" hidden="1">#REF!</definedName>
    <definedName name="XRefCopy2Row" localSheetId="3" hidden="1">#REF!</definedName>
    <definedName name="XRefCopy2Row" localSheetId="1" hidden="1">#REF!</definedName>
    <definedName name="XRefCopy2Row" hidden="1">#REF!</definedName>
    <definedName name="XRefCopy3" localSheetId="3" hidden="1">#REF!</definedName>
    <definedName name="XRefCopy3" localSheetId="1" hidden="1">#REF!</definedName>
    <definedName name="XRefCopy3" hidden="1">#REF!</definedName>
    <definedName name="XRefCopy30" localSheetId="3" hidden="1">#REF!</definedName>
    <definedName name="XRefCopy30" localSheetId="1" hidden="1">#REF!</definedName>
    <definedName name="XRefCopy30" hidden="1">#REF!</definedName>
    <definedName name="XRefCopy30Row" localSheetId="5" hidden="1">#REF!</definedName>
    <definedName name="XRefCopy30Row" localSheetId="4" hidden="1">#REF!</definedName>
    <definedName name="XRefCopy30Row" localSheetId="3" hidden="1">#REF!</definedName>
    <definedName name="XRefCopy30Row" localSheetId="1" hidden="1">#REF!</definedName>
    <definedName name="XRefCopy30Row" hidden="1">#REF!</definedName>
    <definedName name="XRefCopy31" localSheetId="3" hidden="1">#REF!</definedName>
    <definedName name="XRefCopy31" localSheetId="1" hidden="1">#REF!</definedName>
    <definedName name="XRefCopy31" hidden="1">#REF!</definedName>
    <definedName name="XRefCopy31Row" localSheetId="5" hidden="1">#REF!</definedName>
    <definedName name="XRefCopy31Row" localSheetId="4" hidden="1">#REF!</definedName>
    <definedName name="XRefCopy31Row" localSheetId="3" hidden="1">#REF!</definedName>
    <definedName name="XRefCopy31Row" localSheetId="1" hidden="1">#REF!</definedName>
    <definedName name="XRefCopy31Row" hidden="1">#REF!</definedName>
    <definedName name="XRefCopy32" localSheetId="3" hidden="1">#REF!</definedName>
    <definedName name="XRefCopy32" localSheetId="1" hidden="1">#REF!</definedName>
    <definedName name="XRefCopy32" hidden="1">#REF!</definedName>
    <definedName name="XRefCopy32Row" localSheetId="5" hidden="1">#REF!</definedName>
    <definedName name="XRefCopy32Row" localSheetId="4" hidden="1">#REF!</definedName>
    <definedName name="XRefCopy32Row" localSheetId="3" hidden="1">#REF!</definedName>
    <definedName name="XRefCopy32Row" localSheetId="1" hidden="1">#REF!</definedName>
    <definedName name="XRefCopy32Row" hidden="1">#REF!</definedName>
    <definedName name="XRefCopy33" localSheetId="3" hidden="1">#REF!</definedName>
    <definedName name="XRefCopy33" localSheetId="1" hidden="1">#REF!</definedName>
    <definedName name="XRefCopy33" hidden="1">#REF!</definedName>
    <definedName name="XRefCopy33Row" localSheetId="5" hidden="1">#REF!</definedName>
    <definedName name="XRefCopy33Row" localSheetId="4" hidden="1">#REF!</definedName>
    <definedName name="XRefCopy33Row" localSheetId="3" hidden="1">#REF!</definedName>
    <definedName name="XRefCopy33Row" localSheetId="1" hidden="1">#REF!</definedName>
    <definedName name="XRefCopy33Row" hidden="1">#REF!</definedName>
    <definedName name="XRefCopy34" localSheetId="3" hidden="1">#REF!</definedName>
    <definedName name="XRefCopy34" localSheetId="1" hidden="1">#REF!</definedName>
    <definedName name="XRefCopy34" hidden="1">#REF!</definedName>
    <definedName name="XRefCopy35" localSheetId="3" hidden="1">#REF!</definedName>
    <definedName name="XRefCopy35" localSheetId="1" hidden="1">#REF!</definedName>
    <definedName name="XRefCopy35" hidden="1">#REF!</definedName>
    <definedName name="XRefCopy35Row" localSheetId="5" hidden="1">#REF!</definedName>
    <definedName name="XRefCopy35Row" localSheetId="4" hidden="1">#REF!</definedName>
    <definedName name="XRefCopy35Row" localSheetId="3" hidden="1">#REF!</definedName>
    <definedName name="XRefCopy35Row" localSheetId="1" hidden="1">#REF!</definedName>
    <definedName name="XRefCopy35Row" hidden="1">#REF!</definedName>
    <definedName name="XRefCopy36" localSheetId="3" hidden="1">#REF!</definedName>
    <definedName name="XRefCopy36" localSheetId="1" hidden="1">#REF!</definedName>
    <definedName name="XRefCopy36" hidden="1">#REF!</definedName>
    <definedName name="XRefCopy36Row" localSheetId="5" hidden="1">#REF!</definedName>
    <definedName name="XRefCopy36Row" localSheetId="4" hidden="1">#REF!</definedName>
    <definedName name="XRefCopy36Row" localSheetId="3" hidden="1">#REF!</definedName>
    <definedName name="XRefCopy36Row" localSheetId="1" hidden="1">#REF!</definedName>
    <definedName name="XRefCopy36Row" hidden="1">#REF!</definedName>
    <definedName name="XRefCopy37" localSheetId="3" hidden="1">#REF!</definedName>
    <definedName name="XRefCopy37" localSheetId="1" hidden="1">#REF!</definedName>
    <definedName name="XRefCopy37" hidden="1">#REF!</definedName>
    <definedName name="XRefCopy37Row" localSheetId="5" hidden="1">#REF!</definedName>
    <definedName name="XRefCopy37Row" localSheetId="4" hidden="1">#REF!</definedName>
    <definedName name="XRefCopy37Row" localSheetId="3" hidden="1">#REF!</definedName>
    <definedName name="XRefCopy37Row" localSheetId="1" hidden="1">#REF!</definedName>
    <definedName name="XRefCopy37Row" hidden="1">#REF!</definedName>
    <definedName name="XRefCopy38" localSheetId="3" hidden="1">#REF!</definedName>
    <definedName name="XRefCopy38" localSheetId="1" hidden="1">#REF!</definedName>
    <definedName name="XRefCopy38" hidden="1">#REF!</definedName>
    <definedName name="XRefCopy38Row" localSheetId="5" hidden="1">#REF!</definedName>
    <definedName name="XRefCopy38Row" localSheetId="4" hidden="1">#REF!</definedName>
    <definedName name="XRefCopy38Row" localSheetId="3" hidden="1">#REF!</definedName>
    <definedName name="XRefCopy38Row" localSheetId="1" hidden="1">#REF!</definedName>
    <definedName name="XRefCopy38Row" hidden="1">#REF!</definedName>
    <definedName name="XRefCopy39" localSheetId="3" hidden="1">#REF!</definedName>
    <definedName name="XRefCopy39" localSheetId="1" hidden="1">#REF!</definedName>
    <definedName name="XRefCopy39" hidden="1">#REF!</definedName>
    <definedName name="XRefCopy39Row" localSheetId="5" hidden="1">#REF!</definedName>
    <definedName name="XRefCopy39Row" localSheetId="4" hidden="1">#REF!</definedName>
    <definedName name="XRefCopy39Row" localSheetId="3" hidden="1">#REF!</definedName>
    <definedName name="XRefCopy39Row" localSheetId="1" hidden="1">#REF!</definedName>
    <definedName name="XRefCopy39Row" hidden="1">#REF!</definedName>
    <definedName name="XRefCopy3Row" localSheetId="5" hidden="1">#REF!</definedName>
    <definedName name="XRefCopy3Row" localSheetId="4" hidden="1">#REF!</definedName>
    <definedName name="XRefCopy3Row" localSheetId="3" hidden="1">#REF!</definedName>
    <definedName name="XRefCopy3Row" localSheetId="1" hidden="1">#REF!</definedName>
    <definedName name="XRefCopy3Row" hidden="1">#REF!</definedName>
    <definedName name="XRefCopy4" localSheetId="5" hidden="1">#REF!</definedName>
    <definedName name="XRefCopy4" localSheetId="4" hidden="1">#REF!</definedName>
    <definedName name="XRefCopy4" localSheetId="3" hidden="1">#REF!</definedName>
    <definedName name="XRefCopy4" localSheetId="1" hidden="1">#REF!</definedName>
    <definedName name="XRefCopy4" hidden="1">#REF!</definedName>
    <definedName name="XRefCopy40" localSheetId="3" hidden="1">#REF!</definedName>
    <definedName name="XRefCopy40" localSheetId="1" hidden="1">#REF!</definedName>
    <definedName name="XRefCopy40" hidden="1">#REF!</definedName>
    <definedName name="XRefCopy40Row" localSheetId="5" hidden="1">#REF!</definedName>
    <definedName name="XRefCopy40Row" localSheetId="4" hidden="1">#REF!</definedName>
    <definedName name="XRefCopy40Row" localSheetId="3" hidden="1">#REF!</definedName>
    <definedName name="XRefCopy40Row" localSheetId="1" hidden="1">#REF!</definedName>
    <definedName name="XRefCopy40Row" hidden="1">#REF!</definedName>
    <definedName name="XRefCopy41" localSheetId="3" hidden="1">#REF!</definedName>
    <definedName name="XRefCopy41" localSheetId="1" hidden="1">#REF!</definedName>
    <definedName name="XRefCopy41" hidden="1">#REF!</definedName>
    <definedName name="XRefCopy41Row" localSheetId="5" hidden="1">#REF!</definedName>
    <definedName name="XRefCopy41Row" localSheetId="4" hidden="1">#REF!</definedName>
    <definedName name="XRefCopy41Row" localSheetId="3" hidden="1">#REF!</definedName>
    <definedName name="XRefCopy41Row" localSheetId="1" hidden="1">#REF!</definedName>
    <definedName name="XRefCopy41Row" hidden="1">#REF!</definedName>
    <definedName name="XRefCopy42" localSheetId="3" hidden="1">#REF!</definedName>
    <definedName name="XRefCopy42" localSheetId="1" hidden="1">#REF!</definedName>
    <definedName name="XRefCopy42" hidden="1">#REF!</definedName>
    <definedName name="XRefCopy42Row" localSheetId="5" hidden="1">#REF!</definedName>
    <definedName name="XRefCopy42Row" localSheetId="4" hidden="1">#REF!</definedName>
    <definedName name="XRefCopy42Row" localSheetId="3" hidden="1">#REF!</definedName>
    <definedName name="XRefCopy42Row" localSheetId="1" hidden="1">#REF!</definedName>
    <definedName name="XRefCopy42Row" hidden="1">#REF!</definedName>
    <definedName name="XRefCopy43" localSheetId="3" hidden="1">#REF!</definedName>
    <definedName name="XRefCopy43" localSheetId="1" hidden="1">#REF!</definedName>
    <definedName name="XRefCopy43" hidden="1">#REF!</definedName>
    <definedName name="XRefCopy43Row" localSheetId="5" hidden="1">#REF!</definedName>
    <definedName name="XRefCopy43Row" localSheetId="4" hidden="1">#REF!</definedName>
    <definedName name="XRefCopy43Row" localSheetId="3" hidden="1">#REF!</definedName>
    <definedName name="XRefCopy43Row" localSheetId="1" hidden="1">#REF!</definedName>
    <definedName name="XRefCopy43Row" hidden="1">#REF!</definedName>
    <definedName name="XRefCopy44" localSheetId="3" hidden="1">#REF!</definedName>
    <definedName name="XRefCopy44" localSheetId="1" hidden="1">#REF!</definedName>
    <definedName name="XRefCopy44" hidden="1">#REF!</definedName>
    <definedName name="XRefCopy44Row" localSheetId="5" hidden="1">#REF!</definedName>
    <definedName name="XRefCopy44Row" localSheetId="4" hidden="1">#REF!</definedName>
    <definedName name="XRefCopy44Row" localSheetId="3" hidden="1">#REF!</definedName>
    <definedName name="XRefCopy44Row" localSheetId="1" hidden="1">#REF!</definedName>
    <definedName name="XRefCopy44Row" hidden="1">#REF!</definedName>
    <definedName name="XRefCopy45" localSheetId="3" hidden="1">#REF!</definedName>
    <definedName name="XRefCopy45" localSheetId="1" hidden="1">#REF!</definedName>
    <definedName name="XRefCopy45" hidden="1">#REF!</definedName>
    <definedName name="XRefCopy45Row" localSheetId="5" hidden="1">#REF!</definedName>
    <definedName name="XRefCopy45Row" localSheetId="4" hidden="1">#REF!</definedName>
    <definedName name="XRefCopy45Row" localSheetId="3" hidden="1">#REF!</definedName>
    <definedName name="XRefCopy45Row" localSheetId="1" hidden="1">#REF!</definedName>
    <definedName name="XRefCopy45Row" hidden="1">#REF!</definedName>
    <definedName name="XRefCopy46" localSheetId="5" hidden="1">#REF!</definedName>
    <definedName name="XRefCopy46" localSheetId="4" hidden="1">#REF!</definedName>
    <definedName name="XRefCopy46" localSheetId="3" hidden="1">#REF!</definedName>
    <definedName name="XRefCopy46" localSheetId="1" hidden="1">#REF!</definedName>
    <definedName name="XRefCopy46" hidden="1">#REF!</definedName>
    <definedName name="XRefCopy47" localSheetId="5" hidden="1">#REF!</definedName>
    <definedName name="XRefCopy47" localSheetId="4" hidden="1">#REF!</definedName>
    <definedName name="XRefCopy47" localSheetId="3" hidden="1">#REF!</definedName>
    <definedName name="XRefCopy47" localSheetId="1" hidden="1">#REF!</definedName>
    <definedName name="XRefCopy47" hidden="1">#REF!</definedName>
    <definedName name="XRefCopy47Row" localSheetId="5" hidden="1">#REF!</definedName>
    <definedName name="XRefCopy47Row" localSheetId="4" hidden="1">#REF!</definedName>
    <definedName name="XRefCopy47Row" localSheetId="3" hidden="1">#REF!</definedName>
    <definedName name="XRefCopy47Row" localSheetId="1" hidden="1">#REF!</definedName>
    <definedName name="XRefCopy47Row" hidden="1">#REF!</definedName>
    <definedName name="XRefCopy48" localSheetId="5" hidden="1">#REF!</definedName>
    <definedName name="XRefCopy48" localSheetId="4" hidden="1">#REF!</definedName>
    <definedName name="XRefCopy48" localSheetId="3" hidden="1">#REF!</definedName>
    <definedName name="XRefCopy48" localSheetId="1" hidden="1">#REF!</definedName>
    <definedName name="XRefCopy48" hidden="1">#REF!</definedName>
    <definedName name="XRefCopy49" localSheetId="3" hidden="1">#REF!</definedName>
    <definedName name="XRefCopy49" localSheetId="1" hidden="1">#REF!</definedName>
    <definedName name="XRefCopy49" hidden="1">#REF!</definedName>
    <definedName name="XRefCopy4Row" localSheetId="5" hidden="1">#REF!</definedName>
    <definedName name="XRefCopy4Row" localSheetId="4" hidden="1">#REF!</definedName>
    <definedName name="XRefCopy4Row" localSheetId="3" hidden="1">#REF!</definedName>
    <definedName name="XRefCopy4Row" localSheetId="1" hidden="1">#REF!</definedName>
    <definedName name="XRefCopy4Row" hidden="1">#REF!</definedName>
    <definedName name="XRefCopy5" localSheetId="5" hidden="1">#REF!</definedName>
    <definedName name="XRefCopy5" localSheetId="4" hidden="1">#REF!</definedName>
    <definedName name="XRefCopy5" localSheetId="3" hidden="1">#REF!</definedName>
    <definedName name="XRefCopy5" localSheetId="1" hidden="1">#REF!</definedName>
    <definedName name="XRefCopy5" hidden="1">#REF!</definedName>
    <definedName name="XRefCopy50" localSheetId="3" hidden="1">#REF!</definedName>
    <definedName name="XRefCopy50" localSheetId="1" hidden="1">#REF!</definedName>
    <definedName name="XRefCopy50" hidden="1">#REF!</definedName>
    <definedName name="XRefCopy51" localSheetId="5" hidden="1">#REF!</definedName>
    <definedName name="XRefCopy51" localSheetId="4" hidden="1">#REF!</definedName>
    <definedName name="XRefCopy51" localSheetId="3" hidden="1">#REF!</definedName>
    <definedName name="XRefCopy51" localSheetId="1" hidden="1">#REF!</definedName>
    <definedName name="XRefCopy51" hidden="1">#REF!</definedName>
    <definedName name="XRefCopy52" localSheetId="5" hidden="1">#REF!</definedName>
    <definedName name="XRefCopy52" localSheetId="4" hidden="1">#REF!</definedName>
    <definedName name="XRefCopy52" localSheetId="3" hidden="1">#REF!</definedName>
    <definedName name="XRefCopy52" localSheetId="1" hidden="1">#REF!</definedName>
    <definedName name="XRefCopy52" hidden="1">#REF!</definedName>
    <definedName name="XRefCopy53" localSheetId="5" hidden="1">#REF!</definedName>
    <definedName name="XRefCopy53" localSheetId="4" hidden="1">#REF!</definedName>
    <definedName name="XRefCopy53" localSheetId="3" hidden="1">#REF!</definedName>
    <definedName name="XRefCopy53" localSheetId="1" hidden="1">#REF!</definedName>
    <definedName name="XRefCopy53" hidden="1">#REF!</definedName>
    <definedName name="XRefCopy54" localSheetId="5" hidden="1">#REF!</definedName>
    <definedName name="XRefCopy54" localSheetId="4" hidden="1">#REF!</definedName>
    <definedName name="XRefCopy54" localSheetId="3" hidden="1">#REF!</definedName>
    <definedName name="XRefCopy54" localSheetId="1" hidden="1">#REF!</definedName>
    <definedName name="XRefCopy54" hidden="1">#REF!</definedName>
    <definedName name="XRefCopy55" localSheetId="5" hidden="1">#REF!</definedName>
    <definedName name="XRefCopy55" localSheetId="4" hidden="1">#REF!</definedName>
    <definedName name="XRefCopy55" localSheetId="3" hidden="1">#REF!</definedName>
    <definedName name="XRefCopy55" localSheetId="1" hidden="1">#REF!</definedName>
    <definedName name="XRefCopy55" hidden="1">#REF!</definedName>
    <definedName name="XRefCopy56" localSheetId="5" hidden="1">#REF!</definedName>
    <definedName name="XRefCopy56" localSheetId="4" hidden="1">#REF!</definedName>
    <definedName name="XRefCopy56" localSheetId="3" hidden="1">#REF!</definedName>
    <definedName name="XRefCopy56" localSheetId="1" hidden="1">#REF!</definedName>
    <definedName name="XRefCopy56" hidden="1">#REF!</definedName>
    <definedName name="XRefCopy57" localSheetId="5" hidden="1">#REF!</definedName>
    <definedName name="XRefCopy57" localSheetId="4" hidden="1">#REF!</definedName>
    <definedName name="XRefCopy57" localSheetId="3" hidden="1">#REF!</definedName>
    <definedName name="XRefCopy57" localSheetId="1" hidden="1">#REF!</definedName>
    <definedName name="XRefCopy57" hidden="1">#REF!</definedName>
    <definedName name="XRefCopy58" localSheetId="5" hidden="1">#REF!</definedName>
    <definedName name="XRefCopy58" localSheetId="4" hidden="1">#REF!</definedName>
    <definedName name="XRefCopy58" localSheetId="3" hidden="1">#REF!</definedName>
    <definedName name="XRefCopy58" localSheetId="1" hidden="1">#REF!</definedName>
    <definedName name="XRefCopy58" hidden="1">#REF!</definedName>
    <definedName name="XRefCopy59" localSheetId="5" hidden="1">#REF!</definedName>
    <definedName name="XRefCopy59" localSheetId="4" hidden="1">#REF!</definedName>
    <definedName name="XRefCopy59" localSheetId="3" hidden="1">#REF!</definedName>
    <definedName name="XRefCopy59" localSheetId="1" hidden="1">#REF!</definedName>
    <definedName name="XRefCopy59" hidden="1">#REF!</definedName>
    <definedName name="XRefCopy5Row" localSheetId="5" hidden="1">#REF!</definedName>
    <definedName name="XRefCopy5Row" localSheetId="4" hidden="1">#REF!</definedName>
    <definedName name="XRefCopy5Row" localSheetId="3" hidden="1">#REF!</definedName>
    <definedName name="XRefCopy5Row" localSheetId="1" hidden="1">#REF!</definedName>
    <definedName name="XRefCopy5Row" hidden="1">#REF!</definedName>
    <definedName name="XRefCopy6" localSheetId="5" hidden="1">#REF!</definedName>
    <definedName name="XRefCopy6" localSheetId="4" hidden="1">#REF!</definedName>
    <definedName name="XRefCopy6" localSheetId="3" hidden="1">#REF!</definedName>
    <definedName name="XRefCopy6" localSheetId="1" hidden="1">#REF!</definedName>
    <definedName name="XRefCopy6" hidden="1">#REF!</definedName>
    <definedName name="XRefCopy60" localSheetId="5" hidden="1">#REF!</definedName>
    <definedName name="XRefCopy60" localSheetId="4" hidden="1">#REF!</definedName>
    <definedName name="XRefCopy60" localSheetId="3" hidden="1">#REF!</definedName>
    <definedName name="XRefCopy60" localSheetId="1" hidden="1">#REF!</definedName>
    <definedName name="XRefCopy60" hidden="1">#REF!</definedName>
    <definedName name="XRefCopy61" localSheetId="5" hidden="1">#REF!</definedName>
    <definedName name="XRefCopy61" localSheetId="4" hidden="1">#REF!</definedName>
    <definedName name="XRefCopy61" localSheetId="3" hidden="1">#REF!</definedName>
    <definedName name="XRefCopy61" localSheetId="1" hidden="1">#REF!</definedName>
    <definedName name="XRefCopy61" hidden="1">#REF!</definedName>
    <definedName name="XRefCopy62" localSheetId="5" hidden="1">#REF!</definedName>
    <definedName name="XRefCopy62" localSheetId="4" hidden="1">#REF!</definedName>
    <definedName name="XRefCopy62" localSheetId="3" hidden="1">#REF!</definedName>
    <definedName name="XRefCopy62" localSheetId="1" hidden="1">#REF!</definedName>
    <definedName name="XRefCopy62" hidden="1">#REF!</definedName>
    <definedName name="XRefCopy63" localSheetId="5" hidden="1">#REF!</definedName>
    <definedName name="XRefCopy63" localSheetId="4" hidden="1">#REF!</definedName>
    <definedName name="XRefCopy63" localSheetId="3" hidden="1">#REF!</definedName>
    <definedName name="XRefCopy63" localSheetId="1" hidden="1">#REF!</definedName>
    <definedName name="XRefCopy63" hidden="1">#REF!</definedName>
    <definedName name="XRefCopy64" localSheetId="3" hidden="1">#REF!</definedName>
    <definedName name="XRefCopy64" localSheetId="1" hidden="1">#REF!</definedName>
    <definedName name="XRefCopy64" hidden="1">#REF!</definedName>
    <definedName name="XRefCopy65" localSheetId="3" hidden="1">#REF!</definedName>
    <definedName name="XRefCopy65" localSheetId="1" hidden="1">#REF!</definedName>
    <definedName name="XRefCopy65" hidden="1">#REF!</definedName>
    <definedName name="XRefCopy66" localSheetId="3" hidden="1">#REF!</definedName>
    <definedName name="XRefCopy66" localSheetId="1" hidden="1">#REF!</definedName>
    <definedName name="XRefCopy66" hidden="1">#REF!</definedName>
    <definedName name="XRefCopy67" localSheetId="5" hidden="1">#REF!</definedName>
    <definedName name="XRefCopy67" localSheetId="4" hidden="1">#REF!</definedName>
    <definedName name="XRefCopy67" localSheetId="3" hidden="1">#REF!</definedName>
    <definedName name="XRefCopy67" localSheetId="1" hidden="1">#REF!</definedName>
    <definedName name="XRefCopy67" hidden="1">#REF!</definedName>
    <definedName name="XRefCopy69" localSheetId="5" hidden="1">#REF!</definedName>
    <definedName name="XRefCopy69" localSheetId="4" hidden="1">#REF!</definedName>
    <definedName name="XRefCopy69" localSheetId="3" hidden="1">#REF!</definedName>
    <definedName name="XRefCopy69" localSheetId="1" hidden="1">#REF!</definedName>
    <definedName name="XRefCopy69" hidden="1">#REF!</definedName>
    <definedName name="XRefCopy6Row" localSheetId="5" hidden="1">#REF!</definedName>
    <definedName name="XRefCopy6Row" localSheetId="4" hidden="1">#REF!</definedName>
    <definedName name="XRefCopy6Row" localSheetId="3" hidden="1">#REF!</definedName>
    <definedName name="XRefCopy6Row" localSheetId="1" hidden="1">#REF!</definedName>
    <definedName name="XRefCopy6Row" hidden="1">#REF!</definedName>
    <definedName name="XRefCopy7" localSheetId="5" hidden="1">#REF!</definedName>
    <definedName name="XRefCopy7" localSheetId="4" hidden="1">#REF!</definedName>
    <definedName name="XRefCopy7" localSheetId="3" hidden="1">#REF!</definedName>
    <definedName name="XRefCopy7" localSheetId="1" hidden="1">#REF!</definedName>
    <definedName name="XRefCopy7" hidden="1">#REF!</definedName>
    <definedName name="XRefCopy70" localSheetId="5" hidden="1">#REF!</definedName>
    <definedName name="XRefCopy70" localSheetId="4" hidden="1">#REF!</definedName>
    <definedName name="XRefCopy70" localSheetId="3" hidden="1">#REF!</definedName>
    <definedName name="XRefCopy70" localSheetId="1" hidden="1">#REF!</definedName>
    <definedName name="XRefCopy70" hidden="1">#REF!</definedName>
    <definedName name="XRefCopy71" localSheetId="3" hidden="1">#REF!</definedName>
    <definedName name="XRefCopy71" localSheetId="1" hidden="1">#REF!</definedName>
    <definedName name="XRefCopy71" hidden="1">#REF!</definedName>
    <definedName name="XRefCopy72" localSheetId="5" hidden="1">#REF!</definedName>
    <definedName name="XRefCopy72" localSheetId="4" hidden="1">#REF!</definedName>
    <definedName name="XRefCopy72" localSheetId="3" hidden="1">#REF!</definedName>
    <definedName name="XRefCopy72" localSheetId="1" hidden="1">#REF!</definedName>
    <definedName name="XRefCopy72" hidden="1">#REF!</definedName>
    <definedName name="XRefCopy73" localSheetId="5" hidden="1">#REF!</definedName>
    <definedName name="XRefCopy73" localSheetId="4" hidden="1">#REF!</definedName>
    <definedName name="XRefCopy73" localSheetId="3" hidden="1">#REF!</definedName>
    <definedName name="XRefCopy73" localSheetId="1" hidden="1">#REF!</definedName>
    <definedName name="XRefCopy73" hidden="1">#REF!</definedName>
    <definedName name="XRefCopy74" localSheetId="5" hidden="1">#REF!</definedName>
    <definedName name="XRefCopy74" localSheetId="4" hidden="1">#REF!</definedName>
    <definedName name="XRefCopy74" localSheetId="3" hidden="1">#REF!</definedName>
    <definedName name="XRefCopy74" localSheetId="1" hidden="1">#REF!</definedName>
    <definedName name="XRefCopy74" hidden="1">#REF!</definedName>
    <definedName name="XRefCopy76" localSheetId="5" hidden="1">#REF!</definedName>
    <definedName name="XRefCopy76" localSheetId="4" hidden="1">#REF!</definedName>
    <definedName name="XRefCopy76" localSheetId="3" hidden="1">#REF!</definedName>
    <definedName name="XRefCopy76" localSheetId="1" hidden="1">#REF!</definedName>
    <definedName name="XRefCopy76" hidden="1">#REF!</definedName>
    <definedName name="XRefCopy77" localSheetId="5" hidden="1">#REF!</definedName>
    <definedName name="XRefCopy77" localSheetId="4" hidden="1">#REF!</definedName>
    <definedName name="XRefCopy77" localSheetId="3" hidden="1">#REF!</definedName>
    <definedName name="XRefCopy77" localSheetId="1" hidden="1">#REF!</definedName>
    <definedName name="XRefCopy77" hidden="1">#REF!</definedName>
    <definedName name="XRefCopy78" localSheetId="5" hidden="1">#REF!</definedName>
    <definedName name="XRefCopy78" localSheetId="4" hidden="1">#REF!</definedName>
    <definedName name="XRefCopy78" localSheetId="3" hidden="1">#REF!</definedName>
    <definedName name="XRefCopy78" localSheetId="1" hidden="1">#REF!</definedName>
    <definedName name="XRefCopy78" hidden="1">#REF!</definedName>
    <definedName name="XRefCopy79" localSheetId="5" hidden="1">#REF!</definedName>
    <definedName name="XRefCopy79" localSheetId="4" hidden="1">#REF!</definedName>
    <definedName name="XRefCopy79" localSheetId="3" hidden="1">#REF!</definedName>
    <definedName name="XRefCopy79" localSheetId="1" hidden="1">#REF!</definedName>
    <definedName name="XRefCopy79" hidden="1">#REF!</definedName>
    <definedName name="XRefCopy7Row" localSheetId="5" hidden="1">#REF!</definedName>
    <definedName name="XRefCopy7Row" localSheetId="4" hidden="1">#REF!</definedName>
    <definedName name="XRefCopy7Row" localSheetId="3" hidden="1">#REF!</definedName>
    <definedName name="XRefCopy7Row" localSheetId="1" hidden="1">#REF!</definedName>
    <definedName name="XRefCopy7Row" hidden="1">#REF!</definedName>
    <definedName name="XRefCopy8" localSheetId="5" hidden="1">#REF!</definedName>
    <definedName name="XRefCopy8" localSheetId="4" hidden="1">#REF!</definedName>
    <definedName name="XRefCopy8" localSheetId="3" hidden="1">#REF!</definedName>
    <definedName name="XRefCopy8" localSheetId="1" hidden="1">#REF!</definedName>
    <definedName name="XRefCopy8" hidden="1">#REF!</definedName>
    <definedName name="XRefCopy80" localSheetId="5" hidden="1">#REF!</definedName>
    <definedName name="XRefCopy80" localSheetId="4" hidden="1">#REF!</definedName>
    <definedName name="XRefCopy80" localSheetId="3" hidden="1">#REF!</definedName>
    <definedName name="XRefCopy80" localSheetId="1" hidden="1">#REF!</definedName>
    <definedName name="XRefCopy80" hidden="1">#REF!</definedName>
    <definedName name="XRefCopy81" localSheetId="5" hidden="1">#REF!</definedName>
    <definedName name="XRefCopy81" localSheetId="4" hidden="1">#REF!</definedName>
    <definedName name="XRefCopy81" localSheetId="3" hidden="1">#REF!</definedName>
    <definedName name="XRefCopy81" localSheetId="1" hidden="1">#REF!</definedName>
    <definedName name="XRefCopy81" hidden="1">#REF!</definedName>
    <definedName name="XRefCopy82" localSheetId="5" hidden="1">#REF!</definedName>
    <definedName name="XRefCopy82" localSheetId="4" hidden="1">#REF!</definedName>
    <definedName name="XRefCopy82" localSheetId="3" hidden="1">#REF!</definedName>
    <definedName name="XRefCopy82" localSheetId="1" hidden="1">#REF!</definedName>
    <definedName name="XRefCopy82" hidden="1">#REF!</definedName>
    <definedName name="XRefCopy83" localSheetId="5" hidden="1">#REF!</definedName>
    <definedName name="XRefCopy83" localSheetId="4" hidden="1">#REF!</definedName>
    <definedName name="XRefCopy83" localSheetId="3" hidden="1">#REF!</definedName>
    <definedName name="XRefCopy83" localSheetId="1" hidden="1">#REF!</definedName>
    <definedName name="XRefCopy83" hidden="1">#REF!</definedName>
    <definedName name="XRefCopy84" localSheetId="3" hidden="1">#REF!</definedName>
    <definedName name="XRefCopy84" localSheetId="1" hidden="1">#REF!</definedName>
    <definedName name="XRefCopy84" hidden="1">#REF!</definedName>
    <definedName name="XRefCopy85" localSheetId="5" hidden="1">#REF!</definedName>
    <definedName name="XRefCopy85" localSheetId="4" hidden="1">#REF!</definedName>
    <definedName name="XRefCopy85" localSheetId="3" hidden="1">#REF!</definedName>
    <definedName name="XRefCopy85" localSheetId="1" hidden="1">#REF!</definedName>
    <definedName name="XRefCopy85" hidden="1">#REF!</definedName>
    <definedName name="XRefCopy86" localSheetId="3" hidden="1">#REF!</definedName>
    <definedName name="XRefCopy86" localSheetId="1" hidden="1">#REF!</definedName>
    <definedName name="XRefCopy86" hidden="1">#REF!</definedName>
    <definedName name="XRefCopy87" localSheetId="5" hidden="1">#REF!</definedName>
    <definedName name="XRefCopy87" localSheetId="4" hidden="1">#REF!</definedName>
    <definedName name="XRefCopy87" localSheetId="3" hidden="1">#REF!</definedName>
    <definedName name="XRefCopy87" localSheetId="1" hidden="1">#REF!</definedName>
    <definedName name="XRefCopy87" hidden="1">#REF!</definedName>
    <definedName name="XRefCopy88" localSheetId="3" hidden="1">#REF!</definedName>
    <definedName name="XRefCopy88" localSheetId="1" hidden="1">#REF!</definedName>
    <definedName name="XRefCopy88" hidden="1">#REF!</definedName>
    <definedName name="XRefCopy89" localSheetId="3" hidden="1">#REF!</definedName>
    <definedName name="XRefCopy89" localSheetId="1" hidden="1">#REF!</definedName>
    <definedName name="XRefCopy89" hidden="1">#REF!</definedName>
    <definedName name="XRefCopy8Row" localSheetId="5" hidden="1">#REF!</definedName>
    <definedName name="XRefCopy8Row" localSheetId="4" hidden="1">#REF!</definedName>
    <definedName name="XRefCopy8Row" localSheetId="3" hidden="1">#REF!</definedName>
    <definedName name="XRefCopy8Row" localSheetId="1" hidden="1">#REF!</definedName>
    <definedName name="XRefCopy8Row" hidden="1">#REF!</definedName>
    <definedName name="XRefCopy9" localSheetId="5" hidden="1">#REF!</definedName>
    <definedName name="XRefCopy9" localSheetId="4" hidden="1">#REF!</definedName>
    <definedName name="XRefCopy9" localSheetId="3" hidden="1">#REF!</definedName>
    <definedName name="XRefCopy9" localSheetId="1" hidden="1">#REF!</definedName>
    <definedName name="XRefCopy9" hidden="1">#REF!</definedName>
    <definedName name="XRefCopy90" localSheetId="5" hidden="1">#REF!</definedName>
    <definedName name="XRefCopy90" localSheetId="4" hidden="1">#REF!</definedName>
    <definedName name="XRefCopy90" localSheetId="3" hidden="1">#REF!</definedName>
    <definedName name="XRefCopy90" localSheetId="1" hidden="1">#REF!</definedName>
    <definedName name="XRefCopy90" hidden="1">#REF!</definedName>
    <definedName name="XRefCopy91" localSheetId="3" hidden="1">#REF!</definedName>
    <definedName name="XRefCopy91" localSheetId="1" hidden="1">#REF!</definedName>
    <definedName name="XRefCopy91" hidden="1">#REF!</definedName>
    <definedName name="XRefCopy92" localSheetId="3" hidden="1">#REF!</definedName>
    <definedName name="XRefCopy92" localSheetId="1" hidden="1">#REF!</definedName>
    <definedName name="XRefCopy92" hidden="1">#REF!</definedName>
    <definedName name="XRefCopy93" localSheetId="5" hidden="1">#REF!</definedName>
    <definedName name="XRefCopy93" localSheetId="4" hidden="1">#REF!</definedName>
    <definedName name="XRefCopy93" localSheetId="3" hidden="1">#REF!</definedName>
    <definedName name="XRefCopy93" localSheetId="1" hidden="1">#REF!</definedName>
    <definedName name="XRefCopy93" hidden="1">#REF!</definedName>
    <definedName name="XRefCopy94" localSheetId="3" hidden="1">#REF!</definedName>
    <definedName name="XRefCopy94" localSheetId="1" hidden="1">#REF!</definedName>
    <definedName name="XRefCopy94" hidden="1">#REF!</definedName>
    <definedName name="XRefCopy95" localSheetId="3" hidden="1">#REF!</definedName>
    <definedName name="XRefCopy95" localSheetId="1" hidden="1">#REF!</definedName>
    <definedName name="XRefCopy95" hidden="1">#REF!</definedName>
    <definedName name="XRefCopy96" localSheetId="5" hidden="1">#REF!</definedName>
    <definedName name="XRefCopy96" localSheetId="4" hidden="1">#REF!</definedName>
    <definedName name="XRefCopy96" localSheetId="3" hidden="1">#REF!</definedName>
    <definedName name="XRefCopy96" localSheetId="1" hidden="1">#REF!</definedName>
    <definedName name="XRefCopy96" hidden="1">#REF!</definedName>
    <definedName name="XRefCopy97" localSheetId="3" hidden="1">#REF!</definedName>
    <definedName name="XRefCopy97" localSheetId="1" hidden="1">#REF!</definedName>
    <definedName name="XRefCopy97" hidden="1">#REF!</definedName>
    <definedName name="XRefCopy98" localSheetId="3" hidden="1">#REF!</definedName>
    <definedName name="XRefCopy98" localSheetId="1" hidden="1">#REF!</definedName>
    <definedName name="XRefCopy98" hidden="1">#REF!</definedName>
    <definedName name="XRefCopy99" localSheetId="3" hidden="1">#REF!</definedName>
    <definedName name="XRefCopy99" localSheetId="1" hidden="1">#REF!</definedName>
    <definedName name="XRefCopy99" hidden="1">#REF!</definedName>
    <definedName name="XRefCopy9Row" localSheetId="5" hidden="1">#REF!</definedName>
    <definedName name="XRefCopy9Row" localSheetId="4" hidden="1">#REF!</definedName>
    <definedName name="XRefCopy9Row" localSheetId="3" hidden="1">#REF!</definedName>
    <definedName name="XRefCopy9Row" localSheetId="1" hidden="1">#REF!</definedName>
    <definedName name="XRefCopy9Row" hidden="1">#REF!</definedName>
    <definedName name="XRefCopyRangeCount" hidden="1">2</definedName>
    <definedName name="XRefPaste1" localSheetId="5" hidden="1">#REF!</definedName>
    <definedName name="XRefPaste1" localSheetId="4" hidden="1">#REF!</definedName>
    <definedName name="XRefPaste1" localSheetId="3" hidden="1">#REF!</definedName>
    <definedName name="XRefPaste1" localSheetId="1" hidden="1">#REF!</definedName>
    <definedName name="XRefPaste1" hidden="1">#REF!</definedName>
    <definedName name="XRefPaste10" localSheetId="3" hidden="1">#REF!</definedName>
    <definedName name="XRefPaste10" localSheetId="1" hidden="1">#REF!</definedName>
    <definedName name="XRefPaste10" hidden="1">#REF!</definedName>
    <definedName name="XRefPaste100" localSheetId="5" hidden="1">#REF!</definedName>
    <definedName name="XRefPaste100" localSheetId="4" hidden="1">#REF!</definedName>
    <definedName name="XRefPaste100" localSheetId="3" hidden="1">#REF!</definedName>
    <definedName name="XRefPaste100" localSheetId="1" hidden="1">#REF!</definedName>
    <definedName name="XRefPaste100" hidden="1">#REF!</definedName>
    <definedName name="XRefPaste100Row" localSheetId="3" hidden="1">#REF!</definedName>
    <definedName name="XRefPaste100Row" localSheetId="1" hidden="1">#REF!</definedName>
    <definedName name="XRefPaste100Row" hidden="1">#REF!</definedName>
    <definedName name="XRefPaste101" localSheetId="5" hidden="1">#REF!</definedName>
    <definedName name="XRefPaste101" localSheetId="4" hidden="1">#REF!</definedName>
    <definedName name="XRefPaste101" localSheetId="3" hidden="1">#REF!</definedName>
    <definedName name="XRefPaste101" localSheetId="1" hidden="1">#REF!</definedName>
    <definedName name="XRefPaste101" hidden="1">#REF!</definedName>
    <definedName name="XRefPaste101Row" localSheetId="3" hidden="1">#REF!</definedName>
    <definedName name="XRefPaste101Row" localSheetId="1" hidden="1">#REF!</definedName>
    <definedName name="XRefPaste101Row" hidden="1">#REF!</definedName>
    <definedName name="XRefPaste102" localSheetId="5" hidden="1">#REF!</definedName>
    <definedName name="XRefPaste102" localSheetId="4" hidden="1">#REF!</definedName>
    <definedName name="XRefPaste102" localSheetId="3" hidden="1">#REF!</definedName>
    <definedName name="XRefPaste102" localSheetId="1" hidden="1">#REF!</definedName>
    <definedName name="XRefPaste102" hidden="1">#REF!</definedName>
    <definedName name="XRefPaste102Row" localSheetId="3" hidden="1">#REF!</definedName>
    <definedName name="XRefPaste102Row" localSheetId="1" hidden="1">#REF!</definedName>
    <definedName name="XRefPaste102Row" hidden="1">#REF!</definedName>
    <definedName name="XRefPaste103" localSheetId="5" hidden="1">#REF!</definedName>
    <definedName name="XRefPaste103" localSheetId="4" hidden="1">#REF!</definedName>
    <definedName name="XRefPaste103" localSheetId="3" hidden="1">#REF!</definedName>
    <definedName name="XRefPaste103" localSheetId="1" hidden="1">#REF!</definedName>
    <definedName name="XRefPaste103" hidden="1">#REF!</definedName>
    <definedName name="XRefPaste103Row" localSheetId="3" hidden="1">#REF!</definedName>
    <definedName name="XRefPaste103Row" localSheetId="1" hidden="1">#REF!</definedName>
    <definedName name="XRefPaste103Row" hidden="1">#REF!</definedName>
    <definedName name="XRefPaste104Row" localSheetId="3" hidden="1">#REF!</definedName>
    <definedName name="XRefPaste104Row" localSheetId="1" hidden="1">#REF!</definedName>
    <definedName name="XRefPaste104Row" hidden="1">#REF!</definedName>
    <definedName name="XRefPaste105" localSheetId="5" hidden="1">#REF!</definedName>
    <definedName name="XRefPaste105" localSheetId="4" hidden="1">#REF!</definedName>
    <definedName name="XRefPaste105" localSheetId="3" hidden="1">#REF!</definedName>
    <definedName name="XRefPaste105" localSheetId="1" hidden="1">#REF!</definedName>
    <definedName name="XRefPaste105" hidden="1">#REF!</definedName>
    <definedName name="XRefPaste105Row" localSheetId="3" hidden="1">#REF!</definedName>
    <definedName name="XRefPaste105Row" localSheetId="1" hidden="1">#REF!</definedName>
    <definedName name="XRefPaste105Row" hidden="1">#REF!</definedName>
    <definedName name="XRefPaste106" localSheetId="5" hidden="1">#REF!</definedName>
    <definedName name="XRefPaste106" localSheetId="4" hidden="1">#REF!</definedName>
    <definedName name="XRefPaste106" localSheetId="3" hidden="1">#REF!</definedName>
    <definedName name="XRefPaste106" localSheetId="1" hidden="1">#REF!</definedName>
    <definedName name="XRefPaste106" hidden="1">#REF!</definedName>
    <definedName name="XRefPaste106Row" localSheetId="3" hidden="1">#REF!</definedName>
    <definedName name="XRefPaste106Row" localSheetId="1" hidden="1">#REF!</definedName>
    <definedName name="XRefPaste106Row" hidden="1">#REF!</definedName>
    <definedName name="XRefPaste107" localSheetId="5" hidden="1">#REF!</definedName>
    <definedName name="XRefPaste107" localSheetId="4" hidden="1">#REF!</definedName>
    <definedName name="XRefPaste107" localSheetId="3" hidden="1">#REF!</definedName>
    <definedName name="XRefPaste107" localSheetId="1" hidden="1">#REF!</definedName>
    <definedName name="XRefPaste107" hidden="1">#REF!</definedName>
    <definedName name="XRefPaste107Row" localSheetId="3" hidden="1">#REF!</definedName>
    <definedName name="XRefPaste107Row" localSheetId="1" hidden="1">#REF!</definedName>
    <definedName name="XRefPaste107Row" hidden="1">#REF!</definedName>
    <definedName name="XRefPaste108" localSheetId="5" hidden="1">#REF!</definedName>
    <definedName name="XRefPaste108" localSheetId="4" hidden="1">#REF!</definedName>
    <definedName name="XRefPaste108" localSheetId="3" hidden="1">#REF!</definedName>
    <definedName name="XRefPaste108" localSheetId="1" hidden="1">#REF!</definedName>
    <definedName name="XRefPaste108" hidden="1">#REF!</definedName>
    <definedName name="XRefPaste108Row" localSheetId="3" hidden="1">#REF!</definedName>
    <definedName name="XRefPaste108Row" localSheetId="1" hidden="1">#REF!</definedName>
    <definedName name="XRefPaste108Row" hidden="1">#REF!</definedName>
    <definedName name="XRefPaste109" localSheetId="5" hidden="1">#REF!</definedName>
    <definedName name="XRefPaste109" localSheetId="4" hidden="1">#REF!</definedName>
    <definedName name="XRefPaste109" localSheetId="3" hidden="1">#REF!</definedName>
    <definedName name="XRefPaste109" localSheetId="1" hidden="1">#REF!</definedName>
    <definedName name="XRefPaste109" hidden="1">#REF!</definedName>
    <definedName name="XRefPaste109Row" localSheetId="3" hidden="1">#REF!</definedName>
    <definedName name="XRefPaste109Row" localSheetId="1" hidden="1">#REF!</definedName>
    <definedName name="XRefPaste109Row" hidden="1">#REF!</definedName>
    <definedName name="XRefPaste10Row" localSheetId="5" hidden="1">#REF!</definedName>
    <definedName name="XRefPaste10Row" localSheetId="4" hidden="1">#REF!</definedName>
    <definedName name="XRefPaste10Row" localSheetId="3" hidden="1">#REF!</definedName>
    <definedName name="XRefPaste10Row" localSheetId="1" hidden="1">#REF!</definedName>
    <definedName name="XRefPaste10Row" hidden="1">#REF!</definedName>
    <definedName name="XRefPaste11" localSheetId="5" hidden="1">#REF!</definedName>
    <definedName name="XRefPaste11" localSheetId="4" hidden="1">#REF!</definedName>
    <definedName name="XRefPaste11" localSheetId="3" hidden="1">#REF!</definedName>
    <definedName name="XRefPaste11" localSheetId="1" hidden="1">#REF!</definedName>
    <definedName name="XRefPaste11" hidden="1">#REF!</definedName>
    <definedName name="XRefPaste110" localSheetId="5" hidden="1">#REF!</definedName>
    <definedName name="XRefPaste110" localSheetId="4" hidden="1">#REF!</definedName>
    <definedName name="XRefPaste110" localSheetId="3" hidden="1">#REF!</definedName>
    <definedName name="XRefPaste110" localSheetId="1" hidden="1">#REF!</definedName>
    <definedName name="XRefPaste110" hidden="1">#REF!</definedName>
    <definedName name="XRefPaste110Row" localSheetId="3" hidden="1">#REF!</definedName>
    <definedName name="XRefPaste110Row" localSheetId="1" hidden="1">#REF!</definedName>
    <definedName name="XRefPaste110Row" hidden="1">#REF!</definedName>
    <definedName name="XRefPaste111" localSheetId="5" hidden="1">#REF!</definedName>
    <definedName name="XRefPaste111" localSheetId="4" hidden="1">#REF!</definedName>
    <definedName name="XRefPaste111" localSheetId="3" hidden="1">#REF!</definedName>
    <definedName name="XRefPaste111" localSheetId="1" hidden="1">#REF!</definedName>
    <definedName name="XRefPaste111" hidden="1">#REF!</definedName>
    <definedName name="XRefPaste111Row" localSheetId="3" hidden="1">#REF!</definedName>
    <definedName name="XRefPaste111Row" localSheetId="1" hidden="1">#REF!</definedName>
    <definedName name="XRefPaste111Row" hidden="1">#REF!</definedName>
    <definedName name="XRefPaste112" localSheetId="5" hidden="1">#REF!</definedName>
    <definedName name="XRefPaste112" localSheetId="4" hidden="1">#REF!</definedName>
    <definedName name="XRefPaste112" localSheetId="3" hidden="1">#REF!</definedName>
    <definedName name="XRefPaste112" localSheetId="1" hidden="1">#REF!</definedName>
    <definedName name="XRefPaste112" hidden="1">#REF!</definedName>
    <definedName name="XRefPaste112Row" localSheetId="3" hidden="1">#REF!</definedName>
    <definedName name="XRefPaste112Row" localSheetId="1" hidden="1">#REF!</definedName>
    <definedName name="XRefPaste112Row" hidden="1">#REF!</definedName>
    <definedName name="XRefPaste113" localSheetId="5" hidden="1">#REF!</definedName>
    <definedName name="XRefPaste113" localSheetId="4" hidden="1">#REF!</definedName>
    <definedName name="XRefPaste113" localSheetId="3" hidden="1">#REF!</definedName>
    <definedName name="XRefPaste113" localSheetId="1" hidden="1">#REF!</definedName>
    <definedName name="XRefPaste113" hidden="1">#REF!</definedName>
    <definedName name="XRefPaste113Row" localSheetId="3" hidden="1">#REF!</definedName>
    <definedName name="XRefPaste113Row" localSheetId="1" hidden="1">#REF!</definedName>
    <definedName name="XRefPaste113Row" hidden="1">#REF!</definedName>
    <definedName name="XRefPaste114" localSheetId="5" hidden="1">#REF!</definedName>
    <definedName name="XRefPaste114" localSheetId="4" hidden="1">#REF!</definedName>
    <definedName name="XRefPaste114" localSheetId="3" hidden="1">#REF!</definedName>
    <definedName name="XRefPaste114" localSheetId="1" hidden="1">#REF!</definedName>
    <definedName name="XRefPaste114" hidden="1">#REF!</definedName>
    <definedName name="XRefPaste114Row" localSheetId="5" hidden="1">#REF!</definedName>
    <definedName name="XRefPaste114Row" localSheetId="4" hidden="1">#REF!</definedName>
    <definedName name="XRefPaste114Row" localSheetId="3" hidden="1">#REF!</definedName>
    <definedName name="XRefPaste114Row" localSheetId="1" hidden="1">#REF!</definedName>
    <definedName name="XRefPaste114Row" hidden="1">#REF!</definedName>
    <definedName name="XRefPaste115" localSheetId="5" hidden="1">#REF!</definedName>
    <definedName name="XRefPaste115" localSheetId="4" hidden="1">#REF!</definedName>
    <definedName name="XRefPaste115" localSheetId="3" hidden="1">#REF!</definedName>
    <definedName name="XRefPaste115" localSheetId="1" hidden="1">#REF!</definedName>
    <definedName name="XRefPaste115" hidden="1">#REF!</definedName>
    <definedName name="XRefPaste115Row" localSheetId="5" hidden="1">#REF!</definedName>
    <definedName name="XRefPaste115Row" localSheetId="4" hidden="1">#REF!</definedName>
    <definedName name="XRefPaste115Row" localSheetId="3" hidden="1">#REF!</definedName>
    <definedName name="XRefPaste115Row" localSheetId="1" hidden="1">#REF!</definedName>
    <definedName name="XRefPaste115Row" hidden="1">#REF!</definedName>
    <definedName name="XRefPaste116" localSheetId="5" hidden="1">#REF!</definedName>
    <definedName name="XRefPaste116" localSheetId="4" hidden="1">#REF!</definedName>
    <definedName name="XRefPaste116" localSheetId="3" hidden="1">#REF!</definedName>
    <definedName name="XRefPaste116" localSheetId="1" hidden="1">#REF!</definedName>
    <definedName name="XRefPaste116" hidden="1">#REF!</definedName>
    <definedName name="XRefPaste116Row" localSheetId="5" hidden="1">#REF!</definedName>
    <definedName name="XRefPaste116Row" localSheetId="4" hidden="1">#REF!</definedName>
    <definedName name="XRefPaste116Row" localSheetId="3" hidden="1">#REF!</definedName>
    <definedName name="XRefPaste116Row" localSheetId="1" hidden="1">#REF!</definedName>
    <definedName name="XRefPaste116Row" hidden="1">#REF!</definedName>
    <definedName name="XRefPaste117" localSheetId="5" hidden="1">#REF!</definedName>
    <definedName name="XRefPaste117" localSheetId="4" hidden="1">#REF!</definedName>
    <definedName name="XRefPaste117" localSheetId="3" hidden="1">#REF!</definedName>
    <definedName name="XRefPaste117" localSheetId="1" hidden="1">#REF!</definedName>
    <definedName name="XRefPaste117" hidden="1">#REF!</definedName>
    <definedName name="XRefPaste117Row" localSheetId="5" hidden="1">#REF!</definedName>
    <definedName name="XRefPaste117Row" localSheetId="4" hidden="1">#REF!</definedName>
    <definedName name="XRefPaste117Row" localSheetId="3" hidden="1">#REF!</definedName>
    <definedName name="XRefPaste117Row" localSheetId="1" hidden="1">#REF!</definedName>
    <definedName name="XRefPaste117Row" hidden="1">#REF!</definedName>
    <definedName name="XRefPaste118" localSheetId="5" hidden="1">#REF!</definedName>
    <definedName name="XRefPaste118" localSheetId="4" hidden="1">#REF!</definedName>
    <definedName name="XRefPaste118" localSheetId="3" hidden="1">#REF!</definedName>
    <definedName name="XRefPaste118" localSheetId="1" hidden="1">#REF!</definedName>
    <definedName name="XRefPaste118" hidden="1">#REF!</definedName>
    <definedName name="XRefPaste118Row" localSheetId="5" hidden="1">#REF!</definedName>
    <definedName name="XRefPaste118Row" localSheetId="4" hidden="1">#REF!</definedName>
    <definedName name="XRefPaste118Row" localSheetId="3" hidden="1">#REF!</definedName>
    <definedName name="XRefPaste118Row" localSheetId="1" hidden="1">#REF!</definedName>
    <definedName name="XRefPaste118Row" hidden="1">#REF!</definedName>
    <definedName name="XRefPaste119Row" localSheetId="5" hidden="1">#REF!</definedName>
    <definedName name="XRefPaste119Row" localSheetId="4" hidden="1">#REF!</definedName>
    <definedName name="XRefPaste119Row" localSheetId="3" hidden="1">#REF!</definedName>
    <definedName name="XRefPaste119Row" localSheetId="1" hidden="1">#REF!</definedName>
    <definedName name="XRefPaste119Row" hidden="1">#REF!</definedName>
    <definedName name="XRefPaste11Row" localSheetId="5" hidden="1">#REF!</definedName>
    <definedName name="XRefPaste11Row" localSheetId="4" hidden="1">#REF!</definedName>
    <definedName name="XRefPaste11Row" localSheetId="3" hidden="1">#REF!</definedName>
    <definedName name="XRefPaste11Row" localSheetId="1" hidden="1">#REF!</definedName>
    <definedName name="XRefPaste11Row" hidden="1">#REF!</definedName>
    <definedName name="XRefPaste12" localSheetId="5" hidden="1">#REF!</definedName>
    <definedName name="XRefPaste12" localSheetId="4" hidden="1">#REF!</definedName>
    <definedName name="XRefPaste12" localSheetId="3" hidden="1">#REF!</definedName>
    <definedName name="XRefPaste12" localSheetId="1" hidden="1">#REF!</definedName>
    <definedName name="XRefPaste12" hidden="1">#REF!</definedName>
    <definedName name="XRefPaste120Row" localSheetId="5" hidden="1">#REF!</definedName>
    <definedName name="XRefPaste120Row" localSheetId="4" hidden="1">#REF!</definedName>
    <definedName name="XRefPaste120Row" localSheetId="3" hidden="1">#REF!</definedName>
    <definedName name="XRefPaste120Row" localSheetId="1" hidden="1">#REF!</definedName>
    <definedName name="XRefPaste120Row" hidden="1">#REF!</definedName>
    <definedName name="XRefPaste121Row" localSheetId="5" hidden="1">#REF!</definedName>
    <definedName name="XRefPaste121Row" localSheetId="4" hidden="1">#REF!</definedName>
    <definedName name="XRefPaste121Row" localSheetId="3" hidden="1">#REF!</definedName>
    <definedName name="XRefPaste121Row" localSheetId="1" hidden="1">#REF!</definedName>
    <definedName name="XRefPaste121Row" hidden="1">#REF!</definedName>
    <definedName name="XRefPaste122" localSheetId="5" hidden="1">#REF!</definedName>
    <definedName name="XRefPaste122" localSheetId="4" hidden="1">#REF!</definedName>
    <definedName name="XRefPaste122" localSheetId="3" hidden="1">#REF!</definedName>
    <definedName name="XRefPaste122" localSheetId="1" hidden="1">#REF!</definedName>
    <definedName name="XRefPaste122" hidden="1">#REF!</definedName>
    <definedName name="XRefPaste122Row" localSheetId="5" hidden="1">#REF!</definedName>
    <definedName name="XRefPaste122Row" localSheetId="4" hidden="1">#REF!</definedName>
    <definedName name="XRefPaste122Row" localSheetId="3" hidden="1">#REF!</definedName>
    <definedName name="XRefPaste122Row" localSheetId="1" hidden="1">#REF!</definedName>
    <definedName name="XRefPaste122Row" hidden="1">#REF!</definedName>
    <definedName name="XRefPaste123" localSheetId="5" hidden="1">#REF!</definedName>
    <definedName name="XRefPaste123" localSheetId="4" hidden="1">#REF!</definedName>
    <definedName name="XRefPaste123" localSheetId="3" hidden="1">#REF!</definedName>
    <definedName name="XRefPaste123" localSheetId="1" hidden="1">#REF!</definedName>
    <definedName name="XRefPaste123" hidden="1">#REF!</definedName>
    <definedName name="XRefPaste123Row" localSheetId="5" hidden="1">#REF!</definedName>
    <definedName name="XRefPaste123Row" localSheetId="4" hidden="1">#REF!</definedName>
    <definedName name="XRefPaste123Row" localSheetId="3" hidden="1">#REF!</definedName>
    <definedName name="XRefPaste123Row" localSheetId="1" hidden="1">#REF!</definedName>
    <definedName name="XRefPaste123Row" hidden="1">#REF!</definedName>
    <definedName name="XRefPaste124Row" localSheetId="5" hidden="1">#REF!</definedName>
    <definedName name="XRefPaste124Row" localSheetId="4" hidden="1">#REF!</definedName>
    <definedName name="XRefPaste124Row" localSheetId="3" hidden="1">#REF!</definedName>
    <definedName name="XRefPaste124Row" localSheetId="1" hidden="1">#REF!</definedName>
    <definedName name="XRefPaste124Row" hidden="1">#REF!</definedName>
    <definedName name="XRefPaste125" localSheetId="5" hidden="1">#REF!</definedName>
    <definedName name="XRefPaste125" localSheetId="4" hidden="1">#REF!</definedName>
    <definedName name="XRefPaste125" localSheetId="3" hidden="1">#REF!</definedName>
    <definedName name="XRefPaste125" localSheetId="1" hidden="1">#REF!</definedName>
    <definedName name="XRefPaste125" hidden="1">#REF!</definedName>
    <definedName name="XRefPaste125Row" localSheetId="5" hidden="1">#REF!</definedName>
    <definedName name="XRefPaste125Row" localSheetId="4" hidden="1">#REF!</definedName>
    <definedName name="XRefPaste125Row" localSheetId="3" hidden="1">#REF!</definedName>
    <definedName name="XRefPaste125Row" localSheetId="1" hidden="1">#REF!</definedName>
    <definedName name="XRefPaste125Row" hidden="1">#REF!</definedName>
    <definedName name="XRefPaste126" localSheetId="5" hidden="1">#REF!</definedName>
    <definedName name="XRefPaste126" localSheetId="4" hidden="1">#REF!</definedName>
    <definedName name="XRefPaste126" localSheetId="3" hidden="1">#REF!</definedName>
    <definedName name="XRefPaste126" localSheetId="1" hidden="1">#REF!</definedName>
    <definedName name="XRefPaste126" hidden="1">#REF!</definedName>
    <definedName name="XRefPaste126Row" localSheetId="5" hidden="1">#REF!</definedName>
    <definedName name="XRefPaste126Row" localSheetId="4" hidden="1">#REF!</definedName>
    <definedName name="XRefPaste126Row" localSheetId="3" hidden="1">#REF!</definedName>
    <definedName name="XRefPaste126Row" localSheetId="1" hidden="1">#REF!</definedName>
    <definedName name="XRefPaste126Row" hidden="1">#REF!</definedName>
    <definedName name="XRefPaste127Row" localSheetId="5" hidden="1">#REF!</definedName>
    <definedName name="XRefPaste127Row" localSheetId="4" hidden="1">#REF!</definedName>
    <definedName name="XRefPaste127Row" localSheetId="3" hidden="1">#REF!</definedName>
    <definedName name="XRefPaste127Row" localSheetId="1" hidden="1">#REF!</definedName>
    <definedName name="XRefPaste127Row" hidden="1">#REF!</definedName>
    <definedName name="XRefPaste128Row" localSheetId="5" hidden="1">#REF!</definedName>
    <definedName name="XRefPaste128Row" localSheetId="4" hidden="1">#REF!</definedName>
    <definedName name="XRefPaste128Row" localSheetId="3" hidden="1">#REF!</definedName>
    <definedName name="XRefPaste128Row" localSheetId="1" hidden="1">#REF!</definedName>
    <definedName name="XRefPaste128Row" hidden="1">#REF!</definedName>
    <definedName name="XRefPaste129Row" localSheetId="5" hidden="1">#REF!</definedName>
    <definedName name="XRefPaste129Row" localSheetId="4" hidden="1">#REF!</definedName>
    <definedName name="XRefPaste129Row" localSheetId="3" hidden="1">#REF!</definedName>
    <definedName name="XRefPaste129Row" localSheetId="1" hidden="1">#REF!</definedName>
    <definedName name="XRefPaste129Row" hidden="1">#REF!</definedName>
    <definedName name="XRefPaste12Row" localSheetId="5" hidden="1">#REF!</definedName>
    <definedName name="XRefPaste12Row" localSheetId="4" hidden="1">#REF!</definedName>
    <definedName name="XRefPaste12Row" localSheetId="3" hidden="1">#REF!</definedName>
    <definedName name="XRefPaste12Row" localSheetId="1" hidden="1">#REF!</definedName>
    <definedName name="XRefPaste12Row" hidden="1">#REF!</definedName>
    <definedName name="XRefPaste13" localSheetId="5" hidden="1">#REF!</definedName>
    <definedName name="XRefPaste13" localSheetId="4" hidden="1">#REF!</definedName>
    <definedName name="XRefPaste13" localSheetId="3" hidden="1">#REF!</definedName>
    <definedName name="XRefPaste13" localSheetId="1" hidden="1">#REF!</definedName>
    <definedName name="XRefPaste13" hidden="1">#REF!</definedName>
    <definedName name="XRefPaste130Row" localSheetId="5" hidden="1">#REF!</definedName>
    <definedName name="XRefPaste130Row" localSheetId="4" hidden="1">#REF!</definedName>
    <definedName name="XRefPaste130Row" localSheetId="3" hidden="1">#REF!</definedName>
    <definedName name="XRefPaste130Row" localSheetId="1" hidden="1">#REF!</definedName>
    <definedName name="XRefPaste130Row" hidden="1">#REF!</definedName>
    <definedName name="XRefPaste131" localSheetId="5" hidden="1">#REF!</definedName>
    <definedName name="XRefPaste131" localSheetId="4" hidden="1">#REF!</definedName>
    <definedName name="XRefPaste131" localSheetId="3" hidden="1">#REF!</definedName>
    <definedName name="XRefPaste131" localSheetId="1" hidden="1">#REF!</definedName>
    <definedName name="XRefPaste131" hidden="1">#REF!</definedName>
    <definedName name="XRefPaste131Row" localSheetId="5" hidden="1">#REF!</definedName>
    <definedName name="XRefPaste131Row" localSheetId="4" hidden="1">#REF!</definedName>
    <definedName name="XRefPaste131Row" localSheetId="3" hidden="1">#REF!</definedName>
    <definedName name="XRefPaste131Row" localSheetId="1" hidden="1">#REF!</definedName>
    <definedName name="XRefPaste131Row" hidden="1">#REF!</definedName>
    <definedName name="XRefPaste132" localSheetId="5" hidden="1">#REF!</definedName>
    <definedName name="XRefPaste132" localSheetId="4" hidden="1">#REF!</definedName>
    <definedName name="XRefPaste132" localSheetId="3" hidden="1">#REF!</definedName>
    <definedName name="XRefPaste132" localSheetId="1" hidden="1">#REF!</definedName>
    <definedName name="XRefPaste132" hidden="1">#REF!</definedName>
    <definedName name="XRefPaste132Row" localSheetId="5" hidden="1">#REF!</definedName>
    <definedName name="XRefPaste132Row" localSheetId="4" hidden="1">#REF!</definedName>
    <definedName name="XRefPaste132Row" localSheetId="3" hidden="1">#REF!</definedName>
    <definedName name="XRefPaste132Row" localSheetId="1" hidden="1">#REF!</definedName>
    <definedName name="XRefPaste132Row" hidden="1">#REF!</definedName>
    <definedName name="XRefPaste133Row" localSheetId="5" hidden="1">#REF!</definedName>
    <definedName name="XRefPaste133Row" localSheetId="4" hidden="1">#REF!</definedName>
    <definedName name="XRefPaste133Row" localSheetId="3" hidden="1">#REF!</definedName>
    <definedName name="XRefPaste133Row" localSheetId="1" hidden="1">#REF!</definedName>
    <definedName name="XRefPaste133Row" hidden="1">#REF!</definedName>
    <definedName name="XRefPaste134Row" localSheetId="5" hidden="1">#REF!</definedName>
    <definedName name="XRefPaste134Row" localSheetId="4" hidden="1">#REF!</definedName>
    <definedName name="XRefPaste134Row" localSheetId="3" hidden="1">#REF!</definedName>
    <definedName name="XRefPaste134Row" localSheetId="1" hidden="1">#REF!</definedName>
    <definedName name="XRefPaste134Row" hidden="1">#REF!</definedName>
    <definedName name="XRefPaste135" localSheetId="5" hidden="1">#REF!</definedName>
    <definedName name="XRefPaste135" localSheetId="4" hidden="1">#REF!</definedName>
    <definedName name="XRefPaste135" localSheetId="3" hidden="1">#REF!</definedName>
    <definedName name="XRefPaste135" localSheetId="1" hidden="1">#REF!</definedName>
    <definedName name="XRefPaste135" hidden="1">#REF!</definedName>
    <definedName name="XRefPaste135Row" localSheetId="5" hidden="1">#REF!</definedName>
    <definedName name="XRefPaste135Row" localSheetId="4" hidden="1">#REF!</definedName>
    <definedName name="XRefPaste135Row" localSheetId="3" hidden="1">#REF!</definedName>
    <definedName name="XRefPaste135Row" localSheetId="1" hidden="1">#REF!</definedName>
    <definedName name="XRefPaste135Row" hidden="1">#REF!</definedName>
    <definedName name="XRefPaste136Row" localSheetId="5" hidden="1">#REF!</definedName>
    <definedName name="XRefPaste136Row" localSheetId="4" hidden="1">#REF!</definedName>
    <definedName name="XRefPaste136Row" localSheetId="3" hidden="1">#REF!</definedName>
    <definedName name="XRefPaste136Row" localSheetId="1" hidden="1">#REF!</definedName>
    <definedName name="XRefPaste136Row" hidden="1">#REF!</definedName>
    <definedName name="XRefPaste137Row" localSheetId="5" hidden="1">#REF!</definedName>
    <definedName name="XRefPaste137Row" localSheetId="4" hidden="1">#REF!</definedName>
    <definedName name="XRefPaste137Row" localSheetId="3" hidden="1">#REF!</definedName>
    <definedName name="XRefPaste137Row" localSheetId="1" hidden="1">#REF!</definedName>
    <definedName name="XRefPaste137Row" hidden="1">#REF!</definedName>
    <definedName name="XRefPaste138Row" localSheetId="5" hidden="1">#REF!</definedName>
    <definedName name="XRefPaste138Row" localSheetId="4" hidden="1">#REF!</definedName>
    <definedName name="XRefPaste138Row" localSheetId="3" hidden="1">#REF!</definedName>
    <definedName name="XRefPaste138Row" localSheetId="1" hidden="1">#REF!</definedName>
    <definedName name="XRefPaste138Row" hidden="1">#REF!</definedName>
    <definedName name="XRefPaste139" localSheetId="5" hidden="1">#REF!</definedName>
    <definedName name="XRefPaste139" localSheetId="4" hidden="1">#REF!</definedName>
    <definedName name="XRefPaste139" localSheetId="3" hidden="1">#REF!</definedName>
    <definedName name="XRefPaste139" localSheetId="1" hidden="1">#REF!</definedName>
    <definedName name="XRefPaste139" hidden="1">#REF!</definedName>
    <definedName name="XRefPaste139Row" localSheetId="5" hidden="1">#REF!</definedName>
    <definedName name="XRefPaste139Row" localSheetId="4" hidden="1">#REF!</definedName>
    <definedName name="XRefPaste139Row" localSheetId="3" hidden="1">#REF!</definedName>
    <definedName name="XRefPaste139Row" localSheetId="1" hidden="1">#REF!</definedName>
    <definedName name="XRefPaste139Row" hidden="1">#REF!</definedName>
    <definedName name="XRefPaste13Row" localSheetId="5" hidden="1">#REF!</definedName>
    <definedName name="XRefPaste13Row" localSheetId="4" hidden="1">#REF!</definedName>
    <definedName name="XRefPaste13Row" localSheetId="3" hidden="1">#REF!</definedName>
    <definedName name="XRefPaste13Row" localSheetId="1" hidden="1">#REF!</definedName>
    <definedName name="XRefPaste13Row" hidden="1">#REF!</definedName>
    <definedName name="XRefPaste14" localSheetId="5" hidden="1">#REF!</definedName>
    <definedName name="XRefPaste14" localSheetId="4" hidden="1">#REF!</definedName>
    <definedName name="XRefPaste14" localSheetId="3" hidden="1">#REF!</definedName>
    <definedName name="XRefPaste14" localSheetId="1" hidden="1">#REF!</definedName>
    <definedName name="XRefPaste14" hidden="1">#REF!</definedName>
    <definedName name="XRefPaste140" localSheetId="5" hidden="1">#REF!</definedName>
    <definedName name="XRefPaste140" localSheetId="4" hidden="1">#REF!</definedName>
    <definedName name="XRefPaste140" localSheetId="3" hidden="1">#REF!</definedName>
    <definedName name="XRefPaste140" localSheetId="1" hidden="1">#REF!</definedName>
    <definedName name="XRefPaste140" hidden="1">#REF!</definedName>
    <definedName name="XRefPaste140Row" localSheetId="5" hidden="1">#REF!</definedName>
    <definedName name="XRefPaste140Row" localSheetId="4" hidden="1">#REF!</definedName>
    <definedName name="XRefPaste140Row" localSheetId="3" hidden="1">#REF!</definedName>
    <definedName name="XRefPaste140Row" localSheetId="1" hidden="1">#REF!</definedName>
    <definedName name="XRefPaste140Row" hidden="1">#REF!</definedName>
    <definedName name="XRefPaste141" localSheetId="5" hidden="1">#REF!</definedName>
    <definedName name="XRefPaste141" localSheetId="4" hidden="1">#REF!</definedName>
    <definedName name="XRefPaste141" localSheetId="3" hidden="1">#REF!</definedName>
    <definedName name="XRefPaste141" localSheetId="1" hidden="1">#REF!</definedName>
    <definedName name="XRefPaste141" hidden="1">#REF!</definedName>
    <definedName name="XRefPaste141Row" localSheetId="5" hidden="1">#REF!</definedName>
    <definedName name="XRefPaste141Row" localSheetId="4" hidden="1">#REF!</definedName>
    <definedName name="XRefPaste141Row" localSheetId="3" hidden="1">#REF!</definedName>
    <definedName name="XRefPaste141Row" localSheetId="1" hidden="1">#REF!</definedName>
    <definedName name="XRefPaste141Row" hidden="1">#REF!</definedName>
    <definedName name="XRefPaste142" localSheetId="5" hidden="1">#REF!</definedName>
    <definedName name="XRefPaste142" localSheetId="4" hidden="1">#REF!</definedName>
    <definedName name="XRefPaste142" localSheetId="3" hidden="1">#REF!</definedName>
    <definedName name="XRefPaste142" localSheetId="1" hidden="1">#REF!</definedName>
    <definedName name="XRefPaste142" hidden="1">#REF!</definedName>
    <definedName name="XRefPaste142Row" localSheetId="5" hidden="1">#REF!</definedName>
    <definedName name="XRefPaste142Row" localSheetId="4" hidden="1">#REF!</definedName>
    <definedName name="XRefPaste142Row" localSheetId="3" hidden="1">#REF!</definedName>
    <definedName name="XRefPaste142Row" localSheetId="1" hidden="1">#REF!</definedName>
    <definedName name="XRefPaste142Row" hidden="1">#REF!</definedName>
    <definedName name="XRefPaste143" localSheetId="5" hidden="1">#REF!</definedName>
    <definedName name="XRefPaste143" localSheetId="4" hidden="1">#REF!</definedName>
    <definedName name="XRefPaste143" localSheetId="3" hidden="1">#REF!</definedName>
    <definedName name="XRefPaste143" localSheetId="1" hidden="1">#REF!</definedName>
    <definedName name="XRefPaste143" hidden="1">#REF!</definedName>
    <definedName name="XRefPaste143Row" localSheetId="5" hidden="1">#REF!</definedName>
    <definedName name="XRefPaste143Row" localSheetId="4" hidden="1">#REF!</definedName>
    <definedName name="XRefPaste143Row" localSheetId="3" hidden="1">#REF!</definedName>
    <definedName name="XRefPaste143Row" localSheetId="1" hidden="1">#REF!</definedName>
    <definedName name="XRefPaste143Row" hidden="1">#REF!</definedName>
    <definedName name="XRefPaste144" localSheetId="5" hidden="1">#REF!</definedName>
    <definedName name="XRefPaste144" localSheetId="4" hidden="1">#REF!</definedName>
    <definedName name="XRefPaste144" localSheetId="3" hidden="1">#REF!</definedName>
    <definedName name="XRefPaste144" localSheetId="1" hidden="1">#REF!</definedName>
    <definedName name="XRefPaste144" hidden="1">#REF!</definedName>
    <definedName name="XRefPaste144Row" localSheetId="5" hidden="1">#REF!</definedName>
    <definedName name="XRefPaste144Row" localSheetId="4" hidden="1">#REF!</definedName>
    <definedName name="XRefPaste144Row" localSheetId="3" hidden="1">#REF!</definedName>
    <definedName name="XRefPaste144Row" localSheetId="1" hidden="1">#REF!</definedName>
    <definedName name="XRefPaste144Row" hidden="1">#REF!</definedName>
    <definedName name="XRefPaste145" localSheetId="5" hidden="1">#REF!</definedName>
    <definedName name="XRefPaste145" localSheetId="4" hidden="1">#REF!</definedName>
    <definedName name="XRefPaste145" localSheetId="3" hidden="1">#REF!</definedName>
    <definedName name="XRefPaste145" localSheetId="1" hidden="1">#REF!</definedName>
    <definedName name="XRefPaste145" hidden="1">#REF!</definedName>
    <definedName name="XRefPaste145Row" localSheetId="5" hidden="1">#REF!</definedName>
    <definedName name="XRefPaste145Row" localSheetId="4" hidden="1">#REF!</definedName>
    <definedName name="XRefPaste145Row" localSheetId="3" hidden="1">#REF!</definedName>
    <definedName name="XRefPaste145Row" localSheetId="1" hidden="1">#REF!</definedName>
    <definedName name="XRefPaste145Row" hidden="1">#REF!</definedName>
    <definedName name="XRefPaste146" localSheetId="5" hidden="1">#REF!</definedName>
    <definedName name="XRefPaste146" localSheetId="4" hidden="1">#REF!</definedName>
    <definedName name="XRefPaste146" localSheetId="3" hidden="1">#REF!</definedName>
    <definedName name="XRefPaste146" localSheetId="1" hidden="1">#REF!</definedName>
    <definedName name="XRefPaste146" hidden="1">#REF!</definedName>
    <definedName name="XRefPaste146Row" localSheetId="5" hidden="1">#REF!</definedName>
    <definedName name="XRefPaste146Row" localSheetId="4" hidden="1">#REF!</definedName>
    <definedName name="XRefPaste146Row" localSheetId="3" hidden="1">#REF!</definedName>
    <definedName name="XRefPaste146Row" localSheetId="1" hidden="1">#REF!</definedName>
    <definedName name="XRefPaste146Row" hidden="1">#REF!</definedName>
    <definedName name="XRefPaste147Row" localSheetId="5" hidden="1">#REF!</definedName>
    <definedName name="XRefPaste147Row" localSheetId="4" hidden="1">#REF!</definedName>
    <definedName name="XRefPaste147Row" localSheetId="3" hidden="1">#REF!</definedName>
    <definedName name="XRefPaste147Row" localSheetId="1" hidden="1">#REF!</definedName>
    <definedName name="XRefPaste147Row" hidden="1">#REF!</definedName>
    <definedName name="XRefPaste148Row" localSheetId="5" hidden="1">#REF!</definedName>
    <definedName name="XRefPaste148Row" localSheetId="4" hidden="1">#REF!</definedName>
    <definedName name="XRefPaste148Row" localSheetId="3" hidden="1">#REF!</definedName>
    <definedName name="XRefPaste148Row" localSheetId="1" hidden="1">#REF!</definedName>
    <definedName name="XRefPaste148Row" hidden="1">#REF!</definedName>
    <definedName name="XRefPaste149Row" localSheetId="5" hidden="1">#REF!</definedName>
    <definedName name="XRefPaste149Row" localSheetId="4" hidden="1">#REF!</definedName>
    <definedName name="XRefPaste149Row" localSheetId="3" hidden="1">#REF!</definedName>
    <definedName name="XRefPaste149Row" localSheetId="1" hidden="1">#REF!</definedName>
    <definedName name="XRefPaste149Row" hidden="1">#REF!</definedName>
    <definedName name="XRefPaste14Row" localSheetId="5" hidden="1">#REF!</definedName>
    <definedName name="XRefPaste14Row" localSheetId="4" hidden="1">#REF!</definedName>
    <definedName name="XRefPaste14Row" localSheetId="3" hidden="1">#REF!</definedName>
    <definedName name="XRefPaste14Row" localSheetId="1" hidden="1">#REF!</definedName>
    <definedName name="XRefPaste14Row" hidden="1">#REF!</definedName>
    <definedName name="XRefPaste15" localSheetId="5" hidden="1">#REF!</definedName>
    <definedName name="XRefPaste15" localSheetId="4" hidden="1">#REF!</definedName>
    <definedName name="XRefPaste15" localSheetId="3" hidden="1">#REF!</definedName>
    <definedName name="XRefPaste15" localSheetId="1" hidden="1">#REF!</definedName>
    <definedName name="XRefPaste15" hidden="1">#REF!</definedName>
    <definedName name="XRefPaste15Row" localSheetId="5" hidden="1">#REF!</definedName>
    <definedName name="XRefPaste15Row" localSheetId="4" hidden="1">#REF!</definedName>
    <definedName name="XRefPaste15Row" localSheetId="3" hidden="1">#REF!</definedName>
    <definedName name="XRefPaste15Row" localSheetId="1" hidden="1">#REF!</definedName>
    <definedName name="XRefPaste15Row" hidden="1">#REF!</definedName>
    <definedName name="XRefPaste16" localSheetId="5" hidden="1">#REF!</definedName>
    <definedName name="XRefPaste16" localSheetId="4" hidden="1">#REF!</definedName>
    <definedName name="XRefPaste16" localSheetId="3" hidden="1">#REF!</definedName>
    <definedName name="XRefPaste16" localSheetId="1" hidden="1">#REF!</definedName>
    <definedName name="XRefPaste16" hidden="1">#REF!</definedName>
    <definedName name="XRefPaste16Row" localSheetId="5" hidden="1">#REF!</definedName>
    <definedName name="XRefPaste16Row" localSheetId="4" hidden="1">#REF!</definedName>
    <definedName name="XRefPaste16Row" localSheetId="3" hidden="1">#REF!</definedName>
    <definedName name="XRefPaste16Row" localSheetId="1" hidden="1">#REF!</definedName>
    <definedName name="XRefPaste16Row" hidden="1">#REF!</definedName>
    <definedName name="XRefPaste17" localSheetId="5" hidden="1">#REF!</definedName>
    <definedName name="XRefPaste17" localSheetId="4" hidden="1">#REF!</definedName>
    <definedName name="XRefPaste17" localSheetId="3" hidden="1">#REF!</definedName>
    <definedName name="XRefPaste17" localSheetId="1" hidden="1">#REF!</definedName>
    <definedName name="XRefPaste17" hidden="1">#REF!</definedName>
    <definedName name="XRefPaste179" localSheetId="5" hidden="1">#REF!</definedName>
    <definedName name="XRefPaste179" localSheetId="4" hidden="1">#REF!</definedName>
    <definedName name="XRefPaste179" localSheetId="3" hidden="1">#REF!</definedName>
    <definedName name="XRefPaste179" localSheetId="1" hidden="1">#REF!</definedName>
    <definedName name="XRefPaste179" hidden="1">#REF!</definedName>
    <definedName name="XRefPaste17Row" localSheetId="5" hidden="1">#REF!</definedName>
    <definedName name="XRefPaste17Row" localSheetId="4" hidden="1">#REF!</definedName>
    <definedName name="XRefPaste17Row" localSheetId="3" hidden="1">#REF!</definedName>
    <definedName name="XRefPaste17Row" localSheetId="1" hidden="1">#REF!</definedName>
    <definedName name="XRefPaste17Row" hidden="1">#REF!</definedName>
    <definedName name="XRefPaste18" localSheetId="3" hidden="1">#REF!</definedName>
    <definedName name="XRefPaste18" localSheetId="1" hidden="1">#REF!</definedName>
    <definedName name="XRefPaste18" hidden="1">#REF!</definedName>
    <definedName name="XRefPaste180" localSheetId="5" hidden="1">#REF!</definedName>
    <definedName name="XRefPaste180" localSheetId="4" hidden="1">#REF!</definedName>
    <definedName name="XRefPaste180" localSheetId="3" hidden="1">#REF!</definedName>
    <definedName name="XRefPaste180" localSheetId="1" hidden="1">#REF!</definedName>
    <definedName name="XRefPaste180" hidden="1">#REF!</definedName>
    <definedName name="XRefPaste180Row" localSheetId="5" hidden="1">#REF!</definedName>
    <definedName name="XRefPaste180Row" localSheetId="4" hidden="1">#REF!</definedName>
    <definedName name="XRefPaste180Row" localSheetId="3" hidden="1">#REF!</definedName>
    <definedName name="XRefPaste180Row" localSheetId="1" hidden="1">#REF!</definedName>
    <definedName name="XRefPaste180Row" hidden="1">#REF!</definedName>
    <definedName name="XRefPaste181" localSheetId="5" hidden="1">#REF!</definedName>
    <definedName name="XRefPaste181" localSheetId="4" hidden="1">#REF!</definedName>
    <definedName name="XRefPaste181" localSheetId="3" hidden="1">#REF!</definedName>
    <definedName name="XRefPaste181" localSheetId="1" hidden="1">#REF!</definedName>
    <definedName name="XRefPaste181" hidden="1">#REF!</definedName>
    <definedName name="XRefPaste182" localSheetId="5" hidden="1">#REF!</definedName>
    <definedName name="XRefPaste182" localSheetId="4" hidden="1">#REF!</definedName>
    <definedName name="XRefPaste182" localSheetId="3" hidden="1">#REF!</definedName>
    <definedName name="XRefPaste182" localSheetId="1" hidden="1">#REF!</definedName>
    <definedName name="XRefPaste182" hidden="1">#REF!</definedName>
    <definedName name="XRefPaste18Row" localSheetId="5" hidden="1">#REF!</definedName>
    <definedName name="XRefPaste18Row" localSheetId="4" hidden="1">#REF!</definedName>
    <definedName name="XRefPaste18Row" localSheetId="3" hidden="1">#REF!</definedName>
    <definedName name="XRefPaste18Row" localSheetId="1" hidden="1">#REF!</definedName>
    <definedName name="XRefPaste18Row" hidden="1">#REF!</definedName>
    <definedName name="XRefPaste19" localSheetId="3" hidden="1">#REF!</definedName>
    <definedName name="XRefPaste19" localSheetId="1" hidden="1">#REF!</definedName>
    <definedName name="XRefPaste19" hidden="1">#REF!</definedName>
    <definedName name="XRefPaste192Row" localSheetId="5" hidden="1">#REF!</definedName>
    <definedName name="XRefPaste192Row" localSheetId="4" hidden="1">#REF!</definedName>
    <definedName name="XRefPaste192Row" localSheetId="3" hidden="1">#REF!</definedName>
    <definedName name="XRefPaste192Row" localSheetId="1" hidden="1">#REF!</definedName>
    <definedName name="XRefPaste192Row" hidden="1">#REF!</definedName>
    <definedName name="XRefPaste198" localSheetId="5" hidden="1">#REF!</definedName>
    <definedName name="XRefPaste198" localSheetId="4" hidden="1">#REF!</definedName>
    <definedName name="XRefPaste198" localSheetId="3" hidden="1">#REF!</definedName>
    <definedName name="XRefPaste198" localSheetId="1" hidden="1">#REF!</definedName>
    <definedName name="XRefPaste198" hidden="1">#REF!</definedName>
    <definedName name="XRefPaste199" localSheetId="3" hidden="1">#REF!</definedName>
    <definedName name="XRefPaste199" localSheetId="1" hidden="1">#REF!</definedName>
    <definedName name="XRefPaste199" hidden="1">#REF!</definedName>
    <definedName name="XRefPaste199Row" localSheetId="3" hidden="1">#REF!</definedName>
    <definedName name="XRefPaste199Row" localSheetId="1" hidden="1">#REF!</definedName>
    <definedName name="XRefPaste199Row" hidden="1">#REF!</definedName>
    <definedName name="XRefPaste19Row" localSheetId="5" hidden="1">#REF!</definedName>
    <definedName name="XRefPaste19Row" localSheetId="4" hidden="1">#REF!</definedName>
    <definedName name="XRefPaste19Row" localSheetId="3" hidden="1">#REF!</definedName>
    <definedName name="XRefPaste19Row" localSheetId="1" hidden="1">#REF!</definedName>
    <definedName name="XRefPaste19Row" hidden="1">#REF!</definedName>
    <definedName name="XRefPaste1Row" localSheetId="5" hidden="1">#REF!</definedName>
    <definedName name="XRefPaste1Row" localSheetId="4" hidden="1">#REF!</definedName>
    <definedName name="XRefPaste1Row" localSheetId="3" hidden="1">#REF!</definedName>
    <definedName name="XRefPaste1Row" localSheetId="1" hidden="1">#REF!</definedName>
    <definedName name="XRefPaste1Row" hidden="1">#REF!</definedName>
    <definedName name="XRefPaste2" localSheetId="5" hidden="1">#REF!</definedName>
    <definedName name="XRefPaste2" localSheetId="4" hidden="1">#REF!</definedName>
    <definedName name="XRefPaste2" localSheetId="3" hidden="1">#REF!</definedName>
    <definedName name="XRefPaste2" localSheetId="1" hidden="1">#REF!</definedName>
    <definedName name="XRefPaste2" hidden="1">#REF!</definedName>
    <definedName name="XRefPaste20" localSheetId="3" hidden="1">#REF!</definedName>
    <definedName name="XRefPaste20" localSheetId="1" hidden="1">#REF!</definedName>
    <definedName name="XRefPaste20" hidden="1">#REF!</definedName>
    <definedName name="XRefPaste200" localSheetId="3" hidden="1">#REF!</definedName>
    <definedName name="XRefPaste200" localSheetId="1" hidden="1">#REF!</definedName>
    <definedName name="XRefPaste200" hidden="1">#REF!</definedName>
    <definedName name="XRefPaste200Row" localSheetId="3" hidden="1">#REF!</definedName>
    <definedName name="XRefPaste200Row" localSheetId="1" hidden="1">#REF!</definedName>
    <definedName name="XRefPaste200Row" hidden="1">#REF!</definedName>
    <definedName name="XRefPaste202" localSheetId="3" hidden="1">#REF!</definedName>
    <definedName name="XRefPaste202" localSheetId="1" hidden="1">#REF!</definedName>
    <definedName name="XRefPaste202" hidden="1">#REF!</definedName>
    <definedName name="XRefPaste202Row" localSheetId="3" hidden="1">#REF!</definedName>
    <definedName name="XRefPaste202Row" localSheetId="1" hidden="1">#REF!</definedName>
    <definedName name="XRefPaste202Row" hidden="1">#REF!</definedName>
    <definedName name="XRefPaste203" localSheetId="3" hidden="1">#REF!</definedName>
    <definedName name="XRefPaste203" localSheetId="1" hidden="1">#REF!</definedName>
    <definedName name="XRefPaste203" hidden="1">#REF!</definedName>
    <definedName name="XRefPaste203Row" localSheetId="3" hidden="1">#REF!</definedName>
    <definedName name="XRefPaste203Row" localSheetId="1" hidden="1">#REF!</definedName>
    <definedName name="XRefPaste203Row" hidden="1">#REF!</definedName>
    <definedName name="XRefPaste204" localSheetId="3" hidden="1">#REF!</definedName>
    <definedName name="XRefPaste204" localSheetId="1" hidden="1">#REF!</definedName>
    <definedName name="XRefPaste204" hidden="1">#REF!</definedName>
    <definedName name="XRefPaste204Row" localSheetId="3" hidden="1">#REF!</definedName>
    <definedName name="XRefPaste204Row" localSheetId="1" hidden="1">#REF!</definedName>
    <definedName name="XRefPaste204Row" hidden="1">#REF!</definedName>
    <definedName name="XRefPaste205" localSheetId="3" hidden="1">#REF!</definedName>
    <definedName name="XRefPaste205" localSheetId="1" hidden="1">#REF!</definedName>
    <definedName name="XRefPaste205" hidden="1">#REF!</definedName>
    <definedName name="XRefPaste205Row" localSheetId="3" hidden="1">#REF!</definedName>
    <definedName name="XRefPaste205Row" localSheetId="1" hidden="1">#REF!</definedName>
    <definedName name="XRefPaste205Row" hidden="1">#REF!</definedName>
    <definedName name="XRefPaste206" localSheetId="3" hidden="1">#REF!</definedName>
    <definedName name="XRefPaste206" localSheetId="1" hidden="1">#REF!</definedName>
    <definedName name="XRefPaste206" hidden="1">#REF!</definedName>
    <definedName name="XRefPaste206Row" localSheetId="3" hidden="1">#REF!</definedName>
    <definedName name="XRefPaste206Row" localSheetId="1" hidden="1">#REF!</definedName>
    <definedName name="XRefPaste206Row" hidden="1">#REF!</definedName>
    <definedName name="XRefPaste207" localSheetId="3" hidden="1">#REF!</definedName>
    <definedName name="XRefPaste207" localSheetId="1" hidden="1">#REF!</definedName>
    <definedName name="XRefPaste207" hidden="1">#REF!</definedName>
    <definedName name="XRefPaste207Row" localSheetId="3" hidden="1">#REF!</definedName>
    <definedName name="XRefPaste207Row" localSheetId="1" hidden="1">#REF!</definedName>
    <definedName name="XRefPaste207Row" hidden="1">#REF!</definedName>
    <definedName name="XRefPaste209" localSheetId="3" hidden="1">#REF!</definedName>
    <definedName name="XRefPaste209" localSheetId="1" hidden="1">#REF!</definedName>
    <definedName name="XRefPaste209" hidden="1">#REF!</definedName>
    <definedName name="XRefPaste209Row" localSheetId="3" hidden="1">#REF!</definedName>
    <definedName name="XRefPaste209Row" localSheetId="1" hidden="1">#REF!</definedName>
    <definedName name="XRefPaste209Row" hidden="1">#REF!</definedName>
    <definedName name="XRefPaste20Row" localSheetId="5" hidden="1">#REF!</definedName>
    <definedName name="XRefPaste20Row" localSheetId="4" hidden="1">#REF!</definedName>
    <definedName name="XRefPaste20Row" localSheetId="3" hidden="1">#REF!</definedName>
    <definedName name="XRefPaste20Row" localSheetId="1" hidden="1">#REF!</definedName>
    <definedName name="XRefPaste20Row" hidden="1">#REF!</definedName>
    <definedName name="XRefPaste21" localSheetId="3" hidden="1">#REF!</definedName>
    <definedName name="XRefPaste21" localSheetId="1" hidden="1">#REF!</definedName>
    <definedName name="XRefPaste21" hidden="1">#REF!</definedName>
    <definedName name="XRefPaste210" localSheetId="3" hidden="1">#REF!</definedName>
    <definedName name="XRefPaste210" localSheetId="1" hidden="1">#REF!</definedName>
    <definedName name="XRefPaste210" hidden="1">#REF!</definedName>
    <definedName name="XRefPaste210Row" localSheetId="3" hidden="1">#REF!</definedName>
    <definedName name="XRefPaste210Row" localSheetId="1" hidden="1">#REF!</definedName>
    <definedName name="XRefPaste210Row" hidden="1">#REF!</definedName>
    <definedName name="XRefPaste211" localSheetId="3" hidden="1">#REF!</definedName>
    <definedName name="XRefPaste211" localSheetId="1" hidden="1">#REF!</definedName>
    <definedName name="XRefPaste211" hidden="1">#REF!</definedName>
    <definedName name="XRefPaste211Row" localSheetId="3" hidden="1">#REF!</definedName>
    <definedName name="XRefPaste211Row" localSheetId="1" hidden="1">#REF!</definedName>
    <definedName name="XRefPaste211Row" hidden="1">#REF!</definedName>
    <definedName name="XRefPaste212" localSheetId="3" hidden="1">#REF!</definedName>
    <definedName name="XRefPaste212" localSheetId="1" hidden="1">#REF!</definedName>
    <definedName name="XRefPaste212" hidden="1">#REF!</definedName>
    <definedName name="XRefPaste212Row" localSheetId="3" hidden="1">#REF!</definedName>
    <definedName name="XRefPaste212Row" localSheetId="1" hidden="1">#REF!</definedName>
    <definedName name="XRefPaste212Row" hidden="1">#REF!</definedName>
    <definedName name="XRefPaste213" localSheetId="3" hidden="1">#REF!</definedName>
    <definedName name="XRefPaste213" localSheetId="1" hidden="1">#REF!</definedName>
    <definedName name="XRefPaste213" hidden="1">#REF!</definedName>
    <definedName name="XRefPaste213Row" localSheetId="3" hidden="1">#REF!</definedName>
    <definedName name="XRefPaste213Row" localSheetId="1" hidden="1">#REF!</definedName>
    <definedName name="XRefPaste213Row" hidden="1">#REF!</definedName>
    <definedName name="XRefPaste214" localSheetId="3" hidden="1">#REF!</definedName>
    <definedName name="XRefPaste214" localSheetId="1" hidden="1">#REF!</definedName>
    <definedName name="XRefPaste214" hidden="1">#REF!</definedName>
    <definedName name="XRefPaste214Row" localSheetId="3" hidden="1">#REF!</definedName>
    <definedName name="XRefPaste214Row" localSheetId="1" hidden="1">#REF!</definedName>
    <definedName name="XRefPaste214Row" hidden="1">#REF!</definedName>
    <definedName name="XRefPaste215" localSheetId="3" hidden="1">#REF!</definedName>
    <definedName name="XRefPaste215" localSheetId="1" hidden="1">#REF!</definedName>
    <definedName name="XRefPaste215" hidden="1">#REF!</definedName>
    <definedName name="XRefPaste215Row" localSheetId="3" hidden="1">#REF!</definedName>
    <definedName name="XRefPaste215Row" localSheetId="1" hidden="1">#REF!</definedName>
    <definedName name="XRefPaste215Row" hidden="1">#REF!</definedName>
    <definedName name="XRefPaste216" localSheetId="3" hidden="1">#REF!</definedName>
    <definedName name="XRefPaste216" localSheetId="1" hidden="1">#REF!</definedName>
    <definedName name="XRefPaste216" hidden="1">#REF!</definedName>
    <definedName name="XRefPaste216Row" localSheetId="3" hidden="1">#REF!</definedName>
    <definedName name="XRefPaste216Row" localSheetId="1" hidden="1">#REF!</definedName>
    <definedName name="XRefPaste216Row" hidden="1">#REF!</definedName>
    <definedName name="XRefPaste217" localSheetId="3" hidden="1">#REF!</definedName>
    <definedName name="XRefPaste217" localSheetId="1" hidden="1">#REF!</definedName>
    <definedName name="XRefPaste217" hidden="1">#REF!</definedName>
    <definedName name="XRefPaste217Row" localSheetId="3" hidden="1">#REF!</definedName>
    <definedName name="XRefPaste217Row" localSheetId="1" hidden="1">#REF!</definedName>
    <definedName name="XRefPaste217Row" hidden="1">#REF!</definedName>
    <definedName name="XRefPaste218" localSheetId="3" hidden="1">#REF!</definedName>
    <definedName name="XRefPaste218" localSheetId="1" hidden="1">#REF!</definedName>
    <definedName name="XRefPaste218" hidden="1">#REF!</definedName>
    <definedName name="XRefPaste218Row" localSheetId="3" hidden="1">#REF!</definedName>
    <definedName name="XRefPaste218Row" localSheetId="1" hidden="1">#REF!</definedName>
    <definedName name="XRefPaste218Row" hidden="1">#REF!</definedName>
    <definedName name="XRefPaste219" localSheetId="3" hidden="1">#REF!</definedName>
    <definedName name="XRefPaste219" localSheetId="1" hidden="1">#REF!</definedName>
    <definedName name="XRefPaste219" hidden="1">#REF!</definedName>
    <definedName name="XRefPaste219Row" localSheetId="3" hidden="1">#REF!</definedName>
    <definedName name="XRefPaste219Row" localSheetId="1" hidden="1">#REF!</definedName>
    <definedName name="XRefPaste219Row" hidden="1">#REF!</definedName>
    <definedName name="XRefPaste21Row" localSheetId="5" hidden="1">#REF!</definedName>
    <definedName name="XRefPaste21Row" localSheetId="4" hidden="1">#REF!</definedName>
    <definedName name="XRefPaste21Row" localSheetId="3" hidden="1">#REF!</definedName>
    <definedName name="XRefPaste21Row" localSheetId="1" hidden="1">#REF!</definedName>
    <definedName name="XRefPaste21Row" hidden="1">#REF!</definedName>
    <definedName name="XRefPaste22" localSheetId="3" hidden="1">#REF!</definedName>
    <definedName name="XRefPaste22" localSheetId="1" hidden="1">#REF!</definedName>
    <definedName name="XRefPaste22" hidden="1">#REF!</definedName>
    <definedName name="XRefPaste220" localSheetId="3" hidden="1">#REF!</definedName>
    <definedName name="XRefPaste220" localSheetId="1" hidden="1">#REF!</definedName>
    <definedName name="XRefPaste220" hidden="1">#REF!</definedName>
    <definedName name="XRefPaste220Row" localSheetId="3" hidden="1">#REF!</definedName>
    <definedName name="XRefPaste220Row" localSheetId="1" hidden="1">#REF!</definedName>
    <definedName name="XRefPaste220Row" hidden="1">#REF!</definedName>
    <definedName name="XRefPaste221" localSheetId="3" hidden="1">#REF!</definedName>
    <definedName name="XRefPaste221" localSheetId="1" hidden="1">#REF!</definedName>
    <definedName name="XRefPaste221" hidden="1">#REF!</definedName>
    <definedName name="XRefPaste221Row" localSheetId="3" hidden="1">#REF!</definedName>
    <definedName name="XRefPaste221Row" localSheetId="1" hidden="1">#REF!</definedName>
    <definedName name="XRefPaste221Row" hidden="1">#REF!</definedName>
    <definedName name="XRefPaste222" localSheetId="3" hidden="1">#REF!</definedName>
    <definedName name="XRefPaste222" localSheetId="1" hidden="1">#REF!</definedName>
    <definedName name="XRefPaste222" hidden="1">#REF!</definedName>
    <definedName name="XRefPaste222Row" localSheetId="3" hidden="1">#REF!</definedName>
    <definedName name="XRefPaste222Row" localSheetId="1" hidden="1">#REF!</definedName>
    <definedName name="XRefPaste222Row" hidden="1">#REF!</definedName>
    <definedName name="XRefPaste223" localSheetId="3" hidden="1">#REF!</definedName>
    <definedName name="XRefPaste223" localSheetId="1" hidden="1">#REF!</definedName>
    <definedName name="XRefPaste223" hidden="1">#REF!</definedName>
    <definedName name="XRefPaste223Row" localSheetId="3" hidden="1">#REF!</definedName>
    <definedName name="XRefPaste223Row" localSheetId="1" hidden="1">#REF!</definedName>
    <definedName name="XRefPaste223Row" hidden="1">#REF!</definedName>
    <definedName name="XRefPaste224" localSheetId="3" hidden="1">#REF!</definedName>
    <definedName name="XRefPaste224" localSheetId="1" hidden="1">#REF!</definedName>
    <definedName name="XRefPaste224" hidden="1">#REF!</definedName>
    <definedName name="XRefPaste224Row" localSheetId="3" hidden="1">#REF!</definedName>
    <definedName name="XRefPaste224Row" localSheetId="1" hidden="1">#REF!</definedName>
    <definedName name="XRefPaste224Row" hidden="1">#REF!</definedName>
    <definedName name="XRefPaste225" localSheetId="3" hidden="1">#REF!</definedName>
    <definedName name="XRefPaste225" localSheetId="1" hidden="1">#REF!</definedName>
    <definedName name="XRefPaste225" hidden="1">#REF!</definedName>
    <definedName name="XRefPaste225Row" localSheetId="3" hidden="1">#REF!</definedName>
    <definedName name="XRefPaste225Row" localSheetId="1" hidden="1">#REF!</definedName>
    <definedName name="XRefPaste225Row" hidden="1">#REF!</definedName>
    <definedName name="XRefPaste226" localSheetId="3" hidden="1">#REF!</definedName>
    <definedName name="XRefPaste226" localSheetId="1" hidden="1">#REF!</definedName>
    <definedName name="XRefPaste226" hidden="1">#REF!</definedName>
    <definedName name="XRefPaste226Row" localSheetId="3" hidden="1">#REF!</definedName>
    <definedName name="XRefPaste226Row" localSheetId="1" hidden="1">#REF!</definedName>
    <definedName name="XRefPaste226Row" hidden="1">#REF!</definedName>
    <definedName name="XRefPaste227" localSheetId="3" hidden="1">#REF!</definedName>
    <definedName name="XRefPaste227" localSheetId="1" hidden="1">#REF!</definedName>
    <definedName name="XRefPaste227" hidden="1">#REF!</definedName>
    <definedName name="XRefPaste227Row" localSheetId="3" hidden="1">#REF!</definedName>
    <definedName name="XRefPaste227Row" localSheetId="1" hidden="1">#REF!</definedName>
    <definedName name="XRefPaste227Row" hidden="1">#REF!</definedName>
    <definedName name="XRefPaste228" localSheetId="3" hidden="1">#REF!</definedName>
    <definedName name="XRefPaste228" localSheetId="1" hidden="1">#REF!</definedName>
    <definedName name="XRefPaste228" hidden="1">#REF!</definedName>
    <definedName name="XRefPaste228Row" localSheetId="3" hidden="1">#REF!</definedName>
    <definedName name="XRefPaste228Row" localSheetId="1" hidden="1">#REF!</definedName>
    <definedName name="XRefPaste228Row" hidden="1">#REF!</definedName>
    <definedName name="XRefPaste229" localSheetId="3" hidden="1">#REF!</definedName>
    <definedName name="XRefPaste229" localSheetId="1" hidden="1">#REF!</definedName>
    <definedName name="XRefPaste229" hidden="1">#REF!</definedName>
    <definedName name="XRefPaste229Row" localSheetId="3" hidden="1">#REF!</definedName>
    <definedName name="XRefPaste229Row" localSheetId="1" hidden="1">#REF!</definedName>
    <definedName name="XRefPaste229Row" hidden="1">#REF!</definedName>
    <definedName name="XRefPaste22Row" localSheetId="5" hidden="1">#REF!</definedName>
    <definedName name="XRefPaste22Row" localSheetId="4" hidden="1">#REF!</definedName>
    <definedName name="XRefPaste22Row" localSheetId="3" hidden="1">#REF!</definedName>
    <definedName name="XRefPaste22Row" localSheetId="1" hidden="1">#REF!</definedName>
    <definedName name="XRefPaste22Row" hidden="1">#REF!</definedName>
    <definedName name="XRefPaste23" localSheetId="3" hidden="1">#REF!</definedName>
    <definedName name="XRefPaste23" localSheetId="1" hidden="1">#REF!</definedName>
    <definedName name="XRefPaste23" hidden="1">#REF!</definedName>
    <definedName name="XRefPaste230" localSheetId="3" hidden="1">#REF!</definedName>
    <definedName name="XRefPaste230" localSheetId="1" hidden="1">#REF!</definedName>
    <definedName name="XRefPaste230" hidden="1">#REF!</definedName>
    <definedName name="XRefPaste230Row" localSheetId="3" hidden="1">#REF!</definedName>
    <definedName name="XRefPaste230Row" localSheetId="1" hidden="1">#REF!</definedName>
    <definedName name="XRefPaste230Row" hidden="1">#REF!</definedName>
    <definedName name="XRefPaste231" localSheetId="3" hidden="1">#REF!</definedName>
    <definedName name="XRefPaste231" localSheetId="1" hidden="1">#REF!</definedName>
    <definedName name="XRefPaste231" hidden="1">#REF!</definedName>
    <definedName name="XRefPaste231Row" localSheetId="3" hidden="1">#REF!</definedName>
    <definedName name="XRefPaste231Row" localSheetId="1" hidden="1">#REF!</definedName>
    <definedName name="XRefPaste231Row" hidden="1">#REF!</definedName>
    <definedName name="XRefPaste232" localSheetId="3" hidden="1">#REF!</definedName>
    <definedName name="XRefPaste232" localSheetId="1" hidden="1">#REF!</definedName>
    <definedName name="XRefPaste232" hidden="1">#REF!</definedName>
    <definedName name="XRefPaste232Row" localSheetId="3" hidden="1">#REF!</definedName>
    <definedName name="XRefPaste232Row" localSheetId="1" hidden="1">#REF!</definedName>
    <definedName name="XRefPaste232Row" hidden="1">#REF!</definedName>
    <definedName name="XRefPaste233Row" localSheetId="3" hidden="1">#REF!</definedName>
    <definedName name="XRefPaste233Row" localSheetId="1" hidden="1">#REF!</definedName>
    <definedName name="XRefPaste233Row" hidden="1">#REF!</definedName>
    <definedName name="XRefPaste234Row" localSheetId="3" hidden="1">#REF!</definedName>
    <definedName name="XRefPaste234Row" localSheetId="1" hidden="1">#REF!</definedName>
    <definedName name="XRefPaste234Row" hidden="1">#REF!</definedName>
    <definedName name="XRefPaste235" localSheetId="5" hidden="1">#REF!</definedName>
    <definedName name="XRefPaste235" localSheetId="4" hidden="1">#REF!</definedName>
    <definedName name="XRefPaste235" localSheetId="3" hidden="1">#REF!</definedName>
    <definedName name="XRefPaste235" localSheetId="1" hidden="1">#REF!</definedName>
    <definedName name="XRefPaste235" hidden="1">#REF!</definedName>
    <definedName name="XRefPaste235Row" localSheetId="3" hidden="1">#REF!</definedName>
    <definedName name="XRefPaste235Row" localSheetId="1" hidden="1">#REF!</definedName>
    <definedName name="XRefPaste235Row" hidden="1">#REF!</definedName>
    <definedName name="XRefPaste237Row" localSheetId="3" hidden="1">#REF!</definedName>
    <definedName name="XRefPaste237Row" localSheetId="1" hidden="1">#REF!</definedName>
    <definedName name="XRefPaste237Row" hidden="1">#REF!</definedName>
    <definedName name="XRefPaste238Row" localSheetId="3" hidden="1">#REF!</definedName>
    <definedName name="XRefPaste238Row" localSheetId="1" hidden="1">#REF!</definedName>
    <definedName name="XRefPaste238Row" hidden="1">#REF!</definedName>
    <definedName name="XRefPaste239Row" localSheetId="3" hidden="1">#REF!</definedName>
    <definedName name="XRefPaste239Row" localSheetId="1" hidden="1">#REF!</definedName>
    <definedName name="XRefPaste239Row" hidden="1">#REF!</definedName>
    <definedName name="XRefPaste23Row" localSheetId="5" hidden="1">#REF!</definedName>
    <definedName name="XRefPaste23Row" localSheetId="4" hidden="1">#REF!</definedName>
    <definedName name="XRefPaste23Row" localSheetId="3" hidden="1">#REF!</definedName>
    <definedName name="XRefPaste23Row" localSheetId="1" hidden="1">#REF!</definedName>
    <definedName name="XRefPaste23Row" hidden="1">#REF!</definedName>
    <definedName name="XRefPaste24" localSheetId="3" hidden="1">#REF!</definedName>
    <definedName name="XRefPaste24" localSheetId="1" hidden="1">#REF!</definedName>
    <definedName name="XRefPaste24" hidden="1">#REF!</definedName>
    <definedName name="XRefPaste240Row" localSheetId="3" hidden="1">#REF!</definedName>
    <definedName name="XRefPaste240Row" localSheetId="1" hidden="1">#REF!</definedName>
    <definedName name="XRefPaste240Row" hidden="1">#REF!</definedName>
    <definedName name="XRefPaste241Row" localSheetId="3" hidden="1">#REF!</definedName>
    <definedName name="XRefPaste241Row" localSheetId="1" hidden="1">#REF!</definedName>
    <definedName name="XRefPaste241Row" hidden="1">#REF!</definedName>
    <definedName name="XRefPaste242Row" localSheetId="3" hidden="1">#REF!</definedName>
    <definedName name="XRefPaste242Row" localSheetId="1" hidden="1">#REF!</definedName>
    <definedName name="XRefPaste242Row" hidden="1">#REF!</definedName>
    <definedName name="XRefPaste243Row" localSheetId="3" hidden="1">#REF!</definedName>
    <definedName name="XRefPaste243Row" localSheetId="1" hidden="1">#REF!</definedName>
    <definedName name="XRefPaste243Row" hidden="1">#REF!</definedName>
    <definedName name="XRefPaste244Row" localSheetId="3" hidden="1">#REF!</definedName>
    <definedName name="XRefPaste244Row" localSheetId="1" hidden="1">#REF!</definedName>
    <definedName name="XRefPaste244Row" hidden="1">#REF!</definedName>
    <definedName name="XRefPaste245Row" localSheetId="3" hidden="1">#REF!</definedName>
    <definedName name="XRefPaste245Row" localSheetId="1" hidden="1">#REF!</definedName>
    <definedName name="XRefPaste245Row" hidden="1">#REF!</definedName>
    <definedName name="XRefPaste24Row" localSheetId="5" hidden="1">#REF!</definedName>
    <definedName name="XRefPaste24Row" localSheetId="4" hidden="1">#REF!</definedName>
    <definedName name="XRefPaste24Row" localSheetId="3" hidden="1">#REF!</definedName>
    <definedName name="XRefPaste24Row" localSheetId="1" hidden="1">#REF!</definedName>
    <definedName name="XRefPaste24Row" hidden="1">#REF!</definedName>
    <definedName name="XRefPaste25" localSheetId="3" hidden="1">#REF!</definedName>
    <definedName name="XRefPaste25" localSheetId="1" hidden="1">#REF!</definedName>
    <definedName name="XRefPaste25" hidden="1">#REF!</definedName>
    <definedName name="XRefPaste25Row" localSheetId="5" hidden="1">#REF!</definedName>
    <definedName name="XRefPaste25Row" localSheetId="4" hidden="1">#REF!</definedName>
    <definedName name="XRefPaste25Row" localSheetId="3" hidden="1">#REF!</definedName>
    <definedName name="XRefPaste25Row" localSheetId="1" hidden="1">#REF!</definedName>
    <definedName name="XRefPaste25Row" hidden="1">#REF!</definedName>
    <definedName name="XRefPaste26" localSheetId="3" hidden="1">#REF!</definedName>
    <definedName name="XRefPaste26" localSheetId="1" hidden="1">#REF!</definedName>
    <definedName name="XRefPaste26" hidden="1">#REF!</definedName>
    <definedName name="XRefPaste26Row" localSheetId="5" hidden="1">#REF!</definedName>
    <definedName name="XRefPaste26Row" localSheetId="4" hidden="1">#REF!</definedName>
    <definedName name="XRefPaste26Row" localSheetId="3" hidden="1">#REF!</definedName>
    <definedName name="XRefPaste26Row" localSheetId="1" hidden="1">#REF!</definedName>
    <definedName name="XRefPaste26Row" hidden="1">#REF!</definedName>
    <definedName name="XRefPaste27" localSheetId="3" hidden="1">#REF!</definedName>
    <definedName name="XRefPaste27" localSheetId="1" hidden="1">#REF!</definedName>
    <definedName name="XRefPaste27" hidden="1">#REF!</definedName>
    <definedName name="XRefPaste27Row" localSheetId="5" hidden="1">#REF!</definedName>
    <definedName name="XRefPaste27Row" localSheetId="4" hidden="1">#REF!</definedName>
    <definedName name="XRefPaste27Row" localSheetId="3" hidden="1">#REF!</definedName>
    <definedName name="XRefPaste27Row" localSheetId="1" hidden="1">#REF!</definedName>
    <definedName name="XRefPaste27Row" hidden="1">#REF!</definedName>
    <definedName name="XRefPaste28" localSheetId="3" hidden="1">#REF!</definedName>
    <definedName name="XRefPaste28" localSheetId="1" hidden="1">#REF!</definedName>
    <definedName name="XRefPaste28" hidden="1">#REF!</definedName>
    <definedName name="XRefPaste28Row" localSheetId="5" hidden="1">#REF!</definedName>
    <definedName name="XRefPaste28Row" localSheetId="4" hidden="1">#REF!</definedName>
    <definedName name="XRefPaste28Row" localSheetId="3" hidden="1">#REF!</definedName>
    <definedName name="XRefPaste28Row" localSheetId="1" hidden="1">#REF!</definedName>
    <definedName name="XRefPaste28Row" hidden="1">#REF!</definedName>
    <definedName name="XRefPaste29" localSheetId="3" hidden="1">#REF!</definedName>
    <definedName name="XRefPaste29" localSheetId="1" hidden="1">#REF!</definedName>
    <definedName name="XRefPaste29" hidden="1">#REF!</definedName>
    <definedName name="XRefPaste29Row" localSheetId="5" hidden="1">#REF!</definedName>
    <definedName name="XRefPaste29Row" localSheetId="4" hidden="1">#REF!</definedName>
    <definedName name="XRefPaste29Row" localSheetId="3" hidden="1">#REF!</definedName>
    <definedName name="XRefPaste29Row" localSheetId="1" hidden="1">#REF!</definedName>
    <definedName name="XRefPaste29Row" hidden="1">#REF!</definedName>
    <definedName name="XRefPaste2Row" localSheetId="5" hidden="1">#REF!</definedName>
    <definedName name="XRefPaste2Row" localSheetId="4" hidden="1">#REF!</definedName>
    <definedName name="XRefPaste2Row" localSheetId="3" hidden="1">#REF!</definedName>
    <definedName name="XRefPaste2Row" localSheetId="1" hidden="1">#REF!</definedName>
    <definedName name="XRefPaste2Row" hidden="1">#REF!</definedName>
    <definedName name="XRefPaste3" localSheetId="5" hidden="1">#REF!</definedName>
    <definedName name="XRefPaste3" localSheetId="4" hidden="1">#REF!</definedName>
    <definedName name="XRefPaste3" localSheetId="3" hidden="1">#REF!</definedName>
    <definedName name="XRefPaste3" localSheetId="1" hidden="1">#REF!</definedName>
    <definedName name="XRefPaste3" hidden="1">#REF!</definedName>
    <definedName name="XRefPaste30" localSheetId="5" hidden="1">#REF!</definedName>
    <definedName name="XRefPaste30" localSheetId="4" hidden="1">#REF!</definedName>
    <definedName name="XRefPaste30" localSheetId="3" hidden="1">#REF!</definedName>
    <definedName name="XRefPaste30" localSheetId="1" hidden="1">#REF!</definedName>
    <definedName name="XRefPaste30" hidden="1">#REF!</definedName>
    <definedName name="XRefPaste30Row" localSheetId="5" hidden="1">#REF!</definedName>
    <definedName name="XRefPaste30Row" localSheetId="4" hidden="1">#REF!</definedName>
    <definedName name="XRefPaste30Row" localSheetId="3" hidden="1">#REF!</definedName>
    <definedName name="XRefPaste30Row" localSheetId="1" hidden="1">#REF!</definedName>
    <definedName name="XRefPaste30Row" hidden="1">#REF!</definedName>
    <definedName name="XRefPaste31" localSheetId="3" hidden="1">#REF!</definedName>
    <definedName name="XRefPaste31" localSheetId="1" hidden="1">#REF!</definedName>
    <definedName name="XRefPaste31" hidden="1">#REF!</definedName>
    <definedName name="XRefPaste31Row" localSheetId="5" hidden="1">#REF!</definedName>
    <definedName name="XRefPaste31Row" localSheetId="4" hidden="1">#REF!</definedName>
    <definedName name="XRefPaste31Row" localSheetId="3" hidden="1">#REF!</definedName>
    <definedName name="XRefPaste31Row" localSheetId="1" hidden="1">#REF!</definedName>
    <definedName name="XRefPaste31Row" hidden="1">#REF!</definedName>
    <definedName name="XRefPaste32" localSheetId="3" hidden="1">#REF!</definedName>
    <definedName name="XRefPaste32" localSheetId="1" hidden="1">#REF!</definedName>
    <definedName name="XRefPaste32" hidden="1">#REF!</definedName>
    <definedName name="XRefPaste32Row" localSheetId="5" hidden="1">#REF!</definedName>
    <definedName name="XRefPaste32Row" localSheetId="4" hidden="1">#REF!</definedName>
    <definedName name="XRefPaste32Row" localSheetId="3" hidden="1">#REF!</definedName>
    <definedName name="XRefPaste32Row" localSheetId="1" hidden="1">#REF!</definedName>
    <definedName name="XRefPaste32Row" hidden="1">#REF!</definedName>
    <definedName name="XRefPaste33" localSheetId="3" hidden="1">#REF!</definedName>
    <definedName name="XRefPaste33" localSheetId="1" hidden="1">#REF!</definedName>
    <definedName name="XRefPaste33" hidden="1">#REF!</definedName>
    <definedName name="XRefPaste33Row" localSheetId="5" hidden="1">#REF!</definedName>
    <definedName name="XRefPaste33Row" localSheetId="4" hidden="1">#REF!</definedName>
    <definedName name="XRefPaste33Row" localSheetId="3" hidden="1">#REF!</definedName>
    <definedName name="XRefPaste33Row" localSheetId="1" hidden="1">#REF!</definedName>
    <definedName name="XRefPaste33Row" hidden="1">#REF!</definedName>
    <definedName name="XRefPaste34" localSheetId="3" hidden="1">#REF!</definedName>
    <definedName name="XRefPaste34" localSheetId="1" hidden="1">#REF!</definedName>
    <definedName name="XRefPaste34" hidden="1">#REF!</definedName>
    <definedName name="XRefPaste34Row" localSheetId="5" hidden="1">#REF!</definedName>
    <definedName name="XRefPaste34Row" localSheetId="4" hidden="1">#REF!</definedName>
    <definedName name="XRefPaste34Row" localSheetId="3" hidden="1">#REF!</definedName>
    <definedName name="XRefPaste34Row" localSheetId="1" hidden="1">#REF!</definedName>
    <definedName name="XRefPaste34Row" hidden="1">#REF!</definedName>
    <definedName name="XRefPaste35" localSheetId="3" hidden="1">#REF!</definedName>
    <definedName name="XRefPaste35" localSheetId="1" hidden="1">#REF!</definedName>
    <definedName name="XRefPaste35" hidden="1">#REF!</definedName>
    <definedName name="XRefPaste35Row" localSheetId="5" hidden="1">#REF!</definedName>
    <definedName name="XRefPaste35Row" localSheetId="4" hidden="1">#REF!</definedName>
    <definedName name="XRefPaste35Row" localSheetId="3" hidden="1">#REF!</definedName>
    <definedName name="XRefPaste35Row" localSheetId="1" hidden="1">#REF!</definedName>
    <definedName name="XRefPaste35Row" hidden="1">#REF!</definedName>
    <definedName name="XRefPaste36" localSheetId="3" hidden="1">#REF!</definedName>
    <definedName name="XRefPaste36" localSheetId="1" hidden="1">#REF!</definedName>
    <definedName name="XRefPaste36" hidden="1">#REF!</definedName>
    <definedName name="XRefPaste36Row" localSheetId="5" hidden="1">#REF!</definedName>
    <definedName name="XRefPaste36Row" localSheetId="4" hidden="1">#REF!</definedName>
    <definedName name="XRefPaste36Row" localSheetId="3" hidden="1">#REF!</definedName>
    <definedName name="XRefPaste36Row" localSheetId="1" hidden="1">#REF!</definedName>
    <definedName name="XRefPaste36Row" hidden="1">#REF!</definedName>
    <definedName name="XRefPaste37" localSheetId="3" hidden="1">#REF!</definedName>
    <definedName name="XRefPaste37" localSheetId="1" hidden="1">#REF!</definedName>
    <definedName name="XRefPaste37" hidden="1">#REF!</definedName>
    <definedName name="XRefPaste37Row" localSheetId="5" hidden="1">#REF!</definedName>
    <definedName name="XRefPaste37Row" localSheetId="4" hidden="1">#REF!</definedName>
    <definedName name="XRefPaste37Row" localSheetId="3" hidden="1">#REF!</definedName>
    <definedName name="XRefPaste37Row" localSheetId="1" hidden="1">#REF!</definedName>
    <definedName name="XRefPaste37Row" hidden="1">#REF!</definedName>
    <definedName name="XRefPaste38" localSheetId="3" hidden="1">#REF!</definedName>
    <definedName name="XRefPaste38" localSheetId="1" hidden="1">#REF!</definedName>
    <definedName name="XRefPaste38" hidden="1">#REF!</definedName>
    <definedName name="XRefPaste38Row" localSheetId="5" hidden="1">#REF!</definedName>
    <definedName name="XRefPaste38Row" localSheetId="4" hidden="1">#REF!</definedName>
    <definedName name="XRefPaste38Row" localSheetId="3" hidden="1">#REF!</definedName>
    <definedName name="XRefPaste38Row" localSheetId="1" hidden="1">#REF!</definedName>
    <definedName name="XRefPaste38Row" hidden="1">#REF!</definedName>
    <definedName name="XRefPaste39" localSheetId="5" hidden="1">#REF!</definedName>
    <definedName name="XRefPaste39" localSheetId="4" hidden="1">#REF!</definedName>
    <definedName name="XRefPaste39" localSheetId="3" hidden="1">#REF!</definedName>
    <definedName name="XRefPaste39" localSheetId="1" hidden="1">#REF!</definedName>
    <definedName name="XRefPaste39" hidden="1">#REF!</definedName>
    <definedName name="XRefPaste39Row" localSheetId="5" hidden="1">#REF!</definedName>
    <definedName name="XRefPaste39Row" localSheetId="4" hidden="1">#REF!</definedName>
    <definedName name="XRefPaste39Row" localSheetId="3" hidden="1">#REF!</definedName>
    <definedName name="XRefPaste39Row" localSheetId="1" hidden="1">#REF!</definedName>
    <definedName name="XRefPaste39Row" hidden="1">#REF!</definedName>
    <definedName name="XRefPaste3Row" localSheetId="5" hidden="1">#REF!</definedName>
    <definedName name="XRefPaste3Row" localSheetId="4" hidden="1">#REF!</definedName>
    <definedName name="XRefPaste3Row" localSheetId="3" hidden="1">#REF!</definedName>
    <definedName name="XRefPaste3Row" localSheetId="1" hidden="1">#REF!</definedName>
    <definedName name="XRefPaste3Row" hidden="1">#REF!</definedName>
    <definedName name="XRefPaste4" localSheetId="5" hidden="1">#REF!</definedName>
    <definedName name="XRefPaste4" localSheetId="4" hidden="1">#REF!</definedName>
    <definedName name="XRefPaste4" localSheetId="3" hidden="1">#REF!</definedName>
    <definedName name="XRefPaste4" localSheetId="1" hidden="1">#REF!</definedName>
    <definedName name="XRefPaste4" hidden="1">#REF!</definedName>
    <definedName name="XRefPaste40" localSheetId="5" hidden="1">#REF!</definedName>
    <definedName name="XRefPaste40" localSheetId="4" hidden="1">#REF!</definedName>
    <definedName name="XRefPaste40" localSheetId="3" hidden="1">#REF!</definedName>
    <definedName name="XRefPaste40" localSheetId="1" hidden="1">#REF!</definedName>
    <definedName name="XRefPaste40" hidden="1">#REF!</definedName>
    <definedName name="XRefPaste40Row" localSheetId="5" hidden="1">#REF!</definedName>
    <definedName name="XRefPaste40Row" localSheetId="4" hidden="1">#REF!</definedName>
    <definedName name="XRefPaste40Row" localSheetId="3" hidden="1">#REF!</definedName>
    <definedName name="XRefPaste40Row" localSheetId="1" hidden="1">#REF!</definedName>
    <definedName name="XRefPaste40Row" hidden="1">#REF!</definedName>
    <definedName name="XRefPaste41" localSheetId="5" hidden="1">#REF!</definedName>
    <definedName name="XRefPaste41" localSheetId="4" hidden="1">#REF!</definedName>
    <definedName name="XRefPaste41" localSheetId="3" hidden="1">#REF!</definedName>
    <definedName name="XRefPaste41" localSheetId="1" hidden="1">#REF!</definedName>
    <definedName name="XRefPaste41" hidden="1">#REF!</definedName>
    <definedName name="XRefPaste41Row" localSheetId="5" hidden="1">#REF!</definedName>
    <definedName name="XRefPaste41Row" localSheetId="4" hidden="1">#REF!</definedName>
    <definedName name="XRefPaste41Row" localSheetId="3" hidden="1">#REF!</definedName>
    <definedName name="XRefPaste41Row" localSheetId="1" hidden="1">#REF!</definedName>
    <definedName name="XRefPaste41Row" hidden="1">#REF!</definedName>
    <definedName name="XRefPaste42" localSheetId="5" hidden="1">#REF!</definedName>
    <definedName name="XRefPaste42" localSheetId="4" hidden="1">#REF!</definedName>
    <definedName name="XRefPaste42" localSheetId="3" hidden="1">#REF!</definedName>
    <definedName name="XRefPaste42" localSheetId="1" hidden="1">#REF!</definedName>
    <definedName name="XRefPaste42" hidden="1">#REF!</definedName>
    <definedName name="XRefPaste42Row" localSheetId="5" hidden="1">#REF!</definedName>
    <definedName name="XRefPaste42Row" localSheetId="4" hidden="1">#REF!</definedName>
    <definedName name="XRefPaste42Row" localSheetId="3" hidden="1">#REF!</definedName>
    <definedName name="XRefPaste42Row" localSheetId="1" hidden="1">#REF!</definedName>
    <definedName name="XRefPaste42Row" hidden="1">#REF!</definedName>
    <definedName name="XRefPaste43" localSheetId="5" hidden="1">#REF!</definedName>
    <definedName name="XRefPaste43" localSheetId="4" hidden="1">#REF!</definedName>
    <definedName name="XRefPaste43" localSheetId="3" hidden="1">#REF!</definedName>
    <definedName name="XRefPaste43" localSheetId="1" hidden="1">#REF!</definedName>
    <definedName name="XRefPaste43" hidden="1">#REF!</definedName>
    <definedName name="XRefPaste43Row" localSheetId="5" hidden="1">#REF!</definedName>
    <definedName name="XRefPaste43Row" localSheetId="4" hidden="1">#REF!</definedName>
    <definedName name="XRefPaste43Row" localSheetId="3" hidden="1">#REF!</definedName>
    <definedName name="XRefPaste43Row" localSheetId="1" hidden="1">#REF!</definedName>
    <definedName name="XRefPaste43Row" hidden="1">#REF!</definedName>
    <definedName name="XRefPaste44" localSheetId="5" hidden="1">#REF!</definedName>
    <definedName name="XRefPaste44" localSheetId="4" hidden="1">#REF!</definedName>
    <definedName name="XRefPaste44" localSheetId="3" hidden="1">#REF!</definedName>
    <definedName name="XRefPaste44" localSheetId="1" hidden="1">#REF!</definedName>
    <definedName name="XRefPaste44" hidden="1">#REF!</definedName>
    <definedName name="XRefPaste44Row" localSheetId="3" hidden="1">#REF!</definedName>
    <definedName name="XRefPaste44Row" localSheetId="1" hidden="1">#REF!</definedName>
    <definedName name="XRefPaste44Row" hidden="1">#REF!</definedName>
    <definedName name="XRefPaste45" localSheetId="5" hidden="1">#REF!</definedName>
    <definedName name="XRefPaste45" localSheetId="4" hidden="1">#REF!</definedName>
    <definedName name="XRefPaste45" localSheetId="3" hidden="1">#REF!</definedName>
    <definedName name="XRefPaste45" localSheetId="1" hidden="1">#REF!</definedName>
    <definedName name="XRefPaste45" hidden="1">#REF!</definedName>
    <definedName name="XRefPaste45Row" localSheetId="3" hidden="1">#REF!</definedName>
    <definedName name="XRefPaste45Row" localSheetId="1" hidden="1">#REF!</definedName>
    <definedName name="XRefPaste45Row" hidden="1">#REF!</definedName>
    <definedName name="XRefPaste46" localSheetId="5" hidden="1">#REF!</definedName>
    <definedName name="XRefPaste46" localSheetId="4" hidden="1">#REF!</definedName>
    <definedName name="XRefPaste46" localSheetId="3" hidden="1">#REF!</definedName>
    <definedName name="XRefPaste46" localSheetId="1" hidden="1">#REF!</definedName>
    <definedName name="XRefPaste46" hidden="1">#REF!</definedName>
    <definedName name="XRefPaste46Row" localSheetId="3" hidden="1">#REF!</definedName>
    <definedName name="XRefPaste46Row" localSheetId="1" hidden="1">#REF!</definedName>
    <definedName name="XRefPaste46Row" hidden="1">#REF!</definedName>
    <definedName name="XRefPaste47" localSheetId="3" hidden="1">#REF!</definedName>
    <definedName name="XRefPaste47" localSheetId="1" hidden="1">#REF!</definedName>
    <definedName name="XRefPaste47" hidden="1">#REF!</definedName>
    <definedName name="XRefPaste47Row" localSheetId="3" hidden="1">#REF!</definedName>
    <definedName name="XRefPaste47Row" localSheetId="1" hidden="1">#REF!</definedName>
    <definedName name="XRefPaste47Row" hidden="1">#REF!</definedName>
    <definedName name="XRefPaste48" localSheetId="3" hidden="1">#REF!</definedName>
    <definedName name="XRefPaste48" localSheetId="1" hidden="1">#REF!</definedName>
    <definedName name="XRefPaste48" hidden="1">#REF!</definedName>
    <definedName name="XRefPaste48Row" localSheetId="3" hidden="1">#REF!</definedName>
    <definedName name="XRefPaste48Row" localSheetId="1" hidden="1">#REF!</definedName>
    <definedName name="XRefPaste48Row" hidden="1">#REF!</definedName>
    <definedName name="XRefPaste49" localSheetId="5" hidden="1">#REF!</definedName>
    <definedName name="XRefPaste49" localSheetId="4" hidden="1">#REF!</definedName>
    <definedName name="XRefPaste49" localSheetId="3" hidden="1">#REF!</definedName>
    <definedName name="XRefPaste49" localSheetId="1" hidden="1">#REF!</definedName>
    <definedName name="XRefPaste49" hidden="1">#REF!</definedName>
    <definedName name="XRefPaste49Row" localSheetId="3" hidden="1">#REF!</definedName>
    <definedName name="XRefPaste49Row" localSheetId="1" hidden="1">#REF!</definedName>
    <definedName name="XRefPaste49Row" hidden="1">#REF!</definedName>
    <definedName name="XRefPaste4Row" localSheetId="5" hidden="1">#REF!</definedName>
    <definedName name="XRefPaste4Row" localSheetId="4" hidden="1">#REF!</definedName>
    <definedName name="XRefPaste4Row" localSheetId="3" hidden="1">#REF!</definedName>
    <definedName name="XRefPaste4Row" localSheetId="1" hidden="1">#REF!</definedName>
    <definedName name="XRefPaste4Row" hidden="1">#REF!</definedName>
    <definedName name="XRefPaste5" localSheetId="5" hidden="1">#REF!</definedName>
    <definedName name="XRefPaste5" localSheetId="4" hidden="1">#REF!</definedName>
    <definedName name="XRefPaste5" localSheetId="3" hidden="1">#REF!</definedName>
    <definedName name="XRefPaste5" localSheetId="1" hidden="1">#REF!</definedName>
    <definedName name="XRefPaste5" hidden="1">#REF!</definedName>
    <definedName name="XRefPaste50" localSheetId="5" hidden="1">#REF!</definedName>
    <definedName name="XRefPaste50" localSheetId="4" hidden="1">#REF!</definedName>
    <definedName name="XRefPaste50" localSheetId="3" hidden="1">#REF!</definedName>
    <definedName name="XRefPaste50" localSheetId="1" hidden="1">#REF!</definedName>
    <definedName name="XRefPaste50" hidden="1">#REF!</definedName>
    <definedName name="XRefPaste50Row" localSheetId="3" hidden="1">#REF!</definedName>
    <definedName name="XRefPaste50Row" localSheetId="1" hidden="1">#REF!</definedName>
    <definedName name="XRefPaste50Row" hidden="1">#REF!</definedName>
    <definedName name="XRefPaste51" localSheetId="5" hidden="1">#REF!</definedName>
    <definedName name="XRefPaste51" localSheetId="4" hidden="1">#REF!</definedName>
    <definedName name="XRefPaste51" localSheetId="3" hidden="1">#REF!</definedName>
    <definedName name="XRefPaste51" localSheetId="1" hidden="1">#REF!</definedName>
    <definedName name="XRefPaste51" hidden="1">#REF!</definedName>
    <definedName name="XRefPaste51Row" localSheetId="3" hidden="1">#REF!</definedName>
    <definedName name="XRefPaste51Row" localSheetId="1" hidden="1">#REF!</definedName>
    <definedName name="XRefPaste51Row" hidden="1">#REF!</definedName>
    <definedName name="XRefPaste52" localSheetId="5" hidden="1">#REF!</definedName>
    <definedName name="XRefPaste52" localSheetId="4" hidden="1">#REF!</definedName>
    <definedName name="XRefPaste52" localSheetId="3" hidden="1">#REF!</definedName>
    <definedName name="XRefPaste52" localSheetId="1" hidden="1">#REF!</definedName>
    <definedName name="XRefPaste52" hidden="1">#REF!</definedName>
    <definedName name="XRefPaste52Row" localSheetId="3" hidden="1">#REF!</definedName>
    <definedName name="XRefPaste52Row" localSheetId="1" hidden="1">#REF!</definedName>
    <definedName name="XRefPaste52Row" hidden="1">#REF!</definedName>
    <definedName name="XRefPaste53" localSheetId="5" hidden="1">#REF!</definedName>
    <definedName name="XRefPaste53" localSheetId="4" hidden="1">#REF!</definedName>
    <definedName name="XRefPaste53" localSheetId="3" hidden="1">#REF!</definedName>
    <definedName name="XRefPaste53" localSheetId="1" hidden="1">#REF!</definedName>
    <definedName name="XRefPaste53" hidden="1">#REF!</definedName>
    <definedName name="XRefPaste53Row" localSheetId="3" hidden="1">#REF!</definedName>
    <definedName name="XRefPaste53Row" localSheetId="1" hidden="1">#REF!</definedName>
    <definedName name="XRefPaste53Row" hidden="1">#REF!</definedName>
    <definedName name="XRefPaste54" localSheetId="5" hidden="1">#REF!</definedName>
    <definedName name="XRefPaste54" localSheetId="4" hidden="1">#REF!</definedName>
    <definedName name="XRefPaste54" localSheetId="3" hidden="1">#REF!</definedName>
    <definedName name="XRefPaste54" localSheetId="1" hidden="1">#REF!</definedName>
    <definedName name="XRefPaste54" hidden="1">#REF!</definedName>
    <definedName name="XRefPaste54Row" localSheetId="3" hidden="1">#REF!</definedName>
    <definedName name="XRefPaste54Row" localSheetId="1" hidden="1">#REF!</definedName>
    <definedName name="XRefPaste54Row" hidden="1">#REF!</definedName>
    <definedName name="XRefPaste55" localSheetId="5" hidden="1">#REF!</definedName>
    <definedName name="XRefPaste55" localSheetId="4" hidden="1">#REF!</definedName>
    <definedName name="XRefPaste55" localSheetId="3" hidden="1">#REF!</definedName>
    <definedName name="XRefPaste55" localSheetId="1" hidden="1">#REF!</definedName>
    <definedName name="XRefPaste55" hidden="1">#REF!</definedName>
    <definedName name="XRefPaste55Row" localSheetId="3" hidden="1">#REF!</definedName>
    <definedName name="XRefPaste55Row" localSheetId="1" hidden="1">#REF!</definedName>
    <definedName name="XRefPaste55Row" hidden="1">#REF!</definedName>
    <definedName name="XRefPaste56" localSheetId="5" hidden="1">#REF!</definedName>
    <definedName name="XRefPaste56" localSheetId="4" hidden="1">#REF!</definedName>
    <definedName name="XRefPaste56" localSheetId="3" hidden="1">#REF!</definedName>
    <definedName name="XRefPaste56" localSheetId="1" hidden="1">#REF!</definedName>
    <definedName name="XRefPaste56" hidden="1">#REF!</definedName>
    <definedName name="XRefPaste56Row" localSheetId="3" hidden="1">#REF!</definedName>
    <definedName name="XRefPaste56Row" localSheetId="1" hidden="1">#REF!</definedName>
    <definedName name="XRefPaste56Row" hidden="1">#REF!</definedName>
    <definedName name="XRefPaste57" localSheetId="5" hidden="1">#REF!</definedName>
    <definedName name="XRefPaste57" localSheetId="4" hidden="1">#REF!</definedName>
    <definedName name="XRefPaste57" localSheetId="3" hidden="1">#REF!</definedName>
    <definedName name="XRefPaste57" localSheetId="1" hidden="1">#REF!</definedName>
    <definedName name="XRefPaste57" hidden="1">#REF!</definedName>
    <definedName name="XRefPaste57Row" localSheetId="3" hidden="1">#REF!</definedName>
    <definedName name="XRefPaste57Row" localSheetId="1" hidden="1">#REF!</definedName>
    <definedName name="XRefPaste57Row" hidden="1">#REF!</definedName>
    <definedName name="XRefPaste58" localSheetId="5" hidden="1">#REF!</definedName>
    <definedName name="XRefPaste58" localSheetId="4" hidden="1">#REF!</definedName>
    <definedName name="XRefPaste58" localSheetId="3" hidden="1">#REF!</definedName>
    <definedName name="XRefPaste58" localSheetId="1" hidden="1">#REF!</definedName>
    <definedName name="XRefPaste58" hidden="1">#REF!</definedName>
    <definedName name="XRefPaste58Row" localSheetId="3" hidden="1">#REF!</definedName>
    <definedName name="XRefPaste58Row" localSheetId="1" hidden="1">#REF!</definedName>
    <definedName name="XRefPaste58Row" hidden="1">#REF!</definedName>
    <definedName name="XRefPaste59" localSheetId="5" hidden="1">#REF!</definedName>
    <definedName name="XRefPaste59" localSheetId="4" hidden="1">#REF!</definedName>
    <definedName name="XRefPaste59" localSheetId="3" hidden="1">#REF!</definedName>
    <definedName name="XRefPaste59" localSheetId="1" hidden="1">#REF!</definedName>
    <definedName name="XRefPaste59" hidden="1">#REF!</definedName>
    <definedName name="XRefPaste59Row" localSheetId="3" hidden="1">#REF!</definedName>
    <definedName name="XRefPaste59Row" localSheetId="1" hidden="1">#REF!</definedName>
    <definedName name="XRefPaste59Row" hidden="1">#REF!</definedName>
    <definedName name="XRefPaste5Row" localSheetId="5" hidden="1">#REF!</definedName>
    <definedName name="XRefPaste5Row" localSheetId="4" hidden="1">#REF!</definedName>
    <definedName name="XRefPaste5Row" localSheetId="3" hidden="1">#REF!</definedName>
    <definedName name="XRefPaste5Row" localSheetId="1" hidden="1">#REF!</definedName>
    <definedName name="XRefPaste5Row" hidden="1">#REF!</definedName>
    <definedName name="XRefPaste6" localSheetId="5" hidden="1">#REF!</definedName>
    <definedName name="XRefPaste6" localSheetId="4" hidden="1">#REF!</definedName>
    <definedName name="XRefPaste6" localSheetId="3" hidden="1">#REF!</definedName>
    <definedName name="XRefPaste6" localSheetId="1" hidden="1">#REF!</definedName>
    <definedName name="XRefPaste6" hidden="1">#REF!</definedName>
    <definedName name="XRefPaste60" localSheetId="5" hidden="1">#REF!</definedName>
    <definedName name="XRefPaste60" localSheetId="4" hidden="1">#REF!</definedName>
    <definedName name="XRefPaste60" localSheetId="3" hidden="1">#REF!</definedName>
    <definedName name="XRefPaste60" localSheetId="1" hidden="1">#REF!</definedName>
    <definedName name="XRefPaste60" hidden="1">#REF!</definedName>
    <definedName name="XRefPaste60Row" localSheetId="3" hidden="1">#REF!</definedName>
    <definedName name="XRefPaste60Row" localSheetId="1" hidden="1">#REF!</definedName>
    <definedName name="XRefPaste60Row" hidden="1">#REF!</definedName>
    <definedName name="XRefPaste61" localSheetId="5" hidden="1">#REF!</definedName>
    <definedName name="XRefPaste61" localSheetId="4" hidden="1">#REF!</definedName>
    <definedName name="XRefPaste61" localSheetId="3" hidden="1">#REF!</definedName>
    <definedName name="XRefPaste61" localSheetId="1" hidden="1">#REF!</definedName>
    <definedName name="XRefPaste61" hidden="1">#REF!</definedName>
    <definedName name="XRefPaste61Row" localSheetId="3" hidden="1">#REF!</definedName>
    <definedName name="XRefPaste61Row" localSheetId="1" hidden="1">#REF!</definedName>
    <definedName name="XRefPaste61Row" hidden="1">#REF!</definedName>
    <definedName name="XRefPaste62" localSheetId="5" hidden="1">#REF!</definedName>
    <definedName name="XRefPaste62" localSheetId="4" hidden="1">#REF!</definedName>
    <definedName name="XRefPaste62" localSheetId="3" hidden="1">#REF!</definedName>
    <definedName name="XRefPaste62" localSheetId="1" hidden="1">#REF!</definedName>
    <definedName name="XRefPaste62" hidden="1">#REF!</definedName>
    <definedName name="XRefPaste62Row" localSheetId="3" hidden="1">#REF!</definedName>
    <definedName name="XRefPaste62Row" localSheetId="1" hidden="1">#REF!</definedName>
    <definedName name="XRefPaste62Row" hidden="1">#REF!</definedName>
    <definedName name="XRefPaste63" localSheetId="5" hidden="1">#REF!</definedName>
    <definedName name="XRefPaste63" localSheetId="4" hidden="1">#REF!</definedName>
    <definedName name="XRefPaste63" localSheetId="3" hidden="1">#REF!</definedName>
    <definedName name="XRefPaste63" localSheetId="1" hidden="1">#REF!</definedName>
    <definedName name="XRefPaste63" hidden="1">#REF!</definedName>
    <definedName name="XRefPaste63Row" localSheetId="3" hidden="1">#REF!</definedName>
    <definedName name="XRefPaste63Row" localSheetId="1" hidden="1">#REF!</definedName>
    <definedName name="XRefPaste63Row" hidden="1">#REF!</definedName>
    <definedName name="XRefPaste64" localSheetId="3" hidden="1">#REF!</definedName>
    <definedName name="XRefPaste64" localSheetId="1" hidden="1">#REF!</definedName>
    <definedName name="XRefPaste64" hidden="1">#REF!</definedName>
    <definedName name="XRefPaste64Row" localSheetId="3" hidden="1">#REF!</definedName>
    <definedName name="XRefPaste64Row" localSheetId="1" hidden="1">#REF!</definedName>
    <definedName name="XRefPaste64Row" hidden="1">#REF!</definedName>
    <definedName name="XRefPaste65" localSheetId="3" hidden="1">#REF!</definedName>
    <definedName name="XRefPaste65" localSheetId="1" hidden="1">#REF!</definedName>
    <definedName name="XRefPaste65" hidden="1">#REF!</definedName>
    <definedName name="XRefPaste65Row" localSheetId="3" hidden="1">#REF!</definedName>
    <definedName name="XRefPaste65Row" localSheetId="1" hidden="1">#REF!</definedName>
    <definedName name="XRefPaste65Row" hidden="1">#REF!</definedName>
    <definedName name="XRefPaste66" localSheetId="5" hidden="1">#REF!</definedName>
    <definedName name="XRefPaste66" localSheetId="4" hidden="1">#REF!</definedName>
    <definedName name="XRefPaste66" localSheetId="3" hidden="1">#REF!</definedName>
    <definedName name="XRefPaste66" localSheetId="1" hidden="1">#REF!</definedName>
    <definedName name="XRefPaste66" hidden="1">#REF!</definedName>
    <definedName name="XRefPaste66Row" localSheetId="3" hidden="1">#REF!</definedName>
    <definedName name="XRefPaste66Row" localSheetId="1" hidden="1">#REF!</definedName>
    <definedName name="XRefPaste66Row" hidden="1">#REF!</definedName>
    <definedName name="XRefPaste67" localSheetId="5" hidden="1">#REF!</definedName>
    <definedName name="XRefPaste67" localSheetId="4" hidden="1">#REF!</definedName>
    <definedName name="XRefPaste67" localSheetId="3" hidden="1">#REF!</definedName>
    <definedName name="XRefPaste67" localSheetId="1" hidden="1">#REF!</definedName>
    <definedName name="XRefPaste67" hidden="1">#REF!</definedName>
    <definedName name="XRefPaste67Row" localSheetId="3" hidden="1">#REF!</definedName>
    <definedName name="XRefPaste67Row" localSheetId="1" hidden="1">#REF!</definedName>
    <definedName name="XRefPaste67Row" hidden="1">#REF!</definedName>
    <definedName name="XRefPaste68" localSheetId="5" hidden="1">#REF!</definedName>
    <definedName name="XRefPaste68" localSheetId="4" hidden="1">#REF!</definedName>
    <definedName name="XRefPaste68" localSheetId="3" hidden="1">#REF!</definedName>
    <definedName name="XRefPaste68" localSheetId="1" hidden="1">#REF!</definedName>
    <definedName name="XRefPaste68" hidden="1">#REF!</definedName>
    <definedName name="XRefPaste68Row" localSheetId="3" hidden="1">#REF!</definedName>
    <definedName name="XRefPaste68Row" localSheetId="1" hidden="1">#REF!</definedName>
    <definedName name="XRefPaste68Row" hidden="1">#REF!</definedName>
    <definedName name="XRefPaste69" localSheetId="5" hidden="1">#REF!</definedName>
    <definedName name="XRefPaste69" localSheetId="4" hidden="1">#REF!</definedName>
    <definedName name="XRefPaste69" localSheetId="3" hidden="1">#REF!</definedName>
    <definedName name="XRefPaste69" localSheetId="1" hidden="1">#REF!</definedName>
    <definedName name="XRefPaste69" hidden="1">#REF!</definedName>
    <definedName name="XRefPaste69Row" localSheetId="3" hidden="1">#REF!</definedName>
    <definedName name="XRefPaste69Row" localSheetId="1" hidden="1">#REF!</definedName>
    <definedName name="XRefPaste69Row" hidden="1">#REF!</definedName>
    <definedName name="XRefPaste6Row" localSheetId="5" hidden="1">#REF!</definedName>
    <definedName name="XRefPaste6Row" localSheetId="4" hidden="1">#REF!</definedName>
    <definedName name="XRefPaste6Row" localSheetId="3" hidden="1">#REF!</definedName>
    <definedName name="XRefPaste6Row" localSheetId="1" hidden="1">#REF!</definedName>
    <definedName name="XRefPaste6Row" hidden="1">#REF!</definedName>
    <definedName name="XRefPaste7" localSheetId="5" hidden="1">#REF!</definedName>
    <definedName name="XRefPaste7" localSheetId="4" hidden="1">#REF!</definedName>
    <definedName name="XRefPaste7" localSheetId="3" hidden="1">#REF!</definedName>
    <definedName name="XRefPaste7" localSheetId="1" hidden="1">#REF!</definedName>
    <definedName name="XRefPaste7" hidden="1">#REF!</definedName>
    <definedName name="XRefPaste70" localSheetId="5" hidden="1">#REF!</definedName>
    <definedName name="XRefPaste70" localSheetId="4" hidden="1">#REF!</definedName>
    <definedName name="XRefPaste70" localSheetId="3" hidden="1">#REF!</definedName>
    <definedName name="XRefPaste70" localSheetId="1" hidden="1">#REF!</definedName>
    <definedName name="XRefPaste70" hidden="1">#REF!</definedName>
    <definedName name="XRefPaste70Row" localSheetId="3" hidden="1">#REF!</definedName>
    <definedName name="XRefPaste70Row" localSheetId="1" hidden="1">#REF!</definedName>
    <definedName name="XRefPaste70Row" hidden="1">#REF!</definedName>
    <definedName name="XRefPaste71" localSheetId="5" hidden="1">#REF!</definedName>
    <definedName name="XRefPaste71" localSheetId="4" hidden="1">#REF!</definedName>
    <definedName name="XRefPaste71" localSheetId="3" hidden="1">#REF!</definedName>
    <definedName name="XRefPaste71" localSheetId="1" hidden="1">#REF!</definedName>
    <definedName name="XRefPaste71" hidden="1">#REF!</definedName>
    <definedName name="XRefPaste71Row" localSheetId="3" hidden="1">#REF!</definedName>
    <definedName name="XRefPaste71Row" localSheetId="1" hidden="1">#REF!</definedName>
    <definedName name="XRefPaste71Row" hidden="1">#REF!</definedName>
    <definedName name="XRefPaste72" localSheetId="5" hidden="1">#REF!</definedName>
    <definedName name="XRefPaste72" localSheetId="4" hidden="1">#REF!</definedName>
    <definedName name="XRefPaste72" localSheetId="3" hidden="1">#REF!</definedName>
    <definedName name="XRefPaste72" localSheetId="1" hidden="1">#REF!</definedName>
    <definedName name="XRefPaste72" hidden="1">#REF!</definedName>
    <definedName name="XRefPaste72Row" localSheetId="3" hidden="1">#REF!</definedName>
    <definedName name="XRefPaste72Row" localSheetId="1" hidden="1">#REF!</definedName>
    <definedName name="XRefPaste72Row" hidden="1">#REF!</definedName>
    <definedName name="XRefPaste73" localSheetId="5" hidden="1">#REF!</definedName>
    <definedName name="XRefPaste73" localSheetId="4" hidden="1">#REF!</definedName>
    <definedName name="XRefPaste73" localSheetId="3" hidden="1">#REF!</definedName>
    <definedName name="XRefPaste73" localSheetId="1" hidden="1">#REF!</definedName>
    <definedName name="XRefPaste73" hidden="1">#REF!</definedName>
    <definedName name="XRefPaste73Row" localSheetId="3" hidden="1">#REF!</definedName>
    <definedName name="XRefPaste73Row" localSheetId="1" hidden="1">#REF!</definedName>
    <definedName name="XRefPaste73Row" hidden="1">#REF!</definedName>
    <definedName name="XRefPaste74" localSheetId="5" hidden="1">#REF!</definedName>
    <definedName name="XRefPaste74" localSheetId="4" hidden="1">#REF!</definedName>
    <definedName name="XRefPaste74" localSheetId="3" hidden="1">#REF!</definedName>
    <definedName name="XRefPaste74" localSheetId="1" hidden="1">#REF!</definedName>
    <definedName name="XRefPaste74" hidden="1">#REF!</definedName>
    <definedName name="XRefPaste74Row" localSheetId="3" hidden="1">#REF!</definedName>
    <definedName name="XRefPaste74Row" localSheetId="1" hidden="1">#REF!</definedName>
    <definedName name="XRefPaste74Row" hidden="1">#REF!</definedName>
    <definedName name="XRefPaste75" localSheetId="5" hidden="1">#REF!</definedName>
    <definedName name="XRefPaste75" localSheetId="4" hidden="1">#REF!</definedName>
    <definedName name="XRefPaste75" localSheetId="3" hidden="1">#REF!</definedName>
    <definedName name="XRefPaste75" localSheetId="1" hidden="1">#REF!</definedName>
    <definedName name="XRefPaste75" hidden="1">#REF!</definedName>
    <definedName name="XRefPaste75Row" localSheetId="3" hidden="1">#REF!</definedName>
    <definedName name="XRefPaste75Row" localSheetId="1" hidden="1">#REF!</definedName>
    <definedName name="XRefPaste75Row" hidden="1">#REF!</definedName>
    <definedName name="XRefPaste76" localSheetId="3" hidden="1">#REF!</definedName>
    <definedName name="XRefPaste76" localSheetId="1" hidden="1">#REF!</definedName>
    <definedName name="XRefPaste76" hidden="1">#REF!</definedName>
    <definedName name="XRefPaste76Row" localSheetId="3" hidden="1">#REF!</definedName>
    <definedName name="XRefPaste76Row" localSheetId="1" hidden="1">#REF!</definedName>
    <definedName name="XRefPaste76Row" hidden="1">#REF!</definedName>
    <definedName name="XRefPaste77" localSheetId="5" hidden="1">#REF!</definedName>
    <definedName name="XRefPaste77" localSheetId="4" hidden="1">#REF!</definedName>
    <definedName name="XRefPaste77" localSheetId="3" hidden="1">#REF!</definedName>
    <definedName name="XRefPaste77" localSheetId="1" hidden="1">#REF!</definedName>
    <definedName name="XRefPaste77" hidden="1">#REF!</definedName>
    <definedName name="XRefPaste77Row" localSheetId="3" hidden="1">#REF!</definedName>
    <definedName name="XRefPaste77Row" localSheetId="1" hidden="1">#REF!</definedName>
    <definedName name="XRefPaste77Row" hidden="1">#REF!</definedName>
    <definedName name="XRefPaste78" localSheetId="5" hidden="1">#REF!</definedName>
    <definedName name="XRefPaste78" localSheetId="4" hidden="1">#REF!</definedName>
    <definedName name="XRefPaste78" localSheetId="3" hidden="1">#REF!</definedName>
    <definedName name="XRefPaste78" localSheetId="1" hidden="1">#REF!</definedName>
    <definedName name="XRefPaste78" hidden="1">#REF!</definedName>
    <definedName name="XRefPaste78Row" localSheetId="3" hidden="1">#REF!</definedName>
    <definedName name="XRefPaste78Row" localSheetId="1" hidden="1">#REF!</definedName>
    <definedName name="XRefPaste78Row" hidden="1">#REF!</definedName>
    <definedName name="XRefPaste79" localSheetId="5" hidden="1">#REF!</definedName>
    <definedName name="XRefPaste79" localSheetId="4" hidden="1">#REF!</definedName>
    <definedName name="XRefPaste79" localSheetId="3" hidden="1">#REF!</definedName>
    <definedName name="XRefPaste79" localSheetId="1" hidden="1">#REF!</definedName>
    <definedName name="XRefPaste79" hidden="1">#REF!</definedName>
    <definedName name="XRefPaste79Row" localSheetId="3" hidden="1">#REF!</definedName>
    <definedName name="XRefPaste79Row" localSheetId="1" hidden="1">#REF!</definedName>
    <definedName name="XRefPaste79Row" hidden="1">#REF!</definedName>
    <definedName name="XRefPaste7Row" localSheetId="5" hidden="1">#REF!</definedName>
    <definedName name="XRefPaste7Row" localSheetId="4" hidden="1">#REF!</definedName>
    <definedName name="XRefPaste7Row" localSheetId="3" hidden="1">#REF!</definedName>
    <definedName name="XRefPaste7Row" localSheetId="1" hidden="1">#REF!</definedName>
    <definedName name="XRefPaste7Row" hidden="1">#REF!</definedName>
    <definedName name="XRefPaste8" localSheetId="5" hidden="1">#REF!</definedName>
    <definedName name="XRefPaste8" localSheetId="4" hidden="1">#REF!</definedName>
    <definedName name="XRefPaste8" localSheetId="3" hidden="1">#REF!</definedName>
    <definedName name="XRefPaste8" localSheetId="1" hidden="1">#REF!</definedName>
    <definedName name="XRefPaste8" hidden="1">#REF!</definedName>
    <definedName name="XRefPaste80" localSheetId="5" hidden="1">#REF!</definedName>
    <definedName name="XRefPaste80" localSheetId="4" hidden="1">#REF!</definedName>
    <definedName name="XRefPaste80" localSheetId="3" hidden="1">#REF!</definedName>
    <definedName name="XRefPaste80" localSheetId="1" hidden="1">#REF!</definedName>
    <definedName name="XRefPaste80" hidden="1">#REF!</definedName>
    <definedName name="XRefPaste80Row" localSheetId="3" hidden="1">#REF!</definedName>
    <definedName name="XRefPaste80Row" localSheetId="1" hidden="1">#REF!</definedName>
    <definedName name="XRefPaste80Row" hidden="1">#REF!</definedName>
    <definedName name="XRefPaste81" localSheetId="5" hidden="1">#REF!</definedName>
    <definedName name="XRefPaste81" localSheetId="4" hidden="1">#REF!</definedName>
    <definedName name="XRefPaste81" localSheetId="3" hidden="1">#REF!</definedName>
    <definedName name="XRefPaste81" localSheetId="1" hidden="1">#REF!</definedName>
    <definedName name="XRefPaste81" hidden="1">#REF!</definedName>
    <definedName name="XRefPaste81Row" localSheetId="3" hidden="1">#REF!</definedName>
    <definedName name="XRefPaste81Row" localSheetId="1" hidden="1">#REF!</definedName>
    <definedName name="XRefPaste81Row" hidden="1">#REF!</definedName>
    <definedName name="XRefPaste82" localSheetId="5" hidden="1">#REF!</definedName>
    <definedName name="XRefPaste82" localSheetId="4" hidden="1">#REF!</definedName>
    <definedName name="XRefPaste82" localSheetId="3" hidden="1">#REF!</definedName>
    <definedName name="XRefPaste82" localSheetId="1" hidden="1">#REF!</definedName>
    <definedName name="XRefPaste82" hidden="1">#REF!</definedName>
    <definedName name="XRefPaste82Row" localSheetId="3" hidden="1">#REF!</definedName>
    <definedName name="XRefPaste82Row" localSheetId="1" hidden="1">#REF!</definedName>
    <definedName name="XRefPaste82Row" hidden="1">#REF!</definedName>
    <definedName name="XRefPaste83" localSheetId="5" hidden="1">#REF!</definedName>
    <definedName name="XRefPaste83" localSheetId="4" hidden="1">#REF!</definedName>
    <definedName name="XRefPaste83" localSheetId="3" hidden="1">#REF!</definedName>
    <definedName name="XRefPaste83" localSheetId="1" hidden="1">#REF!</definedName>
    <definedName name="XRefPaste83" hidden="1">#REF!</definedName>
    <definedName name="XRefPaste83Row" localSheetId="3" hidden="1">#REF!</definedName>
    <definedName name="XRefPaste83Row" localSheetId="1" hidden="1">#REF!</definedName>
    <definedName name="XRefPaste83Row" hidden="1">#REF!</definedName>
    <definedName name="XRefPaste84" localSheetId="5" hidden="1">#REF!</definedName>
    <definedName name="XRefPaste84" localSheetId="4" hidden="1">#REF!</definedName>
    <definedName name="XRefPaste84" localSheetId="3" hidden="1">#REF!</definedName>
    <definedName name="XRefPaste84" localSheetId="1" hidden="1">#REF!</definedName>
    <definedName name="XRefPaste84" hidden="1">#REF!</definedName>
    <definedName name="XRefPaste84Row" localSheetId="3" hidden="1">#REF!</definedName>
    <definedName name="XRefPaste84Row" localSheetId="1" hidden="1">#REF!</definedName>
    <definedName name="XRefPaste84Row" hidden="1">#REF!</definedName>
    <definedName name="XRefPaste85" localSheetId="5" hidden="1">#REF!</definedName>
    <definedName name="XRefPaste85" localSheetId="4" hidden="1">#REF!</definedName>
    <definedName name="XRefPaste85" localSheetId="3" hidden="1">#REF!</definedName>
    <definedName name="XRefPaste85" localSheetId="1" hidden="1">#REF!</definedName>
    <definedName name="XRefPaste85" hidden="1">#REF!</definedName>
    <definedName name="XRefPaste85Row" localSheetId="3" hidden="1">#REF!</definedName>
    <definedName name="XRefPaste85Row" localSheetId="1" hidden="1">#REF!</definedName>
    <definedName name="XRefPaste85Row" hidden="1">#REF!</definedName>
    <definedName name="XRefPaste86" localSheetId="5" hidden="1">#REF!</definedName>
    <definedName name="XRefPaste86" localSheetId="4" hidden="1">#REF!</definedName>
    <definedName name="XRefPaste86" localSheetId="3" hidden="1">#REF!</definedName>
    <definedName name="XRefPaste86" localSheetId="1" hidden="1">#REF!</definedName>
    <definedName name="XRefPaste86" hidden="1">#REF!</definedName>
    <definedName name="XRefPaste86Row" localSheetId="3" hidden="1">#REF!</definedName>
    <definedName name="XRefPaste86Row" localSheetId="1" hidden="1">#REF!</definedName>
    <definedName name="XRefPaste86Row" hidden="1">#REF!</definedName>
    <definedName name="XRefPaste87" localSheetId="5" hidden="1">#REF!</definedName>
    <definedName name="XRefPaste87" localSheetId="4" hidden="1">#REF!</definedName>
    <definedName name="XRefPaste87" localSheetId="3" hidden="1">#REF!</definedName>
    <definedName name="XRefPaste87" localSheetId="1" hidden="1">#REF!</definedName>
    <definedName name="XRefPaste87" hidden="1">#REF!</definedName>
    <definedName name="XRefPaste87Row" localSheetId="3" hidden="1">#REF!</definedName>
    <definedName name="XRefPaste87Row" localSheetId="1" hidden="1">#REF!</definedName>
    <definedName name="XRefPaste87Row" hidden="1">#REF!</definedName>
    <definedName name="XRefPaste88" localSheetId="5" hidden="1">#REF!</definedName>
    <definedName name="XRefPaste88" localSheetId="4" hidden="1">#REF!</definedName>
    <definedName name="XRefPaste88" localSheetId="3" hidden="1">#REF!</definedName>
    <definedName name="XRefPaste88" localSheetId="1" hidden="1">#REF!</definedName>
    <definedName name="XRefPaste88" hidden="1">#REF!</definedName>
    <definedName name="XRefPaste88Row" localSheetId="3" hidden="1">#REF!</definedName>
    <definedName name="XRefPaste88Row" localSheetId="1" hidden="1">#REF!</definedName>
    <definedName name="XRefPaste88Row" hidden="1">#REF!</definedName>
    <definedName name="XRefPaste89" localSheetId="5" hidden="1">#REF!</definedName>
    <definedName name="XRefPaste89" localSheetId="4" hidden="1">#REF!</definedName>
    <definedName name="XRefPaste89" localSheetId="3" hidden="1">#REF!</definedName>
    <definedName name="XRefPaste89" localSheetId="1" hidden="1">#REF!</definedName>
    <definedName name="XRefPaste89" hidden="1">#REF!</definedName>
    <definedName name="XRefPaste89Row" localSheetId="3" hidden="1">#REF!</definedName>
    <definedName name="XRefPaste89Row" localSheetId="1" hidden="1">#REF!</definedName>
    <definedName name="XRefPaste89Row" hidden="1">#REF!</definedName>
    <definedName name="XRefPaste8Row" localSheetId="5" hidden="1">#REF!</definedName>
    <definedName name="XRefPaste8Row" localSheetId="4" hidden="1">#REF!</definedName>
    <definedName name="XRefPaste8Row" localSheetId="3" hidden="1">#REF!</definedName>
    <definedName name="XRefPaste8Row" localSheetId="1" hidden="1">#REF!</definedName>
    <definedName name="XRefPaste8Row" hidden="1">#REF!</definedName>
    <definedName name="XRefPaste9" localSheetId="5" hidden="1">#REF!</definedName>
    <definedName name="XRefPaste9" localSheetId="4" hidden="1">#REF!</definedName>
    <definedName name="XRefPaste9" localSheetId="3" hidden="1">#REF!</definedName>
    <definedName name="XRefPaste9" localSheetId="1" hidden="1">#REF!</definedName>
    <definedName name="XRefPaste9" hidden="1">#REF!</definedName>
    <definedName name="XRefPaste90" localSheetId="5" hidden="1">#REF!</definedName>
    <definedName name="XRefPaste90" localSheetId="4" hidden="1">#REF!</definedName>
    <definedName name="XRefPaste90" localSheetId="3" hidden="1">#REF!</definedName>
    <definedName name="XRefPaste90" localSheetId="1" hidden="1">#REF!</definedName>
    <definedName name="XRefPaste90" hidden="1">#REF!</definedName>
    <definedName name="XRefPaste90Row" localSheetId="3" hidden="1">#REF!</definedName>
    <definedName name="XRefPaste90Row" localSheetId="1" hidden="1">#REF!</definedName>
    <definedName name="XRefPaste90Row" hidden="1">#REF!</definedName>
    <definedName name="XRefPaste91" localSheetId="5" hidden="1">#REF!</definedName>
    <definedName name="XRefPaste91" localSheetId="4" hidden="1">#REF!</definedName>
    <definedName name="XRefPaste91" localSheetId="3" hidden="1">#REF!</definedName>
    <definedName name="XRefPaste91" localSheetId="1" hidden="1">#REF!</definedName>
    <definedName name="XRefPaste91" hidden="1">#REF!</definedName>
    <definedName name="XRefPaste91Row" localSheetId="3" hidden="1">#REF!</definedName>
    <definedName name="XRefPaste91Row" localSheetId="1" hidden="1">#REF!</definedName>
    <definedName name="XRefPaste91Row" hidden="1">#REF!</definedName>
    <definedName name="XRefPaste92" localSheetId="5" hidden="1">#REF!</definedName>
    <definedName name="XRefPaste92" localSheetId="4" hidden="1">#REF!</definedName>
    <definedName name="XRefPaste92" localSheetId="3" hidden="1">#REF!</definedName>
    <definedName name="XRefPaste92" localSheetId="1" hidden="1">#REF!</definedName>
    <definedName name="XRefPaste92" hidden="1">#REF!</definedName>
    <definedName name="XRefPaste92Row" localSheetId="3" hidden="1">#REF!</definedName>
    <definedName name="XRefPaste92Row" localSheetId="1" hidden="1">#REF!</definedName>
    <definedName name="XRefPaste92Row" hidden="1">#REF!</definedName>
    <definedName name="XRefPaste93" localSheetId="5" hidden="1">#REF!</definedName>
    <definedName name="XRefPaste93" localSheetId="4" hidden="1">#REF!</definedName>
    <definedName name="XRefPaste93" localSheetId="3" hidden="1">#REF!</definedName>
    <definedName name="XRefPaste93" localSheetId="1" hidden="1">#REF!</definedName>
    <definedName name="XRefPaste93" hidden="1">#REF!</definedName>
    <definedName name="XRefPaste93Row" localSheetId="3" hidden="1">#REF!</definedName>
    <definedName name="XRefPaste93Row" localSheetId="1" hidden="1">#REF!</definedName>
    <definedName name="XRefPaste93Row" hidden="1">#REF!</definedName>
    <definedName name="XRefPaste94" localSheetId="5" hidden="1">#REF!</definedName>
    <definedName name="XRefPaste94" localSheetId="4" hidden="1">#REF!</definedName>
    <definedName name="XRefPaste94" localSheetId="3" hidden="1">#REF!</definedName>
    <definedName name="XRefPaste94" localSheetId="1" hidden="1">#REF!</definedName>
    <definedName name="XRefPaste94" hidden="1">#REF!</definedName>
    <definedName name="XRefPaste94Row" localSheetId="3" hidden="1">#REF!</definedName>
    <definedName name="XRefPaste94Row" localSheetId="1" hidden="1">#REF!</definedName>
    <definedName name="XRefPaste94Row" hidden="1">#REF!</definedName>
    <definedName name="XRefPaste95" localSheetId="5" hidden="1">#REF!</definedName>
    <definedName name="XRefPaste95" localSheetId="4" hidden="1">#REF!</definedName>
    <definedName name="XRefPaste95" localSheetId="3" hidden="1">#REF!</definedName>
    <definedName name="XRefPaste95" localSheetId="1" hidden="1">#REF!</definedName>
    <definedName name="XRefPaste95" hidden="1">#REF!</definedName>
    <definedName name="XRefPaste95Row" localSheetId="3" hidden="1">#REF!</definedName>
    <definedName name="XRefPaste95Row" localSheetId="1" hidden="1">#REF!</definedName>
    <definedName name="XRefPaste95Row" hidden="1">#REF!</definedName>
    <definedName name="XRefPaste96" localSheetId="5" hidden="1">#REF!</definedName>
    <definedName name="XRefPaste96" localSheetId="4" hidden="1">#REF!</definedName>
    <definedName name="XRefPaste96" localSheetId="3" hidden="1">#REF!</definedName>
    <definedName name="XRefPaste96" localSheetId="1" hidden="1">#REF!</definedName>
    <definedName name="XRefPaste96" hidden="1">#REF!</definedName>
    <definedName name="XRefPaste96Row" localSheetId="3" hidden="1">#REF!</definedName>
    <definedName name="XRefPaste96Row" localSheetId="1" hidden="1">#REF!</definedName>
    <definedName name="XRefPaste96Row" hidden="1">#REF!</definedName>
    <definedName name="XRefPaste97Row" localSheetId="3" hidden="1">#REF!</definedName>
    <definedName name="XRefPaste97Row" localSheetId="1" hidden="1">#REF!</definedName>
    <definedName name="XRefPaste97Row" hidden="1">#REF!</definedName>
    <definedName name="XRefPaste98" localSheetId="5" hidden="1">#REF!</definedName>
    <definedName name="XRefPaste98" localSheetId="4" hidden="1">#REF!</definedName>
    <definedName name="XRefPaste98" localSheetId="3" hidden="1">#REF!</definedName>
    <definedName name="XRefPaste98" localSheetId="1" hidden="1">#REF!</definedName>
    <definedName name="XRefPaste98" hidden="1">#REF!</definedName>
    <definedName name="XRefPaste98Row" localSheetId="3" hidden="1">#REF!</definedName>
    <definedName name="XRefPaste98Row" localSheetId="1" hidden="1">#REF!</definedName>
    <definedName name="XRefPaste98Row" hidden="1">#REF!</definedName>
    <definedName name="XRefPaste99" localSheetId="5" hidden="1">#REF!</definedName>
    <definedName name="XRefPaste99" localSheetId="4" hidden="1">#REF!</definedName>
    <definedName name="XRefPaste99" localSheetId="3" hidden="1">#REF!</definedName>
    <definedName name="XRefPaste99" localSheetId="1" hidden="1">#REF!</definedName>
    <definedName name="XRefPaste99" hidden="1">#REF!</definedName>
    <definedName name="XRefPaste99Row" localSheetId="3" hidden="1">#REF!</definedName>
    <definedName name="XRefPaste99Row" localSheetId="1" hidden="1">#REF!</definedName>
    <definedName name="XRefPaste99Row" hidden="1">#REF!</definedName>
    <definedName name="XRefPaste9Row" localSheetId="5" hidden="1">#REF!</definedName>
    <definedName name="XRefPaste9Row" localSheetId="4" hidden="1">#REF!</definedName>
    <definedName name="XRefPaste9Row" localSheetId="3" hidden="1">#REF!</definedName>
    <definedName name="XRefPaste9Row" localSheetId="1" hidden="1">#REF!</definedName>
    <definedName name="XRefPaste9Row" hidden="1">#REF!</definedName>
    <definedName name="XRefPasteRangeCount" hidden="1">4</definedName>
    <definedName name="xx" localSheetId="5">#REF!</definedName>
    <definedName name="xx" localSheetId="4">#REF!</definedName>
    <definedName name="xx" localSheetId="3">#REF!</definedName>
    <definedName name="xx" localSheetId="1">#REF!</definedName>
    <definedName name="xx">#REF!</definedName>
    <definedName name="xxx" localSheetId="3" hidden="1">#REF!</definedName>
    <definedName name="xxx" localSheetId="1" hidden="1">#REF!</definedName>
    <definedName name="xxx" hidden="1">#REF!</definedName>
    <definedName name="xxxxxxx" localSheetId="3">#REF!</definedName>
    <definedName name="xxxxxxx" localSheetId="1">#REF!</definedName>
    <definedName name="xxxxxxx">#REF!</definedName>
    <definedName name="xxxxxxxxxx" localSheetId="3">#REF!</definedName>
    <definedName name="xxxxxxxxxx" localSheetId="1">#REF!</definedName>
    <definedName name="xxxxxxxxxx">#REF!</definedName>
    <definedName name="xxxxxxxxxxxxx" localSheetId="3">#REF!</definedName>
    <definedName name="xxxxxxxxxxxxx" localSheetId="1">#REF!</definedName>
    <definedName name="xxxxxxxxxxxxx">#REF!</definedName>
    <definedName name="xxxxxxxxxxxxxxxxxxxxxxxxxxxxxxxxxxxxxxxxxxxxxxxxxxxxxxxxxxxxxxxxxxxxxxxx" localSheetId="3">#REF!</definedName>
    <definedName name="xxxxxxxxxxxxxxxxxxxxxxxxxxxxxxxxxxxxxxxxxxxxxxxxxxxxxxxxxxxxxxxxxxxxxxxx" localSheetId="1">#REF!</definedName>
    <definedName name="xxxxxxxxxxxxxxxxxxxxxxxxxxxxxxxxxxxxxxxxxxxxxxxxxxxxxxxxxxxxxxxxxxxxxxxx">#REF!</definedName>
    <definedName name="X행" localSheetId="3">#REF!</definedName>
    <definedName name="X행" localSheetId="1">#REF!</definedName>
    <definedName name="X행">#REF!</definedName>
    <definedName name="Y" localSheetId="3">#REF!</definedName>
    <definedName name="Y" localSheetId="1">#REF!</definedName>
    <definedName name="Y">#REF!</definedName>
    <definedName name="ya" localSheetId="5" hidden="1">{#N/A,#N/A,FALSE,"Aging Summary";#N/A,#N/A,FALSE,"Ratio Analysis";#N/A,#N/A,FALSE,"Test 120 Day Accts";#N/A,#N/A,FALSE,"Tickmarks"}</definedName>
    <definedName name="ya" localSheetId="4" hidden="1">{#N/A,#N/A,FALSE,"Aging Summary";#N/A,#N/A,FALSE,"Ratio Analysis";#N/A,#N/A,FALSE,"Test 120 Day Accts";#N/A,#N/A,FALSE,"Tickmarks"}</definedName>
    <definedName name="ya" localSheetId="3" hidden="1">{#N/A,#N/A,FALSE,"Aging Summary";#N/A,#N/A,FALSE,"Ratio Analysis";#N/A,#N/A,FALSE,"Test 120 Day Accts";#N/A,#N/A,FALSE,"Tickmarks"}</definedName>
    <definedName name="ya" localSheetId="1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ear" localSheetId="5">#REF!</definedName>
    <definedName name="Year" localSheetId="4">#REF!</definedName>
    <definedName name="Year" localSheetId="3">#REF!</definedName>
    <definedName name="Year" localSheetId="1">#REF!</definedName>
    <definedName name="Year">#REF!</definedName>
    <definedName name="Year_To_WesternStyle" localSheetId="3">#REF!</definedName>
    <definedName name="Year_To_WesternStyle" localSheetId="1">#REF!</definedName>
    <definedName name="Year_To_WesternStyle">#REF!</definedName>
    <definedName name="YEAREND" localSheetId="3">#REF!</definedName>
    <definedName name="YEAREND" localSheetId="1">#REF!</definedName>
    <definedName name="YEAREND">#REF!</definedName>
    <definedName name="YEARS" localSheetId="3">#REF!</definedName>
    <definedName name="YEARS" localSheetId="1">#REF!</definedName>
    <definedName name="YEARS">#REF!</definedName>
    <definedName name="YEN" localSheetId="3">#REF!</definedName>
    <definedName name="YEN" localSheetId="1">#REF!</definedName>
    <definedName name="YEN">#REF!</definedName>
    <definedName name="YEON" localSheetId="3">#REF!</definedName>
    <definedName name="YEON" localSheetId="1">#REF!</definedName>
    <definedName name="YEON">#REF!</definedName>
    <definedName name="yh" localSheetId="5" hidden="1">{#N/A,#N/A,FALSE,"Aging Summary";#N/A,#N/A,FALSE,"Ratio Analysis";#N/A,#N/A,FALSE,"Test 120 Day Accts";#N/A,#N/A,FALSE,"Tickmarks"}</definedName>
    <definedName name="yh" localSheetId="4" hidden="1">{#N/A,#N/A,FALSE,"Aging Summary";#N/A,#N/A,FALSE,"Ratio Analysis";#N/A,#N/A,FALSE,"Test 120 Day Accts";#N/A,#N/A,FALSE,"Tickmarks"}</definedName>
    <definedName name="yh" localSheetId="3" hidden="1">{#N/A,#N/A,FALSE,"Aging Summary";#N/A,#N/A,FALSE,"Ratio Analysis";#N/A,#N/A,FALSE,"Test 120 Day Accts";#N/A,#N/A,FALSE,"Tickmarks"}</definedName>
    <definedName name="yh" localSheetId="1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M" localSheetId="5">#REF!</definedName>
    <definedName name="YM" localSheetId="4">#REF!</definedName>
    <definedName name="YM" localSheetId="3">#REF!</definedName>
    <definedName name="YM" localSheetId="1">#REF!</definedName>
    <definedName name="YM">#REF!</definedName>
    <definedName name="YN" localSheetId="5">#REF!</definedName>
    <definedName name="YN" localSheetId="4">#REF!</definedName>
    <definedName name="YN" localSheetId="3">#REF!</definedName>
    <definedName name="YN" localSheetId="1">#REF!</definedName>
    <definedName name="YN">#REF!</definedName>
    <definedName name="Yr_1_Rent_Growth" localSheetId="5">#REF!</definedName>
    <definedName name="Yr_1_Rent_Growth" localSheetId="4">#REF!</definedName>
    <definedName name="Yr_1_Rent_Growth" localSheetId="3">#REF!</definedName>
    <definedName name="Yr_1_Rent_Growth" localSheetId="1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 localSheetId="5">#REF!</definedName>
    <definedName name="YTD" localSheetId="4">#REF!</definedName>
    <definedName name="YTD" localSheetId="3">#REF!</definedName>
    <definedName name="YTD" localSheetId="1">#REF!</definedName>
    <definedName name="YTD">#REF!</definedName>
    <definedName name="YTD1" localSheetId="3">#REF!</definedName>
    <definedName name="YTD1" localSheetId="1">#REF!</definedName>
    <definedName name="YTD1">#REF!</definedName>
    <definedName name="YTD2" localSheetId="3">#REF!</definedName>
    <definedName name="YTD2" localSheetId="1">#REF!</definedName>
    <definedName name="YTD2">#REF!</definedName>
    <definedName name="yuioyuoiio" localSheetId="5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4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3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1" hidden="1">{#N/A,#N/A,TRUE,"Assumptions";#N/A,#N/A,TRUE,"Sources of Revenue";#N/A,#N/A,TRUE,"P&amp;L";#N/A,#N/A,TRUE,"Bal. Sheet";#N/A,#N/A,TRUE,"Rights Issue &amp; X Adjustment";#N/A,#N/A,TRUE,"Transaction Model"}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localSheetId="5" hidden="1">{#N/A,#N/A,TRUE,"Assumptions";#N/A,#N/A,TRUE,"Sources of Revenue";#N/A,#N/A,TRUE,"P&amp;L";#N/A,#N/A,TRUE,"Bal. Sheet";#N/A,#N/A,TRUE,"Rights Issue &amp; X Adjustment";#N/A,#N/A,TRUE,"Transaction Model"}</definedName>
    <definedName name="YUIY" localSheetId="4" hidden="1">{#N/A,#N/A,TRUE,"Assumptions";#N/A,#N/A,TRUE,"Sources of Revenue";#N/A,#N/A,TRUE,"P&amp;L";#N/A,#N/A,TRUE,"Bal. Sheet";#N/A,#N/A,TRUE,"Rights Issue &amp; X Adjustment";#N/A,#N/A,TRUE,"Transaction Model"}</definedName>
    <definedName name="YUIY" localSheetId="3" hidden="1">{#N/A,#N/A,TRUE,"Assumptions";#N/A,#N/A,TRUE,"Sources of Revenue";#N/A,#N/A,TRUE,"P&amp;L";#N/A,#N/A,TRUE,"Bal. Sheet";#N/A,#N/A,TRUE,"Rights Issue &amp; X Adjustment";#N/A,#N/A,TRUE,"Transaction Model"}</definedName>
    <definedName name="YUIY" localSheetId="1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 localSheetId="5">#REF!</definedName>
    <definedName name="YUYU" localSheetId="4">#REF!</definedName>
    <definedName name="YUYU" localSheetId="3">#REF!</definedName>
    <definedName name="YUYU" localSheetId="1">#REF!</definedName>
    <definedName name="YUYU">#REF!</definedName>
    <definedName name="yy" localSheetId="3">#REF!</definedName>
    <definedName name="yy" localSheetId="1">#REF!</definedName>
    <definedName name="yy">#REF!</definedName>
    <definedName name="YYY" localSheetId="5" hidden="1">{#N/A,#N/A,TRUE,"Y생산";#N/A,#N/A,TRUE,"Y판매";#N/A,#N/A,TRUE,"Y총물량";#N/A,#N/A,TRUE,"Y능력";#N/A,#N/A,TRUE,"YKD"}</definedName>
    <definedName name="YYY" localSheetId="4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localSheetId="1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yyyy" localSheetId="5">#REF!</definedName>
    <definedName name="yyyyyyyy" localSheetId="4">#REF!</definedName>
    <definedName name="yyyyyyyy" localSheetId="3">#REF!</definedName>
    <definedName name="yyyyyyyy" localSheetId="1">#REF!</definedName>
    <definedName name="yyyyyyyy">#REF!</definedName>
    <definedName name="YYYYYYYYY" localSheetId="5">#REF!</definedName>
    <definedName name="YYYYYYYYY" localSheetId="4">#REF!</definedName>
    <definedName name="YYYYYYYYY" localSheetId="3">#REF!</definedName>
    <definedName name="YYYYYYYYY" localSheetId="1">#REF!</definedName>
    <definedName name="YYYYYYYYY">#REF!</definedName>
    <definedName name="yyyyyyyyyy" localSheetId="5">#REF!</definedName>
    <definedName name="yyyyyyyyyy" localSheetId="4">#REF!</definedName>
    <definedName name="yyyyyyyyyy" localSheetId="3">#REF!</definedName>
    <definedName name="yyyyyyyyyy" localSheetId="1">#REF!</definedName>
    <definedName name="yyyyyyyyyy">#REF!</definedName>
    <definedName name="yyyyyyyyyyy" localSheetId="3">#REF!</definedName>
    <definedName name="yyyyyyyyyyy" localSheetId="1">#REF!</definedName>
    <definedName name="yyyyyyyyyyy">#REF!</definedName>
    <definedName name="yyyyyyyyyyyy" localSheetId="3">#REF!</definedName>
    <definedName name="yyyyyyyyyyyy" localSheetId="1">#REF!</definedName>
    <definedName name="yyyyyyyyyyyy">#REF!</definedName>
    <definedName name="yyyyyyyyyyyyyy" localSheetId="3">#REF!</definedName>
    <definedName name="yyyyyyyyyyyyyy" localSheetId="1">#REF!</definedName>
    <definedName name="yyyyyyyyyyyyyy">#REF!</definedName>
    <definedName name="yyyyyyyyyyyyyyy" localSheetId="3">#REF!</definedName>
    <definedName name="yyyyyyyyyyyyyyy" localSheetId="1">#REF!</definedName>
    <definedName name="yyyyyyyyyyyyyyy">#REF!</definedName>
    <definedName name="yyyyyyyyyyyyyyyy" localSheetId="3">#REF!</definedName>
    <definedName name="yyyyyyyyyyyyyyyy" localSheetId="1">#REF!</definedName>
    <definedName name="yyyyyyyyyyyyyyyy">#REF!</definedName>
    <definedName name="yyyyyyyyyyyyyyyyyy" localSheetId="3">#REF!</definedName>
    <definedName name="yyyyyyyyyyyyyyyyyy" localSheetId="1">#REF!</definedName>
    <definedName name="yyyyyyyyyyyyyyyyyy">#REF!</definedName>
    <definedName name="YYYYYYYYYYYYYYYYYYYYYYYYYYYYYYYYYYYYYYYYYYYYYYYYYYYYYYYYYYYYYYYYYYYYYYYYYYYYY" localSheetId="3">#REF!</definedName>
    <definedName name="YYYYYYYYYYYYYYYYYYYYYYYYYYYYYYYYYYYYYYYYYYYYYYYYYYYYYYYYYYYYYYYYYYYYYYYYYYYYY" localSheetId="1">#REF!</definedName>
    <definedName name="YYYYYYYYYYYYYYYYYYYYYYYYYYYYYYYYYYYYYYYYYYYYYYYYYYYYYYYYYYYYYYYYYYYYYYYYYYYYY">#REF!</definedName>
    <definedName name="Y부서" localSheetId="3">#REF!</definedName>
    <definedName name="Y부서" localSheetId="1">#REF!</definedName>
    <definedName name="Y부서">#REF!</definedName>
    <definedName name="Z" localSheetId="3">#REF!</definedName>
    <definedName name="Z" localSheetId="1">#REF!</definedName>
    <definedName name="Z">#REF!</definedName>
    <definedName name="Z_A5716FB3_058D_11D5_BFEC_0050BF418CB9_.wvu.FilterData" localSheetId="3" hidden="1">#REF!</definedName>
    <definedName name="Z_A5716FB3_058D_11D5_BFEC_0050BF418CB9_.wvu.FilterData" localSheetId="1" hidden="1">#REF!</definedName>
    <definedName name="Z_A5716FB3_058D_11D5_BFEC_0050BF418CB9_.wvu.FilterData" hidden="1">#REF!</definedName>
    <definedName name="Zace" localSheetId="3">#REF!</definedName>
    <definedName name="Zace" localSheetId="1">#REF!</definedName>
    <definedName name="Zace">#REF!</definedName>
    <definedName name="zcv" hidden="1">0</definedName>
    <definedName name="ZEI" localSheetId="3">#REF!</definedName>
    <definedName name="ZEI" localSheetId="1">#REF!</definedName>
    <definedName name="ZEI">#REF!</definedName>
    <definedName name="ZIP">#N/A</definedName>
    <definedName name="zsdf" localSheetId="5" hidden="1">{#N/A,#N/A,TRUE,"Assumptions";#N/A,#N/A,TRUE,"Sources of Revenue";#N/A,#N/A,TRUE,"P&amp;L";#N/A,#N/A,TRUE,"Bal. Sheet";#N/A,#N/A,TRUE,"Rights Issue &amp; X Adjustment";#N/A,#N/A,TRUE,"Transaction Model"}</definedName>
    <definedName name="zsdf" localSheetId="4" hidden="1">{#N/A,#N/A,TRUE,"Assumptions";#N/A,#N/A,TRUE,"Sources of Revenue";#N/A,#N/A,TRUE,"P&amp;L";#N/A,#N/A,TRUE,"Bal. Sheet";#N/A,#N/A,TRUE,"Rights Issue &amp; X Adjustment";#N/A,#N/A,TRUE,"Transaction Model"}</definedName>
    <definedName name="zsdf" localSheetId="3" hidden="1">{#N/A,#N/A,TRUE,"Assumptions";#N/A,#N/A,TRUE,"Sources of Revenue";#N/A,#N/A,TRUE,"P&amp;L";#N/A,#N/A,TRUE,"Bal. Sheet";#N/A,#N/A,TRUE,"Rights Issue &amp; X Adjustment";#N/A,#N/A,TRUE,"Transaction Model"}</definedName>
    <definedName name="zsdf" localSheetId="1" hidden="1">{#N/A,#N/A,TRUE,"Assumptions";#N/A,#N/A,TRUE,"Sources of Revenue";#N/A,#N/A,TRUE,"P&amp;L";#N/A,#N/A,TRUE,"Bal. Sheet";#N/A,#N/A,TRUE,"Rights Issue &amp; X Adjustment";#N/A,#N/A,TRUE,"Transaction Model"}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 localSheetId="5">#REF!</definedName>
    <definedName name="ZZ" localSheetId="4">#REF!</definedName>
    <definedName name="ZZ" localSheetId="3">#REF!</definedName>
    <definedName name="ZZ" localSheetId="1">#REF!</definedName>
    <definedName name="ZZ">#REF!</definedName>
    <definedName name="zzb" localSheetId="3" hidden="1">#REF!</definedName>
    <definedName name="zzb" localSheetId="1" hidden="1">#REF!</definedName>
    <definedName name="zzb" hidden="1">#REF!</definedName>
    <definedName name="ZZZ" localSheetId="5" hidden="1">{#N/A,#N/A,FALSE,"Aging Summary";#N/A,#N/A,FALSE,"Ratio Analysis";#N/A,#N/A,FALSE,"Test 120 Day Accts";#N/A,#N/A,FALSE,"Tickmarks"}</definedName>
    <definedName name="ZZZ" localSheetId="4" hidden="1">{#N/A,#N/A,FALSE,"Aging Summary";#N/A,#N/A,FALSE,"Ratio Analysis";#N/A,#N/A,FALSE,"Test 120 Day Accts";#N/A,#N/A,FALSE,"Tickmarks"}</definedName>
    <definedName name="ZZZ" localSheetId="3" hidden="1">{#N/A,#N/A,FALSE,"Aging Summary";#N/A,#N/A,FALSE,"Ratio Analysis";#N/A,#N/A,FALSE,"Test 120 Day Accts";#N/A,#N/A,FALSE,"Tickmarks"}</definedName>
    <definedName name="ZZZ" localSheetId="1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ZZZZ" localSheetId="5" hidden="1">#REF!</definedName>
    <definedName name="ZZZZ" localSheetId="4" hidden="1">#REF!</definedName>
    <definedName name="ZZZZ" localSheetId="3" hidden="1">#REF!</definedName>
    <definedName name="ZZZZ" localSheetId="1" hidden="1">#REF!</definedName>
    <definedName name="ZZZZ" hidden="1">#REF!</definedName>
    <definedName name="zzzzzzzz" localSheetId="3">#REF!</definedName>
    <definedName name="zzzzzzzz" localSheetId="1">#REF!</definedName>
    <definedName name="zzzzzzzz">#REF!</definedName>
    <definedName name="zzzzzzzzz" localSheetId="3">#REF!</definedName>
    <definedName name="zzzzzzzzz" localSheetId="1">#REF!</definedName>
    <definedName name="zzzzzzzzz">#REF!</definedName>
    <definedName name="zzzzzzzzzzzzzz" localSheetId="3">#REF!</definedName>
    <definedName name="zzzzzzzzzzzzzz" localSheetId="1">#REF!</definedName>
    <definedName name="zzzzzzzzzzzzzz">#REF!</definedName>
    <definedName name="Z횴LER" localSheetId="3">#REF!</definedName>
    <definedName name="Z횴LER" localSheetId="1">#REF!</definedName>
    <definedName name="Z횴LER">#REF!</definedName>
    <definedName name="Z횴LER간" localSheetId="3">#REF!</definedName>
    <definedName name="Z횴LER간" localSheetId="1">#REF!</definedName>
    <definedName name="Z횴LER간">#REF!</definedName>
    <definedName name="α" localSheetId="3">#REF!</definedName>
    <definedName name="α" localSheetId="1">#REF!</definedName>
    <definedName name="α">#REF!</definedName>
    <definedName name="β" localSheetId="3">#REF!</definedName>
    <definedName name="β" localSheetId="1">#REF!</definedName>
    <definedName name="β">#REF!</definedName>
    <definedName name="γ" localSheetId="3">#REF!</definedName>
    <definedName name="γ" localSheetId="1">#REF!</definedName>
    <definedName name="γ">#REF!</definedName>
    <definedName name="あああ" localSheetId="5" hidden="1">{"'買掛金'!$J$6"}</definedName>
    <definedName name="あああ" localSheetId="4" hidden="1">{"'買掛金'!$J$6"}</definedName>
    <definedName name="あああ" localSheetId="3" hidden="1">{"'買掛金'!$J$6"}</definedName>
    <definedName name="あああ" localSheetId="1" hidden="1">{"'買掛金'!$J$6"}</definedName>
    <definedName name="あああ" hidden="1">{"'買掛金'!$J$6"}</definedName>
    <definedName name="その他の投資" localSheetId="5" hidden="1">{"'買掛金'!$J$6"}</definedName>
    <definedName name="その他の投資" localSheetId="4" hidden="1">{"'買掛金'!$J$6"}</definedName>
    <definedName name="その他の投資" localSheetId="3" hidden="1">{"'買掛金'!$J$6"}</definedName>
    <definedName name="その他の投資" localSheetId="1" hidden="1">{"'買掛金'!$J$6"}</definedName>
    <definedName name="その他の投資" hidden="1">{"'買掛金'!$J$6"}</definedName>
    <definedName name="っっｂ" localSheetId="5" hidden="1">{"'買掛金'!$J$6"}</definedName>
    <definedName name="っっｂ" localSheetId="4" hidden="1">{"'買掛金'!$J$6"}</definedName>
    <definedName name="っっｂ" localSheetId="3" hidden="1">{"'買掛金'!$J$6"}</definedName>
    <definedName name="っっｂ" localSheetId="1" hidden="1">{"'買掛金'!$J$6"}</definedName>
    <definedName name="っっｂ" hidden="1">{"'買掛金'!$J$6"}</definedName>
    <definedName name="ﾃﾞｰﾀ１番目枠" localSheetId="5">#REF!,#REF!,#REF!</definedName>
    <definedName name="ﾃﾞｰﾀ１番目枠" localSheetId="4">#REF!,#REF!,#REF!</definedName>
    <definedName name="ﾃﾞｰﾀ１番目枠" localSheetId="3">#REF!,#REF!,#REF!</definedName>
    <definedName name="ﾃﾞｰﾀ１番目枠" localSheetId="1">#REF!,#REF!,#REF!</definedName>
    <definedName name="ﾃﾞｰﾀ１番目枠">#REF!,#REF!,#REF!</definedName>
    <definedName name="ﾃﾞｰﾀ２番目枠" localSheetId="5">#REF!,#REF!,#REF!</definedName>
    <definedName name="ﾃﾞｰﾀ２番目枠" localSheetId="4">#REF!,#REF!,#REF!</definedName>
    <definedName name="ﾃﾞｰﾀ２番目枠" localSheetId="3">#REF!,#REF!,#REF!</definedName>
    <definedName name="ﾃﾞｰﾀ２番目枠" localSheetId="1">#REF!,#REF!,#REF!</definedName>
    <definedName name="ﾃﾞｰﾀ２番目枠">#REF!,#REF!,#REF!</definedName>
    <definedName name="ﾃﾞｰﾀ３番目枠" localSheetId="5">#REF!,#REF!,#REF!</definedName>
    <definedName name="ﾃﾞｰﾀ３番目枠" localSheetId="4">#REF!,#REF!,#REF!</definedName>
    <definedName name="ﾃﾞｰﾀ３番目枠" localSheetId="3">#REF!,#REF!,#REF!</definedName>
    <definedName name="ﾃﾞｰﾀ３番目枠" localSheetId="1">#REF!,#REF!,#REF!</definedName>
    <definedName name="ﾃﾞｰﾀ３番目枠">#REF!,#REF!,#REF!</definedName>
    <definedName name="ﾃﾞｰﾀ４番目枠" localSheetId="5">#REF!,#REF!,#REF!</definedName>
    <definedName name="ﾃﾞｰﾀ４番目枠" localSheetId="4">#REF!,#REF!,#REF!</definedName>
    <definedName name="ﾃﾞｰﾀ４番目枠" localSheetId="3">#REF!,#REF!,#REF!</definedName>
    <definedName name="ﾃﾞｰﾀ４番目枠" localSheetId="1">#REF!,#REF!,#REF!</definedName>
    <definedName name="ﾃﾞｰﾀ４番目枠">#REF!,#REF!,#REF!</definedName>
    <definedName name="テスト" localSheetId="5" hidden="1">{"'買掛金'!$J$6"}</definedName>
    <definedName name="テスト" localSheetId="4" hidden="1">{"'買掛金'!$J$6"}</definedName>
    <definedName name="テスト" localSheetId="3" hidden="1">{"'買掛金'!$J$6"}</definedName>
    <definedName name="テスト" localSheetId="1" hidden="1">{"'買掛金'!$J$6"}</definedName>
    <definedName name="テスト" hidden="1">{"'買掛金'!$J$6"}</definedName>
    <definedName name="ז" localSheetId="3">#REF!</definedName>
    <definedName name="ז" localSheetId="1">#REF!</definedName>
    <definedName name="ז">#REF!</definedName>
    <definedName name="ח" localSheetId="3">#REF!</definedName>
    <definedName name="ח" localSheetId="1">#REF!</definedName>
    <definedName name="ח">#REF!</definedName>
    <definedName name="מדד_חודש_97__9">"a"</definedName>
    <definedName name="מקדם" localSheetId="5">#REF!</definedName>
    <definedName name="מקדם" localSheetId="4">#REF!</definedName>
    <definedName name="מקדם" localSheetId="3">#REF!</definedName>
    <definedName name="מקדם" localSheetId="1">#REF!</definedName>
    <definedName name="מקדם">#REF!</definedName>
    <definedName name="ㄱ" localSheetId="5">#REF!</definedName>
    <definedName name="ㄱ" localSheetId="4">#REF!</definedName>
    <definedName name="ㄱ" localSheetId="3">#REF!</definedName>
    <definedName name="ㄱ" localSheetId="1">#REF!</definedName>
    <definedName name="ㄱ">#REF!</definedName>
    <definedName name="ㄱㄱ" localSheetId="5">#REF!</definedName>
    <definedName name="ㄱㄱ" localSheetId="4">#REF!</definedName>
    <definedName name="ㄱㄱ" localSheetId="3">#REF!</definedName>
    <definedName name="ㄱㄱ" localSheetId="1">#REF!</definedName>
    <definedName name="ㄱㄱ">#REF!</definedName>
    <definedName name="ㄱㄱㄱ" localSheetId="3">#REF!</definedName>
    <definedName name="ㄱㄱㄱ" localSheetId="1">#REF!</definedName>
    <definedName name="ㄱㄱㄱ">#REF!</definedName>
    <definedName name="ㄱㄱㄳㅎ" localSheetId="5">#REF!</definedName>
    <definedName name="ㄱㄱㄳㅎ" localSheetId="4">#REF!</definedName>
    <definedName name="ㄱㄱㄳㅎ" localSheetId="3">#REF!</definedName>
    <definedName name="ㄱㄱㄳㅎ" localSheetId="1">#REF!</definedName>
    <definedName name="ㄱㄱㄳㅎ">#REF!</definedName>
    <definedName name="ㄱㄴㄷ" localSheetId="5" hidden="1">{#N/A,#N/A,FALSE,"BS";#N/A,#N/A,FALSE,"PL";#N/A,#N/A,FALSE,"처분";#N/A,#N/A,FALSE,"현금";#N/A,#N/A,FALSE,"매출";#N/A,#N/A,FALSE,"원가";#N/A,#N/A,FALSE,"경영"}</definedName>
    <definedName name="ㄱㄴㄷ" localSheetId="4" hidden="1">{#N/A,#N/A,FALSE,"BS";#N/A,#N/A,FALSE,"PL";#N/A,#N/A,FALSE,"처분";#N/A,#N/A,FALSE,"현금";#N/A,#N/A,FALSE,"매출";#N/A,#N/A,FALSE,"원가";#N/A,#N/A,FALSE,"경영"}</definedName>
    <definedName name="ㄱㄴㄷ" localSheetId="3" hidden="1">{#N/A,#N/A,FALSE,"BS";#N/A,#N/A,FALSE,"PL";#N/A,#N/A,FALSE,"처분";#N/A,#N/A,FALSE,"현금";#N/A,#N/A,FALSE,"매출";#N/A,#N/A,FALSE,"원가";#N/A,#N/A,FALSE,"경영"}</definedName>
    <definedName name="ㄱㄴㄷ" localSheetId="1" hidden="1">{#N/A,#N/A,FALSE,"BS";#N/A,#N/A,FALSE,"PL";#N/A,#N/A,FALSE,"처분";#N/A,#N/A,FALSE,"현금";#N/A,#N/A,FALSE,"매출";#N/A,#N/A,FALSE,"원가";#N/A,#N/A,FALSE,"경영"}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localSheetId="5" hidden="1">{#N/A,#N/A,TRUE,"일정"}</definedName>
    <definedName name="ㄱㄷㄱㄱ" localSheetId="4" hidden="1">{#N/A,#N/A,TRUE,"일정"}</definedName>
    <definedName name="ㄱㄷㄱㄱ" localSheetId="3" hidden="1">{#N/A,#N/A,TRUE,"일정"}</definedName>
    <definedName name="ㄱㄷㄱㄱ" localSheetId="1" hidden="1">{#N/A,#N/A,TRUE,"일정"}</definedName>
    <definedName name="ㄱㄷㄱㄱ" hidden="1">{#N/A,#N/A,TRUE,"일정"}</definedName>
    <definedName name="ㄱㅇ" localSheetId="5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히망ㅎ" localSheetId="5" hidden="1">{#N/A,#N/A,FALSE,"1.CRITERIA";#N/A,#N/A,FALSE,"2.IS";#N/A,#N/A,FALSE,"3.BS";#N/A,#N/A,FALSE,"4.PER PL";#N/A,#N/A,FALSE,"5.INVESTMENT";#N/A,#N/A,FALSE,"6.공문";#N/A,#N/A,FALSE,"7.netinvest"}</definedName>
    <definedName name="ㄱ히망ㅎ" localSheetId="4" hidden="1">{#N/A,#N/A,FALSE,"1.CRITERIA";#N/A,#N/A,FALSE,"2.IS";#N/A,#N/A,FALSE,"3.BS";#N/A,#N/A,FALSE,"4.PER PL";#N/A,#N/A,FALSE,"5.INVESTMENT";#N/A,#N/A,FALSE,"6.공문";#N/A,#N/A,FALSE,"7.netinvest"}</definedName>
    <definedName name="ㄱ히망ㅎ" localSheetId="3" hidden="1">{#N/A,#N/A,FALSE,"1.CRITERIA";#N/A,#N/A,FALSE,"2.IS";#N/A,#N/A,FALSE,"3.BS";#N/A,#N/A,FALSE,"4.PER PL";#N/A,#N/A,FALSE,"5.INVESTMENT";#N/A,#N/A,FALSE,"6.공문";#N/A,#N/A,FALSE,"7.netinvest"}</definedName>
    <definedName name="ㄱ히망ㅎ" localSheetId="1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5">#REF!</definedName>
    <definedName name="가" localSheetId="4">#REF!</definedName>
    <definedName name="가" localSheetId="3">#REF!</definedName>
    <definedName name="가" localSheetId="1">#REF!</definedName>
    <definedName name="가">#REF!</definedName>
    <definedName name="가1" localSheetId="5" hidden="1">{#N/A,#N/A,TRUE,"Y생산";#N/A,#N/A,TRUE,"Y판매";#N/A,#N/A,TRUE,"Y총물량";#N/A,#N/A,TRUE,"Y능력";#N/A,#N/A,TRUE,"YKD"}</definedName>
    <definedName name="가1" localSheetId="4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localSheetId="1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0층" localSheetId="5">#REF!</definedName>
    <definedName name="가10층" localSheetId="4">#REF!</definedName>
    <definedName name="가10층" localSheetId="3">#REF!</definedName>
    <definedName name="가10층" localSheetId="1">#REF!</definedName>
    <definedName name="가10층">#REF!</definedName>
    <definedName name="가11층" localSheetId="3">#REF!</definedName>
    <definedName name="가11층" localSheetId="1">#REF!</definedName>
    <definedName name="가11층">#REF!</definedName>
    <definedName name="가12층" localSheetId="3">#REF!</definedName>
    <definedName name="가12층" localSheetId="1">#REF!</definedName>
    <definedName name="가12층">#REF!</definedName>
    <definedName name="가13층" localSheetId="3">#REF!</definedName>
    <definedName name="가13층" localSheetId="1">#REF!</definedName>
    <definedName name="가13층">#REF!</definedName>
    <definedName name="가14층" localSheetId="3">#REF!</definedName>
    <definedName name="가14층" localSheetId="1">#REF!</definedName>
    <definedName name="가14층">#REF!</definedName>
    <definedName name="가15층" localSheetId="3">#REF!</definedName>
    <definedName name="가15층" localSheetId="1">#REF!</definedName>
    <definedName name="가15층">#REF!</definedName>
    <definedName name="가16층" localSheetId="3">#REF!</definedName>
    <definedName name="가16층" localSheetId="1">#REF!</definedName>
    <definedName name="가16층">#REF!</definedName>
    <definedName name="가17층" localSheetId="3">#REF!</definedName>
    <definedName name="가17층" localSheetId="1">#REF!</definedName>
    <definedName name="가17층">#REF!</definedName>
    <definedName name="가18층" localSheetId="3">#REF!</definedName>
    <definedName name="가18층" localSheetId="1">#REF!</definedName>
    <definedName name="가18층">#REF!</definedName>
    <definedName name="가19층" localSheetId="3">#REF!</definedName>
    <definedName name="가19층" localSheetId="1">#REF!</definedName>
    <definedName name="가19층">#REF!</definedName>
    <definedName name="가20층" localSheetId="3">#REF!</definedName>
    <definedName name="가20층" localSheetId="1">#REF!</definedName>
    <definedName name="가20층">#REF!</definedName>
    <definedName name="가21층" localSheetId="3">#REF!</definedName>
    <definedName name="가21층" localSheetId="1">#REF!</definedName>
    <definedName name="가21층">#REF!</definedName>
    <definedName name="가22층" localSheetId="3">#REF!</definedName>
    <definedName name="가22층" localSheetId="1">#REF!</definedName>
    <definedName name="가22층">#REF!</definedName>
    <definedName name="가23층" localSheetId="3">#REF!</definedName>
    <definedName name="가23층" localSheetId="1">#REF!</definedName>
    <definedName name="가23층">#REF!</definedName>
    <definedName name="가24층" localSheetId="3">#REF!</definedName>
    <definedName name="가24층" localSheetId="1">#REF!</definedName>
    <definedName name="가24층">#REF!</definedName>
    <definedName name="가25층" localSheetId="3">#REF!</definedName>
    <definedName name="가25층" localSheetId="1">#REF!</definedName>
    <definedName name="가25층">#REF!</definedName>
    <definedName name="가2층" localSheetId="3">#REF!</definedName>
    <definedName name="가2층" localSheetId="1">#REF!</definedName>
    <definedName name="가2층">#REF!</definedName>
    <definedName name="가3층" localSheetId="3">#REF!</definedName>
    <definedName name="가3층" localSheetId="1">#REF!</definedName>
    <definedName name="가3층">#REF!</definedName>
    <definedName name="가4층" localSheetId="3">#REF!</definedName>
    <definedName name="가4층" localSheetId="1">#REF!</definedName>
    <definedName name="가4층">#REF!</definedName>
    <definedName name="가5층" localSheetId="3">#REF!</definedName>
    <definedName name="가5층" localSheetId="1">#REF!</definedName>
    <definedName name="가5층">#REF!</definedName>
    <definedName name="가6층" localSheetId="3">#REF!</definedName>
    <definedName name="가6층" localSheetId="1">#REF!</definedName>
    <definedName name="가6층">#REF!</definedName>
    <definedName name="가7층" localSheetId="3">#REF!</definedName>
    <definedName name="가7층" localSheetId="1">#REF!</definedName>
    <definedName name="가7층">#REF!</definedName>
    <definedName name="가8층" localSheetId="3">#REF!</definedName>
    <definedName name="가8층" localSheetId="1">#REF!</definedName>
    <definedName name="가8층">#REF!</definedName>
    <definedName name="가9층" localSheetId="3">#REF!</definedName>
    <definedName name="가9층" localSheetId="1">#REF!</definedName>
    <definedName name="가9층">#REF!</definedName>
    <definedName name="가가" localSheetId="5" hidden="1">{#N/A,#N/A,FALSE,"1.CRITERIA";#N/A,#N/A,FALSE,"2.IS";#N/A,#N/A,FALSE,"3.BS";#N/A,#N/A,FALSE,"4.PER PL";#N/A,#N/A,FALSE,"5.INVESTMENT";#N/A,#N/A,FALSE,"6.공문";#N/A,#N/A,FALSE,"7.netinvest"}</definedName>
    <definedName name="가가" localSheetId="4" hidden="1">{#N/A,#N/A,FALSE,"1.CRITERIA";#N/A,#N/A,FALSE,"2.IS";#N/A,#N/A,FALSE,"3.BS";#N/A,#N/A,FALSE,"4.PER PL";#N/A,#N/A,FALSE,"5.INVESTMENT";#N/A,#N/A,FALSE,"6.공문";#N/A,#N/A,FALSE,"7.netinvest"}</definedName>
    <definedName name="가가" localSheetId="3" hidden="1">{#N/A,#N/A,FALSE,"1.CRITERIA";#N/A,#N/A,FALSE,"2.IS";#N/A,#N/A,FALSE,"3.BS";#N/A,#N/A,FALSE,"4.PER PL";#N/A,#N/A,FALSE,"5.INVESTMENT";#N/A,#N/A,FALSE,"6.공문";#N/A,#N/A,FALSE,"7.netinvest"}</definedName>
    <definedName name="가가" localSheetId="1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 localSheetId="5">#REF!</definedName>
    <definedName name="가격" localSheetId="4">#REF!</definedName>
    <definedName name="가격" localSheetId="3">#REF!</definedName>
    <definedName name="가격" localSheetId="1">#REF!</definedName>
    <definedName name="가격">#REF!</definedName>
    <definedName name="가공비" localSheetId="3">#REF!</definedName>
    <definedName name="가공비" localSheetId="1">#REF!</definedName>
    <definedName name="가공비">#REF!</definedName>
    <definedName name="가나" localSheetId="5">#REF!</definedName>
    <definedName name="가나" localSheetId="4">#REF!</definedName>
    <definedName name="가나" localSheetId="3">#REF!</definedName>
    <definedName name="가나" localSheetId="1">#REF!</definedName>
    <definedName name="가나">#REF!</definedName>
    <definedName name="가나라" localSheetId="5" hidden="1">{#N/A,#N/A,FALSE,"1.CRITERIA";#N/A,#N/A,FALSE,"2.IS";#N/A,#N/A,FALSE,"3.BS";#N/A,#N/A,FALSE,"4.PER PL";#N/A,#N/A,FALSE,"5.INVESTMENT";#N/A,#N/A,FALSE,"6.공문";#N/A,#N/A,FALSE,"7.netinvest"}</definedName>
    <definedName name="가나라" localSheetId="4" hidden="1">{#N/A,#N/A,FALSE,"1.CRITERIA";#N/A,#N/A,FALSE,"2.IS";#N/A,#N/A,FALSE,"3.BS";#N/A,#N/A,FALSE,"4.PER PL";#N/A,#N/A,FALSE,"5.INVESTMENT";#N/A,#N/A,FALSE,"6.공문";#N/A,#N/A,FALSE,"7.netinvest"}</definedName>
    <definedName name="가나라" localSheetId="3" hidden="1">{#N/A,#N/A,FALSE,"1.CRITERIA";#N/A,#N/A,FALSE,"2.IS";#N/A,#N/A,FALSE,"3.BS";#N/A,#N/A,FALSE,"4.PER PL";#N/A,#N/A,FALSE,"5.INVESTMENT";#N/A,#N/A,FALSE,"6.공문";#N/A,#N/A,FALSE,"7.netinvest"}</definedName>
    <definedName name="가나라" localSheetId="1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5" hidden="1">{#N/A,#N/A,FALSE,"1.CRITERIA";#N/A,#N/A,FALSE,"2.IS";#N/A,#N/A,FALSE,"3.BS";#N/A,#N/A,FALSE,"4.PER PL";#N/A,#N/A,FALSE,"5.INVESTMENT";#N/A,#N/A,FALSE,"6.공문";#N/A,#N/A,FALSE,"7.netinvest"}</definedName>
    <definedName name="가다" localSheetId="4" hidden="1">{#N/A,#N/A,FALSE,"1.CRITERIA";#N/A,#N/A,FALSE,"2.IS";#N/A,#N/A,FALSE,"3.BS";#N/A,#N/A,FALSE,"4.PER PL";#N/A,#N/A,FALSE,"5.INVESTMENT";#N/A,#N/A,FALSE,"6.공문";#N/A,#N/A,FALSE,"7.netinvest"}</definedName>
    <definedName name="가다" localSheetId="3" hidden="1">{#N/A,#N/A,FALSE,"1.CRITERIA";#N/A,#N/A,FALSE,"2.IS";#N/A,#N/A,FALSE,"3.BS";#N/A,#N/A,FALSE,"4.PER PL";#N/A,#N/A,FALSE,"5.INVESTMENT";#N/A,#N/A,FALSE,"6.공문";#N/A,#N/A,FALSE,"7.netinvest"}</definedName>
    <definedName name="가다" localSheetId="1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localSheetId="5" hidden="1">{#N/A,#N/A,TRUE,"Y생산";#N/A,#N/A,TRUE,"Y판매";#N/A,#N/A,TRUE,"Y총물량";#N/A,#N/A,TRUE,"Y능력";#N/A,#N/A,TRUE,"YKD"}</definedName>
    <definedName name="가동" localSheetId="4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localSheetId="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5" hidden="1">{#N/A,#N/A,TRUE,"Y생산";#N/A,#N/A,TRUE,"Y판매";#N/A,#N/A,TRUE,"Y총물량";#N/A,#N/A,TRUE,"Y능력";#N/A,#N/A,TRUE,"YKD"}</definedName>
    <definedName name="가동2" localSheetId="4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localSheetId="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localSheetId="5" hidden="1">{#N/A,#N/A,FALSE,"1.CRITERIA";#N/A,#N/A,FALSE,"2.IS";#N/A,#N/A,FALSE,"3.BS";#N/A,#N/A,FALSE,"4.PER PL";#N/A,#N/A,FALSE,"5.INVESTMENT";#N/A,#N/A,FALSE,"6.공문";#N/A,#N/A,FALSE,"7.netinvest"}</definedName>
    <definedName name="가라" localSheetId="4" hidden="1">{#N/A,#N/A,FALSE,"1.CRITERIA";#N/A,#N/A,FALSE,"2.IS";#N/A,#N/A,FALSE,"3.BS";#N/A,#N/A,FALSE,"4.PER PL";#N/A,#N/A,FALSE,"5.INVESTMENT";#N/A,#N/A,FALSE,"6.공문";#N/A,#N/A,FALSE,"7.netinvest"}</definedName>
    <definedName name="가라" localSheetId="3" hidden="1">{#N/A,#N/A,FALSE,"1.CRITERIA";#N/A,#N/A,FALSE,"2.IS";#N/A,#N/A,FALSE,"3.BS";#N/A,#N/A,FALSE,"4.PER PL";#N/A,#N/A,FALSE,"5.INVESTMENT";#N/A,#N/A,FALSE,"6.공문";#N/A,#N/A,FALSE,"7.netinvest"}</definedName>
    <definedName name="가라" localSheetId="1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 localSheetId="5">#REF!</definedName>
    <definedName name="가스로" localSheetId="4">#REF!</definedName>
    <definedName name="가스로" localSheetId="3">#REF!</definedName>
    <definedName name="가스로" localSheetId="1">#REF!</definedName>
    <definedName name="가스로">#REF!</definedName>
    <definedName name="가스료" localSheetId="3">#REF!</definedName>
    <definedName name="가스료" localSheetId="1">#REF!</definedName>
    <definedName name="가스료">#REF!</definedName>
    <definedName name="가아" localSheetId="5" hidden="1">{#N/A,#N/A,FALSE,"1.CRITERIA";#N/A,#N/A,FALSE,"2.IS";#N/A,#N/A,FALSE,"3.BS";#N/A,#N/A,FALSE,"4.PER PL";#N/A,#N/A,FALSE,"5.INVESTMENT";#N/A,#N/A,FALSE,"6.공문";#N/A,#N/A,FALSE,"7.netinvest"}</definedName>
    <definedName name="가아" localSheetId="4" hidden="1">{#N/A,#N/A,FALSE,"1.CRITERIA";#N/A,#N/A,FALSE,"2.IS";#N/A,#N/A,FALSE,"3.BS";#N/A,#N/A,FALSE,"4.PER PL";#N/A,#N/A,FALSE,"5.INVESTMENT";#N/A,#N/A,FALSE,"6.공문";#N/A,#N/A,FALSE,"7.netinvest"}</definedName>
    <definedName name="가아" localSheetId="3" hidden="1">{#N/A,#N/A,FALSE,"1.CRITERIA";#N/A,#N/A,FALSE,"2.IS";#N/A,#N/A,FALSE,"3.BS";#N/A,#N/A,FALSE,"4.PER PL";#N/A,#N/A,FALSE,"5.INVESTMENT";#N/A,#N/A,FALSE,"6.공문";#N/A,#N/A,FALSE,"7.netinvest"}</definedName>
    <definedName name="가아" localSheetId="1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5" hidden="1">{#N/A,#N/A,FALSE,"1.CRITERIA";#N/A,#N/A,FALSE,"2.IS";#N/A,#N/A,FALSE,"3.BS";#N/A,#N/A,FALSE,"4.PER PL";#N/A,#N/A,FALSE,"5.INVESTMENT";#N/A,#N/A,FALSE,"6.공문";#N/A,#N/A,FALSE,"7.netinvest"}</definedName>
    <definedName name="가아노" localSheetId="4" hidden="1">{#N/A,#N/A,FALSE,"1.CRITERIA";#N/A,#N/A,FALSE,"2.IS";#N/A,#N/A,FALSE,"3.BS";#N/A,#N/A,FALSE,"4.PER PL";#N/A,#N/A,FALSE,"5.INVESTMENT";#N/A,#N/A,FALSE,"6.공문";#N/A,#N/A,FALSE,"7.netinvest"}</definedName>
    <definedName name="가아노" localSheetId="3" hidden="1">{#N/A,#N/A,FALSE,"1.CRITERIA";#N/A,#N/A,FALSE,"2.IS";#N/A,#N/A,FALSE,"3.BS";#N/A,#N/A,FALSE,"4.PER PL";#N/A,#N/A,FALSE,"5.INVESTMENT";#N/A,#N/A,FALSE,"6.공문";#N/A,#N/A,FALSE,"7.netinvest"}</definedName>
    <definedName name="가아노" localSheetId="1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5" hidden="1">{#N/A,#N/A,FALSE,"1.CRITERIA";#N/A,#N/A,FALSE,"2.IS";#N/A,#N/A,FALSE,"3.BS";#N/A,#N/A,FALSE,"4.PER PL";#N/A,#N/A,FALSE,"5.INVESTMENT";#N/A,#N/A,FALSE,"6.공문";#N/A,#N/A,FALSE,"7.netinvest"}</definedName>
    <definedName name="가아다" localSheetId="4" hidden="1">{#N/A,#N/A,FALSE,"1.CRITERIA";#N/A,#N/A,FALSE,"2.IS";#N/A,#N/A,FALSE,"3.BS";#N/A,#N/A,FALSE,"4.PER PL";#N/A,#N/A,FALSE,"5.INVESTMENT";#N/A,#N/A,FALSE,"6.공문";#N/A,#N/A,FALSE,"7.netinvest"}</definedName>
    <definedName name="가아다" localSheetId="3" hidden="1">{#N/A,#N/A,FALSE,"1.CRITERIA";#N/A,#N/A,FALSE,"2.IS";#N/A,#N/A,FALSE,"3.BS";#N/A,#N/A,FALSE,"4.PER PL";#N/A,#N/A,FALSE,"5.INVESTMENT";#N/A,#N/A,FALSE,"6.공문";#N/A,#N/A,FALSE,"7.netinvest"}</definedName>
    <definedName name="가아다" localSheetId="1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5" hidden="1">{#N/A,#N/A,FALSE,"1.CRITERIA";#N/A,#N/A,FALSE,"2.IS";#N/A,#N/A,FALSE,"3.BS";#N/A,#N/A,FALSE,"4.PER PL";#N/A,#N/A,FALSE,"5.INVESTMENT";#N/A,#N/A,FALSE,"6.공문";#N/A,#N/A,FALSE,"7.netinvest"}</definedName>
    <definedName name="가아차" localSheetId="4" hidden="1">{#N/A,#N/A,FALSE,"1.CRITERIA";#N/A,#N/A,FALSE,"2.IS";#N/A,#N/A,FALSE,"3.BS";#N/A,#N/A,FALSE,"4.PER PL";#N/A,#N/A,FALSE,"5.INVESTMENT";#N/A,#N/A,FALSE,"6.공문";#N/A,#N/A,FALSE,"7.netinvest"}</definedName>
    <definedName name="가아차" localSheetId="3" hidden="1">{#N/A,#N/A,FALSE,"1.CRITERIA";#N/A,#N/A,FALSE,"2.IS";#N/A,#N/A,FALSE,"3.BS";#N/A,#N/A,FALSE,"4.PER PL";#N/A,#N/A,FALSE,"5.INVESTMENT";#N/A,#N/A,FALSE,"6.공문";#N/A,#N/A,FALSE,"7.netinvest"}</definedName>
    <definedName name="가아차" localSheetId="1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5" hidden="1">{#N/A,#N/A,FALSE,"1.CRITERIA";#N/A,#N/A,FALSE,"2.IS";#N/A,#N/A,FALSE,"3.BS";#N/A,#N/A,FALSE,"4.PER PL";#N/A,#N/A,FALSE,"5.INVESTMENT";#N/A,#N/A,FALSE,"6.공문";#N/A,#N/A,FALSE,"7.netinvest"}</definedName>
    <definedName name="가오" localSheetId="4" hidden="1">{#N/A,#N/A,FALSE,"1.CRITERIA";#N/A,#N/A,FALSE,"2.IS";#N/A,#N/A,FALSE,"3.BS";#N/A,#N/A,FALSE,"4.PER PL";#N/A,#N/A,FALSE,"5.INVESTMENT";#N/A,#N/A,FALSE,"6.공문";#N/A,#N/A,FALSE,"7.netinvest"}</definedName>
    <definedName name="가오" localSheetId="3" hidden="1">{#N/A,#N/A,FALSE,"1.CRITERIA";#N/A,#N/A,FALSE,"2.IS";#N/A,#N/A,FALSE,"3.BS";#N/A,#N/A,FALSE,"4.PER PL";#N/A,#N/A,FALSE,"5.INVESTMENT";#N/A,#N/A,FALSE,"6.공문";#N/A,#N/A,FALSE,"7.netinvest"}</definedName>
    <definedName name="가오" localSheetId="1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5" hidden="1">{#N/A,#N/A,FALSE,"1.CRITERIA";#N/A,#N/A,FALSE,"2.IS";#N/A,#N/A,FALSE,"3.BS";#N/A,#N/A,FALSE,"4.PER PL";#N/A,#N/A,FALSE,"5.INVESTMENT";#N/A,#N/A,FALSE,"6.공문";#N/A,#N/A,FALSE,"7.netinvest"}</definedName>
    <definedName name="가오나" localSheetId="4" hidden="1">{#N/A,#N/A,FALSE,"1.CRITERIA";#N/A,#N/A,FALSE,"2.IS";#N/A,#N/A,FALSE,"3.BS";#N/A,#N/A,FALSE,"4.PER PL";#N/A,#N/A,FALSE,"5.INVESTMENT";#N/A,#N/A,FALSE,"6.공문";#N/A,#N/A,FALSE,"7.netinvest"}</definedName>
    <definedName name="가오나" localSheetId="3" hidden="1">{#N/A,#N/A,FALSE,"1.CRITERIA";#N/A,#N/A,FALSE,"2.IS";#N/A,#N/A,FALSE,"3.BS";#N/A,#N/A,FALSE,"4.PER PL";#N/A,#N/A,FALSE,"5.INVESTMENT";#N/A,#N/A,FALSE,"6.공문";#N/A,#N/A,FALSE,"7.netinvest"}</definedName>
    <definedName name="가오나" localSheetId="1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5" hidden="1">{#N/A,#N/A,FALSE,"1.CRITERIA";#N/A,#N/A,FALSE,"2.IS";#N/A,#N/A,FALSE,"3.BS";#N/A,#N/A,FALSE,"4.PER PL";#N/A,#N/A,FALSE,"5.INVESTMENT";#N/A,#N/A,FALSE,"6.공문";#N/A,#N/A,FALSE,"7.netinvest"}</definedName>
    <definedName name="가오아" localSheetId="4" hidden="1">{#N/A,#N/A,FALSE,"1.CRITERIA";#N/A,#N/A,FALSE,"2.IS";#N/A,#N/A,FALSE,"3.BS";#N/A,#N/A,FALSE,"4.PER PL";#N/A,#N/A,FALSE,"5.INVESTMENT";#N/A,#N/A,FALSE,"6.공문";#N/A,#N/A,FALSE,"7.netinvest"}</definedName>
    <definedName name="가오아" localSheetId="3" hidden="1">{#N/A,#N/A,FALSE,"1.CRITERIA";#N/A,#N/A,FALSE,"2.IS";#N/A,#N/A,FALSE,"3.BS";#N/A,#N/A,FALSE,"4.PER PL";#N/A,#N/A,FALSE,"5.INVESTMENT";#N/A,#N/A,FALSE,"6.공문";#N/A,#N/A,FALSE,"7.netinvest"}</definedName>
    <definedName name="가오아" localSheetId="1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localSheetId="5" hidden="1">{#N/A,#N/A,FALSE,"95FW"}</definedName>
    <definedName name="가을" localSheetId="4" hidden="1">{#N/A,#N/A,FALSE,"95FW"}</definedName>
    <definedName name="가을" localSheetId="3" hidden="1">{#N/A,#N/A,FALSE,"95FW"}</definedName>
    <definedName name="가을" localSheetId="1" hidden="1">{#N/A,#N/A,FALSE,"95FW"}</definedName>
    <definedName name="가을" hidden="1">{#N/A,#N/A,FALSE,"95FW"}</definedName>
    <definedName name="가전" localSheetId="5">#REF!</definedName>
    <definedName name="가전" localSheetId="4">#REF!</definedName>
    <definedName name="가전" localSheetId="3">#REF!</definedName>
    <definedName name="가전" localSheetId="1">#REF!</definedName>
    <definedName name="가전">#REF!</definedName>
    <definedName name="가족" localSheetId="3">#REF!</definedName>
    <definedName name="가족" localSheetId="1">#REF!</definedName>
    <definedName name="가족">#REF!</definedName>
    <definedName name="가중평균" localSheetId="3">#REF!</definedName>
    <definedName name="가중평균" localSheetId="1">#REF!</definedName>
    <definedName name="가중평균">#REF!</definedName>
    <definedName name="가지급금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localSheetId="5" hidden="1">{#N/A,#N/A,FALSE,"1.CRITERIA";#N/A,#N/A,FALSE,"2.IS";#N/A,#N/A,FALSE,"3.BS";#N/A,#N/A,FALSE,"4.PER PL";#N/A,#N/A,FALSE,"5.INVESTMENT";#N/A,#N/A,FALSE,"6.공문";#N/A,#N/A,FALSE,"7.netinvest"}</definedName>
    <definedName name="가카" localSheetId="4" hidden="1">{#N/A,#N/A,FALSE,"1.CRITERIA";#N/A,#N/A,FALSE,"2.IS";#N/A,#N/A,FALSE,"3.BS";#N/A,#N/A,FALSE,"4.PER PL";#N/A,#N/A,FALSE,"5.INVESTMENT";#N/A,#N/A,FALSE,"6.공문";#N/A,#N/A,FALSE,"7.netinvest"}</definedName>
    <definedName name="가카" localSheetId="3" hidden="1">{#N/A,#N/A,FALSE,"1.CRITERIA";#N/A,#N/A,FALSE,"2.IS";#N/A,#N/A,FALSE,"3.BS";#N/A,#N/A,FALSE,"4.PER PL";#N/A,#N/A,FALSE,"5.INVESTMENT";#N/A,#N/A,FALSE,"6.공문";#N/A,#N/A,FALSE,"7.netinvest"}</definedName>
    <definedName name="가카" localSheetId="1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5" hidden="1">{#N/A,#N/A,FALSE,"1.CRITERIA";#N/A,#N/A,FALSE,"2.IS";#N/A,#N/A,FALSE,"3.BS";#N/A,#N/A,FALSE,"4.PER PL";#N/A,#N/A,FALSE,"5.INVESTMENT";#N/A,#N/A,FALSE,"6.공문";#N/A,#N/A,FALSE,"7.netinvest"}</definedName>
    <definedName name="가타" localSheetId="4" hidden="1">{#N/A,#N/A,FALSE,"1.CRITERIA";#N/A,#N/A,FALSE,"2.IS";#N/A,#N/A,FALSE,"3.BS";#N/A,#N/A,FALSE,"4.PER PL";#N/A,#N/A,FALSE,"5.INVESTMENT";#N/A,#N/A,FALSE,"6.공문";#N/A,#N/A,FALSE,"7.netinvest"}</definedName>
    <definedName name="가타" localSheetId="3" hidden="1">{#N/A,#N/A,FALSE,"1.CRITERIA";#N/A,#N/A,FALSE,"2.IS";#N/A,#N/A,FALSE,"3.BS";#N/A,#N/A,FALSE,"4.PER PL";#N/A,#N/A,FALSE,"5.INVESTMENT";#N/A,#N/A,FALSE,"6.공문";#N/A,#N/A,FALSE,"7.netinvest"}</definedName>
    <definedName name="가타" localSheetId="1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 localSheetId="5">#REF!</definedName>
    <definedName name="간접" localSheetId="4">#REF!</definedName>
    <definedName name="간접" localSheetId="3">#REF!</definedName>
    <definedName name="간접" localSheetId="1">#REF!</definedName>
    <definedName name="간접">#REF!</definedName>
    <definedName name="간지목록" localSheetId="3">#REF!</definedName>
    <definedName name="간지목록" localSheetId="1">#REF!</definedName>
    <definedName name="간지목록">#REF!</definedName>
    <definedName name="갈" localSheetId="5" hidden="1">{#N/A,#N/A,FALSE,"1.CRITERIA";#N/A,#N/A,FALSE,"2.IS";#N/A,#N/A,FALSE,"3.BS";#N/A,#N/A,FALSE,"4.PER PL";#N/A,#N/A,FALSE,"5.INVESTMENT";#N/A,#N/A,FALSE,"6.공문";#N/A,#N/A,FALSE,"7.netinvest"}</definedName>
    <definedName name="갈" localSheetId="4" hidden="1">{#N/A,#N/A,FALSE,"1.CRITERIA";#N/A,#N/A,FALSE,"2.IS";#N/A,#N/A,FALSE,"3.BS";#N/A,#N/A,FALSE,"4.PER PL";#N/A,#N/A,FALSE,"5.INVESTMENT";#N/A,#N/A,FALSE,"6.공문";#N/A,#N/A,FALSE,"7.netinvest"}</definedName>
    <definedName name="갈" localSheetId="3" hidden="1">{#N/A,#N/A,FALSE,"1.CRITERIA";#N/A,#N/A,FALSE,"2.IS";#N/A,#N/A,FALSE,"3.BS";#N/A,#N/A,FALSE,"4.PER PL";#N/A,#N/A,FALSE,"5.INVESTMENT";#N/A,#N/A,FALSE,"6.공문";#N/A,#N/A,FALSE,"7.netinvest"}</definedName>
    <definedName name="갈" localSheetId="1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localSheetId="5" hidden="1">{#N/A,#N/A,FALSE,"Aging Summary";#N/A,#N/A,FALSE,"Ratio Analysis";#N/A,#N/A,FALSE,"Test 120 Day Accts";#N/A,#N/A,FALSE,"Tickmarks"}</definedName>
    <definedName name="감가overall" localSheetId="4" hidden="1">{#N/A,#N/A,FALSE,"Aging Summary";#N/A,#N/A,FALSE,"Ratio Analysis";#N/A,#N/A,FALSE,"Test 120 Day Accts";#N/A,#N/A,FALSE,"Tickmarks"}</definedName>
    <definedName name="감가overall" localSheetId="3" hidden="1">{#N/A,#N/A,FALSE,"Aging Summary";#N/A,#N/A,FALSE,"Ratio Analysis";#N/A,#N/A,FALSE,"Test 120 Day Accts";#N/A,#N/A,FALSE,"Tickmarks"}</definedName>
    <definedName name="감가overall" localSheetId="1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상각" localSheetId="5">#REF!</definedName>
    <definedName name="감가상각" localSheetId="4">#REF!</definedName>
    <definedName name="감가상각" localSheetId="3">#REF!</definedName>
    <definedName name="감가상각" localSheetId="1">#REF!</definedName>
    <definedName name="감가상각">#REF!</definedName>
    <definedName name="감가상각비" localSheetId="3">#REF!</definedName>
    <definedName name="감가상각비" localSheetId="1">#REF!</definedName>
    <definedName name="감가상각비">#REF!</definedName>
    <definedName name="감가상각비2" localSheetId="5" hidden="1">{#N/A,#N/A,FALSE,"Aging Summary";#N/A,#N/A,FALSE,"Ratio Analysis";#N/A,#N/A,FALSE,"Test 120 Day Accts";#N/A,#N/A,FALSE,"Tickmarks"}</definedName>
    <definedName name="감가상각비2" localSheetId="4" hidden="1">{#N/A,#N/A,FALSE,"Aging Summary";#N/A,#N/A,FALSE,"Ratio Analysis";#N/A,#N/A,FALSE,"Test 120 Day Accts";#N/A,#N/A,FALSE,"Tickmarks"}</definedName>
    <definedName name="감가상각비2" localSheetId="3" hidden="1">{#N/A,#N/A,FALSE,"Aging Summary";#N/A,#N/A,FALSE,"Ratio Analysis";#N/A,#N/A,FALSE,"Test 120 Day Accts";#N/A,#N/A,FALSE,"Tickmarks"}</definedName>
    <definedName name="감가상각비2" localSheetId="1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사" localSheetId="5" hidden="1">{#N/A,#N/A,FALSE,"채산3501.XLS";#N/A,#N/A,FALSE,"신조수A.XLS";#N/A,#N/A,FALSE,"신조수b.XLS";#N/A,#N/A,FALSE,"채산3502.XLS";#N/A,#N/A,FALSE,"신조원리.XLS";#N/A,#N/A,FALSE,"신조감가.XLS"}</definedName>
    <definedName name="감사" localSheetId="4" hidden="1">{#N/A,#N/A,FALSE,"채산3501.XLS";#N/A,#N/A,FALSE,"신조수A.XLS";#N/A,#N/A,FALSE,"신조수b.XLS";#N/A,#N/A,FALSE,"채산3502.XLS";#N/A,#N/A,FALSE,"신조원리.XLS";#N/A,#N/A,FALSE,"신조감가.XLS"}</definedName>
    <definedName name="감사" localSheetId="3" hidden="1">{#N/A,#N/A,FALSE,"채산3501.XLS";#N/A,#N/A,FALSE,"신조수A.XLS";#N/A,#N/A,FALSE,"신조수b.XLS";#N/A,#N/A,FALSE,"채산3502.XLS";#N/A,#N/A,FALSE,"신조원리.XLS";#N/A,#N/A,FALSE,"신조감가.XLS"}</definedName>
    <definedName name="감사" localSheetId="1" hidden="1">{#N/A,#N/A,FALSE,"채산3501.XLS";#N/A,#N/A,FALSE,"신조수A.XLS";#N/A,#N/A,FALSE,"신조수b.XLS";#N/A,#N/A,FALSE,"채산3502.XLS";#N/A,#N/A,FALSE,"신조원리.XLS";#N/A,#N/A,FALSE,"신조감가.XLS"}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 localSheetId="5">#REF!</definedName>
    <definedName name="감우" localSheetId="4">#REF!</definedName>
    <definedName name="감우" localSheetId="3">#REF!</definedName>
    <definedName name="감우" localSheetId="1">#REF!</definedName>
    <definedName name="감우">#REF!</definedName>
    <definedName name="감원검토2" localSheetId="5">BlankMacro1</definedName>
    <definedName name="감원검토2" localSheetId="4">BlankMacro1</definedName>
    <definedName name="감원검토2" localSheetId="3">BlankMacro1</definedName>
    <definedName name="감원검토2" localSheetId="2">BlankMacro1</definedName>
    <definedName name="감원검토2" localSheetId="1">BlankMacro1</definedName>
    <definedName name="감원검토2" localSheetId="0">BlankMacro1</definedName>
    <definedName name="감원검토2">BlankMacro1</definedName>
    <definedName name="갑측정산" localSheetId="5">#REF!</definedName>
    <definedName name="갑측정산" localSheetId="4">#REF!</definedName>
    <definedName name="갑측정산" localSheetId="3">#REF!</definedName>
    <definedName name="갑측정산" localSheetId="1">#REF!</definedName>
    <definedName name="갑측정산">#REF!</definedName>
    <definedName name="강" localSheetId="5">#REF!</definedName>
    <definedName name="강" localSheetId="4">#REF!</definedName>
    <definedName name="강" localSheetId="3">#REF!</definedName>
    <definedName name="강" localSheetId="1">#REF!</definedName>
    <definedName name="강">#REF!</definedName>
    <definedName name="강동곤" localSheetId="5">#REF!</definedName>
    <definedName name="강동곤" localSheetId="4">#REF!</definedName>
    <definedName name="강동곤" localSheetId="3">#REF!</definedName>
    <definedName name="강동곤" localSheetId="1">#REF!</definedName>
    <definedName name="강동곤">#REF!</definedName>
    <definedName name="강선희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 localSheetId="5">#REF!</definedName>
    <definedName name="강숙현" localSheetId="4">#REF!</definedName>
    <definedName name="강숙현" localSheetId="3">#REF!</definedName>
    <definedName name="강숙현" localSheetId="1">#REF!</definedName>
    <definedName name="강숙현">#REF!</definedName>
    <definedName name="강용" localSheetId="5" hidden="1">{"'Sheet1'!$A$1:$H$36"}</definedName>
    <definedName name="강용" localSheetId="4" hidden="1">{"'Sheet1'!$A$1:$H$36"}</definedName>
    <definedName name="강용" localSheetId="3" hidden="1">{"'Sheet1'!$A$1:$H$36"}</definedName>
    <definedName name="강용" localSheetId="1" hidden="1">{"'Sheet1'!$A$1:$H$36"}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localSheetId="5" hidden="1">{#N/A,#N/A,FALSE,"신규dep";#N/A,#N/A,FALSE,"신규dep-금형상각후";#N/A,#N/A,FALSE,"신규dep-연구비상각후";#N/A,#N/A,FALSE,"신규dep-기계,공구상각후"}</definedName>
    <definedName name="개발일정" localSheetId="4" hidden="1">{#N/A,#N/A,FALSE,"신규dep";#N/A,#N/A,FALSE,"신규dep-금형상각후";#N/A,#N/A,FALSE,"신규dep-연구비상각후";#N/A,#N/A,FALSE,"신규dep-기계,공구상각후"}</definedName>
    <definedName name="개발일정" localSheetId="3" hidden="1">{#N/A,#N/A,FALSE,"신규dep";#N/A,#N/A,FALSE,"신규dep-금형상각후";#N/A,#N/A,FALSE,"신규dep-연구비상각후";#N/A,#N/A,FALSE,"신규dep-기계,공구상각후"}</definedName>
    <definedName name="개발일정" localSheetId="1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 localSheetId="5">#REF!</definedName>
    <definedName name="개선" localSheetId="4">#REF!</definedName>
    <definedName name="개선" localSheetId="3">#REF!</definedName>
    <definedName name="개선" localSheetId="1">#REF!</definedName>
    <definedName name="개선">#REF!</definedName>
    <definedName name="개선1" localSheetId="3">#REF!</definedName>
    <definedName name="개선1" localSheetId="1">#REF!</definedName>
    <definedName name="개선1">#REF!</definedName>
    <definedName name="개선2" localSheetId="3">#REF!</definedName>
    <definedName name="개선2" localSheetId="1">#REF!</definedName>
    <definedName name="개선2">#REF!</definedName>
    <definedName name="개선내용" localSheetId="5" hidden="1">{#N/A,#N/A,TRUE,"Y생산";#N/A,#N/A,TRUE,"Y판매";#N/A,#N/A,TRUE,"Y총물량";#N/A,#N/A,TRUE,"Y능력";#N/A,#N/A,TRUE,"YKD"}</definedName>
    <definedName name="개선내용" localSheetId="4" hidden="1">{#N/A,#N/A,TRUE,"Y생산";#N/A,#N/A,TRUE,"Y판매";#N/A,#N/A,TRUE,"Y총물량";#N/A,#N/A,TRUE,"Y능력";#N/A,#N/A,TRUE,"YKD"}</definedName>
    <definedName name="개선내용" localSheetId="3" hidden="1">{#N/A,#N/A,TRUE,"Y생산";#N/A,#N/A,TRUE,"Y판매";#N/A,#N/A,TRUE,"Y총물량";#N/A,#N/A,TRUE,"Y능력";#N/A,#N/A,TRUE,"YKD"}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내용_1" localSheetId="5" hidden="1">{#N/A,#N/A,TRUE,"Y생산";#N/A,#N/A,TRUE,"Y판매";#N/A,#N/A,TRUE,"Y총물량";#N/A,#N/A,TRUE,"Y능력";#N/A,#N/A,TRUE,"YKD"}</definedName>
    <definedName name="개선내용_1" localSheetId="4" hidden="1">{#N/A,#N/A,TRUE,"Y생산";#N/A,#N/A,TRUE,"Y판매";#N/A,#N/A,TRUE,"Y총물량";#N/A,#N/A,TRUE,"Y능력";#N/A,#N/A,TRUE,"YKD"}</definedName>
    <definedName name="개선내용_1" localSheetId="3" hidden="1">{#N/A,#N/A,TRUE,"Y생산";#N/A,#N/A,TRUE,"Y판매";#N/A,#N/A,TRUE,"Y총물량";#N/A,#N/A,TRUE,"Y능력";#N/A,#N/A,TRUE,"YKD"}</definedName>
    <definedName name="개선내용_1" localSheetId="1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" localSheetId="4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localSheetId="5" hidden="1">{#N/A,#N/A,TRUE,"Y생산";#N/A,#N/A,TRUE,"Y판매";#N/A,#N/A,TRUE,"Y총물량";#N/A,#N/A,TRUE,"Y능력";#N/A,#N/A,TRUE,"YKD"}</definedName>
    <definedName name="개선실적_1" localSheetId="4" hidden="1">{#N/A,#N/A,TRUE,"Y생산";#N/A,#N/A,TRUE,"Y판매";#N/A,#N/A,TRUE,"Y총물량";#N/A,#N/A,TRUE,"Y능력";#N/A,#N/A,TRUE,"YKD"}</definedName>
    <definedName name="개선실적_1" localSheetId="3" hidden="1">{#N/A,#N/A,TRUE,"Y생산";#N/A,#N/A,TRUE,"Y판매";#N/A,#N/A,TRUE,"Y총물량";#N/A,#N/A,TRUE,"Y능력";#N/A,#N/A,TRUE,"YKD"}</definedName>
    <definedName name="개선실적_1" localSheetId="1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 localSheetId="5">#REF!</definedName>
    <definedName name="개선절감" localSheetId="4">#REF!</definedName>
    <definedName name="개선절감" localSheetId="3">#REF!</definedName>
    <definedName name="개선절감" localSheetId="1">#REF!</definedName>
    <definedName name="개선절감">#REF!</definedName>
    <definedName name="갱신임료수준" localSheetId="3">#REF!</definedName>
    <definedName name="갱신임료수준" localSheetId="1">#REF!</definedName>
    <definedName name="갱신임료수준">#REF!</definedName>
    <definedName name="갸" localSheetId="5">#REF!</definedName>
    <definedName name="갸" localSheetId="4">#REF!</definedName>
    <definedName name="갸" localSheetId="3">#REF!</definedName>
    <definedName name="갸" localSheetId="1">#REF!</definedName>
    <definedName name="갸">#REF!</definedName>
    <definedName name="거" localSheetId="5" hidden="1">{#N/A,#N/A,FALSE,"1.CRITERIA";#N/A,#N/A,FALSE,"2.IS";#N/A,#N/A,FALSE,"3.BS";#N/A,#N/A,FALSE,"4.PER PL";#N/A,#N/A,FALSE,"5.INVESTMENT";#N/A,#N/A,FALSE,"6.공문";#N/A,#N/A,FALSE,"7.netinvest"}</definedName>
    <definedName name="거" localSheetId="4" hidden="1">{#N/A,#N/A,FALSE,"1.CRITERIA";#N/A,#N/A,FALSE,"2.IS";#N/A,#N/A,FALSE,"3.BS";#N/A,#N/A,FALSE,"4.PER PL";#N/A,#N/A,FALSE,"5.INVESTMENT";#N/A,#N/A,FALSE,"6.공문";#N/A,#N/A,FALSE,"7.netinvest"}</definedName>
    <definedName name="거" localSheetId="3" hidden="1">{#N/A,#N/A,FALSE,"1.CRITERIA";#N/A,#N/A,FALSE,"2.IS";#N/A,#N/A,FALSE,"3.BS";#N/A,#N/A,FALSE,"4.PER PL";#N/A,#N/A,FALSE,"5.INVESTMENT";#N/A,#N/A,FALSE,"6.공문";#N/A,#N/A,FALSE,"7.netinvest"}</definedName>
    <definedName name="거" localSheetId="1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 localSheetId="5">#REF!</definedName>
    <definedName name="거래조건10월" localSheetId="4">#REF!</definedName>
    <definedName name="거래조건10월" localSheetId="3">#REF!</definedName>
    <definedName name="거래조건10월" localSheetId="1">#REF!</definedName>
    <definedName name="거래조건10월">#REF!</definedName>
    <definedName name="거이" localSheetId="5" hidden="1">{#N/A,#N/A,FALSE,"1.CRITERIA";#N/A,#N/A,FALSE,"2.IS";#N/A,#N/A,FALSE,"3.BS";#N/A,#N/A,FALSE,"4.PER PL";#N/A,#N/A,FALSE,"5.INVESTMENT";#N/A,#N/A,FALSE,"6.공문";#N/A,#N/A,FALSE,"7.netinvest"}</definedName>
    <definedName name="거이" localSheetId="4" hidden="1">{#N/A,#N/A,FALSE,"1.CRITERIA";#N/A,#N/A,FALSE,"2.IS";#N/A,#N/A,FALSE,"3.BS";#N/A,#N/A,FALSE,"4.PER PL";#N/A,#N/A,FALSE,"5.INVESTMENT";#N/A,#N/A,FALSE,"6.공문";#N/A,#N/A,FALSE,"7.netinvest"}</definedName>
    <definedName name="거이" localSheetId="3" hidden="1">{#N/A,#N/A,FALSE,"1.CRITERIA";#N/A,#N/A,FALSE,"2.IS";#N/A,#N/A,FALSE,"3.BS";#N/A,#N/A,FALSE,"4.PER PL";#N/A,#N/A,FALSE,"5.INVESTMENT";#N/A,#N/A,FALSE,"6.공문";#N/A,#N/A,FALSE,"7.netinvest"}</definedName>
    <definedName name="거이" localSheetId="1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 localSheetId="5">#REF!</definedName>
    <definedName name="건1" localSheetId="4">#REF!</definedName>
    <definedName name="건1" localSheetId="3">#REF!</definedName>
    <definedName name="건1" localSheetId="1">#REF!</definedName>
    <definedName name="건1">#REF!</definedName>
    <definedName name="건10" localSheetId="3">#REF!</definedName>
    <definedName name="건10" localSheetId="1">#REF!</definedName>
    <definedName name="건10">#REF!</definedName>
    <definedName name="건11" localSheetId="3">#REF!</definedName>
    <definedName name="건11" localSheetId="1">#REF!</definedName>
    <definedName name="건11">#REF!</definedName>
    <definedName name="건12" localSheetId="3">#REF!</definedName>
    <definedName name="건12" localSheetId="1">#REF!</definedName>
    <definedName name="건12">#REF!</definedName>
    <definedName name="건2" localSheetId="3">#REF!</definedName>
    <definedName name="건2" localSheetId="1">#REF!</definedName>
    <definedName name="건2">#REF!</definedName>
    <definedName name="건3" localSheetId="3">#REF!</definedName>
    <definedName name="건3" localSheetId="1">#REF!</definedName>
    <definedName name="건3">#REF!</definedName>
    <definedName name="건4" localSheetId="3">#REF!</definedName>
    <definedName name="건4" localSheetId="1">#REF!</definedName>
    <definedName name="건4">#REF!</definedName>
    <definedName name="건5" localSheetId="3">#REF!</definedName>
    <definedName name="건5" localSheetId="1">#REF!</definedName>
    <definedName name="건5">#REF!</definedName>
    <definedName name="건6" localSheetId="3">#REF!</definedName>
    <definedName name="건6" localSheetId="1">#REF!</definedName>
    <definedName name="건6">#REF!</definedName>
    <definedName name="건7" localSheetId="3">#REF!</definedName>
    <definedName name="건7" localSheetId="1">#REF!</definedName>
    <definedName name="건7">#REF!</definedName>
    <definedName name="건8" localSheetId="3">#REF!</definedName>
    <definedName name="건8" localSheetId="1">#REF!</definedName>
    <definedName name="건8">#REF!</definedName>
    <definedName name="건9" localSheetId="3">#REF!</definedName>
    <definedName name="건9" localSheetId="1">#REF!</definedName>
    <definedName name="건9">#REF!</definedName>
    <definedName name="건강10월" localSheetId="3">#REF!</definedName>
    <definedName name="건강10월" localSheetId="1">#REF!</definedName>
    <definedName name="건강10월">#REF!</definedName>
    <definedName name="건강11월" localSheetId="3">#REF!</definedName>
    <definedName name="건강11월" localSheetId="1">#REF!</definedName>
    <definedName name="건강11월">#REF!</definedName>
    <definedName name="건강12월" localSheetId="3">#REF!</definedName>
    <definedName name="건강12월" localSheetId="1">#REF!</definedName>
    <definedName name="건강12월">#REF!</definedName>
    <definedName name="건강3월" localSheetId="3">#REF!</definedName>
    <definedName name="건강3월" localSheetId="1">#REF!</definedName>
    <definedName name="건강3월">#REF!</definedName>
    <definedName name="건강4월" localSheetId="3">#REF!</definedName>
    <definedName name="건강4월" localSheetId="1">#REF!</definedName>
    <definedName name="건강4월">#REF!</definedName>
    <definedName name="건강5월" localSheetId="3">#REF!</definedName>
    <definedName name="건강5월" localSheetId="1">#REF!</definedName>
    <definedName name="건강5월">#REF!</definedName>
    <definedName name="건강6월" localSheetId="3">#REF!</definedName>
    <definedName name="건강6월" localSheetId="1">#REF!</definedName>
    <definedName name="건강6월">#REF!</definedName>
    <definedName name="건강7월" localSheetId="3">#REF!</definedName>
    <definedName name="건강7월" localSheetId="1">#REF!</definedName>
    <definedName name="건강7월">#REF!</definedName>
    <definedName name="건강8월" localSheetId="3">#REF!</definedName>
    <definedName name="건강8월" localSheetId="1">#REF!</definedName>
    <definedName name="건강8월">#REF!</definedName>
    <definedName name="건강9월" localSheetId="3">#REF!</definedName>
    <definedName name="건강9월" localSheetId="1">#REF!</definedName>
    <definedName name="건강9월">#REF!</definedName>
    <definedName name="건물" localSheetId="3">#REF!</definedName>
    <definedName name="건물" localSheetId="1">#REF!</definedName>
    <definedName name="건물">#REF!</definedName>
    <definedName name="건물2" localSheetId="3">#REF!</definedName>
    <definedName name="건물2" localSheetId="1">#REF!</definedName>
    <definedName name="건물2">#REF!</definedName>
    <definedName name="건설팀" localSheetId="5" hidden="1">{#N/A,#N/A,TRUE,"Y생산";#N/A,#N/A,TRUE,"Y판매";#N/A,#N/A,TRUE,"Y총물량";#N/A,#N/A,TRUE,"Y능력";#N/A,#N/A,TRUE,"YKD"}</definedName>
    <definedName name="건설팀" localSheetId="4" hidden="1">{#N/A,#N/A,TRUE,"Y생산";#N/A,#N/A,TRUE,"Y판매";#N/A,#N/A,TRUE,"Y총물량";#N/A,#N/A,TRUE,"Y능력";#N/A,#N/A,TRUE,"YKD"}</definedName>
    <definedName name="건설팀" localSheetId="3" hidden="1">{#N/A,#N/A,TRUE,"Y생산";#N/A,#N/A,TRUE,"Y판매";#N/A,#N/A,TRUE,"Y총물량";#N/A,#N/A,TRUE,"Y능력";#N/A,#N/A,TRUE,"YKD"}</definedName>
    <definedName name="건설팀" localSheetId="1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설팀_1" localSheetId="5" hidden="1">{#N/A,#N/A,TRUE,"Y생산";#N/A,#N/A,TRUE,"Y판매";#N/A,#N/A,TRUE,"Y총물량";#N/A,#N/A,TRUE,"Y능력";#N/A,#N/A,TRUE,"YKD"}</definedName>
    <definedName name="건설팀_1" localSheetId="4" hidden="1">{#N/A,#N/A,TRUE,"Y생산";#N/A,#N/A,TRUE,"Y판매";#N/A,#N/A,TRUE,"Y총물량";#N/A,#N/A,TRUE,"Y능력";#N/A,#N/A,TRUE,"YKD"}</definedName>
    <definedName name="건설팀_1" localSheetId="3" hidden="1">{#N/A,#N/A,TRUE,"Y생산";#N/A,#N/A,TRUE,"Y판매";#N/A,#N/A,TRUE,"Y총물량";#N/A,#N/A,TRUE,"Y능력";#N/A,#N/A,TRUE,"YKD"}</definedName>
    <definedName name="건설팀_1" localSheetId="1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localSheetId="5" hidden="1">{#N/A,#N/A,TRUE,"Y생산";#N/A,#N/A,TRUE,"Y판매";#N/A,#N/A,TRUE,"Y총물량";#N/A,#N/A,TRUE,"Y능력";#N/A,#N/A,TRUE,"YKD"}</definedName>
    <definedName name="건열" localSheetId="4" hidden="1">{#N/A,#N/A,TRUE,"Y생산";#N/A,#N/A,TRUE,"Y판매";#N/A,#N/A,TRUE,"Y총물량";#N/A,#N/A,TRUE,"Y능력";#N/A,#N/A,TRUE,"YKD"}</definedName>
    <definedName name="건열" localSheetId="3" hidden="1">{#N/A,#N/A,TRUE,"Y생산";#N/A,#N/A,TRUE,"Y판매";#N/A,#N/A,TRUE,"Y총물량";#N/A,#N/A,TRUE,"Y능력";#N/A,#N/A,TRUE,"YKD"}</definedName>
    <definedName name="건열" localSheetId="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 localSheetId="5">#REF!</definedName>
    <definedName name="검사" localSheetId="4">#REF!</definedName>
    <definedName name="검사" localSheetId="3">#REF!</definedName>
    <definedName name="검사" localSheetId="1">#REF!</definedName>
    <definedName name="검사">#REF!</definedName>
    <definedName name="검사대기" localSheetId="3">#REF!</definedName>
    <definedName name="검사대기" localSheetId="1">#REF!</definedName>
    <definedName name="검사대기">#REF!</definedName>
    <definedName name="검사취소" localSheetId="3">#REF!</definedName>
    <definedName name="검사취소" localSheetId="1">#REF!</definedName>
    <definedName name="검사취소">#REF!</definedName>
    <definedName name="검증순서" localSheetId="3">#REF!</definedName>
    <definedName name="검증순서" localSheetId="1">#REF!</definedName>
    <definedName name="검증순서">#REF!</definedName>
    <definedName name="검토중QC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localSheetId="5" hidden="1">{#N/A,#N/A,FALSE,"단축1";#N/A,#N/A,FALSE,"단축2";#N/A,#N/A,FALSE,"단축3";#N/A,#N/A,FALSE,"장축";#N/A,#N/A,FALSE,"4WD"}</definedName>
    <definedName name="견적list3" localSheetId="4" hidden="1">{#N/A,#N/A,FALSE,"단축1";#N/A,#N/A,FALSE,"단축2";#N/A,#N/A,FALSE,"단축3";#N/A,#N/A,FALSE,"장축";#N/A,#N/A,FALSE,"4WD"}</definedName>
    <definedName name="견적list3" localSheetId="3" hidden="1">{#N/A,#N/A,FALSE,"단축1";#N/A,#N/A,FALSE,"단축2";#N/A,#N/A,FALSE,"단축3";#N/A,#N/A,FALSE,"장축";#N/A,#N/A,FALSE,"4WD"}</definedName>
    <definedName name="견적list3" localSheetId="1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결론" localSheetId="5">#REF!</definedName>
    <definedName name="결론" localSheetId="4">#REF!</definedName>
    <definedName name="결론" localSheetId="3">#REF!</definedName>
    <definedName name="결론" localSheetId="1">#REF!</definedName>
    <definedName name="결론">#REF!</definedName>
    <definedName name="결손금" localSheetId="3">#REF!</definedName>
    <definedName name="결손금" localSheetId="1">#REF!</definedName>
    <definedName name="결손금">#REF!</definedName>
    <definedName name="경로" localSheetId="5" hidden="1">{#N/A,#N/A,TRUE,"Y생산";#N/A,#N/A,TRUE,"Y판매";#N/A,#N/A,TRUE,"Y총물량";#N/A,#N/A,TRUE,"Y능력";#N/A,#N/A,TRUE,"YKD"}</definedName>
    <definedName name="경로" localSheetId="4" hidden="1">{#N/A,#N/A,TRUE,"Y생산";#N/A,#N/A,TRUE,"Y판매";#N/A,#N/A,TRUE,"Y총물량";#N/A,#N/A,TRUE,"Y능력";#N/A,#N/A,TRUE,"YKD"}</definedName>
    <definedName name="경로" localSheetId="3" hidden="1">{#N/A,#N/A,TRUE,"Y생산";#N/A,#N/A,TRUE,"Y판매";#N/A,#N/A,TRUE,"Y총물량";#N/A,#N/A,TRUE,"Y능력";#N/A,#N/A,TRUE,"YKD"}</definedName>
    <definedName name="경로" localSheetId="1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비" localSheetId="5">#REF!</definedName>
    <definedName name="경비" localSheetId="4">#REF!</definedName>
    <definedName name="경비" localSheetId="3">#REF!</definedName>
    <definedName name="경비" localSheetId="1">#REF!</definedName>
    <definedName name="경비">#REF!</definedName>
    <definedName name="경비.본" localSheetId="3">#REF!</definedName>
    <definedName name="경비.본" localSheetId="1">#REF!</definedName>
    <definedName name="경비.본">#REF!</definedName>
    <definedName name="경비1" localSheetId="3" hidden="1">#REF!</definedName>
    <definedName name="경비1" localSheetId="1" hidden="1">#REF!</definedName>
    <definedName name="경비1" hidden="1">#REF!</definedName>
    <definedName name="경비2" localSheetId="3" hidden="1">#REF!</definedName>
    <definedName name="경비2" localSheetId="1" hidden="1">#REF!</definedName>
    <definedName name="경비2" hidden="1">#REF!</definedName>
    <definedName name="경비출납" localSheetId="3">#REF!</definedName>
    <definedName name="경비출납" localSheetId="1">#REF!</definedName>
    <definedName name="경비출납">#REF!</definedName>
    <definedName name="경영계획" localSheetId="3">#REF!</definedName>
    <definedName name="경영계획" localSheetId="1">#REF!</definedName>
    <definedName name="경영계획">#REF!</definedName>
    <definedName name="경영전망" hidden="1">0</definedName>
    <definedName name="경쟁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5" hidden="1">{#N/A,#N/A,TRUE,"Y생산";#N/A,#N/A,TRUE,"Y판매";#N/A,#N/A,TRUE,"Y총물량";#N/A,#N/A,TRUE,"Y능력";#N/A,#N/A,TRUE,"YKD"}</definedName>
    <definedName name="경합금2과운연계획" localSheetId="4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5">#REF!</definedName>
    <definedName name="계" localSheetId="4">#REF!</definedName>
    <definedName name="계" localSheetId="3">#REF!</definedName>
    <definedName name="계" localSheetId="1">#REF!</definedName>
    <definedName name="계">#REF!</definedName>
    <definedName name="계산" localSheetId="5" hidden="1">{#N/A,#N/A,FALSE,"1.CRITERIA";#N/A,#N/A,FALSE,"2.IS";#N/A,#N/A,FALSE,"3.BS";#N/A,#N/A,FALSE,"4.PER PL";#N/A,#N/A,FALSE,"5.INVESTMENT";#N/A,#N/A,FALSE,"6.공문";#N/A,#N/A,FALSE,"7.netinvest"}</definedName>
    <definedName name="계산" localSheetId="4" hidden="1">{#N/A,#N/A,FALSE,"1.CRITERIA";#N/A,#N/A,FALSE,"2.IS";#N/A,#N/A,FALSE,"3.BS";#N/A,#N/A,FALSE,"4.PER PL";#N/A,#N/A,FALSE,"5.INVESTMENT";#N/A,#N/A,FALSE,"6.공문";#N/A,#N/A,FALSE,"7.netinvest"}</definedName>
    <definedName name="계산" localSheetId="3" hidden="1">{#N/A,#N/A,FALSE,"1.CRITERIA";#N/A,#N/A,FALSE,"2.IS";#N/A,#N/A,FALSE,"3.BS";#N/A,#N/A,FALSE,"4.PER PL";#N/A,#N/A,FALSE,"5.INVESTMENT";#N/A,#N/A,FALSE,"6.공문";#N/A,#N/A,FALSE,"7.netinvest"}</definedName>
    <definedName name="계산" localSheetId="1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localSheetId="5" hidden="1">{#N/A,#N/A,FALSE,"BS";#N/A,#N/A,FALSE,"PL";#N/A,#N/A,FALSE,"처분";#N/A,#N/A,FALSE,"현금";#N/A,#N/A,FALSE,"매출";#N/A,#N/A,FALSE,"원가";#N/A,#N/A,FALSE,"경영"}</definedName>
    <definedName name="계산서" localSheetId="4" hidden="1">{#N/A,#N/A,FALSE,"BS";#N/A,#N/A,FALSE,"PL";#N/A,#N/A,FALSE,"처분";#N/A,#N/A,FALSE,"현금";#N/A,#N/A,FALSE,"매출";#N/A,#N/A,FALSE,"원가";#N/A,#N/A,FALSE,"경영"}</definedName>
    <definedName name="계산서" localSheetId="3" hidden="1">{#N/A,#N/A,FALSE,"BS";#N/A,#N/A,FALSE,"PL";#N/A,#N/A,FALSE,"처분";#N/A,#N/A,FALSE,"현금";#N/A,#N/A,FALSE,"매출";#N/A,#N/A,FALSE,"원가";#N/A,#N/A,FALSE,"경영"}</definedName>
    <definedName name="계산서" localSheetId="1" hidden="1">{#N/A,#N/A,FALSE,"BS";#N/A,#N/A,FALSE,"PL";#N/A,#N/A,FALSE,"처분";#N/A,#N/A,FALSE,"현금";#N/A,#N/A,FALSE,"매출";#N/A,#N/A,FALSE,"원가";#N/A,#N/A,FALSE,"경영"}</definedName>
    <definedName name="계산서" hidden="1">{#N/A,#N/A,FALSE,"BS";#N/A,#N/A,FALSE,"PL";#N/A,#N/A,FALSE,"처분";#N/A,#N/A,FALSE,"현금";#N/A,#N/A,FALSE,"매출";#N/A,#N/A,FALSE,"원가";#N/A,#N/A,FALSE,"경영"}</definedName>
    <definedName name="계상산" localSheetId="5">#REF!</definedName>
    <definedName name="계상산" localSheetId="4">#REF!</definedName>
    <definedName name="계상산" localSheetId="3">#REF!</definedName>
    <definedName name="계상산" localSheetId="1">#REF!</definedName>
    <definedName name="계상산">#REF!</definedName>
    <definedName name="계속" localSheetId="5" hidden="1">{#N/A,#N/A,FALSE,"1.CRITERIA";#N/A,#N/A,FALSE,"2.IS";#N/A,#N/A,FALSE,"3.BS";#N/A,#N/A,FALSE,"4.PER PL";#N/A,#N/A,FALSE,"5.INVESTMENT";#N/A,#N/A,FALSE,"6.공문";#N/A,#N/A,FALSE,"7.netinvest"}</definedName>
    <definedName name="계속" localSheetId="4" hidden="1">{#N/A,#N/A,FALSE,"1.CRITERIA";#N/A,#N/A,FALSE,"2.IS";#N/A,#N/A,FALSE,"3.BS";#N/A,#N/A,FALSE,"4.PER PL";#N/A,#N/A,FALSE,"5.INVESTMENT";#N/A,#N/A,FALSE,"6.공문";#N/A,#N/A,FALSE,"7.netinvest"}</definedName>
    <definedName name="계속" localSheetId="3" hidden="1">{#N/A,#N/A,FALSE,"1.CRITERIA";#N/A,#N/A,FALSE,"2.IS";#N/A,#N/A,FALSE,"3.BS";#N/A,#N/A,FALSE,"4.PER PL";#N/A,#N/A,FALSE,"5.INVESTMENT";#N/A,#N/A,FALSE,"6.공문";#N/A,#N/A,FALSE,"7.netinvest"}</definedName>
    <definedName name="계속" localSheetId="1" hidden="1">{#N/A,#N/A,FALSE,"1.CRITERIA";#N/A,#N/A,FALSE,"2.IS";#N/A,#N/A,FALSE,"3.BS";#N/A,#N/A,FALSE,"4.PER PL";#N/A,#N/A,FALSE,"5.INVESTMENT";#N/A,#N/A,FALSE,"6.공문";#N/A,#N/A,FALSE,"7.netinvest"}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 localSheetId="5">#REF!</definedName>
    <definedName name="계승산" localSheetId="4">#REF!</definedName>
    <definedName name="계승산" localSheetId="3">#REF!</definedName>
    <definedName name="계승산" localSheetId="1">#REF!</definedName>
    <definedName name="계승산">#REF!</definedName>
    <definedName name="계약91" localSheetId="5">#REF!</definedName>
    <definedName name="계약91" localSheetId="4">#REF!</definedName>
    <definedName name="계약91" localSheetId="3">#REF!</definedName>
    <definedName name="계약91" localSheetId="1">#REF!</definedName>
    <definedName name="계약91">#REF!</definedName>
    <definedName name="계전산" localSheetId="3">#REF!</definedName>
    <definedName name="계전산" localSheetId="1">#REF!</definedName>
    <definedName name="계전산">#REF!</definedName>
    <definedName name="계정과목" localSheetId="3">#REF!</definedName>
    <definedName name="계정과목" localSheetId="1">#REF!</definedName>
    <definedName name="계정과목">#REF!</definedName>
    <definedName name="계정과정행높이조절" localSheetId="5">#REF!,#REF!,#REF!,#REF!,#REF!,#REF!,#REF!,#REF!</definedName>
    <definedName name="계정과정행높이조절" localSheetId="4">#REF!,#REF!,#REF!,#REF!,#REF!,#REF!,#REF!,#REF!</definedName>
    <definedName name="계정과정행높이조절" localSheetId="3">#REF!,#REF!,#REF!,#REF!,#REF!,#REF!,#REF!,#REF!</definedName>
    <definedName name="계정과정행높이조절" localSheetId="1">#REF!,#REF!,#REF!,#REF!,#REF!,#REF!,#REF!,#REF!</definedName>
    <definedName name="계정과정행높이조절">#REF!,#REF!,#REF!,#REF!,#REF!,#REF!,#REF!,#REF!</definedName>
    <definedName name="계정종합표" localSheetId="5" hidden="1">{#N/A,#N/A,TRUE,"Y생산";#N/A,#N/A,TRUE,"Y판매";#N/A,#N/A,TRUE,"Y총물량";#N/A,#N/A,TRUE,"Y능력";#N/A,#N/A,TRUE,"YKD"}</definedName>
    <definedName name="계정종합표" localSheetId="4" hidden="1">{#N/A,#N/A,TRUE,"Y생산";#N/A,#N/A,TRUE,"Y판매";#N/A,#N/A,TRUE,"Y총물량";#N/A,#N/A,TRUE,"Y능력";#N/A,#N/A,TRUE,"YKD"}</definedName>
    <definedName name="계정종합표" localSheetId="3" hidden="1">{#N/A,#N/A,TRUE,"Y생산";#N/A,#N/A,TRUE,"Y판매";#N/A,#N/A,TRUE,"Y총물량";#N/A,#N/A,TRUE,"Y능력";#N/A,#N/A,TRUE,"YKD"}</definedName>
    <definedName name="계정종합표" localSheetId="1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좌" localSheetId="5">#REF!</definedName>
    <definedName name="계좌" localSheetId="4">#REF!</definedName>
    <definedName name="계좌" localSheetId="3">#REF!</definedName>
    <definedName name="계좌" localSheetId="1">#REF!</definedName>
    <definedName name="계좌">#REF!</definedName>
    <definedName name="계획" localSheetId="3">#REF!</definedName>
    <definedName name="계획" localSheetId="1">#REF!</definedName>
    <definedName name="계획">#REF!</definedName>
    <definedName name="계획2" localSheetId="3">#REF!</definedName>
    <definedName name="계획2" localSheetId="1">#REF!</definedName>
    <definedName name="계획2">#REF!</definedName>
    <definedName name="고" localSheetId="5">#REF!</definedName>
    <definedName name="고" localSheetId="4">#REF!</definedName>
    <definedName name="고" localSheetId="3">#REF!</definedName>
    <definedName name="고" localSheetId="1">#REF!</definedName>
    <definedName name="고">#REF!</definedName>
    <definedName name="고1" localSheetId="5">#REF!</definedName>
    <definedName name="고1" localSheetId="4">#REF!</definedName>
    <definedName name="고1" localSheetId="3">#REF!</definedName>
    <definedName name="고1" localSheetId="1">#REF!</definedName>
    <definedName name="고1">#REF!</definedName>
    <definedName name="고10" localSheetId="3">#REF!</definedName>
    <definedName name="고10" localSheetId="1">#REF!</definedName>
    <definedName name="고10">#REF!</definedName>
    <definedName name="고11" localSheetId="3">#REF!</definedName>
    <definedName name="고11" localSheetId="1">#REF!</definedName>
    <definedName name="고11">#REF!</definedName>
    <definedName name="고12" localSheetId="3">#REF!</definedName>
    <definedName name="고12" localSheetId="1">#REF!</definedName>
    <definedName name="고12">#REF!</definedName>
    <definedName name="고2" localSheetId="3">#REF!</definedName>
    <definedName name="고2" localSheetId="1">#REF!</definedName>
    <definedName name="고2">#REF!</definedName>
    <definedName name="고3" localSheetId="3">#REF!</definedName>
    <definedName name="고3" localSheetId="1">#REF!</definedName>
    <definedName name="고3">#REF!</definedName>
    <definedName name="고4" localSheetId="3">#REF!</definedName>
    <definedName name="고4" localSheetId="1">#REF!</definedName>
    <definedName name="고4">#REF!</definedName>
    <definedName name="고5" localSheetId="3">#REF!</definedName>
    <definedName name="고5" localSheetId="1">#REF!</definedName>
    <definedName name="고5">#REF!</definedName>
    <definedName name="고6" localSheetId="3">#REF!</definedName>
    <definedName name="고6" localSheetId="1">#REF!</definedName>
    <definedName name="고6">#REF!</definedName>
    <definedName name="고7" localSheetId="3">#REF!</definedName>
    <definedName name="고7" localSheetId="1">#REF!</definedName>
    <definedName name="고7">#REF!</definedName>
    <definedName name="고8" localSheetId="3">#REF!</definedName>
    <definedName name="고8" localSheetId="1">#REF!</definedName>
    <definedName name="고8">#REF!</definedName>
    <definedName name="고9" localSheetId="3">#REF!</definedName>
    <definedName name="고9" localSheetId="1">#REF!</definedName>
    <definedName name="고9">#REF!</definedName>
    <definedName name="고용10월" localSheetId="3">#REF!</definedName>
    <definedName name="고용10월" localSheetId="1">#REF!</definedName>
    <definedName name="고용10월">#REF!</definedName>
    <definedName name="고용11월" localSheetId="3">#REF!</definedName>
    <definedName name="고용11월" localSheetId="1">#REF!</definedName>
    <definedName name="고용11월">#REF!</definedName>
    <definedName name="고용12월" localSheetId="3">#REF!</definedName>
    <definedName name="고용12월" localSheetId="1">#REF!</definedName>
    <definedName name="고용12월">#REF!</definedName>
    <definedName name="고용3월" localSheetId="3">#REF!</definedName>
    <definedName name="고용3월" localSheetId="1">#REF!</definedName>
    <definedName name="고용3월">#REF!</definedName>
    <definedName name="고용4월" localSheetId="3">#REF!</definedName>
    <definedName name="고용4월" localSheetId="1">#REF!</definedName>
    <definedName name="고용4월">#REF!</definedName>
    <definedName name="고용5월" localSheetId="3">#REF!</definedName>
    <definedName name="고용5월" localSheetId="1">#REF!</definedName>
    <definedName name="고용5월">#REF!</definedName>
    <definedName name="고용6월" localSheetId="3">#REF!</definedName>
    <definedName name="고용6월" localSheetId="1">#REF!</definedName>
    <definedName name="고용6월">#REF!</definedName>
    <definedName name="고용7월" localSheetId="3">#REF!</definedName>
    <definedName name="고용7월" localSheetId="1">#REF!</definedName>
    <definedName name="고용7월">#REF!</definedName>
    <definedName name="고용8월" localSheetId="3">#REF!</definedName>
    <definedName name="고용8월" localSheetId="1">#REF!</definedName>
    <definedName name="고용8월">#REF!</definedName>
    <definedName name="고용9월" localSheetId="3">#REF!</definedName>
    <definedName name="고용9월" localSheetId="1">#REF!</definedName>
    <definedName name="고용9월">#REF!</definedName>
    <definedName name="고정비" localSheetId="5">#REF!</definedName>
    <definedName name="고정비" localSheetId="4">#REF!</definedName>
    <definedName name="고정비" localSheetId="3">#REF!</definedName>
    <definedName name="고정비" localSheetId="1">#REF!</definedName>
    <definedName name="고정비">#REF!</definedName>
    <definedName name="고처분" localSheetId="3">#REF!</definedName>
    <definedName name="고처분" localSheetId="1">#REF!</definedName>
    <definedName name="고처분">#REF!</definedName>
    <definedName name="골라인쇄" localSheetId="5">#REF!</definedName>
    <definedName name="골라인쇄" localSheetId="4">#REF!</definedName>
    <definedName name="골라인쇄" localSheetId="3">#REF!</definedName>
    <definedName name="골라인쇄" localSheetId="1">#REF!</definedName>
    <definedName name="골라인쇄">#REF!</definedName>
    <definedName name="공급가" localSheetId="3">OFFSET(#REF!,0,0,COUNTA(#REF!)-1)</definedName>
    <definedName name="공급가" localSheetId="1">OFFSET(#REF!,0,0,COUNTA(#REF!)-1)</definedName>
    <definedName name="공급가">OFFSET(#REF!,0,0,COUNTA(#REF!)-1)</definedName>
    <definedName name="공기" localSheetId="5">#REF!</definedName>
    <definedName name="공기" localSheetId="4">#REF!</definedName>
    <definedName name="공기" localSheetId="3">#REF!</definedName>
    <definedName name="공기" localSheetId="1">#REF!</definedName>
    <definedName name="공기">#REF!</definedName>
    <definedName name="공무4" localSheetId="5" hidden="1">{#N/A,#N/A,FALSE,"채산3501.XLS";#N/A,#N/A,FALSE,"신조수A.XLS";#N/A,#N/A,FALSE,"신조수b.XLS";#N/A,#N/A,FALSE,"채산3502.XLS";#N/A,#N/A,FALSE,"신조원리.XLS";#N/A,#N/A,FALSE,"신조감가.XLS"}</definedName>
    <definedName name="공무4" localSheetId="4" hidden="1">{#N/A,#N/A,FALSE,"채산3501.XLS";#N/A,#N/A,FALSE,"신조수A.XLS";#N/A,#N/A,FALSE,"신조수b.XLS";#N/A,#N/A,FALSE,"채산3502.XLS";#N/A,#N/A,FALSE,"신조원리.XLS";#N/A,#N/A,FALSE,"신조감가.XLS"}</definedName>
    <definedName name="공무4" localSheetId="3" hidden="1">{#N/A,#N/A,FALSE,"채산3501.XLS";#N/A,#N/A,FALSE,"신조수A.XLS";#N/A,#N/A,FALSE,"신조수b.XLS";#N/A,#N/A,FALSE,"채산3502.XLS";#N/A,#N/A,FALSE,"신조원리.XLS";#N/A,#N/A,FALSE,"신조감가.XLS"}</definedName>
    <definedName name="공무4" localSheetId="1" hidden="1">{#N/A,#N/A,FALSE,"채산3501.XLS";#N/A,#N/A,FALSE,"신조수A.XLS";#N/A,#N/A,FALSE,"신조수b.XLS";#N/A,#N/A,FALSE,"채산3502.XLS";#N/A,#N/A,FALSE,"신조원리.XLS";#N/A,#N/A,FALSE,"신조감가.XLS"}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5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3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1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localSheetId="5" hidden="1">#REF!</definedName>
    <definedName name="공문" localSheetId="4" hidden="1">#REF!</definedName>
    <definedName name="공문" localSheetId="3" hidden="1">#REF!</definedName>
    <definedName name="공문" localSheetId="1" hidden="1">#REF!</definedName>
    <definedName name="공문" hidden="1">#REF!</definedName>
    <definedName name="공수" localSheetId="3">#REF!</definedName>
    <definedName name="공수" localSheetId="1">#REF!</definedName>
    <definedName name="공수">#REF!</definedName>
    <definedName name="공식" localSheetId="5">#REF!</definedName>
    <definedName name="공식" localSheetId="4">#REF!</definedName>
    <definedName name="공식" localSheetId="3">#REF!</definedName>
    <definedName name="공식" localSheetId="1">#REF!</definedName>
    <definedName name="공식">#REF!</definedName>
    <definedName name="공실률" localSheetId="5">#REF!+(#REF!-#REF!)</definedName>
    <definedName name="공실률" localSheetId="4">#REF!+(#REF!-#REF!)</definedName>
    <definedName name="공실률" localSheetId="3">#REF!+(#REF!-#REF!)</definedName>
    <definedName name="공실률" localSheetId="1">#REF!+(#REF!-#REF!)</definedName>
    <definedName name="공실률">#REF!+(#REF!-#REF!)</definedName>
    <definedName name="공장별" localSheetId="3">#REF!</definedName>
    <definedName name="공장별" localSheetId="1">#REF!</definedName>
    <definedName name="공장별">#REF!</definedName>
    <definedName name="공정" localSheetId="3">#REF!</definedName>
    <definedName name="공정" localSheetId="1">#REF!</definedName>
    <definedName name="공정">#REF!</definedName>
    <definedName name="공조" localSheetId="3">#REF!</definedName>
    <definedName name="공조" localSheetId="1">#REF!</definedName>
    <definedName name="공조">#REF!</definedName>
    <definedName name="공종">#N/A</definedName>
    <definedName name="공종보기">#N/A</definedName>
    <definedName name="공종보기2">#N/A</definedName>
    <definedName name="공ㅌ오" localSheetId="5" hidden="1">{#N/A,#N/A,TRUE,"Y생산";#N/A,#N/A,TRUE,"Y판매";#N/A,#N/A,TRUE,"Y총물량";#N/A,#N/A,TRUE,"Y능력";#N/A,#N/A,TRUE,"YKD"}</definedName>
    <definedName name="공ㅌ오" localSheetId="4" hidden="1">{#N/A,#N/A,TRUE,"Y생산";#N/A,#N/A,TRUE,"Y판매";#N/A,#N/A,TRUE,"Y총물량";#N/A,#N/A,TRUE,"Y능력";#N/A,#N/A,TRUE,"YKD"}</definedName>
    <definedName name="공ㅌ오" localSheetId="3" hidden="1">{#N/A,#N/A,TRUE,"Y생산";#N/A,#N/A,TRUE,"Y판매";#N/A,#N/A,TRUE,"Y총물량";#N/A,#N/A,TRUE,"Y능력";#N/A,#N/A,TRUE,"YKD"}</definedName>
    <definedName name="공ㅌ오" localSheetId="1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공통2" localSheetId="5">#REF!</definedName>
    <definedName name="공통2" localSheetId="4">#REF!</definedName>
    <definedName name="공통2" localSheetId="3">#REF!</definedName>
    <definedName name="공통2" localSheetId="1">#REF!</definedName>
    <definedName name="공통2">#REF!</definedName>
    <definedName name="공통경비" localSheetId="3">#REF!</definedName>
    <definedName name="공통경비" localSheetId="1">#REF!</definedName>
    <definedName name="공통경비">#REF!</definedName>
    <definedName name="과목세목현황" localSheetId="5" hidden="1">{#N/A,#N/A,TRUE,"Y생산";#N/A,#N/A,TRUE,"Y판매";#N/A,#N/A,TRUE,"Y총물량";#N/A,#N/A,TRUE,"Y능력";#N/A,#N/A,TRUE,"YKD"}</definedName>
    <definedName name="과목세목현황" localSheetId="4" hidden="1">{#N/A,#N/A,TRUE,"Y생산";#N/A,#N/A,TRUE,"Y판매";#N/A,#N/A,TRUE,"Y총물량";#N/A,#N/A,TRUE,"Y능력";#N/A,#N/A,TRUE,"YKD"}</definedName>
    <definedName name="과목세목현황" localSheetId="3" hidden="1">{#N/A,#N/A,TRUE,"Y생산";#N/A,#N/A,TRUE,"Y판매";#N/A,#N/A,TRUE,"Y총물량";#N/A,#N/A,TRUE,"Y능력";#N/A,#N/A,TRUE,"YKD"}</definedName>
    <definedName name="과목세목현황" localSheetId="1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과별분배" localSheetId="5">#REF!</definedName>
    <definedName name="과별분배" localSheetId="4">#REF!</definedName>
    <definedName name="과별분배" localSheetId="3">#REF!</definedName>
    <definedName name="과별분배" localSheetId="1">#REF!</definedName>
    <definedName name="과별분배">#REF!</definedName>
    <definedName name="과운영" localSheetId="5" hidden="1">{"'호선별현황(방식)'!$K$22:$P$22","'호선별현황(방식)'!$K$22:$P$22"}</definedName>
    <definedName name="과운영" localSheetId="4" hidden="1">{"'호선별현황(방식)'!$K$22:$P$22","'호선별현황(방식)'!$K$22:$P$22"}</definedName>
    <definedName name="과운영" localSheetId="3" hidden="1">{"'호선별현황(방식)'!$K$22:$P$22","'호선별현황(방식)'!$K$22:$P$22"}</definedName>
    <definedName name="과운영" localSheetId="1" hidden="1">{"'호선별현황(방식)'!$K$22:$P$22","'호선별현황(방식)'!$K$22:$P$22"}</definedName>
    <definedName name="과운영" hidden="1">{"'호선별현황(방식)'!$K$22:$P$22","'호선별현황(방식)'!$K$22:$P$22"}</definedName>
    <definedName name="관리" localSheetId="5" hidden="1">#REF!</definedName>
    <definedName name="관리" localSheetId="4" hidden="1">#REF!</definedName>
    <definedName name="관리" localSheetId="3" hidden="1">#REF!</definedName>
    <definedName name="관리" localSheetId="1" hidden="1">#REF!</definedName>
    <definedName name="관리" hidden="1">#REF!</definedName>
    <definedName name="관리07년" localSheetId="5">#REF!</definedName>
    <definedName name="관리07년" localSheetId="4">#REF!</definedName>
    <definedName name="관리07년" localSheetId="3">#REF!</definedName>
    <definedName name="관리07년" localSheetId="1">#REF!</definedName>
    <definedName name="관리07년">#REF!</definedName>
    <definedName name="管理番号ﾘｽﾄ" localSheetId="5">#REF!</definedName>
    <definedName name="管理番号ﾘｽﾄ" localSheetId="4">#REF!</definedName>
    <definedName name="管理番号ﾘｽﾄ" localSheetId="3">#REF!</definedName>
    <definedName name="管理番号ﾘｽﾄ" localSheetId="1">#REF!</definedName>
    <definedName name="管理番号ﾘｽﾄ">#REF!</definedName>
    <definedName name="관리비" localSheetId="5">#REF!</definedName>
    <definedName name="관리비" localSheetId="4">#REF!</definedName>
    <definedName name="관리비" localSheetId="3">#REF!</definedName>
    <definedName name="관리비" localSheetId="1">#REF!</definedName>
    <definedName name="관리비">#REF!</definedName>
    <definedName name="관리선4월" localSheetId="5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4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3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1" hidden="1">{#N/A,#N/A,FALSE,"채산3501.XLS";#N/A,#N/A,FALSE,"신조수A.XLS";#N/A,#N/A,FALSE,"신조수b.XLS";#N/A,#N/A,FALSE,"채산3502.XLS";#N/A,#N/A,FALSE,"신조원리.XLS";#N/A,#N/A,FALSE,"신조감가.XLS"}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localSheetId="5" hidden="1">{#N/A,#N/A,TRUE,"Y생산";#N/A,#N/A,TRUE,"Y판매";#N/A,#N/A,TRUE,"Y총물량";#N/A,#N/A,TRUE,"Y능력";#N/A,#N/A,TRUE,"YKD"}</definedName>
    <definedName name="관리지표2" localSheetId="4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localSheetId="1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세" localSheetId="5">#REF!</definedName>
    <definedName name="관세" localSheetId="4">#REF!</definedName>
    <definedName name="관세" localSheetId="3">#REF!</definedName>
    <definedName name="관세" localSheetId="1">#REF!</definedName>
    <definedName name="관세">#REF!</definedName>
    <definedName name="광" localSheetId="3">#REF!</definedName>
    <definedName name="광" localSheetId="1">#REF!</definedName>
    <definedName name="광">#REF!</definedName>
    <definedName name="광명정산" localSheetId="3">#REF!</definedName>
    <definedName name="광명정산" localSheetId="1">#REF!</definedName>
    <definedName name="광명정산">#REF!</definedName>
    <definedName name="광주9월1" localSheetId="3">#REF!</definedName>
    <definedName name="광주9월1" localSheetId="1">#REF!</definedName>
    <definedName name="광주9월1">#REF!</definedName>
    <definedName name="교체" localSheetId="3">#REF!</definedName>
    <definedName name="교체" localSheetId="1">#REF!</definedName>
    <definedName name="교체">#REF!</definedName>
    <definedName name="교체1" localSheetId="3">#REF!</definedName>
    <definedName name="교체1" localSheetId="1">#REF!</definedName>
    <definedName name="교체1">#REF!</definedName>
    <definedName name="교체2" localSheetId="3">#REF!</definedName>
    <definedName name="교체2" localSheetId="1">#REF!</definedName>
    <definedName name="교체2">#REF!</definedName>
    <definedName name="교체4" localSheetId="3">#REF!</definedName>
    <definedName name="교체4" localSheetId="1">#REF!</definedName>
    <definedName name="교체4">#REF!</definedName>
    <definedName name="교환2001견적" localSheetId="3">#REF!</definedName>
    <definedName name="교환2001견적" localSheetId="1">#REF!</definedName>
    <definedName name="교환2001견적">#REF!</definedName>
    <definedName name="교환비교" localSheetId="3">#REF!</definedName>
    <definedName name="교환비교" localSheetId="1">#REF!</definedName>
    <definedName name="교환비교">#REF!</definedName>
    <definedName name="굑ㅈ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 localSheetId="5">#REF!</definedName>
    <definedName name="구__매___사__용" localSheetId="4">#REF!</definedName>
    <definedName name="구__매___사__용" localSheetId="3">#REF!</definedName>
    <definedName name="구__매___사__용" localSheetId="1">#REF!</definedName>
    <definedName name="구__매___사__용">#REF!</definedName>
    <definedName name="구매보고" localSheetId="3">#REF!</definedName>
    <definedName name="구매보고" localSheetId="1">#REF!</definedName>
    <definedName name="구매보고">#REF!</definedName>
    <definedName name="구매부품TOT" localSheetId="5" hidden="1">{#N/A,#N/A,FALSE,"Aging Summary";#N/A,#N/A,FALSE,"Ratio Analysis";#N/A,#N/A,FALSE,"Test 120 Day Accts";#N/A,#N/A,FALSE,"Tickmarks"}</definedName>
    <definedName name="구매부품TOT" localSheetId="4" hidden="1">{#N/A,#N/A,FALSE,"Aging Summary";#N/A,#N/A,FALSE,"Ratio Analysis";#N/A,#N/A,FALSE,"Test 120 Day Accts";#N/A,#N/A,FALSE,"Tickmarks"}</definedName>
    <definedName name="구매부품TOT" localSheetId="3" hidden="1">{#N/A,#N/A,FALSE,"Aging Summary";#N/A,#N/A,FALSE,"Ratio Analysis";#N/A,#N/A,FALSE,"Test 120 Day Accts";#N/A,#N/A,FALSE,"Tickmarks"}</definedName>
    <definedName name="구매부품TOT" localSheetId="1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분" localSheetId="5">#REF!</definedName>
    <definedName name="구분" localSheetId="4">#REF!</definedName>
    <definedName name="구분" localSheetId="3">#REF!</definedName>
    <definedName name="구분" localSheetId="1">#REF!</definedName>
    <definedName name="구분">#REF!</definedName>
    <definedName name="구분1" localSheetId="3">#REF!</definedName>
    <definedName name="구분1" localSheetId="1">#REF!</definedName>
    <definedName name="구분1">#REF!</definedName>
    <definedName name="구분2" localSheetId="3">#REF!</definedName>
    <definedName name="구분2" localSheetId="1">#REF!</definedName>
    <definedName name="구분2">#REF!</definedName>
    <definedName name="구축물" localSheetId="3">#REF!</definedName>
    <definedName name="구축물" localSheetId="1">#REF!</definedName>
    <definedName name="구축물">#REF!</definedName>
    <definedName name="구축물2" localSheetId="3">#REF!</definedName>
    <definedName name="구축물2" localSheetId="1">#REF!</definedName>
    <definedName name="구축물2">#REF!</definedName>
    <definedName name="구축본부" localSheetId="5" hidden="1">{#N/A,#N/A,FALSE,"3가";#N/A,#N/A,FALSE,"3나";#N/A,#N/A,FALSE,"3다"}</definedName>
    <definedName name="구축본부" localSheetId="4" hidden="1">{#N/A,#N/A,FALSE,"3가";#N/A,#N/A,FALSE,"3나";#N/A,#N/A,FALSE,"3다"}</definedName>
    <definedName name="구축본부" localSheetId="3" hidden="1">{#N/A,#N/A,FALSE,"3가";#N/A,#N/A,FALSE,"3나";#N/A,#N/A,FALSE,"3다"}</definedName>
    <definedName name="구축본부" localSheetId="1" hidden="1">{#N/A,#N/A,FALSE,"3가";#N/A,#N/A,FALSE,"3나";#N/A,#N/A,FALSE,"3다"}</definedName>
    <definedName name="구축본부" hidden="1">{#N/A,#N/A,FALSE,"3가";#N/A,#N/A,FALSE,"3나";#N/A,#N/A,FALSE,"3다"}</definedName>
    <definedName name="구칠건가" localSheetId="5">#REF!</definedName>
    <definedName name="구칠건가" localSheetId="4">#REF!</definedName>
    <definedName name="구칠건가" localSheetId="3">#REF!</definedName>
    <definedName name="구칠건가" localSheetId="1">#REF!</definedName>
    <definedName name="구칠건가">#REF!</definedName>
    <definedName name="구칠금형" localSheetId="3">#REF!</definedName>
    <definedName name="구칠금형" localSheetId="1">#REF!</definedName>
    <definedName name="구칠금형">#REF!</definedName>
    <definedName name="구ㅏㅇ" localSheetId="5">#REF!</definedName>
    <definedName name="구ㅏㅇ" localSheetId="4">#REF!</definedName>
    <definedName name="구ㅏㅇ" localSheetId="3">#REF!</definedName>
    <definedName name="구ㅏㅇ" localSheetId="1">#REF!</definedName>
    <definedName name="구ㅏㅇ">#REF!</definedName>
    <definedName name="국_내_매_출" localSheetId="3">#REF!</definedName>
    <definedName name="국_내_매_출" localSheetId="1">#REF!</definedName>
    <definedName name="국_내_매_출">#REF!</definedName>
    <definedName name="국1" localSheetId="3">#REF!</definedName>
    <definedName name="국1" localSheetId="1">#REF!</definedName>
    <definedName name="국1">#REF!</definedName>
    <definedName name="국10" localSheetId="3">#REF!</definedName>
    <definedName name="국10" localSheetId="1">#REF!</definedName>
    <definedName name="국10">#REF!</definedName>
    <definedName name="국11" localSheetId="3">#REF!</definedName>
    <definedName name="국11" localSheetId="1">#REF!</definedName>
    <definedName name="국11">#REF!</definedName>
    <definedName name="국12" localSheetId="3">#REF!</definedName>
    <definedName name="국12" localSheetId="1">#REF!</definedName>
    <definedName name="국12">#REF!</definedName>
    <definedName name="국2" localSheetId="3">#REF!</definedName>
    <definedName name="국2" localSheetId="1">#REF!</definedName>
    <definedName name="국2">#REF!</definedName>
    <definedName name="국3" localSheetId="3">#REF!</definedName>
    <definedName name="국3" localSheetId="1">#REF!</definedName>
    <definedName name="국3">#REF!</definedName>
    <definedName name="국4" localSheetId="3">#REF!</definedName>
    <definedName name="국4" localSheetId="1">#REF!</definedName>
    <definedName name="국4">#REF!</definedName>
    <definedName name="국5" localSheetId="3">#REF!</definedName>
    <definedName name="국5" localSheetId="1">#REF!</definedName>
    <definedName name="국5">#REF!</definedName>
    <definedName name="국6" localSheetId="3">#REF!</definedName>
    <definedName name="국6" localSheetId="1">#REF!</definedName>
    <definedName name="국6">#REF!</definedName>
    <definedName name="국7" localSheetId="3">#REF!</definedName>
    <definedName name="국7" localSheetId="1">#REF!</definedName>
    <definedName name="국7">#REF!</definedName>
    <definedName name="국8" localSheetId="3">#REF!</definedName>
    <definedName name="국8" localSheetId="1">#REF!</definedName>
    <definedName name="국8">#REF!</definedName>
    <definedName name="국9" localSheetId="3">#REF!</definedName>
    <definedName name="국9" localSheetId="1">#REF!</definedName>
    <definedName name="국9">#REF!</definedName>
    <definedName name="국가" localSheetId="5">#REF!</definedName>
    <definedName name="국가" localSheetId="4">#REF!</definedName>
    <definedName name="국가" localSheetId="3">#REF!</definedName>
    <definedName name="국가" localSheetId="1">#REF!</definedName>
    <definedName name="국가">#REF!</definedName>
    <definedName name="국가명" localSheetId="3">#REF!</definedName>
    <definedName name="국가명" localSheetId="1">#REF!</definedName>
    <definedName name="국가명">#REF!</definedName>
    <definedName name="국내" localSheetId="3">#REF!</definedName>
    <definedName name="국내" localSheetId="1">#REF!</definedName>
    <definedName name="국내">#REF!</definedName>
    <definedName name="국내2" localSheetId="3">#REF!</definedName>
    <definedName name="국내2" localSheetId="1">#REF!</definedName>
    <definedName name="국내2">#REF!</definedName>
    <definedName name="국내abs" localSheetId="3">#REF!</definedName>
    <definedName name="국내abs" localSheetId="1">#REF!</definedName>
    <definedName name="국내abs">#REF!</definedName>
    <definedName name="국내판권합계" localSheetId="3">#REF!</definedName>
    <definedName name="국내판권합계" localSheetId="1">#REF!</definedName>
    <definedName name="국내판권합계">#REF!</definedName>
    <definedName name="국문2" localSheetId="5" hidden="1">{#N/A,#N/A,FALSE,"BS";#N/A,#N/A,FALSE,"PL";#N/A,#N/A,FALSE,"처분";#N/A,#N/A,FALSE,"현금";#N/A,#N/A,FALSE,"매출";#N/A,#N/A,FALSE,"원가";#N/A,#N/A,FALSE,"경영"}</definedName>
    <definedName name="국문2" localSheetId="4" hidden="1">{#N/A,#N/A,FALSE,"BS";#N/A,#N/A,FALSE,"PL";#N/A,#N/A,FALSE,"처분";#N/A,#N/A,FALSE,"현금";#N/A,#N/A,FALSE,"매출";#N/A,#N/A,FALSE,"원가";#N/A,#N/A,FALSE,"경영"}</definedName>
    <definedName name="국문2" localSheetId="3" hidden="1">{#N/A,#N/A,FALSE,"BS";#N/A,#N/A,FALSE,"PL";#N/A,#N/A,FALSE,"처분";#N/A,#N/A,FALSE,"현금";#N/A,#N/A,FALSE,"매출";#N/A,#N/A,FALSE,"원가";#N/A,#N/A,FALSE,"경영"}</definedName>
    <definedName name="국문2" localSheetId="1" hidden="1">{#N/A,#N/A,FALSE,"BS";#N/A,#N/A,FALSE,"PL";#N/A,#N/A,FALSE,"처분";#N/A,#N/A,FALSE,"현금";#N/A,#N/A,FALSE,"매출";#N/A,#N/A,FALSE,"원가";#N/A,#N/A,FALSE,"경영"}</definedName>
    <definedName name="국문2" hidden="1">{#N/A,#N/A,FALSE,"BS";#N/A,#N/A,FALSE,"PL";#N/A,#N/A,FALSE,"처분";#N/A,#N/A,FALSE,"현금";#N/A,#N/A,FALSE,"매출";#N/A,#N/A,FALSE,"원가";#N/A,#N/A,FALSE,"경영"}</definedName>
    <definedName name="국문3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 localSheetId="5">#REF!</definedName>
    <definedName name="국민10월" localSheetId="4">#REF!</definedName>
    <definedName name="국민10월" localSheetId="3">#REF!</definedName>
    <definedName name="국민10월" localSheetId="1">#REF!</definedName>
    <definedName name="국민10월">#REF!</definedName>
    <definedName name="국민11월" localSheetId="3">#REF!</definedName>
    <definedName name="국민11월" localSheetId="1">#REF!</definedName>
    <definedName name="국민11월">#REF!</definedName>
    <definedName name="국민12월" localSheetId="3">#REF!</definedName>
    <definedName name="국민12월" localSheetId="1">#REF!</definedName>
    <definedName name="국민12월">#REF!</definedName>
    <definedName name="국민3월" localSheetId="3">#REF!</definedName>
    <definedName name="국민3월" localSheetId="1">#REF!</definedName>
    <definedName name="국민3월">#REF!</definedName>
    <definedName name="국민4월" localSheetId="3">#REF!</definedName>
    <definedName name="국민4월" localSheetId="1">#REF!</definedName>
    <definedName name="국민4월">#REF!</definedName>
    <definedName name="국민5월" localSheetId="3">#REF!</definedName>
    <definedName name="국민5월" localSheetId="1">#REF!</definedName>
    <definedName name="국민5월">#REF!</definedName>
    <definedName name="국민6월" localSheetId="3">#REF!</definedName>
    <definedName name="국민6월" localSheetId="1">#REF!</definedName>
    <definedName name="국민6월">#REF!</definedName>
    <definedName name="국민7월" localSheetId="3">#REF!</definedName>
    <definedName name="국민7월" localSheetId="1">#REF!</definedName>
    <definedName name="국민7월">#REF!</definedName>
    <definedName name="국민8월" localSheetId="3">#REF!</definedName>
    <definedName name="국민8월" localSheetId="1">#REF!</definedName>
    <definedName name="국민8월">#REF!</definedName>
    <definedName name="국민9월" localSheetId="3">#REF!</definedName>
    <definedName name="국민9월" localSheetId="1">#REF!</definedName>
    <definedName name="국민9월">#REF!</definedName>
    <definedName name="국산화1" localSheetId="3" hidden="1">#REF!</definedName>
    <definedName name="국산화1" localSheetId="1" hidden="1">#REF!</definedName>
    <definedName name="국산화1" hidden="1">#REF!</definedName>
    <definedName name="국제거래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 localSheetId="5">#REF!</definedName>
    <definedName name="군" localSheetId="4">#REF!</definedName>
    <definedName name="군" localSheetId="3">#REF!</definedName>
    <definedName name="군" localSheetId="1">#REF!</definedName>
    <definedName name="군">#REF!</definedName>
    <definedName name="군매출" localSheetId="3">#REF!</definedName>
    <definedName name="군매출" localSheetId="1">#REF!</definedName>
    <definedName name="군매출">#REF!</definedName>
    <definedName name="군바지" localSheetId="3">#REF!</definedName>
    <definedName name="군바지" localSheetId="1">#REF!</definedName>
    <definedName name="군바지">#REF!</definedName>
    <definedName name="군이자" localSheetId="3">#REF!</definedName>
    <definedName name="군이자" localSheetId="1">#REF!</definedName>
    <definedName name="군이자">#REF!</definedName>
    <definedName name="군인원" localSheetId="3">#REF!</definedName>
    <definedName name="군인원" localSheetId="1">#REF!</definedName>
    <definedName name="군인원">#REF!</definedName>
    <definedName name="군포감가" localSheetId="3">#REF!</definedName>
    <definedName name="군포감가" localSheetId="1">#REF!</definedName>
    <definedName name="군포감가">#REF!</definedName>
    <definedName name="군포매출" localSheetId="3">#REF!</definedName>
    <definedName name="군포매출" localSheetId="1">#REF!</definedName>
    <definedName name="군포매출">#REF!</definedName>
    <definedName name="군포배부" localSheetId="3">#REF!</definedName>
    <definedName name="군포배부" localSheetId="1">#REF!</definedName>
    <definedName name="군포배부">#REF!</definedName>
    <definedName name="군포부품이자" localSheetId="3">#REF!</definedName>
    <definedName name="군포부품이자" localSheetId="1">#REF!</definedName>
    <definedName name="군포부품이자">#REF!</definedName>
    <definedName name="군포인원" localSheetId="3">#REF!</definedName>
    <definedName name="군포인원" localSheetId="1">#REF!</definedName>
    <definedName name="군포인원">#REF!</definedName>
    <definedName name="권">#N/A</definedName>
    <definedName name="권종원">#N/A</definedName>
    <definedName name="귀속" localSheetId="5">#REF!</definedName>
    <definedName name="귀속" localSheetId="4">#REF!</definedName>
    <definedName name="귀속" localSheetId="3">#REF!</definedName>
    <definedName name="귀속" localSheetId="1">#REF!</definedName>
    <definedName name="귀속">#REF!</definedName>
    <definedName name="귀속2" localSheetId="3">#REF!</definedName>
    <definedName name="귀속2" localSheetId="1">#REF!</definedName>
    <definedName name="귀속2">#REF!</definedName>
    <definedName name="규남이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 localSheetId="5">#REF!</definedName>
    <definedName name="그것" localSheetId="4">#REF!</definedName>
    <definedName name="그것" localSheetId="3">#REF!</definedName>
    <definedName name="그것" localSheetId="1">#REF!</definedName>
    <definedName name="그것">#REF!</definedName>
    <definedName name="그냥" localSheetId="3">#REF!</definedName>
    <definedName name="그냥" localSheetId="1">#REF!</definedName>
    <definedName name="그냥">#REF!</definedName>
    <definedName name="그대로" localSheetId="3">#REF!</definedName>
    <definedName name="그대로" localSheetId="1">#REF!</definedName>
    <definedName name="그대로">#REF!</definedName>
    <definedName name="그림선이" localSheetId="3">#REF!</definedName>
    <definedName name="그림선이" localSheetId="1">#REF!</definedName>
    <definedName name="그림선이">#REF!</definedName>
    <definedName name="그림참고" localSheetId="3">#REF!</definedName>
    <definedName name="그림참고" localSheetId="1">#REF!</definedName>
    <definedName name="그림참고">#REF!</definedName>
    <definedName name="그사람" localSheetId="5" hidden="1">{#N/A,#N/A,FALSE,"1.CRITERIA";#N/A,#N/A,FALSE,"2.IS";#N/A,#N/A,FALSE,"3.BS";#N/A,#N/A,FALSE,"4.PER PL";#N/A,#N/A,FALSE,"5.INVESTMENT";#N/A,#N/A,FALSE,"6.공문";#N/A,#N/A,FALSE,"7.netinvest"}</definedName>
    <definedName name="그사람" localSheetId="4" hidden="1">{#N/A,#N/A,FALSE,"1.CRITERIA";#N/A,#N/A,FALSE,"2.IS";#N/A,#N/A,FALSE,"3.BS";#N/A,#N/A,FALSE,"4.PER PL";#N/A,#N/A,FALSE,"5.INVESTMENT";#N/A,#N/A,FALSE,"6.공문";#N/A,#N/A,FALSE,"7.netinvest"}</definedName>
    <definedName name="그사람" localSheetId="3" hidden="1">{#N/A,#N/A,FALSE,"1.CRITERIA";#N/A,#N/A,FALSE,"2.IS";#N/A,#N/A,FALSE,"3.BS";#N/A,#N/A,FALSE,"4.PER PL";#N/A,#N/A,FALSE,"5.INVESTMENT";#N/A,#N/A,FALSE,"6.공문";#N/A,#N/A,FALSE,"7.netinvest"}</definedName>
    <definedName name="그사람" localSheetId="1" hidden="1">{#N/A,#N/A,FALSE,"1.CRITERIA";#N/A,#N/A,FALSE,"2.IS";#N/A,#N/A,FALSE,"3.BS";#N/A,#N/A,FALSE,"4.PER PL";#N/A,#N/A,FALSE,"5.INVESTMENT";#N/A,#N/A,FALSE,"6.공문";#N/A,#N/A,FALSE,"7.netinvest"}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 localSheetId="5">#REF!</definedName>
    <definedName name="극본료합계" localSheetId="4">#REF!</definedName>
    <definedName name="극본료합계" localSheetId="3">#REF!</definedName>
    <definedName name="극본료합계" localSheetId="1">#REF!</definedName>
    <definedName name="극본료합계">#REF!</definedName>
    <definedName name="근거2" localSheetId="5" hidden="1">{#N/A,#N/A,FALSE,"단축1";#N/A,#N/A,FALSE,"단축2";#N/A,#N/A,FALSE,"단축3";#N/A,#N/A,FALSE,"장축";#N/A,#N/A,FALSE,"4WD"}</definedName>
    <definedName name="근거2" localSheetId="4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표" localSheetId="5">#REF!</definedName>
    <definedName name="근무표" localSheetId="4">#REF!</definedName>
    <definedName name="근무표" localSheetId="3">#REF!</definedName>
    <definedName name="근무표" localSheetId="1">#REF!</definedName>
    <definedName name="근무표">#REF!</definedName>
    <definedName name="근본" localSheetId="3">#REF!</definedName>
    <definedName name="근본" localSheetId="1">#REF!</definedName>
    <definedName name="근본">#REF!</definedName>
    <definedName name="근태현황_98본사_중원_9월__List" localSheetId="3">#REF!</definedName>
    <definedName name="근태현황_98본사_중원_9월__List" localSheetId="1">#REF!</definedName>
    <definedName name="근태현황_98본사_중원_9월__List">#REF!</definedName>
    <definedName name="금리1" localSheetId="3">#REF!</definedName>
    <definedName name="금리1" localSheetId="1">#REF!</definedName>
    <definedName name="금리1">#REF!</definedName>
    <definedName name="금액">#N/A</definedName>
    <definedName name="금월" localSheetId="5" hidden="1">{#N/A,#N/A,TRUE,"Y생산";#N/A,#N/A,TRUE,"Y판매";#N/A,#N/A,TRUE,"Y총물량";#N/A,#N/A,TRUE,"Y능력";#N/A,#N/A,TRUE,"YKD"}</definedName>
    <definedName name="금월" localSheetId="4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localSheetId="1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월요금1" localSheetId="5">ROUND(사용량1-사용량1*(전월일수-#REF!+1)/전월일수,0)*사용요금11</definedName>
    <definedName name="금월요금1" localSheetId="4">ROUND(사용량1-사용량1*(전월일수-#REF!+1)/전월일수,0)*사용요금11</definedName>
    <definedName name="금월요금1" localSheetId="3">ROUND(Inven_after!사용량1-Inven_after!사용량1*(전월일수-#REF!+1)/전월일수,0)*사용요금11</definedName>
    <definedName name="금월요금1" localSheetId="1">ROUND(PL_after!사용량1-PL_after!사용량1*(전월일수-#REF!+1)/전월일수,0)*사용요금11</definedName>
    <definedName name="금월요금1">ROUND(사용량1-사용량1*(전월일수-#REF!+1)/전월일수,0)*사용요금11</definedName>
    <definedName name="금월요금2" localSheetId="5">ROUND(사용량2-사용량2*(전월일수-#REF!+1)/전월일수,0)*사용요금21</definedName>
    <definedName name="금월요금2" localSheetId="4">ROUND(사용량2-사용량2*(전월일수-#REF!+1)/전월일수,0)*사용요금21</definedName>
    <definedName name="금월요금2" localSheetId="3">ROUND(Inven_after!사용량2-Inven_after!사용량2*(전월일수-#REF!+1)/전월일수,0)*사용요금21</definedName>
    <definedName name="금월요금2" localSheetId="1">ROUND(PL_after!사용량2-PL_after!사용량2*(전월일수-#REF!+1)/전월일수,0)*사용요금21</definedName>
    <definedName name="금월요금2">ROUND(사용량2-사용량2*(전월일수-#REF!+1)/전월일수,0)*사용요금21</definedName>
    <definedName name="금월요금3">#N/A</definedName>
    <definedName name="금융기관" localSheetId="5">#REF!</definedName>
    <definedName name="금융기관" localSheetId="4">#REF!</definedName>
    <definedName name="금융기관" localSheetId="3">#REF!</definedName>
    <definedName name="금융기관" localSheetId="1">#REF!</definedName>
    <definedName name="금융기관">#REF!</definedName>
    <definedName name="금형" localSheetId="5" hidden="1">{#N/A,#N/A,FALSE,"단축1";#N/A,#N/A,FALSE,"단축2";#N/A,#N/A,FALSE,"단축3";#N/A,#N/A,FALSE,"장축";#N/A,#N/A,FALSE,"4WD"}</definedName>
    <definedName name="금형" localSheetId="4" hidden="1">{#N/A,#N/A,FALSE,"단축1";#N/A,#N/A,FALSE,"단축2";#N/A,#N/A,FALSE,"단축3";#N/A,#N/A,FALSE,"장축";#N/A,#N/A,FALSE,"4WD"}</definedName>
    <definedName name="금형" localSheetId="3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5" hidden="1">{#N/A,#N/A,FALSE,"단축1";#N/A,#N/A,FALSE,"단축2";#N/A,#N/A,FALSE,"단축3";#N/A,#N/A,FALSE,"장축";#N/A,#N/A,FALSE,"4WD"}</definedName>
    <definedName name="금형편성표" localSheetId="4" hidden="1">{#N/A,#N/A,FALSE,"단축1";#N/A,#N/A,FALSE,"단축2";#N/A,#N/A,FALSE,"단축3";#N/A,#N/A,FALSE,"장축";#N/A,#N/A,FALSE,"4WD"}</definedName>
    <definedName name="금형편성표" localSheetId="3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 localSheetId="5">#REF!</definedName>
    <definedName name="금호기획" localSheetId="4">#REF!</definedName>
    <definedName name="금호기획" localSheetId="3">#REF!</definedName>
    <definedName name="금호기획" localSheetId="1">#REF!</definedName>
    <definedName name="금호기획">#REF!</definedName>
    <definedName name="금호기획량" localSheetId="5">#REF!</definedName>
    <definedName name="금호기획량" localSheetId="4">#REF!</definedName>
    <definedName name="금호기획량" localSheetId="3">#REF!</definedName>
    <definedName name="금호기획량" localSheetId="1">#REF!</definedName>
    <definedName name="금호기획량">#REF!</definedName>
    <definedName name="금호요척량" localSheetId="5">#REF!</definedName>
    <definedName name="금호요척량" localSheetId="4">#REF!</definedName>
    <definedName name="금호요척량" localSheetId="3">#REF!</definedName>
    <definedName name="금호요척량" localSheetId="1">#REF!</definedName>
    <definedName name="금호요척량">#REF!</definedName>
    <definedName name="금호원불" localSheetId="5">#REF!</definedName>
    <definedName name="금호원불" localSheetId="4">#REF!</definedName>
    <definedName name="금호원불" localSheetId="3">#REF!</definedName>
    <definedName name="금호원불" localSheetId="1">#REF!</definedName>
    <definedName name="금호원불">#REF!</definedName>
    <definedName name="금호정품입고" localSheetId="5">#REF!</definedName>
    <definedName name="금호정품입고" localSheetId="4">#REF!</definedName>
    <definedName name="금호정품입고" localSheetId="3">#REF!</definedName>
    <definedName name="금호정품입고" localSheetId="1">#REF!</definedName>
    <definedName name="금호정품입고">#REF!</definedName>
    <definedName name="금호취불" localSheetId="5">#REF!</definedName>
    <definedName name="금호취불" localSheetId="4">#REF!</definedName>
    <definedName name="금호취불" localSheetId="3">#REF!</definedName>
    <definedName name="금호취불" localSheetId="1">#REF!</definedName>
    <definedName name="금호취불">#REF!</definedName>
    <definedName name="급1" localSheetId="3">#REF!</definedName>
    <definedName name="급1" localSheetId="1">#REF!</definedName>
    <definedName name="급1">#REF!</definedName>
    <definedName name="급10" localSheetId="3">#REF!</definedName>
    <definedName name="급10" localSheetId="1">#REF!</definedName>
    <definedName name="급10">#REF!</definedName>
    <definedName name="급11" localSheetId="3">#REF!</definedName>
    <definedName name="급11" localSheetId="1">#REF!</definedName>
    <definedName name="급11">#REF!</definedName>
    <definedName name="급12" localSheetId="3">#REF!</definedName>
    <definedName name="급12" localSheetId="1">#REF!</definedName>
    <definedName name="급12">#REF!</definedName>
    <definedName name="급2" localSheetId="3">#REF!</definedName>
    <definedName name="급2" localSheetId="1">#REF!</definedName>
    <definedName name="급2">#REF!</definedName>
    <definedName name="급3" localSheetId="3">#REF!</definedName>
    <definedName name="급3" localSheetId="1">#REF!</definedName>
    <definedName name="급3">#REF!</definedName>
    <definedName name="급4" localSheetId="3">#REF!</definedName>
    <definedName name="급4" localSheetId="1">#REF!</definedName>
    <definedName name="급4">#REF!</definedName>
    <definedName name="급5" localSheetId="3">#REF!</definedName>
    <definedName name="급5" localSheetId="1">#REF!</definedName>
    <definedName name="급5">#REF!</definedName>
    <definedName name="급6" localSheetId="3">#REF!</definedName>
    <definedName name="급6" localSheetId="1">#REF!</definedName>
    <definedName name="급6">#REF!</definedName>
    <definedName name="급7" localSheetId="3">#REF!</definedName>
    <definedName name="급7" localSheetId="1">#REF!</definedName>
    <definedName name="급7">#REF!</definedName>
    <definedName name="급8" localSheetId="3">#REF!</definedName>
    <definedName name="급8" localSheetId="1">#REF!</definedName>
    <definedName name="급8">#REF!</definedName>
    <definedName name="급9" localSheetId="3">#REF!</definedName>
    <definedName name="급9" localSheetId="1">#REF!</definedName>
    <definedName name="급9">#REF!</definedName>
    <definedName name="급료.본" localSheetId="3">#REF!</definedName>
    <definedName name="급료.본" localSheetId="1">#REF!</definedName>
    <definedName name="급료.본">#REF!</definedName>
    <definedName name="급여" localSheetId="5" hidden="1">#REF!</definedName>
    <definedName name="급여" localSheetId="4" hidden="1">#REF!</definedName>
    <definedName name="급여" localSheetId="3" hidden="1">#REF!</definedName>
    <definedName name="급여" localSheetId="1" hidden="1">#REF!</definedName>
    <definedName name="급여" hidden="1">#REF!</definedName>
    <definedName name="급여10월" localSheetId="3">#REF!</definedName>
    <definedName name="급여10월" localSheetId="1">#REF!</definedName>
    <definedName name="급여10월">#REF!</definedName>
    <definedName name="급여11월" localSheetId="3">#REF!</definedName>
    <definedName name="급여11월" localSheetId="1">#REF!</definedName>
    <definedName name="급여11월">#REF!</definedName>
    <definedName name="급여12월" localSheetId="3">#REF!</definedName>
    <definedName name="급여12월" localSheetId="1">#REF!</definedName>
    <definedName name="급여12월">#REF!</definedName>
    <definedName name="급여2" localSheetId="3">#REF!</definedName>
    <definedName name="급여2" localSheetId="1">#REF!</definedName>
    <definedName name="급여2">#REF!</definedName>
    <definedName name="급여3월" localSheetId="3">#REF!</definedName>
    <definedName name="급여3월" localSheetId="1">#REF!</definedName>
    <definedName name="급여3월">#REF!</definedName>
    <definedName name="급여4월" localSheetId="3">#REF!</definedName>
    <definedName name="급여4월" localSheetId="1">#REF!</definedName>
    <definedName name="급여4월">#REF!</definedName>
    <definedName name="급여5월" localSheetId="3">#REF!</definedName>
    <definedName name="급여5월" localSheetId="1">#REF!</definedName>
    <definedName name="급여5월">#REF!</definedName>
    <definedName name="급여6월" localSheetId="3">#REF!</definedName>
    <definedName name="급여6월" localSheetId="1">#REF!</definedName>
    <definedName name="급여6월">#REF!</definedName>
    <definedName name="급여7월" localSheetId="3">#REF!</definedName>
    <definedName name="급여7월" localSheetId="1">#REF!</definedName>
    <definedName name="급여7월">#REF!</definedName>
    <definedName name="급여8월" localSheetId="3">#REF!</definedName>
    <definedName name="급여8월" localSheetId="1">#REF!</definedName>
    <definedName name="급여8월">#REF!</definedName>
    <definedName name="급여9월" localSheetId="3">#REF!</definedName>
    <definedName name="급여9월" localSheetId="1">#REF!</definedName>
    <definedName name="급여9월">#REF!</definedName>
    <definedName name="기" localSheetId="5" hidden="1">{#N/A,#N/A,FALSE,"1.CRITERIA";#N/A,#N/A,FALSE,"2.IS";#N/A,#N/A,FALSE,"3.BS";#N/A,#N/A,FALSE,"4.PER PL";#N/A,#N/A,FALSE,"5.INVESTMENT";#N/A,#N/A,FALSE,"6.공문";#N/A,#N/A,FALSE,"7.netinvest"}</definedName>
    <definedName name="기" localSheetId="4" hidden="1">{#N/A,#N/A,FALSE,"1.CRITERIA";#N/A,#N/A,FALSE,"2.IS";#N/A,#N/A,FALSE,"3.BS";#N/A,#N/A,FALSE,"4.PER PL";#N/A,#N/A,FALSE,"5.INVESTMENT";#N/A,#N/A,FALSE,"6.공문";#N/A,#N/A,FALSE,"7.netinvest"}</definedName>
    <definedName name="기" localSheetId="3" hidden="1">{#N/A,#N/A,FALSE,"1.CRITERIA";#N/A,#N/A,FALSE,"2.IS";#N/A,#N/A,FALSE,"3.BS";#N/A,#N/A,FALSE,"4.PER PL";#N/A,#N/A,FALSE,"5.INVESTMENT";#N/A,#N/A,FALSE,"6.공문";#N/A,#N/A,FALSE,"7.netinvest"}</definedName>
    <definedName name="기" localSheetId="1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 localSheetId="5">#REF!</definedName>
    <definedName name="기1" localSheetId="4">#REF!</definedName>
    <definedName name="기1" localSheetId="3">#REF!</definedName>
    <definedName name="기1" localSheetId="1">#REF!</definedName>
    <definedName name="기1">#REF!</definedName>
    <definedName name="기10" localSheetId="3">#REF!</definedName>
    <definedName name="기10" localSheetId="1">#REF!</definedName>
    <definedName name="기10">#REF!</definedName>
    <definedName name="기11" localSheetId="3">#REF!</definedName>
    <definedName name="기11" localSheetId="1">#REF!</definedName>
    <definedName name="기11">#REF!</definedName>
    <definedName name="기12" localSheetId="3">#REF!</definedName>
    <definedName name="기12" localSheetId="1">#REF!</definedName>
    <definedName name="기12">#REF!</definedName>
    <definedName name="기2" localSheetId="3">#REF!</definedName>
    <definedName name="기2" localSheetId="1">#REF!</definedName>
    <definedName name="기2">#REF!</definedName>
    <definedName name="기3" localSheetId="3">#REF!</definedName>
    <definedName name="기3" localSheetId="1">#REF!</definedName>
    <definedName name="기3">#REF!</definedName>
    <definedName name="기4" localSheetId="3">#REF!</definedName>
    <definedName name="기4" localSheetId="1">#REF!</definedName>
    <definedName name="기4">#REF!</definedName>
    <definedName name="기5" localSheetId="3">#REF!</definedName>
    <definedName name="기5" localSheetId="1">#REF!</definedName>
    <definedName name="기5">#REF!</definedName>
    <definedName name="기6" localSheetId="3">#REF!</definedName>
    <definedName name="기6" localSheetId="1">#REF!</definedName>
    <definedName name="기6">#REF!</definedName>
    <definedName name="기7" localSheetId="3">#REF!</definedName>
    <definedName name="기7" localSheetId="1">#REF!</definedName>
    <definedName name="기7">#REF!</definedName>
    <definedName name="기8" localSheetId="3">#REF!</definedName>
    <definedName name="기8" localSheetId="1">#REF!</definedName>
    <definedName name="기8">#REF!</definedName>
    <definedName name="기9" localSheetId="3">#REF!</definedName>
    <definedName name="기9" localSheetId="1">#REF!</definedName>
    <definedName name="기9">#REF!</definedName>
    <definedName name="기간" localSheetId="3">OFFSET(#REF!,0,0,COUNTA(#REF!)-1)</definedName>
    <definedName name="기간" localSheetId="1">OFFSET(#REF!,0,0,COUNTA(#REF!)-1)</definedName>
    <definedName name="기간">OFFSET(#REF!,0,0,COUNTA(#REF!)-1)</definedName>
    <definedName name="기계" localSheetId="5" hidden="1">#REF!</definedName>
    <definedName name="기계" localSheetId="4" hidden="1">#REF!</definedName>
    <definedName name="기계" localSheetId="3" hidden="1">#REF!</definedName>
    <definedName name="기계" localSheetId="1" hidden="1">#REF!</definedName>
    <definedName name="기계" hidden="1">#REF!</definedName>
    <definedName name="기계업무3" localSheetId="5">#REF!</definedName>
    <definedName name="기계업무3" localSheetId="4">#REF!</definedName>
    <definedName name="기계업무3" localSheetId="3">#REF!</definedName>
    <definedName name="기계업무3" localSheetId="1">#REF!</definedName>
    <definedName name="기계업무3">#REF!</definedName>
    <definedName name="기계장치" hidden="1">#N/A</definedName>
    <definedName name="기계장치2" localSheetId="5">#REF!</definedName>
    <definedName name="기계장치2" localSheetId="4">#REF!</definedName>
    <definedName name="기계장치2" localSheetId="3">#REF!</definedName>
    <definedName name="기계장치2" localSheetId="1">#REF!</definedName>
    <definedName name="기계장치2">#REF!</definedName>
    <definedName name="기구조직" localSheetId="3">#REF!</definedName>
    <definedName name="기구조직" localSheetId="1">#REF!</definedName>
    <definedName name="기구조직">#REF!</definedName>
    <definedName name="기구조직도" localSheetId="3">#REF!</definedName>
    <definedName name="기구조직도" localSheetId="1">#REF!</definedName>
    <definedName name="기구조직도">#REF!</definedName>
    <definedName name="기남이가보냄" localSheetId="3">#REF!</definedName>
    <definedName name="기남이가보냄" localSheetId="1">#REF!</definedName>
    <definedName name="기남이가보냄">#REF!</definedName>
    <definedName name="기말" localSheetId="5">#REF!</definedName>
    <definedName name="기말" localSheetId="4">#REF!</definedName>
    <definedName name="기말" localSheetId="3">#REF!</definedName>
    <definedName name="기말" localSheetId="1">#REF!</definedName>
    <definedName name="기말">#REF!</definedName>
    <definedName name="기본요금1" localSheetId="5">VLOOKUP(#REF!,Cash_after!요금,2)</definedName>
    <definedName name="기본요금1" localSheetId="4">VLOOKUP(#REF!,Cash_before!요금,2)</definedName>
    <definedName name="기본요금1" localSheetId="3">VLOOKUP(#REF!,Inven_after!요금,2)</definedName>
    <definedName name="기본요금1" localSheetId="1">VLOOKUP(#REF!,PL_after!요금,2)</definedName>
    <definedName name="기본요금1">VLOOKUP(#REF!,요금,2)</definedName>
    <definedName name="기본요금2" localSheetId="5">VLOOKUP(#REF!,Cash_after!요금,2)</definedName>
    <definedName name="기본요금2" localSheetId="4">VLOOKUP(#REF!,Cash_before!요금,2)</definedName>
    <definedName name="기본요금2" localSheetId="3">VLOOKUP(#REF!,Inven_after!요금,2)</definedName>
    <definedName name="기본요금2" localSheetId="1">VLOOKUP(#REF!,PL_after!요금,2)</definedName>
    <definedName name="기본요금2">VLOOKUP(#REF!,요금,2)</definedName>
    <definedName name="기본운영계획1" localSheetId="5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4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3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1" hidden="1">{#N/A,#N/A,FALSE,"채산3501.XLS";#N/A,#N/A,FALSE,"신조수A.XLS";#N/A,#N/A,FALSE,"신조수b.XLS";#N/A,#N/A,FALSE,"채산3502.XLS";#N/A,#N/A,FALSE,"신조원리.XLS";#N/A,#N/A,FALSE,"신조감가.XLS"}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 localSheetId="5">#REF!</definedName>
    <definedName name="기부금" localSheetId="4">#REF!</definedName>
    <definedName name="기부금" localSheetId="3">#REF!</definedName>
    <definedName name="기부금" localSheetId="1">#REF!</definedName>
    <definedName name="기부금">#REF!</definedName>
    <definedName name="기술개발" localSheetId="3">#REF!</definedName>
    <definedName name="기술개발" localSheetId="1">#REF!</definedName>
    <definedName name="기술개발">#REF!</definedName>
    <definedName name="기술관리부" localSheetId="5" hidden="1">{"'호선별현황(방식)'!$K$22:$P$22","'호선별현황(방식)'!$K$22:$P$22"}</definedName>
    <definedName name="기술관리부" localSheetId="4" hidden="1">{"'호선별현황(방식)'!$K$22:$P$22","'호선별현황(방식)'!$K$22:$P$22"}</definedName>
    <definedName name="기술관리부" localSheetId="3" hidden="1">{"'호선별현황(방식)'!$K$22:$P$22","'호선별현황(방식)'!$K$22:$P$22"}</definedName>
    <definedName name="기술관리부" localSheetId="1" hidden="1">{"'호선별현황(방식)'!$K$22:$P$22","'호선별현황(방식)'!$K$22:$P$22"}</definedName>
    <definedName name="기술관리부" hidden="1">{"'호선별현황(방식)'!$K$22:$P$22","'호선별현황(방식)'!$K$22:$P$22"}</definedName>
    <definedName name="기아" localSheetId="5" hidden="1">{#N/A,#N/A,FALSE,"1.CRITERIA";#N/A,#N/A,FALSE,"2.IS";#N/A,#N/A,FALSE,"3.BS";#N/A,#N/A,FALSE,"4.PER PL";#N/A,#N/A,FALSE,"5.INVESTMENT";#N/A,#N/A,FALSE,"6.공문";#N/A,#N/A,FALSE,"7.netinvest"}</definedName>
    <definedName name="기아" localSheetId="4" hidden="1">{#N/A,#N/A,FALSE,"1.CRITERIA";#N/A,#N/A,FALSE,"2.IS";#N/A,#N/A,FALSE,"3.BS";#N/A,#N/A,FALSE,"4.PER PL";#N/A,#N/A,FALSE,"5.INVESTMENT";#N/A,#N/A,FALSE,"6.공문";#N/A,#N/A,FALSE,"7.netinvest"}</definedName>
    <definedName name="기아" localSheetId="3" hidden="1">{#N/A,#N/A,FALSE,"1.CRITERIA";#N/A,#N/A,FALSE,"2.IS";#N/A,#N/A,FALSE,"3.BS";#N/A,#N/A,FALSE,"4.PER PL";#N/A,#N/A,FALSE,"5.INVESTMENT";#N/A,#N/A,FALSE,"6.공문";#N/A,#N/A,FALSE,"7.netinvest"}</definedName>
    <definedName name="기아" localSheetId="1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5" hidden="1">{#N/A,#N/A,FALSE,"1.CRITERIA";#N/A,#N/A,FALSE,"2.IS";#N/A,#N/A,FALSE,"3.BS";#N/A,#N/A,FALSE,"4.PER PL";#N/A,#N/A,FALSE,"5.INVESTMENT";#N/A,#N/A,FALSE,"6.공문";#N/A,#N/A,FALSE,"7.netinvest"}</definedName>
    <definedName name="기아차" localSheetId="4" hidden="1">{#N/A,#N/A,FALSE,"1.CRITERIA";#N/A,#N/A,FALSE,"2.IS";#N/A,#N/A,FALSE,"3.BS";#N/A,#N/A,FALSE,"4.PER PL";#N/A,#N/A,FALSE,"5.INVESTMENT";#N/A,#N/A,FALSE,"6.공문";#N/A,#N/A,FALSE,"7.netinvest"}</definedName>
    <definedName name="기아차" localSheetId="3" hidden="1">{#N/A,#N/A,FALSE,"1.CRITERIA";#N/A,#N/A,FALSE,"2.IS";#N/A,#N/A,FALSE,"3.BS";#N/A,#N/A,FALSE,"4.PER PL";#N/A,#N/A,FALSE,"5.INVESTMENT";#N/A,#N/A,FALSE,"6.공문";#N/A,#N/A,FALSE,"7.netinvest"}</definedName>
    <definedName name="기아차" localSheetId="1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localSheetId="5">#REF!</definedName>
    <definedName name="기안" localSheetId="4">#REF!</definedName>
    <definedName name="기안" localSheetId="3">#REF!</definedName>
    <definedName name="기안" localSheetId="1">#REF!</definedName>
    <definedName name="기안">#REF!</definedName>
    <definedName name="기안1" localSheetId="5">#REF!</definedName>
    <definedName name="기안1" localSheetId="4">#REF!</definedName>
    <definedName name="기안1" localSheetId="3">#REF!</definedName>
    <definedName name="기안1" localSheetId="1">#REF!</definedName>
    <definedName name="기안1">#REF!</definedName>
    <definedName name="기안2" localSheetId="3">#REF!</definedName>
    <definedName name="기안2" localSheetId="1">#REF!</definedName>
    <definedName name="기안2">#REF!</definedName>
    <definedName name="기안3" localSheetId="3">#REF!</definedName>
    <definedName name="기안3" localSheetId="1">#REF!</definedName>
    <definedName name="기안3">#REF!</definedName>
    <definedName name="기안갑" localSheetId="3">#REF!</definedName>
    <definedName name="기안갑" localSheetId="1">#REF!</definedName>
    <definedName name="기안갑">#REF!</definedName>
    <definedName name="기안갑1">#N/A</definedName>
    <definedName name="기안용지" localSheetId="5">#REF!</definedName>
    <definedName name="기안용지" localSheetId="4">#REF!</definedName>
    <definedName name="기안용지" localSheetId="3">#REF!</definedName>
    <definedName name="기안용지" localSheetId="1">#REF!</definedName>
    <definedName name="기안용지">#REF!</definedName>
    <definedName name="기안용지2" localSheetId="3">#REF!</definedName>
    <definedName name="기안용지2" localSheetId="1">#REF!</definedName>
    <definedName name="기안용지2">#REF!</definedName>
    <definedName name="기안을" localSheetId="3">#REF!</definedName>
    <definedName name="기안을" localSheetId="1">#REF!</definedName>
    <definedName name="기안을">#REF!</definedName>
    <definedName name="기안을1">#N/A</definedName>
    <definedName name="기어2" localSheetId="5" hidden="1">{#N/A,#N/A,FALSE,"단축1";#N/A,#N/A,FALSE,"단축2";#N/A,#N/A,FALSE,"단축3";#N/A,#N/A,FALSE,"장축";#N/A,#N/A,FALSE,"4WD"}</definedName>
    <definedName name="기어2" localSheetId="4" hidden="1">{#N/A,#N/A,FALSE,"단축1";#N/A,#N/A,FALSE,"단축2";#N/A,#N/A,FALSE,"단축3";#N/A,#N/A,FALSE,"장축";#N/A,#N/A,FALSE,"4WD"}</definedName>
    <definedName name="기어2" localSheetId="3" hidden="1">{#N/A,#N/A,FALSE,"단축1";#N/A,#N/A,FALSE,"단축2";#N/A,#N/A,FALSE,"단축3";#N/A,#N/A,FALSE,"장축";#N/A,#N/A,FALSE,"4WD"}</definedName>
    <definedName name="기어2" localSheetId="1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업자유_5103" localSheetId="5">#REF!</definedName>
    <definedName name="기업자유_5103" localSheetId="4">#REF!</definedName>
    <definedName name="기업자유_5103" localSheetId="3">#REF!</definedName>
    <definedName name="기업자유_5103" localSheetId="1">#REF!</definedName>
    <definedName name="기업자유_5103">#REF!</definedName>
    <definedName name="기존_대출" localSheetId="3">#REF!</definedName>
    <definedName name="기존_대출" localSheetId="1">#REF!</definedName>
    <definedName name="기존_대출">#REF!</definedName>
    <definedName name="기존_보증금" localSheetId="3">#REF!</definedName>
    <definedName name="기존_보증금" localSheetId="1">#REF!</definedName>
    <definedName name="기존_보증금">#REF!</definedName>
    <definedName name="기준" localSheetId="5">#REF!</definedName>
    <definedName name="기준" localSheetId="4">#REF!</definedName>
    <definedName name="기준" localSheetId="3">#REF!</definedName>
    <definedName name="기준" localSheetId="1">#REF!</definedName>
    <definedName name="기준">#REF!</definedName>
    <definedName name="기준보증금률" localSheetId="5">#REF!</definedName>
    <definedName name="기준보증금률" localSheetId="4">#REF!</definedName>
    <definedName name="기준보증금률" localSheetId="3">#REF!</definedName>
    <definedName name="기준보증금률" localSheetId="1">#REF!</definedName>
    <definedName name="기준보증금률">#REF!</definedName>
    <definedName name="기준분석" localSheetId="5" hidden="1">{"'호선별현황(방식)'!$K$22:$P$22","'호선별현황(방식)'!$K$22:$P$22"}</definedName>
    <definedName name="기준분석" localSheetId="4" hidden="1">{"'호선별현황(방식)'!$K$22:$P$22","'호선별현황(방식)'!$K$22:$P$22"}</definedName>
    <definedName name="기준분석" localSheetId="3" hidden="1">{"'호선별현황(방식)'!$K$22:$P$22","'호선별현황(방식)'!$K$22:$P$22"}</definedName>
    <definedName name="기준분석" localSheetId="1" hidden="1">{"'호선별현황(방식)'!$K$22:$P$22","'호선별현황(방식)'!$K$22:$P$22"}</definedName>
    <definedName name="기준분석" hidden="1">{"'호선별현황(방식)'!$K$22:$P$22","'호선별현황(방식)'!$K$22:$P$22"}</definedName>
    <definedName name="기준표" localSheetId="5">#REF!</definedName>
    <definedName name="기준표" localSheetId="4">#REF!</definedName>
    <definedName name="기준표" localSheetId="3">#REF!</definedName>
    <definedName name="기준표" localSheetId="1">#REF!</definedName>
    <definedName name="기준표">#REF!</definedName>
    <definedName name="기타10월" localSheetId="3">#REF!</definedName>
    <definedName name="기타10월" localSheetId="1">#REF!</definedName>
    <definedName name="기타10월">#REF!</definedName>
    <definedName name="기타11월" localSheetId="3">#REF!</definedName>
    <definedName name="기타11월" localSheetId="1">#REF!</definedName>
    <definedName name="기타11월">#REF!</definedName>
    <definedName name="기타12월" localSheetId="3">#REF!</definedName>
    <definedName name="기타12월" localSheetId="1">#REF!</definedName>
    <definedName name="기타12월">#REF!</definedName>
    <definedName name="기타3월" localSheetId="3">#REF!</definedName>
    <definedName name="기타3월" localSheetId="1">#REF!</definedName>
    <definedName name="기타3월">#REF!</definedName>
    <definedName name="기타4월" localSheetId="3">#REF!</definedName>
    <definedName name="기타4월" localSheetId="1">#REF!</definedName>
    <definedName name="기타4월">#REF!</definedName>
    <definedName name="기타5월" localSheetId="3">#REF!</definedName>
    <definedName name="기타5월" localSheetId="1">#REF!</definedName>
    <definedName name="기타5월">#REF!</definedName>
    <definedName name="기타6월" localSheetId="3">#REF!</definedName>
    <definedName name="기타6월" localSheetId="1">#REF!</definedName>
    <definedName name="기타6월">#REF!</definedName>
    <definedName name="기타7월" localSheetId="3">#REF!</definedName>
    <definedName name="기타7월" localSheetId="1">#REF!</definedName>
    <definedName name="기타7월">#REF!</definedName>
    <definedName name="기타8월" localSheetId="3">#REF!</definedName>
    <definedName name="기타8월" localSheetId="1">#REF!</definedName>
    <definedName name="기타8월">#REF!</definedName>
    <definedName name="기타9월" localSheetId="3">#REF!</definedName>
    <definedName name="기타9월" localSheetId="1">#REF!</definedName>
    <definedName name="기타9월">#REF!</definedName>
    <definedName name="기타부채" localSheetId="3">#REF!</definedName>
    <definedName name="기타부채" localSheetId="1">#REF!</definedName>
    <definedName name="기타부채">#REF!</definedName>
    <definedName name="기타합계" localSheetId="3">#REF!</definedName>
    <definedName name="기타합계" localSheetId="1">#REF!</definedName>
    <definedName name="기타합계">#REF!</definedName>
    <definedName name="기표현황" localSheetId="5">#REF!</definedName>
    <definedName name="기표현황" localSheetId="4">#REF!</definedName>
    <definedName name="기표현황" localSheetId="3">#REF!</definedName>
    <definedName name="기표현황" localSheetId="1">#REF!</definedName>
    <definedName name="기표현황">#REF!</definedName>
    <definedName name="기획1" localSheetId="3">#REF!</definedName>
    <definedName name="기획1" localSheetId="1">#REF!</definedName>
    <definedName name="기획1">#REF!</definedName>
    <definedName name="기획2" localSheetId="3">#REF!</definedName>
    <definedName name="기획2" localSheetId="1">#REF!</definedName>
    <definedName name="기획2">#REF!</definedName>
    <definedName name="기획량" localSheetId="5">#REF!,#REF!,#REF!,#REF!,#REF!,#REF!,#REF!,#REF!,#REF!,#REF!,#REF!,#REF!,#REF!,#REF!,#REF!</definedName>
    <definedName name="기획량" localSheetId="4">#REF!,#REF!,#REF!,#REF!,#REF!,#REF!,#REF!,#REF!,#REF!,#REF!,#REF!,#REF!,#REF!,#REF!,#REF!</definedName>
    <definedName name="기획량" localSheetId="3">#REF!,#REF!,#REF!,#REF!,#REF!,#REF!,#REF!,#REF!,#REF!,#REF!,#REF!,#REF!,#REF!,#REF!,#REF!</definedName>
    <definedName name="기획량" localSheetId="1">#REF!,#REF!,#REF!,#REF!,#REF!,#REF!,#REF!,#REF!,#REF!,#REF!,#REF!,#REF!,#REF!,#REF!,#REF!</definedName>
    <definedName name="기획량">#REF!,#REF!,#REF!,#REF!,#REF!,#REF!,#REF!,#REF!,#REF!,#REF!,#REF!,#REF!,#REF!,#REF!,#REF!</definedName>
    <definedName name="기획료합계" localSheetId="5">#REF!</definedName>
    <definedName name="기획료합계" localSheetId="4">#REF!</definedName>
    <definedName name="기획료합계" localSheetId="3">#REF!</definedName>
    <definedName name="기획료합계" localSheetId="1">#REF!</definedName>
    <definedName name="기획료합계">#REF!</definedName>
    <definedName name="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5" hidden="1">{#N/A,#N/A,FALSE,"Aging Summary";#N/A,#N/A,FALSE,"Ratio Analysis";#N/A,#N/A,FALSE,"Test 120 Day Accts";#N/A,#N/A,FALSE,"Tickmarks"}</definedName>
    <definedName name="김" localSheetId="4" hidden="1">{#N/A,#N/A,FALSE,"Aging Summary";#N/A,#N/A,FALSE,"Ratio Analysis";#N/A,#N/A,FALSE,"Test 120 Day Accts";#N/A,#N/A,FALSE,"Tickmarks"}</definedName>
    <definedName name="김" localSheetId="3" hidden="1">{#N/A,#N/A,FALSE,"Aging Summary";#N/A,#N/A,FALSE,"Ratio Analysis";#N/A,#N/A,FALSE,"Test 120 Day Accts";#N/A,#N/A,FALSE,"Tickmarks"}</definedName>
    <definedName name="김" localSheetId="1" hidden="1">{#N/A,#N/A,FALSE,"Aging Summary";#N/A,#N/A,FALSE,"Ratio Analysis";#N/A,#N/A,FALSE,"Test 120 Day Accts";#N/A,#N/A,FALSE,"Tickmarks"}</definedName>
    <definedName name="김" hidden="1">{#N/A,#N/A,FALSE,"Aging Summary";#N/A,#N/A,FALSE,"Ratio Analysis";#N/A,#N/A,FALSE,"Test 120 Day Accts";#N/A,#N/A,FALSE,"Tickmarks"}</definedName>
    <definedName name="김두만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 localSheetId="5">#REF!</definedName>
    <definedName name="끝" localSheetId="4">#REF!</definedName>
    <definedName name="끝" localSheetId="3">#REF!</definedName>
    <definedName name="끝" localSheetId="1">#REF!</definedName>
    <definedName name="끝">#REF!</definedName>
    <definedName name="ㄳㄱ" localSheetId="5" hidden="1">{#N/A,#N/A,FALSE,"Aging Summary";#N/A,#N/A,FALSE,"Ratio Analysis";#N/A,#N/A,FALSE,"Test 120 Day Accts";#N/A,#N/A,FALSE,"Tickmarks"}</definedName>
    <definedName name="ㄳㄱ" localSheetId="4" hidden="1">{#N/A,#N/A,FALSE,"Aging Summary";#N/A,#N/A,FALSE,"Ratio Analysis";#N/A,#N/A,FALSE,"Test 120 Day Accts";#N/A,#N/A,FALSE,"Tickmarks"}</definedName>
    <definedName name="ㄳㄱ" localSheetId="3" hidden="1">{#N/A,#N/A,FALSE,"Aging Summary";#N/A,#N/A,FALSE,"Ratio Analysis";#N/A,#N/A,FALSE,"Test 120 Day Accts";#N/A,#N/A,FALSE,"Tickmarks"}</definedName>
    <definedName name="ㄳㄱ" localSheetId="1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ㄴ" localSheetId="5">#REF!</definedName>
    <definedName name="ㄴ" localSheetId="4">#REF!</definedName>
    <definedName name="ㄴ" localSheetId="3">#REF!</definedName>
    <definedName name="ㄴ" localSheetId="1">#REF!</definedName>
    <definedName name="ㄴ">#REF!</definedName>
    <definedName name="ㄴ2" localSheetId="5">#REF!</definedName>
    <definedName name="ㄴ2" localSheetId="4">#REF!</definedName>
    <definedName name="ㄴ2" localSheetId="3">#REF!</definedName>
    <definedName name="ㄴ2" localSheetId="1">#REF!</definedName>
    <definedName name="ㄴ2">#REF!</definedName>
    <definedName name="ㄴㄴ" localSheetId="3">#REF!</definedName>
    <definedName name="ㄴㄴ" localSheetId="1">#REF!</definedName>
    <definedName name="ㄴㄴ">#REF!</definedName>
    <definedName name="ㄴㄴㄴ" localSheetId="3">#REF!</definedName>
    <definedName name="ㄴㄴㄴ" localSheetId="1">#REF!</definedName>
    <definedName name="ㄴㄴㄴ">#REF!</definedName>
    <definedName name="ㄴㄴㄴ_1" localSheetId="5" hidden="1">{#N/A,#N/A,TRUE,"대 차 대 조 표"}</definedName>
    <definedName name="ㄴㄴㄴ_1" localSheetId="4" hidden="1">{#N/A,#N/A,TRUE,"대 차 대 조 표"}</definedName>
    <definedName name="ㄴㄴㄴ_1" localSheetId="3" hidden="1">{#N/A,#N/A,TRUE,"대 차 대 조 표"}</definedName>
    <definedName name="ㄴㄴㄴ_1" localSheetId="1" hidden="1">{#N/A,#N/A,TRUE,"대 차 대 조 표"}</definedName>
    <definedName name="ㄴㄴㄴ_1" hidden="1">{#N/A,#N/A,TRUE,"대 차 대 조 표"}</definedName>
    <definedName name="ㄴㄴㄴㄴ" localSheetId="5" hidden="1">{#N/A,#N/A,FALSE,"단축1";#N/A,#N/A,FALSE,"단축2";#N/A,#N/A,FALSE,"단축3";#N/A,#N/A,FALSE,"장축";#N/A,#N/A,FALSE,"4WD"}</definedName>
    <definedName name="ㄴㄴㄴㄴ" localSheetId="4" hidden="1">{#N/A,#N/A,FALSE,"단축1";#N/A,#N/A,FALSE,"단축2";#N/A,#N/A,FALSE,"단축3";#N/A,#N/A,FALSE,"장축";#N/A,#N/A,FALSE,"4WD"}</definedName>
    <definedName name="ㄴㄴㄴㄴ" localSheetId="3" hidden="1">{#N/A,#N/A,FALSE,"단축1";#N/A,#N/A,FALSE,"단축2";#N/A,#N/A,FALSE,"단축3";#N/A,#N/A,FALSE,"장축";#N/A,#N/A,FALSE,"4WD"}</definedName>
    <definedName name="ㄴㄴㄴㄴ" localSheetId="1" hidden="1">{#N/A,#N/A,FALSE,"단축1";#N/A,#N/A,FALSE,"단축2";#N/A,#N/A,FALSE,"단축3";#N/A,#N/A,FALSE,"장축";#N/A,#N/A,FALSE,"4WD"}</definedName>
    <definedName name="ㄴㄴㄴㄴ" hidden="1">{#N/A,#N/A,FALSE,"단축1";#N/A,#N/A,FALSE,"단축2";#N/A,#N/A,FALSE,"단축3";#N/A,#N/A,FALSE,"장축";#N/A,#N/A,FALSE,"4WD"}</definedName>
    <definedName name="ㄴㄹ" localSheetId="5">ROUND(사용량2*(ㅂㅈ-#REF!+1)/ㅂㅈ,0)*사용</definedName>
    <definedName name="ㄴㄹ" localSheetId="4">ROUND(사용량2*(ㅂㅈ-#REF!+1)/ㅂㅈ,0)*사용</definedName>
    <definedName name="ㄴㄹ" localSheetId="3">ROUND(Inven_after!사용량2*(ㅂㅈ-#REF!+1)/ㅂㅈ,0)*사용</definedName>
    <definedName name="ㄴㄹ" localSheetId="1">ROUND(PL_after!사용량2*(ㅂㅈ-#REF!+1)/ㅂㅈ,0)*사용</definedName>
    <definedName name="ㄴㄹ">ROUND(사용량2*(ㅂㅈ-#REF!+1)/ㅂㅈ,0)*사용</definedName>
    <definedName name="ㄴㄹㅇ" localSheetId="5" hidden="1">{#N/A,#N/A,FALSE,"Aging Summary";#N/A,#N/A,FALSE,"Ratio Analysis";#N/A,#N/A,FALSE,"Test 120 Day Accts";#N/A,#N/A,FALSE,"Tickmarks"}</definedName>
    <definedName name="ㄴㄹㅇ" localSheetId="4" hidden="1">{#N/A,#N/A,FALSE,"Aging Summary";#N/A,#N/A,FALSE,"Ratio Analysis";#N/A,#N/A,FALSE,"Test 120 Day Accts";#N/A,#N/A,FALSE,"Tickmarks"}</definedName>
    <definedName name="ㄴㄹㅇ" localSheetId="3" hidden="1">{#N/A,#N/A,FALSE,"Aging Summary";#N/A,#N/A,FALSE,"Ratio Analysis";#N/A,#N/A,FALSE,"Test 120 Day Accts";#N/A,#N/A,FALSE,"Tickmarks"}</definedName>
    <definedName name="ㄴㄹㅇ" localSheetId="1" hidden="1">{#N/A,#N/A,FALSE,"Aging Summary";#N/A,#N/A,FALSE,"Ratio Analysis";#N/A,#N/A,FALSE,"Test 120 Day Accts";#N/A,#N/A,FALSE,"Tickmarks"}</definedName>
    <definedName name="ㄴㄹㅇ" hidden="1">{#N/A,#N/A,FALSE,"Aging Summary";#N/A,#N/A,FALSE,"Ratio Analysis";#N/A,#N/A,FALSE,"Test 120 Day Accts";#N/A,#N/A,FALSE,"Tickmarks"}</definedName>
    <definedName name="ㄴㄹㅇㄹㅇㄴ" localSheetId="5" hidden="1">{#N/A,#N/A,FALSE,"Aging Summary";#N/A,#N/A,FALSE,"Ratio Analysis";#N/A,#N/A,FALSE,"Test 120 Day Accts";#N/A,#N/A,FALSE,"Tickmarks"}</definedName>
    <definedName name="ㄴㄹㅇㄹㅇㄴ" localSheetId="4" hidden="1">{#N/A,#N/A,FALSE,"Aging Summary";#N/A,#N/A,FALSE,"Ratio Analysis";#N/A,#N/A,FALSE,"Test 120 Day Accts";#N/A,#N/A,FALSE,"Tickmarks"}</definedName>
    <definedName name="ㄴㄹㅇㄹㅇㄴ" localSheetId="3" hidden="1">{#N/A,#N/A,FALSE,"Aging Summary";#N/A,#N/A,FALSE,"Ratio Analysis";#N/A,#N/A,FALSE,"Test 120 Day Accts";#N/A,#N/A,FALSE,"Tickmarks"}</definedName>
    <definedName name="ㄴㄹㅇㄹㅇㄴ" localSheetId="1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 localSheetId="5">#REF!</definedName>
    <definedName name="ㄴㅁㄴ" localSheetId="4">#REF!</definedName>
    <definedName name="ㄴㅁㄴ" localSheetId="3">#REF!</definedName>
    <definedName name="ㄴㅁㄴ" localSheetId="1">#REF!</definedName>
    <definedName name="ㄴㅁㄴ">#REF!</definedName>
    <definedName name="ㄴㅁㅁㄴ" localSheetId="5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4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3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1" hidden="1">{#N/A,#N/A,FALSE,"표지";#N/A,#N/A,FALSE,"전제";#N/A,#N/A,FALSE,"손익-자 (2)";#N/A,#N/A,FALSE,"손익-자";#N/A,#N/A,FALSE,"손익-마 (2)";#N/A,#N/A,FALSE,"손익-마";#N/A,#N/A,FALSE,"총손최종"}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5" hidden="1">{#N/A,#N/A,TRUE,"Y생산";#N/A,#N/A,TRUE,"Y판매";#N/A,#N/A,TRUE,"Y총물량";#N/A,#N/A,TRUE,"Y능력";#N/A,#N/A,TRUE,"YKD"}</definedName>
    <definedName name="ㄴㅇ" localSheetId="4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_1" localSheetId="5" hidden="1">{#N/A,#N/A,TRUE,"Y생산";#N/A,#N/A,TRUE,"Y판매";#N/A,#N/A,TRUE,"Y총물량";#N/A,#N/A,TRUE,"Y능력";#N/A,#N/A,TRUE,"YKD"}</definedName>
    <definedName name="ㄴㅇ_1" localSheetId="4" hidden="1">{#N/A,#N/A,TRUE,"Y생산";#N/A,#N/A,TRUE,"Y판매";#N/A,#N/A,TRUE,"Y총물량";#N/A,#N/A,TRUE,"Y능력";#N/A,#N/A,TRUE,"YKD"}</definedName>
    <definedName name="ㄴㅇ_1" localSheetId="3" hidden="1">{#N/A,#N/A,TRUE,"Y생산";#N/A,#N/A,TRUE,"Y판매";#N/A,#N/A,TRUE,"Y총물량";#N/A,#N/A,TRUE,"Y능력";#N/A,#N/A,TRUE,"YKD"}</definedName>
    <definedName name="ㄴㅇ_1" localSheetId="1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 localSheetId="5">#REF!</definedName>
    <definedName name="ㄴㅇㄴ" localSheetId="4">#REF!</definedName>
    <definedName name="ㄴㅇㄴ" localSheetId="3">#REF!</definedName>
    <definedName name="ㄴㅇㄴ" localSheetId="1">#REF!</definedName>
    <definedName name="ㄴㅇㄴ">#REF!</definedName>
    <definedName name="ㄴㅇㄴㅇ" localSheetId="5">#REF!</definedName>
    <definedName name="ㄴㅇㄴㅇ" localSheetId="4">#REF!</definedName>
    <definedName name="ㄴㅇㄴㅇ" localSheetId="3">#REF!</definedName>
    <definedName name="ㄴㅇㄴㅇ" localSheetId="1">#REF!</definedName>
    <definedName name="ㄴㅇㄴㅇ">#REF!</definedName>
    <definedName name="ㄴㅇㄴㅇㄴ" localSheetId="5">#REF!</definedName>
    <definedName name="ㄴㅇㄴㅇㄴ" localSheetId="4">#REF!</definedName>
    <definedName name="ㄴㅇㄴㅇㄴ" localSheetId="3">#REF!</definedName>
    <definedName name="ㄴㅇㄴㅇㄴ" localSheetId="1">#REF!</definedName>
    <definedName name="ㄴㅇㄴㅇㄴ">#REF!</definedName>
    <definedName name="ㄴㅇㄴㅇㄴㅇㄴ" localSheetId="5">#REF!</definedName>
    <definedName name="ㄴㅇㄴㅇㄴㅇㄴ" localSheetId="4">#REF!</definedName>
    <definedName name="ㄴㅇㄴㅇㄴㅇㄴ" localSheetId="3">#REF!</definedName>
    <definedName name="ㄴㅇㄴㅇㄴㅇㄴ" localSheetId="1">#REF!</definedName>
    <definedName name="ㄴㅇㄴㅇㄴㅇㄴ">#REF!</definedName>
    <definedName name="ㄴㅇㄴㅇㄴㅇㄴㅇ" localSheetId="5">#REF!</definedName>
    <definedName name="ㄴㅇㄴㅇㄴㅇㄴㅇ" localSheetId="4">#REF!</definedName>
    <definedName name="ㄴㅇㄴㅇㄴㅇㄴㅇ" localSheetId="3">#REF!</definedName>
    <definedName name="ㄴㅇㄴㅇㄴㅇㄴㅇ" localSheetId="1">#REF!</definedName>
    <definedName name="ㄴㅇㄴㅇㄴㅇㄴㅇ">#REF!</definedName>
    <definedName name="ㄴㅇㄴㅇㄴㅇㄴㅇㄴ" localSheetId="5">#REF!</definedName>
    <definedName name="ㄴㅇㄴㅇㄴㅇㄴㅇㄴ" localSheetId="4">#REF!</definedName>
    <definedName name="ㄴㅇㄴㅇㄴㅇㄴㅇㄴ" localSheetId="3">#REF!</definedName>
    <definedName name="ㄴㅇㄴㅇㄴㅇㄴㅇㄴ" localSheetId="1">#REF!</definedName>
    <definedName name="ㄴㅇㄴㅇㄴㅇㄴㅇㄴ">#REF!</definedName>
    <definedName name="ㄴㅇㄴㅇㄴㅇㄴㅇㄴㅇ" localSheetId="5">#REF!</definedName>
    <definedName name="ㄴㅇㄴㅇㄴㅇㄴㅇㄴㅇ" localSheetId="4">#REF!</definedName>
    <definedName name="ㄴㅇㄴㅇㄴㅇㄴㅇㄴㅇ" localSheetId="3">#REF!</definedName>
    <definedName name="ㄴㅇㄴㅇㄴㅇㄴㅇㄴㅇ" localSheetId="1">#REF!</definedName>
    <definedName name="ㄴㅇㄴㅇㄴㅇㄴㅇㄴㅇ">#REF!</definedName>
    <definedName name="ㄴㅇㄴㅇㄴㅇㄴㅇㄴㅇㄴㅇ" localSheetId="5">#REF!</definedName>
    <definedName name="ㄴㅇㄴㅇㄴㅇㄴㅇㄴㅇㄴㅇ" localSheetId="4">#REF!</definedName>
    <definedName name="ㄴㅇㄴㅇㄴㅇㄴㅇㄴㅇㄴㅇ" localSheetId="3">#REF!</definedName>
    <definedName name="ㄴㅇㄴㅇㄴㅇㄴㅇㄴㅇㄴㅇ" localSheetId="1">#REF!</definedName>
    <definedName name="ㄴㅇㄴㅇㄴㅇㄴㅇㄴㅇㄴㅇ">#REF!</definedName>
    <definedName name="ㄴㅇㄴㅊㄷ" localSheetId="5">#REF!</definedName>
    <definedName name="ㄴㅇㄴㅊㄷ" localSheetId="4">#REF!</definedName>
    <definedName name="ㄴㅇㄴㅊㄷ" localSheetId="3">#REF!</definedName>
    <definedName name="ㄴㅇㄴㅊㄷ" localSheetId="1">#REF!</definedName>
    <definedName name="ㄴㅇㄴㅊㄷ">#REF!</definedName>
    <definedName name="ㄴㅇㄹ" localSheetId="5" hidden="1">{#N/A,#N/A,FALSE,"3가";#N/A,#N/A,FALSE,"3나";#N/A,#N/A,FALSE,"3다"}</definedName>
    <definedName name="ㄴㅇㄹ" localSheetId="4" hidden="1">{#N/A,#N/A,FALSE,"3가";#N/A,#N/A,FALSE,"3나";#N/A,#N/A,FALSE,"3다"}</definedName>
    <definedName name="ㄴㅇㄹ" localSheetId="3" hidden="1">{#N/A,#N/A,FALSE,"3가";#N/A,#N/A,FALSE,"3나";#N/A,#N/A,FALSE,"3다"}</definedName>
    <definedName name="ㄴㅇㄹ" localSheetId="1" hidden="1">{#N/A,#N/A,FALSE,"3가";#N/A,#N/A,FALSE,"3나";#N/A,#N/A,FALSE,"3다"}</definedName>
    <definedName name="ㄴㅇㄹ" hidden="1">{#N/A,#N/A,FALSE,"3가";#N/A,#N/A,FALSE,"3나";#N/A,#N/A,FALSE,"3다"}</definedName>
    <definedName name="ㄴㅇㄹㄴㅇㄹ" localSheetId="5" hidden="1">{#N/A,#N/A,TRUE,"Y생산";#N/A,#N/A,TRUE,"Y판매";#N/A,#N/A,TRUE,"Y총물량";#N/A,#N/A,TRUE,"Y능력";#N/A,#N/A,TRUE,"YKD"}</definedName>
    <definedName name="ㄴㅇㄹㄴㅇㄹ" localSheetId="4" hidden="1">{#N/A,#N/A,TRUE,"Y생산";#N/A,#N/A,TRUE,"Y판매";#N/A,#N/A,TRUE,"Y총물량";#N/A,#N/A,TRUE,"Y능력";#N/A,#N/A,TRUE,"YKD"}</definedName>
    <definedName name="ㄴㅇㄹㄴㅇㄹ" localSheetId="3" hidden="1">{#N/A,#N/A,TRUE,"Y생산";#N/A,#N/A,TRUE,"Y판매";#N/A,#N/A,TRUE,"Y총물량";#N/A,#N/A,TRUE,"Y능력";#N/A,#N/A,TRUE,"YKD"}</definedName>
    <definedName name="ㄴㅇㄹㄴㅇㄹ" localSheetId="1" hidden="1">{#N/A,#N/A,TRUE,"Y생산";#N/A,#N/A,TRUE,"Y판매";#N/A,#N/A,TRUE,"Y총물량";#N/A,#N/A,TRUE,"Y능력";#N/A,#N/A,TRUE,"YKD"}</definedName>
    <definedName name="ㄴㅇㄹㄴㅇㄹ" hidden="1">{#N/A,#N/A,TRUE,"Y생산";#N/A,#N/A,TRUE,"Y판매";#N/A,#N/A,TRUE,"Y총물량";#N/A,#N/A,TRUE,"Y능력";#N/A,#N/A,TRUE,"YKD"}</definedName>
    <definedName name="ㄴㅇㄹㄴㅇㄹ_1" localSheetId="5" hidden="1">{#N/A,#N/A,TRUE,"Y생산";#N/A,#N/A,TRUE,"Y판매";#N/A,#N/A,TRUE,"Y총물량";#N/A,#N/A,TRUE,"Y능력";#N/A,#N/A,TRUE,"YKD"}</definedName>
    <definedName name="ㄴㅇㄹㄴㅇㄹ_1" localSheetId="4" hidden="1">{#N/A,#N/A,TRUE,"Y생산";#N/A,#N/A,TRUE,"Y판매";#N/A,#N/A,TRUE,"Y총물량";#N/A,#N/A,TRUE,"Y능력";#N/A,#N/A,TRUE,"YKD"}</definedName>
    <definedName name="ㄴㅇㄹㄴㅇㄹ_1" localSheetId="3" hidden="1">{#N/A,#N/A,TRUE,"Y생산";#N/A,#N/A,TRUE,"Y판매";#N/A,#N/A,TRUE,"Y총물량";#N/A,#N/A,TRUE,"Y능력";#N/A,#N/A,TRUE,"YKD"}</definedName>
    <definedName name="ㄴㅇㄹㄴㅇㄹ_1" localSheetId="1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localSheetId="5" hidden="1">{#N/A,#N/A,TRUE,"Y생산";#N/A,#N/A,TRUE,"Y판매";#N/A,#N/A,TRUE,"Y총물량";#N/A,#N/A,TRUE,"Y능력";#N/A,#N/A,TRUE,"YKD"}</definedName>
    <definedName name="ㄴㅇㄹㄴㅇㄹㄴㅇㄹ" localSheetId="4" hidden="1">{#N/A,#N/A,TRUE,"Y생산";#N/A,#N/A,TRUE,"Y판매";#N/A,#N/A,TRUE,"Y총물량";#N/A,#N/A,TRUE,"Y능력";#N/A,#N/A,TRUE,"YKD"}</definedName>
    <definedName name="ㄴㅇㄹㄴㅇㄹㄴㅇㄹ" localSheetId="3" hidden="1">{#N/A,#N/A,TRUE,"Y생산";#N/A,#N/A,TRUE,"Y판매";#N/A,#N/A,TRUE,"Y총물량";#N/A,#N/A,TRUE,"Y능력";#N/A,#N/A,TRUE,"YKD"}</definedName>
    <definedName name="ㄴㅇㄹㄴㅇㄹㄴㅇㄹ" localSheetId="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localSheetId="5" hidden="1">{#N/A,#N/A,TRUE,"Y생산";#N/A,#N/A,TRUE,"Y판매";#N/A,#N/A,TRUE,"Y총물량";#N/A,#N/A,TRUE,"Y능력";#N/A,#N/A,TRUE,"YKD"}</definedName>
    <definedName name="ㄴㅇㄹㄴㅇㄹㄴㅇㄹ_1" localSheetId="4" hidden="1">{#N/A,#N/A,TRUE,"Y생산";#N/A,#N/A,TRUE,"Y판매";#N/A,#N/A,TRUE,"Y총물량";#N/A,#N/A,TRUE,"Y능력";#N/A,#N/A,TRUE,"YKD"}</definedName>
    <definedName name="ㄴㅇㄹㄴㅇㄹㄴㅇㄹ_1" localSheetId="3" hidden="1">{#N/A,#N/A,TRUE,"Y생산";#N/A,#N/A,TRUE,"Y판매";#N/A,#N/A,TRUE,"Y총물량";#N/A,#N/A,TRUE,"Y능력";#N/A,#N/A,TRUE,"YKD"}</definedName>
    <definedName name="ㄴㅇㄹㄴㅇㄹㄴㅇㄹ_1" localSheetId="1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localSheetId="5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4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3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1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 localSheetId="5">#REF!</definedName>
    <definedName name="ㄴㅇㅁㄴ" localSheetId="4">#REF!</definedName>
    <definedName name="ㄴㅇㅁㄴ" localSheetId="3">#REF!</definedName>
    <definedName name="ㄴㅇㅁㄴ" localSheetId="1">#REF!</definedName>
    <definedName name="ㄴㅇㅁㄴ">#REF!</definedName>
    <definedName name="ㄴㅇㅇㄴㅇㄴㅇㄴㅇㄴ" localSheetId="3">#REF!</definedName>
    <definedName name="ㄴㅇㅇㄴㅇㄴㅇㄴㅇㄴ" localSheetId="1">#REF!</definedName>
    <definedName name="ㄴㅇㅇㄴㅇㄴㅇㄴㅇㄴ">#REF!</definedName>
    <definedName name="ㄴㅈㅈㅈㅈ" localSheetId="3">#REF!</definedName>
    <definedName name="ㄴㅈㅈㅈㅈ" localSheetId="1">#REF!</definedName>
    <definedName name="ㄴㅈㅈㅈㅈ">#REF!</definedName>
    <definedName name="나" localSheetId="3">#REF!</definedName>
    <definedName name="나" localSheetId="1">#REF!</definedName>
    <definedName name="나">#REF!</definedName>
    <definedName name="나나" localSheetId="5" hidden="1">{#N/A,#N/A,FALSE,"표지";#N/A,#N/A,FALSE,"전제";#N/A,#N/A,FALSE,"손익-자 (2)";#N/A,#N/A,FALSE,"손익-자";#N/A,#N/A,FALSE,"손익-마 (2)";#N/A,#N/A,FALSE,"손익-마";#N/A,#N/A,FALSE,"총손최종"}</definedName>
    <definedName name="나나" localSheetId="4" hidden="1">{#N/A,#N/A,FALSE,"표지";#N/A,#N/A,FALSE,"전제";#N/A,#N/A,FALSE,"손익-자 (2)";#N/A,#N/A,FALSE,"손익-자";#N/A,#N/A,FALSE,"손익-마 (2)";#N/A,#N/A,FALSE,"손익-마";#N/A,#N/A,FALSE,"총손최종"}</definedName>
    <definedName name="나나" localSheetId="3" hidden="1">{#N/A,#N/A,FALSE,"표지";#N/A,#N/A,FALSE,"전제";#N/A,#N/A,FALSE,"손익-자 (2)";#N/A,#N/A,FALSE,"손익-자";#N/A,#N/A,FALSE,"손익-마 (2)";#N/A,#N/A,FALSE,"손익-마";#N/A,#N/A,FALSE,"총손최종"}</definedName>
    <definedName name="나나" localSheetId="1" hidden="1">{#N/A,#N/A,FALSE,"표지";#N/A,#N/A,FALSE,"전제";#N/A,#N/A,FALSE,"손익-자 (2)";#N/A,#N/A,FALSE,"손익-자";#N/A,#N/A,FALSE,"손익-마 (2)";#N/A,#N/A,FALSE,"손익-마";#N/A,#N/A,FALSE,"총손최종"}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localSheetId="5" hidden="1">{#N/A,#N/A,FALSE,"1.CRITERIA";#N/A,#N/A,FALSE,"2.IS";#N/A,#N/A,FALSE,"3.BS";#N/A,#N/A,FALSE,"4.PER PL";#N/A,#N/A,FALSE,"5.INVESTMENT";#N/A,#N/A,FALSE,"6.공문";#N/A,#N/A,FALSE,"7.netinvest"}</definedName>
    <definedName name="나다라" localSheetId="4" hidden="1">{#N/A,#N/A,FALSE,"1.CRITERIA";#N/A,#N/A,FALSE,"2.IS";#N/A,#N/A,FALSE,"3.BS";#N/A,#N/A,FALSE,"4.PER PL";#N/A,#N/A,FALSE,"5.INVESTMENT";#N/A,#N/A,FALSE,"6.공문";#N/A,#N/A,FALSE,"7.netinvest"}</definedName>
    <definedName name="나다라" localSheetId="3" hidden="1">{#N/A,#N/A,FALSE,"1.CRITERIA";#N/A,#N/A,FALSE,"2.IS";#N/A,#N/A,FALSE,"3.BS";#N/A,#N/A,FALSE,"4.PER PL";#N/A,#N/A,FALSE,"5.INVESTMENT";#N/A,#N/A,FALSE,"6.공문";#N/A,#N/A,FALSE,"7.netinvest"}</definedName>
    <definedName name="나다라" localSheetId="1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5">#REF!</definedName>
    <definedName name="나라" localSheetId="4">#REF!</definedName>
    <definedName name="나라" localSheetId="3">#REF!</definedName>
    <definedName name="나라" localSheetId="1">#REF!</definedName>
    <definedName name="나라">#REF!</definedName>
    <definedName name="나영이" localSheetId="3">#REF!</definedName>
    <definedName name="나영이" localSheetId="1">#REF!</definedName>
    <definedName name="나영이">#REF!</definedName>
    <definedName name="낙_관" localSheetId="3">#REF!</definedName>
    <definedName name="낙_관" localSheetId="1">#REF!</definedName>
    <definedName name="낙_관">#REF!</definedName>
    <definedName name="날짜" localSheetId="3">#REF!</definedName>
    <definedName name="날짜" localSheetId="1">#REF!</definedName>
    <definedName name="날짜">#REF!</definedName>
    <definedName name="날짜2" localSheetId="3">#REF!</definedName>
    <definedName name="날짜2" localSheetId="1">#REF!</definedName>
    <definedName name="날짜2">#REF!</definedName>
    <definedName name="남미영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 localSheetId="5">#REF!</definedName>
    <definedName name="남석" localSheetId="4">#REF!</definedName>
    <definedName name="남석" localSheetId="3">#REF!</definedName>
    <definedName name="남석" localSheetId="1">#REF!</definedName>
    <definedName name="남석">#REF!</definedName>
    <definedName name="남양" localSheetId="3">#REF!</definedName>
    <definedName name="남양" localSheetId="1">#REF!</definedName>
    <definedName name="남양">#REF!</definedName>
    <definedName name="남채" localSheetId="3">#REF!</definedName>
    <definedName name="남채" localSheetId="1">#REF!</definedName>
    <definedName name="남채">#REF!</definedName>
    <definedName name="납품보고" localSheetId="5">#REF!</definedName>
    <definedName name="납품보고" localSheetId="4">#REF!</definedName>
    <definedName name="납품보고" localSheetId="3">#REF!</definedName>
    <definedName name="납품보고" localSheetId="1">#REF!</definedName>
    <definedName name="납품보고">#REF!</definedName>
    <definedName name="내" localSheetId="5" hidden="1">{#N/A,#N/A,FALSE,"1.CRITERIA";#N/A,#N/A,FALSE,"2.IS";#N/A,#N/A,FALSE,"3.BS";#N/A,#N/A,FALSE,"4.PER PL";#N/A,#N/A,FALSE,"5.INVESTMENT";#N/A,#N/A,FALSE,"6.공문";#N/A,#N/A,FALSE,"7.netinvest"}</definedName>
    <definedName name="내" localSheetId="4" hidden="1">{#N/A,#N/A,FALSE,"1.CRITERIA";#N/A,#N/A,FALSE,"2.IS";#N/A,#N/A,FALSE,"3.BS";#N/A,#N/A,FALSE,"4.PER PL";#N/A,#N/A,FALSE,"5.INVESTMENT";#N/A,#N/A,FALSE,"6.공문";#N/A,#N/A,FALSE,"7.netinvest"}</definedName>
    <definedName name="내" localSheetId="3" hidden="1">{#N/A,#N/A,FALSE,"1.CRITERIA";#N/A,#N/A,FALSE,"2.IS";#N/A,#N/A,FALSE,"3.BS";#N/A,#N/A,FALSE,"4.PER PL";#N/A,#N/A,FALSE,"5.INVESTMENT";#N/A,#N/A,FALSE,"6.공문";#N/A,#N/A,FALSE,"7.netinvest"}</definedName>
    <definedName name="내" localSheetId="1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localSheetId="5" hidden="1">{#N/A,#N/A,TRUE,"Y생산";#N/A,#N/A,TRUE,"Y판매";#N/A,#N/A,TRUE,"Y총물량";#N/A,#N/A,TRUE,"Y능력";#N/A,#N/A,TRUE,"YKD"}</definedName>
    <definedName name="내영.." localSheetId="4" hidden="1">{#N/A,#N/A,TRUE,"Y생산";#N/A,#N/A,TRUE,"Y판매";#N/A,#N/A,TRUE,"Y총물량";#N/A,#N/A,TRUE,"Y능력";#N/A,#N/A,TRUE,"YKD"}</definedName>
    <definedName name="내영.." localSheetId="3" hidden="1">{#N/A,#N/A,TRUE,"Y생산";#N/A,#N/A,TRUE,"Y판매";#N/A,#N/A,TRUE,"Y총물량";#N/A,#N/A,TRUE,"Y능력";#N/A,#N/A,TRUE,"YKD"}</definedName>
    <definedName name="내영.." localSheetId="1" hidden="1">{#N/A,#N/A,TRUE,"Y생산";#N/A,#N/A,TRUE,"Y판매";#N/A,#N/A,TRUE,"Y총물량";#N/A,#N/A,TRUE,"Y능력";#N/A,#N/A,TRUE,"YKD"}</definedName>
    <definedName name="내영.." hidden="1">{#N/A,#N/A,TRUE,"Y생산";#N/A,#N/A,TRUE,"Y판매";#N/A,#N/A,TRUE,"Y총물량";#N/A,#N/A,TRUE,"Y능력";#N/A,#N/A,TRUE,"YKD"}</definedName>
    <definedName name="내영.._1" localSheetId="5" hidden="1">{#N/A,#N/A,TRUE,"Y생산";#N/A,#N/A,TRUE,"Y판매";#N/A,#N/A,TRUE,"Y총물량";#N/A,#N/A,TRUE,"Y능력";#N/A,#N/A,TRUE,"YKD"}</definedName>
    <definedName name="내영.._1" localSheetId="4" hidden="1">{#N/A,#N/A,TRUE,"Y생산";#N/A,#N/A,TRUE,"Y판매";#N/A,#N/A,TRUE,"Y총물량";#N/A,#N/A,TRUE,"Y능력";#N/A,#N/A,TRUE,"YKD"}</definedName>
    <definedName name="내영.._1" localSheetId="3" hidden="1">{#N/A,#N/A,TRUE,"Y생산";#N/A,#N/A,TRUE,"Y판매";#N/A,#N/A,TRUE,"Y총물량";#N/A,#N/A,TRUE,"Y능력";#N/A,#N/A,TRUE,"YKD"}</definedName>
    <definedName name="내영.._1" localSheetId="1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localSheetId="5" hidden="1">{#N/A,#N/A,TRUE,"Y생산";#N/A,#N/A,TRUE,"Y판매";#N/A,#N/A,TRUE,"Y총물량";#N/A,#N/A,TRUE,"Y능력";#N/A,#N/A,TRUE,"YKD"}</definedName>
    <definedName name="내용" localSheetId="4" hidden="1">{#N/A,#N/A,TRUE,"Y생산";#N/A,#N/A,TRUE,"Y판매";#N/A,#N/A,TRUE,"Y총물량";#N/A,#N/A,TRUE,"Y능력";#N/A,#N/A,TRUE,"YKD"}</definedName>
    <definedName name="내용" localSheetId="3" hidden="1">{#N/A,#N/A,TRUE,"Y생산";#N/A,#N/A,TRUE,"Y판매";#N/A,#N/A,TRUE,"Y총물량";#N/A,#N/A,TRUE,"Y능력";#N/A,#N/A,TRUE,"YKD"}</definedName>
    <definedName name="내용" localSheetId="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localSheetId="5" hidden="1">{#N/A,#N/A,TRUE,"Y생산";#N/A,#N/A,TRUE,"Y판매";#N/A,#N/A,TRUE,"Y총물량";#N/A,#N/A,TRUE,"Y능력";#N/A,#N/A,TRUE,"YKD"}</definedName>
    <definedName name="내용_1" localSheetId="4" hidden="1">{#N/A,#N/A,TRUE,"Y생산";#N/A,#N/A,TRUE,"Y판매";#N/A,#N/A,TRUE,"Y총물량";#N/A,#N/A,TRUE,"Y능력";#N/A,#N/A,TRUE,"YKD"}</definedName>
    <definedName name="내용_1" localSheetId="3" hidden="1">{#N/A,#N/A,TRUE,"Y생산";#N/A,#N/A,TRUE,"Y판매";#N/A,#N/A,TRUE,"Y총물량";#N/A,#N/A,TRUE,"Y능력";#N/A,#N/A,TRUE,"YKD"}</definedName>
    <definedName name="내용_1" localSheetId="1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 localSheetId="5">#REF!</definedName>
    <definedName name="내용23" localSheetId="4">#REF!</definedName>
    <definedName name="내용23" localSheetId="3">#REF!</definedName>
    <definedName name="내용23" localSheetId="1">#REF!</definedName>
    <definedName name="내용23">#REF!</definedName>
    <definedName name="내용연수" localSheetId="3">#REF!</definedName>
    <definedName name="내용연수" localSheetId="1">#REF!</definedName>
    <definedName name="내용연수">#REF!</definedName>
    <definedName name="내용연수2" localSheetId="3">#REF!</definedName>
    <definedName name="내용연수2" localSheetId="1">#REF!</definedName>
    <definedName name="내용연수2">#REF!</definedName>
    <definedName name="너" localSheetId="5" hidden="1">{#N/A,#N/A,FALSE,"1.CRITERIA";#N/A,#N/A,FALSE,"2.IS";#N/A,#N/A,FALSE,"3.BS";#N/A,#N/A,FALSE,"4.PER PL";#N/A,#N/A,FALSE,"5.INVESTMENT";#N/A,#N/A,FALSE,"6.공문";#N/A,#N/A,FALSE,"7.netinvest"}</definedName>
    <definedName name="너" localSheetId="4" hidden="1">{#N/A,#N/A,FALSE,"1.CRITERIA";#N/A,#N/A,FALSE,"2.IS";#N/A,#N/A,FALSE,"3.BS";#N/A,#N/A,FALSE,"4.PER PL";#N/A,#N/A,FALSE,"5.INVESTMENT";#N/A,#N/A,FALSE,"6.공문";#N/A,#N/A,FALSE,"7.netinvest"}</definedName>
    <definedName name="너" localSheetId="3" hidden="1">{#N/A,#N/A,FALSE,"1.CRITERIA";#N/A,#N/A,FALSE,"2.IS";#N/A,#N/A,FALSE,"3.BS";#N/A,#N/A,FALSE,"4.PER PL";#N/A,#N/A,FALSE,"5.INVESTMENT";#N/A,#N/A,FALSE,"6.공문";#N/A,#N/A,FALSE,"7.netinvest"}</definedName>
    <definedName name="너" localSheetId="1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localSheetId="5" hidden="1">{#N/A,#N/A,FALSE,"1.CRITERIA";#N/A,#N/A,FALSE,"2.IS";#N/A,#N/A,FALSE,"3.BS";#N/A,#N/A,FALSE,"4.PER PL";#N/A,#N/A,FALSE,"5.INVESTMENT";#N/A,#N/A,FALSE,"6.공문";#N/A,#N/A,FALSE,"7.netinvest"}</definedName>
    <definedName name="녀" localSheetId="4" hidden="1">{#N/A,#N/A,FALSE,"1.CRITERIA";#N/A,#N/A,FALSE,"2.IS";#N/A,#N/A,FALSE,"3.BS";#N/A,#N/A,FALSE,"4.PER PL";#N/A,#N/A,FALSE,"5.INVESTMENT";#N/A,#N/A,FALSE,"6.공문";#N/A,#N/A,FALSE,"7.netinvest"}</definedName>
    <definedName name="녀" localSheetId="3" hidden="1">{#N/A,#N/A,FALSE,"1.CRITERIA";#N/A,#N/A,FALSE,"2.IS";#N/A,#N/A,FALSE,"3.BS";#N/A,#N/A,FALSE,"4.PER PL";#N/A,#N/A,FALSE,"5.INVESTMENT";#N/A,#N/A,FALSE,"6.공문";#N/A,#N/A,FALSE,"7.netinvest"}</definedName>
    <definedName name="녀" localSheetId="1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 localSheetId="5">#REF!</definedName>
    <definedName name="년간임료상승률" localSheetId="4">#REF!</definedName>
    <definedName name="년간임료상승률" localSheetId="3">#REF!</definedName>
    <definedName name="년간임료상승률" localSheetId="1">#REF!</definedName>
    <definedName name="년간임료상승률">#REF!</definedName>
    <definedName name="년도" localSheetId="3">#REF!</definedName>
    <definedName name="년도" localSheetId="1">#REF!</definedName>
    <definedName name="년도">#REF!</definedName>
    <definedName name="년도__실적추정은_건설이자_미포" localSheetId="5">#REF!</definedName>
    <definedName name="년도__실적추정은_건설이자_미포" localSheetId="4">#REF!</definedName>
    <definedName name="년도__실적추정은_건설이자_미포" localSheetId="3">#REF!</definedName>
    <definedName name="년도__실적추정은_건설이자_미포" localSheetId="1">#REF!</definedName>
    <definedName name="년도__실적추정은_건설이자_미포">#REF!</definedName>
    <definedName name="년도별예산추정" localSheetId="5">BlankMacro1</definedName>
    <definedName name="년도별예산추정" localSheetId="4">BlankMacro1</definedName>
    <definedName name="년도별예산추정" localSheetId="3">BlankMacro1</definedName>
    <definedName name="년도별예산추정" localSheetId="2">BlankMacro1</definedName>
    <definedName name="년도별예산추정" localSheetId="1">BlankMacro1</definedName>
    <definedName name="년도별예산추정" localSheetId="0">BlankMacro1</definedName>
    <definedName name="년도별예산추정">BlankMacro1</definedName>
    <definedName name="년도실적추정" localSheetId="5">#REF!</definedName>
    <definedName name="년도실적추정" localSheetId="4">#REF!</definedName>
    <definedName name="년도실적추정" localSheetId="3">#REF!</definedName>
    <definedName name="년도실적추정" localSheetId="1">#REF!</definedName>
    <definedName name="년도실적추정">#REF!</definedName>
    <definedName name="노" localSheetId="5" hidden="1">{#N/A,#N/A,FALSE,"1.CRITERIA";#N/A,#N/A,FALSE,"2.IS";#N/A,#N/A,FALSE,"3.BS";#N/A,#N/A,FALSE,"4.PER PL";#N/A,#N/A,FALSE,"5.INVESTMENT";#N/A,#N/A,FALSE,"6.공문";#N/A,#N/A,FALSE,"7.netinvest"}</definedName>
    <definedName name="노" localSheetId="4" hidden="1">{#N/A,#N/A,FALSE,"1.CRITERIA";#N/A,#N/A,FALSE,"2.IS";#N/A,#N/A,FALSE,"3.BS";#N/A,#N/A,FALSE,"4.PER PL";#N/A,#N/A,FALSE,"5.INVESTMENT";#N/A,#N/A,FALSE,"6.공문";#N/A,#N/A,FALSE,"7.netinvest"}</definedName>
    <definedName name="노" localSheetId="3" hidden="1">{#N/A,#N/A,FALSE,"1.CRITERIA";#N/A,#N/A,FALSE,"2.IS";#N/A,#N/A,FALSE,"3.BS";#N/A,#N/A,FALSE,"4.PER PL";#N/A,#N/A,FALSE,"5.INVESTMENT";#N/A,#N/A,FALSE,"6.공문";#N/A,#N/A,FALSE,"7.netinvest"}</definedName>
    <definedName name="노" localSheetId="1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 localSheetId="5">#REF!</definedName>
    <definedName name="노무비계산" localSheetId="4">#REF!</definedName>
    <definedName name="노무비계산" localSheetId="3">#REF!</definedName>
    <definedName name="노무비계산" localSheetId="1">#REF!</definedName>
    <definedName name="노무비계산">#REF!</definedName>
    <definedName name="누계" localSheetId="5" hidden="1">{#N/A,#N/A,FALSE,"채산3501.XLS";#N/A,#N/A,FALSE,"신조수A.XLS";#N/A,#N/A,FALSE,"신조수b.XLS";#N/A,#N/A,FALSE,"채산3502.XLS";#N/A,#N/A,FALSE,"신조원리.XLS";#N/A,#N/A,FALSE,"신조감가.XLS"}</definedName>
    <definedName name="누계" localSheetId="4" hidden="1">{#N/A,#N/A,FALSE,"채산3501.XLS";#N/A,#N/A,FALSE,"신조수A.XLS";#N/A,#N/A,FALSE,"신조수b.XLS";#N/A,#N/A,FALSE,"채산3502.XLS";#N/A,#N/A,FALSE,"신조원리.XLS";#N/A,#N/A,FALSE,"신조감가.XLS"}</definedName>
    <definedName name="누계" localSheetId="3" hidden="1">{#N/A,#N/A,FALSE,"채산3501.XLS";#N/A,#N/A,FALSE,"신조수A.XLS";#N/A,#N/A,FALSE,"신조수b.XLS";#N/A,#N/A,FALSE,"채산3502.XLS";#N/A,#N/A,FALSE,"신조원리.XLS";#N/A,#N/A,FALSE,"신조감가.XLS"}</definedName>
    <definedName name="누계" localSheetId="1" hidden="1">{#N/A,#N/A,FALSE,"채산3501.XLS";#N/A,#N/A,FALSE,"신조수A.XLS";#N/A,#N/A,FALSE,"신조수b.XLS";#N/A,#N/A,FALSE,"채산3502.XLS";#N/A,#N/A,FALSE,"신조원리.XLS";#N/A,#N/A,FALSE,"신조감가.XLS"}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localSheetId="5" hidden="1">{#N/A,#N/A,TRUE,"Y생산";#N/A,#N/A,TRUE,"Y판매";#N/A,#N/A,TRUE,"Y총물량";#N/A,#N/A,TRUE,"Y능력";#N/A,#N/A,TRUE,"YKD"}</definedName>
    <definedName name="닝잉" localSheetId="4" hidden="1">{#N/A,#N/A,TRUE,"Y생산";#N/A,#N/A,TRUE,"Y판매";#N/A,#N/A,TRUE,"Y총물량";#N/A,#N/A,TRUE,"Y능력";#N/A,#N/A,TRUE,"YKD"}</definedName>
    <definedName name="닝잉" localSheetId="3" hidden="1">{#N/A,#N/A,TRUE,"Y생산";#N/A,#N/A,TRUE,"Y판매";#N/A,#N/A,TRUE,"Y총물량";#N/A,#N/A,TRUE,"Y능력";#N/A,#N/A,TRUE,"YKD"}</definedName>
    <definedName name="닝잉" localSheetId="1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닣" localSheetId="5" hidden="1">#REF!</definedName>
    <definedName name="닣" localSheetId="4" hidden="1">#REF!</definedName>
    <definedName name="닣" localSheetId="3" hidden="1">#REF!</definedName>
    <definedName name="닣" localSheetId="1" hidden="1">#REF!</definedName>
    <definedName name="닣" hidden="1">#REF!</definedName>
    <definedName name="ㄷ" localSheetId="5">#REF!</definedName>
    <definedName name="ㄷ" localSheetId="4">#REF!</definedName>
    <definedName name="ㄷ" localSheetId="3">#REF!</definedName>
    <definedName name="ㄷ" localSheetId="1">#REF!</definedName>
    <definedName name="ㄷ">#REF!</definedName>
    <definedName name="ㄷ22" localSheetId="5">#REF!</definedName>
    <definedName name="ㄷ22" localSheetId="4">#REF!</definedName>
    <definedName name="ㄷ22" localSheetId="3">#REF!</definedName>
    <definedName name="ㄷ22" localSheetId="1">#REF!</definedName>
    <definedName name="ㄷ22">#REF!</definedName>
    <definedName name="ㄷ24" localSheetId="3">#REF!</definedName>
    <definedName name="ㄷ24" localSheetId="1">#REF!</definedName>
    <definedName name="ㄷ24">#REF!</definedName>
    <definedName name="ㄷㄳ" localSheetId="5" hidden="1">{#N/A,#N/A,FALSE,"단축1";#N/A,#N/A,FALSE,"단축2";#N/A,#N/A,FALSE,"단축3";#N/A,#N/A,FALSE,"장축";#N/A,#N/A,FALSE,"4WD"}</definedName>
    <definedName name="ㄷㄳ" localSheetId="4" hidden="1">{#N/A,#N/A,FALSE,"단축1";#N/A,#N/A,FALSE,"단축2";#N/A,#N/A,FALSE,"단축3";#N/A,#N/A,FALSE,"장축";#N/A,#N/A,FALSE,"4WD"}</definedName>
    <definedName name="ㄷㄳ" localSheetId="3" hidden="1">{#N/A,#N/A,FALSE,"단축1";#N/A,#N/A,FALSE,"단축2";#N/A,#N/A,FALSE,"단축3";#N/A,#N/A,FALSE,"장축";#N/A,#N/A,FALSE,"4WD"}</definedName>
    <definedName name="ㄷㄳ" localSheetId="1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ㄴㄷ" localSheetId="5">#REF!</definedName>
    <definedName name="ㄷㄴㄷ" localSheetId="4">#REF!</definedName>
    <definedName name="ㄷㄴㄷ" localSheetId="3">#REF!</definedName>
    <definedName name="ㄷㄴㄷ" localSheetId="1">#REF!</definedName>
    <definedName name="ㄷㄴㄷ">#REF!</definedName>
    <definedName name="ㄷㄷ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 localSheetId="5">#REF!</definedName>
    <definedName name="ㄷㄷㄷ" localSheetId="4">#REF!</definedName>
    <definedName name="ㄷㄷㄷ" localSheetId="3">#REF!</definedName>
    <definedName name="ㄷㄷㄷ" localSheetId="1">#REF!</definedName>
    <definedName name="ㄷㄷㄷ">#REF!</definedName>
    <definedName name="ㄷㄷㄷㄷeeee" localSheetId="3">#REF!</definedName>
    <definedName name="ㄷㄷㄷㄷeeee" localSheetId="1">#REF!</definedName>
    <definedName name="ㄷㄷㄷㄷeeee">#REF!</definedName>
    <definedName name="ㄷㄷㄷㄷㄷㄷ" localSheetId="3">#REF!</definedName>
    <definedName name="ㄷㄷㄷㄷㄷㄷ" localSheetId="1">#REF!</definedName>
    <definedName name="ㄷㄷㄷㄷㄷㄷ">#REF!</definedName>
    <definedName name="ㄷㅂㅈㄷ" localSheetId="3" hidden="1">#REF!</definedName>
    <definedName name="ㄷㅂㅈㄷ" localSheetId="1" hidden="1">#REF!</definedName>
    <definedName name="ㄷㅂㅈㄷ" hidden="1">#REF!</definedName>
    <definedName name="ㄷㅇ" localSheetId="3">#REF!</definedName>
    <definedName name="ㄷㅇ" localSheetId="1">#REF!</definedName>
    <definedName name="ㄷㅇ">#REF!</definedName>
    <definedName name="ㄷㅇ_1" localSheetId="5" hidden="1">{#N/A,#N/A,TRUE,"Y생산";#N/A,#N/A,TRUE,"Y판매";#N/A,#N/A,TRUE,"Y총물량";#N/A,#N/A,TRUE,"Y능력";#N/A,#N/A,TRUE,"YKD"}</definedName>
    <definedName name="ㄷㅇ_1" localSheetId="4" hidden="1">{#N/A,#N/A,TRUE,"Y생산";#N/A,#N/A,TRUE,"Y판매";#N/A,#N/A,TRUE,"Y총물량";#N/A,#N/A,TRUE,"Y능력";#N/A,#N/A,TRUE,"YKD"}</definedName>
    <definedName name="ㄷㅇ_1" localSheetId="3" hidden="1">{#N/A,#N/A,TRUE,"Y생산";#N/A,#N/A,TRUE,"Y판매";#N/A,#N/A,TRUE,"Y총물량";#N/A,#N/A,TRUE,"Y능력";#N/A,#N/A,TRUE,"YKD"}</definedName>
    <definedName name="ㄷㅇ_1" localSheetId="1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ㅇ" localSheetId="5" hidden="1">#REF!</definedName>
    <definedName name="ㄷㅇㅇ" localSheetId="4" hidden="1">#REF!</definedName>
    <definedName name="ㄷㅇㅇ" localSheetId="3" hidden="1">#REF!</definedName>
    <definedName name="ㄷㅇㅇ" localSheetId="1" hidden="1">#REF!</definedName>
    <definedName name="ㄷㅇㅇ" hidden="1">#REF!</definedName>
    <definedName name="ㄷ야ㅗㅔㅐㄹㅈ대ㅈㄷㅈㄷㄱ" localSheetId="3" hidden="1">#REF!</definedName>
    <definedName name="ㄷ야ㅗㅔㅐㄹㅈ대ㅈㄷㅈㄷㄱ" localSheetId="1" hidden="1">#REF!</definedName>
    <definedName name="ㄷ야ㅗㅔㅐㄹㅈ대ㅈㄷㅈㄷㄱ" hidden="1">#REF!</definedName>
    <definedName name="ㄷㅈ" localSheetId="3" hidden="1">#REF!</definedName>
    <definedName name="ㄷㅈ" localSheetId="1" hidden="1">#REF!</definedName>
    <definedName name="ㄷㅈ" hidden="1">#REF!</definedName>
    <definedName name="ㄷㅈㄹ" localSheetId="5" hidden="1">{#N/A,#N/A,FALSE,"BS";#N/A,#N/A,FALSE,"PL";#N/A,#N/A,FALSE,"처분";#N/A,#N/A,FALSE,"현금";#N/A,#N/A,FALSE,"매출";#N/A,#N/A,FALSE,"원가";#N/A,#N/A,FALSE,"경영"}</definedName>
    <definedName name="ㄷㅈㄹ" localSheetId="4" hidden="1">{#N/A,#N/A,FALSE,"BS";#N/A,#N/A,FALSE,"PL";#N/A,#N/A,FALSE,"처분";#N/A,#N/A,FALSE,"현금";#N/A,#N/A,FALSE,"매출";#N/A,#N/A,FALSE,"원가";#N/A,#N/A,FALSE,"경영"}</definedName>
    <definedName name="ㄷㅈㄹ" localSheetId="3" hidden="1">{#N/A,#N/A,FALSE,"BS";#N/A,#N/A,FALSE,"PL";#N/A,#N/A,FALSE,"처분";#N/A,#N/A,FALSE,"현금";#N/A,#N/A,FALSE,"매출";#N/A,#N/A,FALSE,"원가";#N/A,#N/A,FALSE,"경영"}</definedName>
    <definedName name="ㄷㅈㄹ" localSheetId="1" hidden="1">{#N/A,#N/A,FALSE,"BS";#N/A,#N/A,FALSE,"PL";#N/A,#N/A,FALSE,"처분";#N/A,#N/A,FALSE,"현금";#N/A,#N/A,FALSE,"매출";#N/A,#N/A,FALSE,"원가";#N/A,#N/A,FALSE,"경영"}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localSheetId="5" hidden="1">{#N/A,#N/A,FALSE,"Aging Summary";#N/A,#N/A,FALSE,"Ratio Analysis";#N/A,#N/A,FALSE,"Test 120 Day Accts";#N/A,#N/A,FALSE,"Tickmarks"}</definedName>
    <definedName name="ㄷㅎㄹㄴㄹㅇㅎㅇㅁㄴㅁㅎ" localSheetId="4" hidden="1">{#N/A,#N/A,FALSE,"Aging Summary";#N/A,#N/A,FALSE,"Ratio Analysis";#N/A,#N/A,FALSE,"Test 120 Day Accts";#N/A,#N/A,FALSE,"Tickmarks"}</definedName>
    <definedName name="ㄷㅎㄹㄴㄹㅇㅎㅇㅁㄴㅁㅎ" localSheetId="3" hidden="1">{#N/A,#N/A,FALSE,"Aging Summary";#N/A,#N/A,FALSE,"Ratio Analysis";#N/A,#N/A,FALSE,"Test 120 Day Accts";#N/A,#N/A,FALSE,"Tickmarks"}</definedName>
    <definedName name="ㄷㅎㄹㄴㄹㅇㅎㅇㅁㄴㅁㅎ" localSheetId="1" hidden="1">{#N/A,#N/A,FALSE,"Aging Summary";#N/A,#N/A,FALSE,"Ratio Analysis";#N/A,#N/A,FALSE,"Test 120 Day Accts";#N/A,#N/A,FALSE,"Tickmarks"}</definedName>
    <definedName name="ㄷㅎㄹㄴㄹㅇㅎㅇㅁㄴㅁㅎ" hidden="1">{#N/A,#N/A,FALSE,"Aging Summary";#N/A,#N/A,FALSE,"Ratio Analysis";#N/A,#N/A,FALSE,"Test 120 Day Accts";#N/A,#N/A,FALSE,"Tickmarks"}</definedName>
    <definedName name="다" localSheetId="5">#REF!</definedName>
    <definedName name="다" localSheetId="4">#REF!</definedName>
    <definedName name="다" localSheetId="3">#REF!</definedName>
    <definedName name="다" localSheetId="1">#REF!</definedName>
    <definedName name="다">#REF!</definedName>
    <definedName name="다른" localSheetId="3" hidden="1">#REF!</definedName>
    <definedName name="다른" localSheetId="1" hidden="1">#REF!</definedName>
    <definedName name="다른" hidden="1">#REF!</definedName>
    <definedName name="다바" localSheetId="5" hidden="1">{#N/A,#N/A,FALSE,"1.CRITERIA";#N/A,#N/A,FALSE,"2.IS";#N/A,#N/A,FALSE,"3.BS";#N/A,#N/A,FALSE,"4.PER PL";#N/A,#N/A,FALSE,"5.INVESTMENT";#N/A,#N/A,FALSE,"6.공문";#N/A,#N/A,FALSE,"7.netinvest"}</definedName>
    <definedName name="다바" localSheetId="4" hidden="1">{#N/A,#N/A,FALSE,"1.CRITERIA";#N/A,#N/A,FALSE,"2.IS";#N/A,#N/A,FALSE,"3.BS";#N/A,#N/A,FALSE,"4.PER PL";#N/A,#N/A,FALSE,"5.INVESTMENT";#N/A,#N/A,FALSE,"6.공문";#N/A,#N/A,FALSE,"7.netinvest"}</definedName>
    <definedName name="다바" localSheetId="3" hidden="1">{#N/A,#N/A,FALSE,"1.CRITERIA";#N/A,#N/A,FALSE,"2.IS";#N/A,#N/A,FALSE,"3.BS";#N/A,#N/A,FALSE,"4.PER PL";#N/A,#N/A,FALSE,"5.INVESTMENT";#N/A,#N/A,FALSE,"6.공문";#N/A,#N/A,FALSE,"7.netinvest"}</definedName>
    <definedName name="다바" localSheetId="1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 localSheetId="5">#REF!</definedName>
    <definedName name="다짐" localSheetId="4">#REF!</definedName>
    <definedName name="다짐" localSheetId="3">#REF!</definedName>
    <definedName name="다짐" localSheetId="1">#REF!</definedName>
    <definedName name="다짐">#REF!</definedName>
    <definedName name="단가" localSheetId="3">#REF!</definedName>
    <definedName name="단가" localSheetId="1">#REF!</definedName>
    <definedName name="단가">#REF!</definedName>
    <definedName name="단가1" localSheetId="3">#REF!</definedName>
    <definedName name="단가1" localSheetId="1">#REF!</definedName>
    <definedName name="단가1">#REF!</definedName>
    <definedName name="단가2" localSheetId="3">#REF!</definedName>
    <definedName name="단가2" localSheetId="1">#REF!</definedName>
    <definedName name="단가2">#REF!</definedName>
    <definedName name="단가기준" localSheetId="5" hidden="1">{#N/A,#N/A,TRUE,"Y생산";#N/A,#N/A,TRUE,"Y판매";#N/A,#N/A,TRUE,"Y총물량";#N/A,#N/A,TRUE,"Y능력";#N/A,#N/A,TRUE,"YKD"}</definedName>
    <definedName name="단가기준" localSheetId="4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기준_1" localSheetId="5" hidden="1">{#N/A,#N/A,TRUE,"Y생산";#N/A,#N/A,TRUE,"Y판매";#N/A,#N/A,TRUE,"Y총물량";#N/A,#N/A,TRUE,"Y능력";#N/A,#N/A,TRUE,"YKD"}</definedName>
    <definedName name="단가기준_1" localSheetId="4" hidden="1">{#N/A,#N/A,TRUE,"Y생산";#N/A,#N/A,TRUE,"Y판매";#N/A,#N/A,TRUE,"Y총물량";#N/A,#N/A,TRUE,"Y능력";#N/A,#N/A,TRUE,"YKD"}</definedName>
    <definedName name="단가기준_1" localSheetId="3" hidden="1">{#N/A,#N/A,TRUE,"Y생산";#N/A,#N/A,TRUE,"Y판매";#N/A,#N/A,TRUE,"Y총물량";#N/A,#N/A,TRUE,"Y능력";#N/A,#N/A,TRUE,"YKD"}</definedName>
    <definedName name="단가기준_1" localSheetId="1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 localSheetId="5">#REF!</definedName>
    <definedName name="단가표" localSheetId="4">#REF!</definedName>
    <definedName name="단가표" localSheetId="3">#REF!</definedName>
    <definedName name="단가표" localSheetId="1">#REF!</definedName>
    <definedName name="단가표">#REF!</definedName>
    <definedName name="단기" localSheetId="5" hidden="1">{#N/A,#N/A,TRUE,"Y생산";#N/A,#N/A,TRUE,"Y판매";#N/A,#N/A,TRUE,"Y총물량";#N/A,#N/A,TRUE,"Y능력";#N/A,#N/A,TRUE,"YKD"}</definedName>
    <definedName name="단기" localSheetId="4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localSheetId="5" hidden="1">{#N/A,#N/A,TRUE,"Y생산";#N/A,#N/A,TRUE,"Y판매";#N/A,#N/A,TRUE,"Y총물량";#N/A,#N/A,TRUE,"Y능력";#N/A,#N/A,TRUE,"YKD"}</definedName>
    <definedName name="단기_1" localSheetId="4" hidden="1">{#N/A,#N/A,TRUE,"Y생산";#N/A,#N/A,TRUE,"Y판매";#N/A,#N/A,TRUE,"Y총물량";#N/A,#N/A,TRUE,"Y능력";#N/A,#N/A,TRUE,"YKD"}</definedName>
    <definedName name="단기_1" localSheetId="3" hidden="1">{#N/A,#N/A,TRUE,"Y생산";#N/A,#N/A,TRUE,"Y판매";#N/A,#N/A,TRUE,"Y총물량";#N/A,#N/A,TRUE,"Y능력";#N/A,#N/A,TRUE,"YKD"}</definedName>
    <definedName name="단기_1" localSheetId="1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 localSheetId="5">#REF!</definedName>
    <definedName name="단기대여금" localSheetId="4">#REF!</definedName>
    <definedName name="단기대여금" localSheetId="3">#REF!</definedName>
    <definedName name="단기대여금" localSheetId="1">#REF!</definedName>
    <definedName name="단기대여금">#REF!</definedName>
    <definedName name="단기차입금" localSheetId="5" hidden="1">{#N/A,#N/A,FALSE,"Aging Summary";#N/A,#N/A,FALSE,"Ratio Analysis";#N/A,#N/A,FALSE,"Test 120 Day Accts";#N/A,#N/A,FALSE,"Tickmarks"}</definedName>
    <definedName name="단기차입금" localSheetId="4" hidden="1">{#N/A,#N/A,FALSE,"Aging Summary";#N/A,#N/A,FALSE,"Ratio Analysis";#N/A,#N/A,FALSE,"Test 120 Day Accts";#N/A,#N/A,FALSE,"Tickmarks"}</definedName>
    <definedName name="단기차입금" localSheetId="3" hidden="1">{#N/A,#N/A,FALSE,"Aging Summary";#N/A,#N/A,FALSE,"Ratio Analysis";#N/A,#N/A,FALSE,"Test 120 Day Accts";#N/A,#N/A,FALSE,"Tickmarks"}</definedName>
    <definedName name="단기차입금" localSheetId="1" hidden="1">{#N/A,#N/A,FALSE,"Aging Summary";#N/A,#N/A,FALSE,"Ratio Analysis";#N/A,#N/A,FALSE,"Test 120 Day Accts";#N/A,#N/A,FALSE,"Tickmarks"}</definedName>
    <definedName name="단기차입금" hidden="1">{#N/A,#N/A,FALSE,"Aging Summary";#N/A,#N/A,FALSE,"Ratio Analysis";#N/A,#N/A,FALSE,"Test 120 Day Accts";#N/A,#N/A,FALSE,"Tickmarks"}</definedName>
    <definedName name="短期借入金" localSheetId="5" hidden="1">{"'買掛金'!$J$6"}</definedName>
    <definedName name="短期借入金" localSheetId="4" hidden="1">{"'買掛金'!$J$6"}</definedName>
    <definedName name="短期借入金" localSheetId="3" hidden="1">{"'買掛金'!$J$6"}</definedName>
    <definedName name="短期借入金" localSheetId="1" hidden="1">{"'買掛金'!$J$6"}</definedName>
    <definedName name="短期借入金" hidden="1">{"'買掛金'!$J$6"}</definedName>
    <definedName name="단순" localSheetId="3">#REF!</definedName>
    <definedName name="단순" localSheetId="1">#REF!</definedName>
    <definedName name="단순">#REF!</definedName>
    <definedName name="단순라인업" localSheetId="5">#REF!</definedName>
    <definedName name="단순라인업" localSheetId="4">#REF!</definedName>
    <definedName name="단순라인업" localSheetId="3">#REF!</definedName>
    <definedName name="단순라인업" localSheetId="1">#REF!</definedName>
    <definedName name="단순라인업">#REF!</definedName>
    <definedName name="단순트럭" localSheetId="5">#REF!</definedName>
    <definedName name="단순트럭" localSheetId="4">#REF!</definedName>
    <definedName name="단순트럭" localSheetId="3">#REF!</definedName>
    <definedName name="단순트럭" localSheetId="1">#REF!</definedName>
    <definedName name="단순트럭">#REF!</definedName>
    <definedName name="단위" localSheetId="5">#REF!</definedName>
    <definedName name="단위" localSheetId="4">#REF!</definedName>
    <definedName name="단위" localSheetId="3">#REF!</definedName>
    <definedName name="단위" localSheetId="1">#REF!</definedName>
    <definedName name="단위">#REF!</definedName>
    <definedName name="單位_百萬원" localSheetId="5">#REF!</definedName>
    <definedName name="單位_百萬원" localSheetId="4">#REF!</definedName>
    <definedName name="單位_百萬원" localSheetId="3">#REF!</definedName>
    <definedName name="單位_百萬원" localSheetId="1">#REF!</definedName>
    <definedName name="單位_百萬원">#REF!</definedName>
    <definedName name="단위조정_백만" localSheetId="3">#REF!</definedName>
    <definedName name="단위조정_백만" localSheetId="1">#REF!</definedName>
    <definedName name="단위조정_백만">#REF!</definedName>
    <definedName name="單位阡원_阡￥" localSheetId="3">#REF!</definedName>
    <definedName name="單位阡원_阡￥" localSheetId="1">#REF!</definedName>
    <definedName name="單位阡원_阡￥">#REF!</definedName>
    <definedName name="단조편성표" localSheetId="5" hidden="1">{#N/A,#N/A,FALSE,"단축1";#N/A,#N/A,FALSE,"단축2";#N/A,#N/A,FALSE,"단축3";#N/A,#N/A,FALSE,"장축";#N/A,#N/A,FALSE,"4WD"}</definedName>
    <definedName name="단조편성표" localSheetId="4" hidden="1">{#N/A,#N/A,FALSE,"단축1";#N/A,#N/A,FALSE,"단축2";#N/A,#N/A,FALSE,"단축3";#N/A,#N/A,FALSE,"장축";#N/A,#N/A,FALSE,"4WD"}</definedName>
    <definedName name="단조편성표" localSheetId="3" hidden="1">{#N/A,#N/A,FALSE,"단축1";#N/A,#N/A,FALSE,"단축2";#N/A,#N/A,FALSE,"단축3";#N/A,#N/A,FALSE,"장축";#N/A,#N/A,FALSE,"4WD"}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단충" localSheetId="5">#REF!</definedName>
    <definedName name="단충" localSheetId="4">#REF!</definedName>
    <definedName name="단충" localSheetId="3">#REF!</definedName>
    <definedName name="단충" localSheetId="1">#REF!</definedName>
    <definedName name="단충">#REF!</definedName>
    <definedName name="달러환율" localSheetId="3">#REF!</definedName>
    <definedName name="달러환율" localSheetId="1">#REF!</definedName>
    <definedName name="달러환율">#REF!</definedName>
    <definedName name="달력" localSheetId="3">#REF!</definedName>
    <definedName name="달력" localSheetId="1">#REF!</definedName>
    <definedName name="달력">#REF!</definedName>
    <definedName name="달력1" localSheetId="3">#REF!</definedName>
    <definedName name="달력1" localSheetId="1">#REF!</definedName>
    <definedName name="달력1">#REF!</definedName>
    <definedName name="담보" localSheetId="5">#REF!</definedName>
    <definedName name="담보" localSheetId="4">#REF!</definedName>
    <definedName name="담보" localSheetId="3">#REF!</definedName>
    <definedName name="담보" localSheetId="1">#REF!</definedName>
    <definedName name="담보">#REF!</definedName>
    <definedName name="당" localSheetId="5" hidden="1">{#N/A,#N/A,FALSE,"BS";#N/A,#N/A,FALSE,"PL";#N/A,#N/A,FALSE,"처분";#N/A,#N/A,FALSE,"현금";#N/A,#N/A,FALSE,"매출";#N/A,#N/A,FALSE,"원가";#N/A,#N/A,FALSE,"경영"}</definedName>
    <definedName name="당" localSheetId="4" hidden="1">{#N/A,#N/A,FALSE,"BS";#N/A,#N/A,FALSE,"PL";#N/A,#N/A,FALSE,"처분";#N/A,#N/A,FALSE,"현금";#N/A,#N/A,FALSE,"매출";#N/A,#N/A,FALSE,"원가";#N/A,#N/A,FALSE,"경영"}</definedName>
    <definedName name="당" localSheetId="3" hidden="1">{#N/A,#N/A,FALSE,"BS";#N/A,#N/A,FALSE,"PL";#N/A,#N/A,FALSE,"처분";#N/A,#N/A,FALSE,"현금";#N/A,#N/A,FALSE,"매출";#N/A,#N/A,FALSE,"원가";#N/A,#N/A,FALSE,"경영"}</definedName>
    <definedName name="당" localSheetId="1" hidden="1">{#N/A,#N/A,FALSE,"BS";#N/A,#N/A,FALSE,"PL";#N/A,#N/A,FALSE,"처분";#N/A,#N/A,FALSE,"현금";#N/A,#N/A,FALSE,"매출";#N/A,#N/A,FALSE,"원가";#N/A,#N/A,FALSE,"경영"}</definedName>
    <definedName name="당" hidden="1">{#N/A,#N/A,FALSE,"BS";#N/A,#N/A,FALSE,"PL";#N/A,#N/A,FALSE,"처분";#N/A,#N/A,FALSE,"현금";#N/A,#N/A,FALSE,"매출";#N/A,#N/A,FALSE,"원가";#N/A,#N/A,FALSE,"경영"}</definedName>
    <definedName name="당기순이익" localSheetId="5">#REF!</definedName>
    <definedName name="당기순이익" localSheetId="4">#REF!</definedName>
    <definedName name="당기순이익" localSheetId="3">#REF!</definedName>
    <definedName name="당기순이익" localSheetId="1">#REF!</definedName>
    <definedName name="당기순이익">#REF!</definedName>
    <definedName name="당좌예금_5102" localSheetId="3">#REF!</definedName>
    <definedName name="당좌예금_5102" localSheetId="1">#REF!</definedName>
    <definedName name="당좌예금_5102">#REF!</definedName>
    <definedName name="당초계획" localSheetId="3" hidden="1">#REF!</definedName>
    <definedName name="당초계획" localSheetId="1" hidden="1">#REF!</definedName>
    <definedName name="당초계획" hidden="1">#REF!</definedName>
    <definedName name="대" localSheetId="3">#REF!</definedName>
    <definedName name="대" localSheetId="1">#REF!</definedName>
    <definedName name="대">#REF!</definedName>
    <definedName name="대구" localSheetId="5" hidden="1">{#N/A,#N/A,TRUE,"대 차 대 조 표"}</definedName>
    <definedName name="대구" localSheetId="4" hidden="1">{#N/A,#N/A,TRUE,"대 차 대 조 표"}</definedName>
    <definedName name="대구" localSheetId="3" hidden="1">{#N/A,#N/A,TRUE,"대 차 대 조 표"}</definedName>
    <definedName name="대구" localSheetId="1" hidden="1">{#N/A,#N/A,TRUE,"대 차 대 조 표"}</definedName>
    <definedName name="대구" hidden="1">{#N/A,#N/A,TRUE,"대 차 대 조 표"}</definedName>
    <definedName name="대구_1" localSheetId="5" hidden="1">{#N/A,#N/A,TRUE,"대 차 대 조 표"}</definedName>
    <definedName name="대구_1" localSheetId="4" hidden="1">{#N/A,#N/A,TRUE,"대 차 대 조 표"}</definedName>
    <definedName name="대구_1" localSheetId="3" hidden="1">{#N/A,#N/A,TRUE,"대 차 대 조 표"}</definedName>
    <definedName name="대구_1" localSheetId="1" hidden="1">{#N/A,#N/A,TRUE,"대 차 대 조 표"}</definedName>
    <definedName name="대구_1" hidden="1">{#N/A,#N/A,TRUE,"대 차 대 조 표"}</definedName>
    <definedName name="대방총괄" localSheetId="5" hidden="1">{#N/A,#N/A,FALSE,"단축1";#N/A,#N/A,FALSE,"단축2";#N/A,#N/A,FALSE,"단축3";#N/A,#N/A,FALSE,"장축";#N/A,#N/A,FALSE,"4WD"}</definedName>
    <definedName name="대방총괄" localSheetId="4" hidden="1">{#N/A,#N/A,FALSE,"단축1";#N/A,#N/A,FALSE,"단축2";#N/A,#N/A,FALSE,"단축3";#N/A,#N/A,FALSE,"장축";#N/A,#N/A,FALSE,"4WD"}</definedName>
    <definedName name="대방총괄" localSheetId="3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" localSheetId="5">#REF!</definedName>
    <definedName name="대변" localSheetId="4">#REF!</definedName>
    <definedName name="대변" localSheetId="3">#REF!</definedName>
    <definedName name="대변" localSheetId="1">#REF!</definedName>
    <definedName name="대변">#REF!</definedName>
    <definedName name="대본합계" localSheetId="5">#REF!</definedName>
    <definedName name="대본합계" localSheetId="4">#REF!</definedName>
    <definedName name="대본합계" localSheetId="3">#REF!</definedName>
    <definedName name="대본합계" localSheetId="1">#REF!</definedName>
    <definedName name="대본합계">#REF!</definedName>
    <definedName name="대손" localSheetId="3">#REF!</definedName>
    <definedName name="대손" localSheetId="1">#REF!</definedName>
    <definedName name="대손">#REF!</definedName>
    <definedName name="대우르망LPG" localSheetId="3">#REF!</definedName>
    <definedName name="대우르망LPG" localSheetId="1">#REF!</definedName>
    <definedName name="대우르망LPG">#REF!</definedName>
    <definedName name="대우프린스18LPG" localSheetId="3">#REF!</definedName>
    <definedName name="대우프린스18LPG" localSheetId="1">#REF!</definedName>
    <definedName name="대우프린스18LPG">#REF!</definedName>
    <definedName name="대우프린스20LPG" localSheetId="3">#REF!</definedName>
    <definedName name="대우프린스20LPG" localSheetId="1">#REF!</definedName>
    <definedName name="대우프린스20LPG">#REF!</definedName>
    <definedName name="대조립부" localSheetId="5" hidden="1">{"'호선별현황(방식)'!$K$22:$P$22","'호선별현황(방식)'!$K$22:$P$22"}</definedName>
    <definedName name="대조립부" localSheetId="4" hidden="1">{"'호선별현황(방식)'!$K$22:$P$22","'호선별현황(방식)'!$K$22:$P$22"}</definedName>
    <definedName name="대조립부" localSheetId="3" hidden="1">{"'호선별현황(방식)'!$K$22:$P$22","'호선별현황(방식)'!$K$22:$P$22"}</definedName>
    <definedName name="대조립부" localSheetId="1" hidden="1">{"'호선별현황(방식)'!$K$22:$P$22","'호선별현황(방식)'!$K$22:$P$22"}</definedName>
    <definedName name="대조립부" hidden="1">{"'호선별현황(방식)'!$K$22:$P$22","'호선별현황(방식)'!$K$22:$P$22"}</definedName>
    <definedName name="대주건">#N/A</definedName>
    <definedName name="대차" localSheetId="5">#REF!</definedName>
    <definedName name="대차" localSheetId="4">#REF!</definedName>
    <definedName name="대차" localSheetId="3">#REF!</definedName>
    <definedName name="대차" localSheetId="1">#REF!</definedName>
    <definedName name="대차">#REF!</definedName>
    <definedName name="대차123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 localSheetId="5">#REF!</definedName>
    <definedName name="대체거래" localSheetId="4">#REF!</definedName>
    <definedName name="대체거래" localSheetId="3">#REF!</definedName>
    <definedName name="대체거래" localSheetId="1">#REF!</definedName>
    <definedName name="대체거래">#REF!</definedName>
    <definedName name="대포" localSheetId="3">#REF!</definedName>
    <definedName name="대포" localSheetId="1">#REF!</definedName>
    <definedName name="대포">#REF!</definedName>
    <definedName name="대표자명_성명" localSheetId="3">#REF!</definedName>
    <definedName name="대표자명_성명" localSheetId="1">#REF!</definedName>
    <definedName name="대표자명_성명">#REF!</definedName>
    <definedName name="대한민국" localSheetId="5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4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3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1" hidden="1">{#N/A,#N/A,FALSE,"채산3501.XLS";#N/A,#N/A,FALSE,"신조수A.XLS";#N/A,#N/A,FALSE,"신조수b.XLS";#N/A,#N/A,FALSE,"채산3502.XLS";#N/A,#N/A,FALSE,"신조원리.XLS";#N/A,#N/A,FALSE,"신조감가.XLS"}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 localSheetId="5">#REF!</definedName>
    <definedName name="대회" localSheetId="4">#REF!</definedName>
    <definedName name="대회" localSheetId="3">#REF!</definedName>
    <definedName name="대회" localSheetId="1">#REF!</definedName>
    <definedName name="대회">#REF!</definedName>
    <definedName name="대흥" localSheetId="5" hidden="1">{#N/A,#N/A,TRUE,"대 차 대 조 표"}</definedName>
    <definedName name="대흥" localSheetId="4" hidden="1">{#N/A,#N/A,TRUE,"대 차 대 조 표"}</definedName>
    <definedName name="대흥" localSheetId="3" hidden="1">{#N/A,#N/A,TRUE,"대 차 대 조 표"}</definedName>
    <definedName name="대흥" localSheetId="1" hidden="1">{#N/A,#N/A,TRUE,"대 차 대 조 표"}</definedName>
    <definedName name="대흥" hidden="1">{#N/A,#N/A,TRUE,"대 차 대 조 표"}</definedName>
    <definedName name="대흥_1" localSheetId="5" hidden="1">{#N/A,#N/A,TRUE,"대 차 대 조 표"}</definedName>
    <definedName name="대흥_1" localSheetId="4" hidden="1">{#N/A,#N/A,TRUE,"대 차 대 조 표"}</definedName>
    <definedName name="대흥_1" localSheetId="3" hidden="1">{#N/A,#N/A,TRUE,"대 차 대 조 표"}</definedName>
    <definedName name="대흥_1" localSheetId="1" hidden="1">{#N/A,#N/A,TRUE,"대 차 대 조 표"}</definedName>
    <definedName name="대흥_1" hidden="1">{#N/A,#N/A,TRUE,"대 차 대 조 표"}</definedName>
    <definedName name="댜댜" hidden="1">#N/A</definedName>
    <definedName name="데이터확인" localSheetId="5">#REF!</definedName>
    <definedName name="데이터확인" localSheetId="4">#REF!</definedName>
    <definedName name="데이터확인" localSheetId="3">#REF!</definedName>
    <definedName name="데이터확인" localSheetId="1">#REF!</definedName>
    <definedName name="데이터확인">#REF!</definedName>
    <definedName name="도" localSheetId="5" hidden="1">{#N/A,#N/A,FALSE,"1.CRITERIA";#N/A,#N/A,FALSE,"2.IS";#N/A,#N/A,FALSE,"3.BS";#N/A,#N/A,FALSE,"4.PER PL";#N/A,#N/A,FALSE,"5.INVESTMENT";#N/A,#N/A,FALSE,"6.공문";#N/A,#N/A,FALSE,"7.netinvest"}</definedName>
    <definedName name="도" localSheetId="4" hidden="1">{#N/A,#N/A,FALSE,"1.CRITERIA";#N/A,#N/A,FALSE,"2.IS";#N/A,#N/A,FALSE,"3.BS";#N/A,#N/A,FALSE,"4.PER PL";#N/A,#N/A,FALSE,"5.INVESTMENT";#N/A,#N/A,FALSE,"6.공문";#N/A,#N/A,FALSE,"7.netinvest"}</definedName>
    <definedName name="도" localSheetId="3" hidden="1">{#N/A,#N/A,FALSE,"1.CRITERIA";#N/A,#N/A,FALSE,"2.IS";#N/A,#N/A,FALSE,"3.BS";#N/A,#N/A,FALSE,"4.PER PL";#N/A,#N/A,FALSE,"5.INVESTMENT";#N/A,#N/A,FALSE,"6.공문";#N/A,#N/A,FALSE,"7.netinvest"}</definedName>
    <definedName name="도" localSheetId="1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localSheetId="5" hidden="1">{"'호선별현황(방식)'!$K$22:$P$22","'호선별현황(방식)'!$K$22:$P$22"}</definedName>
    <definedName name="도장부" localSheetId="4" hidden="1">{"'호선별현황(방식)'!$K$22:$P$22","'호선별현황(방식)'!$K$22:$P$22"}</definedName>
    <definedName name="도장부" localSheetId="3" hidden="1">{"'호선별현황(방식)'!$K$22:$P$22","'호선별현황(방식)'!$K$22:$P$22"}</definedName>
    <definedName name="도장부" localSheetId="1" hidden="1">{"'호선별현황(방식)'!$K$22:$P$22","'호선별현황(방식)'!$K$22:$P$22"}</definedName>
    <definedName name="도장부" hidden="1">{"'호선별현황(방식)'!$K$22:$P$22","'호선별현황(방식)'!$K$22:$P$22"}</definedName>
    <definedName name="돋" localSheetId="5">#REF!</definedName>
    <definedName name="돋" localSheetId="4">#REF!</definedName>
    <definedName name="돋" localSheetId="3">#REF!</definedName>
    <definedName name="돋" localSheetId="1">#REF!</definedName>
    <definedName name="돋">#REF!</definedName>
    <definedName name="돌아버려" localSheetId="5" hidden="1">{"'Sheet1'!$A$1:$H$36"}</definedName>
    <definedName name="돌아버려" localSheetId="4" hidden="1">{"'Sheet1'!$A$1:$H$36"}</definedName>
    <definedName name="돌아버려" localSheetId="3" hidden="1">{"'Sheet1'!$A$1:$H$36"}</definedName>
    <definedName name="돌아버려" localSheetId="1" hidden="1">{"'Sheet1'!$A$1:$H$36"}</definedName>
    <definedName name="돌아버려" hidden="1">{"'Sheet1'!$A$1:$H$36"}</definedName>
    <definedName name="동남" localSheetId="3">#REF!</definedName>
    <definedName name="동남" localSheetId="1">#REF!</definedName>
    <definedName name="동남">#REF!</definedName>
    <definedName name="동력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localSheetId="5" hidden="1">{#N/A,#N/A,FALSE,"BS";#N/A,#N/A,FALSE,"PL";#N/A,#N/A,FALSE,"처분";#N/A,#N/A,FALSE,"현금";#N/A,#N/A,FALSE,"매출";#N/A,#N/A,FALSE,"원가";#N/A,#N/A,FALSE,"경영"}</definedName>
    <definedName name="동방" localSheetId="4" hidden="1">{#N/A,#N/A,FALSE,"BS";#N/A,#N/A,FALSE,"PL";#N/A,#N/A,FALSE,"처분";#N/A,#N/A,FALSE,"현금";#N/A,#N/A,FALSE,"매출";#N/A,#N/A,FALSE,"원가";#N/A,#N/A,FALSE,"경영"}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 localSheetId="5">#REF!</definedName>
    <definedName name="동서별2" localSheetId="4">#REF!</definedName>
    <definedName name="동서별2" localSheetId="3">#REF!</definedName>
    <definedName name="동서별2" localSheetId="1">#REF!</definedName>
    <definedName name="동서별2">#REF!</definedName>
    <definedName name="동수" localSheetId="3">#REF!</definedName>
    <definedName name="동수" localSheetId="1">#REF!</definedName>
    <definedName name="동수">#REF!</definedName>
    <definedName name="동시녹음합계" localSheetId="5">#REF!</definedName>
    <definedName name="동시녹음합계" localSheetId="4">#REF!</definedName>
    <definedName name="동시녹음합계" localSheetId="3">#REF!</definedName>
    <definedName name="동시녹음합계" localSheetId="1">#REF!</definedName>
    <definedName name="동시녹음합계">#REF!</definedName>
    <definedName name="돠" localSheetId="5" hidden="1">{#N/A,#N/A,FALSE,"1.CRITERIA";#N/A,#N/A,FALSE,"2.IS";#N/A,#N/A,FALSE,"3.BS";#N/A,#N/A,FALSE,"4.PER PL";#N/A,#N/A,FALSE,"5.INVESTMENT";#N/A,#N/A,FALSE,"6.공문";#N/A,#N/A,FALSE,"7.netinvest"}</definedName>
    <definedName name="돠" localSheetId="4" hidden="1">{#N/A,#N/A,FALSE,"1.CRITERIA";#N/A,#N/A,FALSE,"2.IS";#N/A,#N/A,FALSE,"3.BS";#N/A,#N/A,FALSE,"4.PER PL";#N/A,#N/A,FALSE,"5.INVESTMENT";#N/A,#N/A,FALSE,"6.공문";#N/A,#N/A,FALSE,"7.netinvest"}</definedName>
    <definedName name="돠" localSheetId="3" hidden="1">{#N/A,#N/A,FALSE,"1.CRITERIA";#N/A,#N/A,FALSE,"2.IS";#N/A,#N/A,FALSE,"3.BS";#N/A,#N/A,FALSE,"4.PER PL";#N/A,#N/A,FALSE,"5.INVESTMENT";#N/A,#N/A,FALSE,"6.공문";#N/A,#N/A,FALSE,"7.netinvest"}</definedName>
    <definedName name="돠" localSheetId="1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localSheetId="5" hidden="1">{#N/A,#N/A,TRUE,"대 차 대 조 표"}</definedName>
    <definedName name="돼지" localSheetId="4" hidden="1">{#N/A,#N/A,TRUE,"대 차 대 조 표"}</definedName>
    <definedName name="돼지" localSheetId="3" hidden="1">{#N/A,#N/A,TRUE,"대 차 대 조 표"}</definedName>
    <definedName name="돼지" localSheetId="1" hidden="1">{#N/A,#N/A,TRUE,"대 차 대 조 표"}</definedName>
    <definedName name="돼지" hidden="1">{#N/A,#N/A,TRUE,"대 차 대 조 표"}</definedName>
    <definedName name="돼지_1" localSheetId="5" hidden="1">{#N/A,#N/A,TRUE,"대 차 대 조 표"}</definedName>
    <definedName name="돼지_1" localSheetId="4" hidden="1">{#N/A,#N/A,TRUE,"대 차 대 조 표"}</definedName>
    <definedName name="돼지_1" localSheetId="3" hidden="1">{#N/A,#N/A,TRUE,"대 차 대 조 표"}</definedName>
    <definedName name="돼지_1" localSheetId="1" hidden="1">{#N/A,#N/A,TRUE,"대 차 대 조 표"}</definedName>
    <definedName name="돼지_1" hidden="1">{#N/A,#N/A,TRUE,"대 차 대 조 표"}</definedName>
    <definedName name="둘" localSheetId="5">#REF!</definedName>
    <definedName name="둘" localSheetId="4">#REF!</definedName>
    <definedName name="둘" localSheetId="3">#REF!</definedName>
    <definedName name="둘" localSheetId="1">#REF!</definedName>
    <definedName name="둘">#REF!</definedName>
    <definedName name="드라마명" localSheetId="5">#REF!</definedName>
    <definedName name="드라마명" localSheetId="4">#REF!</definedName>
    <definedName name="드라마명" localSheetId="3">#REF!</definedName>
    <definedName name="드라마명" localSheetId="1">#REF!</definedName>
    <definedName name="드라마명">#REF!</definedName>
    <definedName name="등록" localSheetId="3">#REF!</definedName>
    <definedName name="등록" localSheetId="1">#REF!</definedName>
    <definedName name="등록">#REF!</definedName>
    <definedName name="등록2" localSheetId="3">#REF!</definedName>
    <definedName name="등록2" localSheetId="1">#REF!</definedName>
    <definedName name="등록2">#REF!</definedName>
    <definedName name="디" localSheetId="5" hidden="1">{#N/A,#N/A,FALSE,"1.CRITERIA";#N/A,#N/A,FALSE,"2.IS";#N/A,#N/A,FALSE,"3.BS";#N/A,#N/A,FALSE,"4.PER PL";#N/A,#N/A,FALSE,"5.INVESTMENT";#N/A,#N/A,FALSE,"6.공문";#N/A,#N/A,FALSE,"7.netinvest"}</definedName>
    <definedName name="디" localSheetId="4" hidden="1">{#N/A,#N/A,FALSE,"1.CRITERIA";#N/A,#N/A,FALSE,"2.IS";#N/A,#N/A,FALSE,"3.BS";#N/A,#N/A,FALSE,"4.PER PL";#N/A,#N/A,FALSE,"5.INVESTMENT";#N/A,#N/A,FALSE,"6.공문";#N/A,#N/A,FALSE,"7.netinvest"}</definedName>
    <definedName name="디" localSheetId="3" hidden="1">{#N/A,#N/A,FALSE,"1.CRITERIA";#N/A,#N/A,FALSE,"2.IS";#N/A,#N/A,FALSE,"3.BS";#N/A,#N/A,FALSE,"4.PER PL";#N/A,#N/A,FALSE,"5.INVESTMENT";#N/A,#N/A,FALSE,"6.공문";#N/A,#N/A,FALSE,"7.netinvest"}</definedName>
    <definedName name="디" localSheetId="1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localSheetId="5" hidden="1">{#N/A,#N/A,FALSE,"단축1";#N/A,#N/A,FALSE,"단축2";#N/A,#N/A,FALSE,"단축3";#N/A,#N/A,FALSE,"장축";#N/A,#N/A,FALSE,"4WD"}</definedName>
    <definedName name="디젤1" localSheetId="4" hidden="1">{#N/A,#N/A,FALSE,"단축1";#N/A,#N/A,FALSE,"단축2";#N/A,#N/A,FALSE,"단축3";#N/A,#N/A,FALSE,"장축";#N/A,#N/A,FALSE,"4WD"}</definedName>
    <definedName name="디젤1" localSheetId="3" hidden="1">{#N/A,#N/A,FALSE,"단축1";#N/A,#N/A,FALSE,"단축2";#N/A,#N/A,FALSE,"단축3";#N/A,#N/A,FALSE,"장축";#N/A,#N/A,FALSE,"4WD"}</definedName>
    <definedName name="디젤1" localSheetId="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또왜이래" localSheetId="5" hidden="1">{"'Sheet1'!$A$1:$H$36"}</definedName>
    <definedName name="또왜이래" localSheetId="4" hidden="1">{"'Sheet1'!$A$1:$H$36"}</definedName>
    <definedName name="또왜이래" localSheetId="3" hidden="1">{"'Sheet1'!$A$1:$H$36"}</definedName>
    <definedName name="또왜이래" localSheetId="1" hidden="1">{"'Sheet1'!$A$1:$H$36"}</definedName>
    <definedName name="또왜이래" hidden="1">{"'Sheet1'!$A$1:$H$36"}</definedName>
    <definedName name="ㄹ" localSheetId="5" hidden="1">{#N/A,#N/A,FALSE,"95FW"}</definedName>
    <definedName name="ㄹ" localSheetId="4" hidden="1">{#N/A,#N/A,FALSE,"95FW"}</definedName>
    <definedName name="ㄹ" localSheetId="3" hidden="1">{#N/A,#N/A,FALSE,"95FW"}</definedName>
    <definedName name="ㄹ" localSheetId="1" hidden="1">{#N/A,#N/A,FALSE,"95FW"}</definedName>
    <definedName name="ㄹ" hidden="1">{#N/A,#N/A,FALSE,"95FW"}</definedName>
    <definedName name="ㄹ277" localSheetId="5">#REF!</definedName>
    <definedName name="ㄹ277" localSheetId="4">#REF!</definedName>
    <definedName name="ㄹ277" localSheetId="3">#REF!</definedName>
    <definedName name="ㄹ277" localSheetId="1">#REF!</definedName>
    <definedName name="ㄹ277">#REF!</definedName>
    <definedName name="ㄹㄴㅇㄹ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localSheetId="5" hidden="1">{#N/A,#N/A,TRUE,"대 차 대 조 표"}</definedName>
    <definedName name="ㄹㄹㄷㄹ" localSheetId="4" hidden="1">{#N/A,#N/A,TRUE,"대 차 대 조 표"}</definedName>
    <definedName name="ㄹㄹㄷㄹ" localSheetId="3" hidden="1">{#N/A,#N/A,TRUE,"대 차 대 조 표"}</definedName>
    <definedName name="ㄹㄹㄷㄹ" localSheetId="1" hidden="1">{#N/A,#N/A,TRUE,"대 차 대 조 표"}</definedName>
    <definedName name="ㄹㄹㄷㄹ" hidden="1">{#N/A,#N/A,TRUE,"대 차 대 조 표"}</definedName>
    <definedName name="ㄹㄹㄷㄹ_1" localSheetId="5" hidden="1">{#N/A,#N/A,TRUE,"대 차 대 조 표"}</definedName>
    <definedName name="ㄹㄹㄷㄹ_1" localSheetId="4" hidden="1">{#N/A,#N/A,TRUE,"대 차 대 조 표"}</definedName>
    <definedName name="ㄹㄹㄷㄹ_1" localSheetId="3" hidden="1">{#N/A,#N/A,TRUE,"대 차 대 조 표"}</definedName>
    <definedName name="ㄹㄹㄷㄹ_1" localSheetId="1" hidden="1">{#N/A,#N/A,TRUE,"대 차 대 조 표"}</definedName>
    <definedName name="ㄹㄹㄷㄹ_1" hidden="1">{#N/A,#N/A,TRUE,"대 차 대 조 표"}</definedName>
    <definedName name="ㄹㄹㄹ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 localSheetId="5">#REF!</definedName>
    <definedName name="ㄹㄹㄹㄹ" localSheetId="4">#REF!</definedName>
    <definedName name="ㄹㄹㄹㄹ" localSheetId="3">#REF!</definedName>
    <definedName name="ㄹㄹㄹㄹ" localSheetId="1">#REF!</definedName>
    <definedName name="ㄹㄹㄹㄹ">#REF!</definedName>
    <definedName name="ㄹㄹㄹㄹㄹ" localSheetId="5" hidden="1">{#N/A,#N/A,FALSE,"BS";#N/A,#N/A,FALSE,"PL";#N/A,#N/A,FALSE,"처분";#N/A,#N/A,FALSE,"현금";#N/A,#N/A,FALSE,"매출";#N/A,#N/A,FALSE,"원가";#N/A,#N/A,FALSE,"경영"}</definedName>
    <definedName name="ㄹㄹㄹㄹㄹ" localSheetId="4" hidden="1">{#N/A,#N/A,FALSE,"BS";#N/A,#N/A,FALSE,"PL";#N/A,#N/A,FALSE,"처분";#N/A,#N/A,FALSE,"현금";#N/A,#N/A,FALSE,"매출";#N/A,#N/A,FALSE,"원가";#N/A,#N/A,FALSE,"경영"}</definedName>
    <definedName name="ㄹㄹㄹㄹㄹ" localSheetId="3" hidden="1">{#N/A,#N/A,FALSE,"BS";#N/A,#N/A,FALSE,"PL";#N/A,#N/A,FALSE,"처분";#N/A,#N/A,FALSE,"현금";#N/A,#N/A,FALSE,"매출";#N/A,#N/A,FALSE,"원가";#N/A,#N/A,FALSE,"경영"}</definedName>
    <definedName name="ㄹㄹㄹㄹㄹ" localSheetId="1" hidden="1">{#N/A,#N/A,FALSE,"BS";#N/A,#N/A,FALSE,"PL";#N/A,#N/A,FALSE,"처분";#N/A,#N/A,FALSE,"현금";#N/A,#N/A,FALSE,"매출";#N/A,#N/A,FALSE,"원가";#N/A,#N/A,FALSE,"경영"}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 localSheetId="5">#REF!</definedName>
    <definedName name="ㄹㄹㄹㄹㄹㄹ" localSheetId="4">#REF!</definedName>
    <definedName name="ㄹㄹㄹㄹㄹㄹ" localSheetId="3">#REF!</definedName>
    <definedName name="ㄹㄹㄹㄹㄹㄹ" localSheetId="1">#REF!</definedName>
    <definedName name="ㄹㄹㄹㄹㄹㄹ">#REF!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localSheetId="5" hidden="1">{#N/A,#N/A,TRUE,"Y생산";#N/A,#N/A,TRUE,"Y판매";#N/A,#N/A,TRUE,"Y총물량";#N/A,#N/A,TRUE,"Y능력";#N/A,#N/A,TRUE,"YKD"}</definedName>
    <definedName name="ㄹㅇ" localSheetId="4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localSheetId="1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ㅁ" localSheetId="5">#REF!</definedName>
    <definedName name="ㄹㅇㄴㅁ" localSheetId="4">#REF!</definedName>
    <definedName name="ㄹㅇㄴㅁ" localSheetId="3">#REF!</definedName>
    <definedName name="ㄹㅇㄴㅁ" localSheetId="1">#REF!</definedName>
    <definedName name="ㄹㅇㄴㅁ">#REF!</definedName>
    <definedName name="ㄹㅇㄹㅇㄴㄻ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localSheetId="5" hidden="1">{#N/A,#N/A,TRUE,"Y생산";#N/A,#N/A,TRUE,"Y판매";#N/A,#N/A,TRUE,"Y총물량";#N/A,#N/A,TRUE,"Y능력";#N/A,#N/A,TRUE,"YKD"}</definedName>
    <definedName name="ㄹ히" localSheetId="4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localSheetId="1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 localSheetId="5">#REF!</definedName>
    <definedName name="라" localSheetId="4">#REF!</definedName>
    <definedName name="라" localSheetId="3">#REF!</definedName>
    <definedName name="라" localSheetId="1">#REF!</definedName>
    <definedName name="라">#REF!</definedName>
    <definedName name="라아아" localSheetId="5" hidden="1">{#N/A,#N/A,FALSE,"1.CRITERIA";#N/A,#N/A,FALSE,"2.IS";#N/A,#N/A,FALSE,"3.BS";#N/A,#N/A,FALSE,"4.PER PL";#N/A,#N/A,FALSE,"5.INVESTMENT";#N/A,#N/A,FALSE,"6.공문";#N/A,#N/A,FALSE,"7.netinvest"}</definedName>
    <definedName name="라아아" localSheetId="4" hidden="1">{#N/A,#N/A,FALSE,"1.CRITERIA";#N/A,#N/A,FALSE,"2.IS";#N/A,#N/A,FALSE,"3.BS";#N/A,#N/A,FALSE,"4.PER PL";#N/A,#N/A,FALSE,"5.INVESTMENT";#N/A,#N/A,FALSE,"6.공문";#N/A,#N/A,FALSE,"7.netinvest"}</definedName>
    <definedName name="라아아" localSheetId="3" hidden="1">{#N/A,#N/A,FALSE,"1.CRITERIA";#N/A,#N/A,FALSE,"2.IS";#N/A,#N/A,FALSE,"3.BS";#N/A,#N/A,FALSE,"4.PER PL";#N/A,#N/A,FALSE,"5.INVESTMENT";#N/A,#N/A,FALSE,"6.공문";#N/A,#N/A,FALSE,"7.netinvest"}</definedName>
    <definedName name="라아아" localSheetId="1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localSheetId="5" hidden="1">{#N/A,#N/A,FALSE,"1.CRITERIA";#N/A,#N/A,FALSE,"2.IS";#N/A,#N/A,FALSE,"3.BS";#N/A,#N/A,FALSE,"4.PER PL";#N/A,#N/A,FALSE,"5.INVESTMENT";#N/A,#N/A,FALSE,"6.공문";#N/A,#N/A,FALSE,"7.netinvest"}</definedName>
    <definedName name="랴" localSheetId="4" hidden="1">{#N/A,#N/A,FALSE,"1.CRITERIA";#N/A,#N/A,FALSE,"2.IS";#N/A,#N/A,FALSE,"3.BS";#N/A,#N/A,FALSE,"4.PER PL";#N/A,#N/A,FALSE,"5.INVESTMENT";#N/A,#N/A,FALSE,"6.공문";#N/A,#N/A,FALSE,"7.netinvest"}</definedName>
    <definedName name="랴" localSheetId="3" hidden="1">{#N/A,#N/A,FALSE,"1.CRITERIA";#N/A,#N/A,FALSE,"2.IS";#N/A,#N/A,FALSE,"3.BS";#N/A,#N/A,FALSE,"4.PER PL";#N/A,#N/A,FALSE,"5.INVESTMENT";#N/A,#N/A,FALSE,"6.공문";#N/A,#N/A,FALSE,"7.netinvest"}</definedName>
    <definedName name="랴" localSheetId="1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 localSheetId="5">#REF!</definedName>
    <definedName name="러시아26" localSheetId="4">#REF!</definedName>
    <definedName name="러시아26" localSheetId="3">#REF!</definedName>
    <definedName name="러시아26" localSheetId="1">#REF!</definedName>
    <definedName name="러시아26">#REF!</definedName>
    <definedName name="러ㅏㅇ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 localSheetId="3">OFFSET(#REF!,0,0,COUNTA(#REF!)-1,1)</definedName>
    <definedName name="레이젠" localSheetId="1">OFFSET(#REF!,0,0,COUNTA(#REF!)-1,1)</definedName>
    <definedName name="레이젠">OFFSET(#REF!,0,0,COUNTA(#REF!)-1,1)</definedName>
    <definedName name="로" localSheetId="5" hidden="1">{#N/A,#N/A,FALSE,"1.CRITERIA";#N/A,#N/A,FALSE,"2.IS";#N/A,#N/A,FALSE,"3.BS";#N/A,#N/A,FALSE,"4.PER PL";#N/A,#N/A,FALSE,"5.INVESTMENT";#N/A,#N/A,FALSE,"6.공문";#N/A,#N/A,FALSE,"7.netinvest"}</definedName>
    <definedName name="로" localSheetId="4" hidden="1">{#N/A,#N/A,FALSE,"1.CRITERIA";#N/A,#N/A,FALSE,"2.IS";#N/A,#N/A,FALSE,"3.BS";#N/A,#N/A,FALSE,"4.PER PL";#N/A,#N/A,FALSE,"5.INVESTMENT";#N/A,#N/A,FALSE,"6.공문";#N/A,#N/A,FALSE,"7.netinvest"}</definedName>
    <definedName name="로" localSheetId="3" hidden="1">{#N/A,#N/A,FALSE,"1.CRITERIA";#N/A,#N/A,FALSE,"2.IS";#N/A,#N/A,FALSE,"3.BS";#N/A,#N/A,FALSE,"4.PER PL";#N/A,#N/A,FALSE,"5.INVESTMENT";#N/A,#N/A,FALSE,"6.공문";#N/A,#N/A,FALSE,"7.netinvest"}</definedName>
    <definedName name="로" localSheetId="1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localSheetId="5" hidden="1">{#N/A,#N/A,FALSE,"1.CRITERIA";#N/A,#N/A,FALSE,"2.IS";#N/A,#N/A,FALSE,"3.BS";#N/A,#N/A,FALSE,"4.PER PL";#N/A,#N/A,FALSE,"5.INVESTMENT";#N/A,#N/A,FALSE,"6.공문";#N/A,#N/A,FALSE,"7.netinvest"}</definedName>
    <definedName name="류" localSheetId="4" hidden="1">{#N/A,#N/A,FALSE,"1.CRITERIA";#N/A,#N/A,FALSE,"2.IS";#N/A,#N/A,FALSE,"3.BS";#N/A,#N/A,FALSE,"4.PER PL";#N/A,#N/A,FALSE,"5.INVESTMENT";#N/A,#N/A,FALSE,"6.공문";#N/A,#N/A,FALSE,"7.netinvest"}</definedName>
    <definedName name="류" localSheetId="3" hidden="1">{#N/A,#N/A,FALSE,"1.CRITERIA";#N/A,#N/A,FALSE,"2.IS";#N/A,#N/A,FALSE,"3.BS";#N/A,#N/A,FALSE,"4.PER PL";#N/A,#N/A,FALSE,"5.INVESTMENT";#N/A,#N/A,FALSE,"6.공문";#N/A,#N/A,FALSE,"7.netinvest"}</definedName>
    <definedName name="류" localSheetId="1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5" hidden="1">#REF!</definedName>
    <definedName name="리" localSheetId="4" hidden="1">#REF!</definedName>
    <definedName name="리" localSheetId="3" hidden="1">#REF!</definedName>
    <definedName name="리" localSheetId="1" hidden="1">#REF!</definedName>
    <definedName name="리" hidden="1">#REF!</definedName>
    <definedName name="리비" localSheetId="3" hidden="1">#REF!</definedName>
    <definedName name="리비" localSheetId="1" hidden="1">#REF!</definedName>
    <definedName name="리비" hidden="1">#REF!</definedName>
    <definedName name="리비아" localSheetId="3" hidden="1">#REF!</definedName>
    <definedName name="리비아" localSheetId="1" hidden="1">#REF!</definedName>
    <definedName name="리비아" hidden="1">#REF!</definedName>
    <definedName name="리비아아" localSheetId="3" hidden="1">#REF!</definedName>
    <definedName name="리비아아" localSheetId="1" hidden="1">#REF!</definedName>
    <definedName name="리비아아" hidden="1">#REF!</definedName>
    <definedName name="裏書譲渡手形" localSheetId="5" hidden="1">{"'買掛金'!$J$6"}</definedName>
    <definedName name="裏書譲渡手形" localSheetId="4" hidden="1">{"'買掛金'!$J$6"}</definedName>
    <definedName name="裏書譲渡手形" localSheetId="3" hidden="1">{"'買掛金'!$J$6"}</definedName>
    <definedName name="裏書譲渡手形" localSheetId="1" hidden="1">{"'買掛金'!$J$6"}</definedName>
    <definedName name="裏書譲渡手形" hidden="1">{"'買掛金'!$J$6"}</definedName>
    <definedName name="린다앤영" localSheetId="3">#REF!</definedName>
    <definedName name="린다앤영" localSheetId="1">#REF!</definedName>
    <definedName name="린다앤영">#REF!</definedName>
    <definedName name="ㄺ" localSheetId="5" hidden="1">{#N/A,#N/A,FALSE,"Aging Summary";#N/A,#N/A,FALSE,"Ratio Analysis";#N/A,#N/A,FALSE,"Test 120 Day Accts";#N/A,#N/A,FALSE,"Tickmarks"}</definedName>
    <definedName name="ㄺ" localSheetId="4" hidden="1">{#N/A,#N/A,FALSE,"Aging Summary";#N/A,#N/A,FALSE,"Ratio Analysis";#N/A,#N/A,FALSE,"Test 120 Day Accts";#N/A,#N/A,FALSE,"Tickmarks"}</definedName>
    <definedName name="ㄺ" localSheetId="3" hidden="1">{#N/A,#N/A,FALSE,"Aging Summary";#N/A,#N/A,FALSE,"Ratio Analysis";#N/A,#N/A,FALSE,"Test 120 Day Accts";#N/A,#N/A,FALSE,"Tickmarks"}</definedName>
    <definedName name="ㄺ" localSheetId="1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ㅅ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localSheetId="5" hidden="1">{#N/A,#N/A,FALSE,"Aging Summary";#N/A,#N/A,FALSE,"Ratio Analysis";#N/A,#N/A,FALSE,"Test 120 Day Accts";#N/A,#N/A,FALSE,"Tickmarks"}</definedName>
    <definedName name="ㄻㄴㄻㅇㄹㅇㅁㄹ" localSheetId="4" hidden="1">{#N/A,#N/A,FALSE,"Aging Summary";#N/A,#N/A,FALSE,"Ratio Analysis";#N/A,#N/A,FALSE,"Test 120 Day Accts";#N/A,#N/A,FALSE,"Tickmarks"}</definedName>
    <definedName name="ㄻㄴㄻㅇㄹㅇㅁㄹ" localSheetId="3" hidden="1">{#N/A,#N/A,FALSE,"Aging Summary";#N/A,#N/A,FALSE,"Ratio Analysis";#N/A,#N/A,FALSE,"Test 120 Day Accts";#N/A,#N/A,FALSE,"Tickmarks"}</definedName>
    <definedName name="ㄻㄴㄻㅇㄹㅇㅁㄹ" localSheetId="1" hidden="1">{#N/A,#N/A,FALSE,"Aging Summary";#N/A,#N/A,FALSE,"Ratio Analysis";#N/A,#N/A,FALSE,"Test 120 Day Accts";#N/A,#N/A,FALSE,"Tickmarks"}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localSheetId="5" hidden="1">{#N/A,#N/A,TRUE,"Y생산";#N/A,#N/A,TRUE,"Y판매";#N/A,#N/A,TRUE,"Y총물량";#N/A,#N/A,TRUE,"Y능력";#N/A,#N/A,TRUE,"YKD"}</definedName>
    <definedName name="ㅁ" localSheetId="4" hidden="1">{#N/A,#N/A,TRUE,"Y생산";#N/A,#N/A,TRUE,"Y판매";#N/A,#N/A,TRUE,"Y총물량";#N/A,#N/A,TRUE,"Y능력";#N/A,#N/A,TRUE,"YKD"}</definedName>
    <definedName name="ㅁ" localSheetId="3" hidden="1">{#N/A,#N/A,TRUE,"Y생산";#N/A,#N/A,TRUE,"Y판매";#N/A,#N/A,TRUE,"Y총물량";#N/A,#N/A,TRUE,"Y능력";#N/A,#N/A,TRUE,"YKD"}</definedName>
    <definedName name="ㅁ" localSheetId="1" hidden="1">{#N/A,#N/A,TRUE,"Y생산";#N/A,#N/A,TRUE,"Y판매";#N/A,#N/A,TRUE,"Y총물량";#N/A,#N/A,TRUE,"Y능력";#N/A,#N/A,TRUE,"YKD"}</definedName>
    <definedName name="ㅁ" hidden="1">{#N/A,#N/A,TRUE,"Y생산";#N/A,#N/A,TRUE,"Y판매";#N/A,#N/A,TRUE,"Y총물량";#N/A,#N/A,TRUE,"Y능력";#N/A,#N/A,TRUE,"YKD"}</definedName>
    <definedName name="ㅁ1" localSheetId="5">#REF!</definedName>
    <definedName name="ㅁ1" localSheetId="4">#REF!</definedName>
    <definedName name="ㅁ1" localSheetId="3">#REF!</definedName>
    <definedName name="ㅁ1" localSheetId="1">#REF!</definedName>
    <definedName name="ㅁ1">#REF!</definedName>
    <definedName name="ㅁ130" localSheetId="3">#REF!</definedName>
    <definedName name="ㅁ130" localSheetId="1">#REF!</definedName>
    <definedName name="ㅁ130">#REF!</definedName>
    <definedName name="ㅁ1430" localSheetId="3">#REF!</definedName>
    <definedName name="ㅁ1430" localSheetId="1">#REF!</definedName>
    <definedName name="ㅁ1430">#REF!</definedName>
    <definedName name="ㅁ169" localSheetId="5">#REF!</definedName>
    <definedName name="ㅁ169" localSheetId="4">#REF!</definedName>
    <definedName name="ㅁ169" localSheetId="3">#REF!</definedName>
    <definedName name="ㅁ169" localSheetId="1">#REF!</definedName>
    <definedName name="ㅁ169">#REF!</definedName>
    <definedName name="ㅁ2" localSheetId="3">#REF!</definedName>
    <definedName name="ㅁ2" localSheetId="1">#REF!</definedName>
    <definedName name="ㅁ2">#REF!</definedName>
    <definedName name="ㅁ35" localSheetId="5">#REF!</definedName>
    <definedName name="ㅁ35" localSheetId="4">#REF!</definedName>
    <definedName name="ㅁ35" localSheetId="3">#REF!</definedName>
    <definedName name="ㅁ35" localSheetId="1">#REF!</definedName>
    <definedName name="ㅁ35">#REF!</definedName>
    <definedName name="ㅁㄴ" localSheetId="5" hidden="1">{#N/A,#N/A,TRUE,"매출진척-1";#N/A,#N/A,TRUE,"매출진척-2";#N/A,#N/A,TRUE,"제품실적";#N/A,#N/A,TRUE,"RAC";#N/A,#N/A,TRUE,"PAC ";#N/A,#N/A,TRUE,"재고현황";#N/A,#N/A,TRUE,"공지사항"}</definedName>
    <definedName name="ㅁㄴ" localSheetId="4" hidden="1">{#N/A,#N/A,TRUE,"매출진척-1";#N/A,#N/A,TRUE,"매출진척-2";#N/A,#N/A,TRUE,"제품실적";#N/A,#N/A,TRUE,"RAC";#N/A,#N/A,TRUE,"PAC ";#N/A,#N/A,TRUE,"재고현황";#N/A,#N/A,TRUE,"공지사항"}</definedName>
    <definedName name="ㅁㄴ" localSheetId="3" hidden="1">{#N/A,#N/A,TRUE,"매출진척-1";#N/A,#N/A,TRUE,"매출진척-2";#N/A,#N/A,TRUE,"제품실적";#N/A,#N/A,TRUE,"RAC";#N/A,#N/A,TRUE,"PAC ";#N/A,#N/A,TRUE,"재고현황";#N/A,#N/A,TRUE,"공지사항"}</definedName>
    <definedName name="ㅁㄴ" localSheetId="1" hidden="1">{#N/A,#N/A,TRUE,"매출진척-1";#N/A,#N/A,TRUE,"매출진척-2";#N/A,#N/A,TRUE,"제품실적";#N/A,#N/A,TRUE,"RAC";#N/A,#N/A,TRUE,"PAC ";#N/A,#N/A,TRUE,"재고현황";#N/A,#N/A,TRUE,"공지사항"}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localSheetId="5" hidden="1">{#N/A,#N/A,FALSE,"95FW"}</definedName>
    <definedName name="ㅁㄴㅁㄴㅁ" localSheetId="4" hidden="1">{#N/A,#N/A,FALSE,"95FW"}</definedName>
    <definedName name="ㅁㄴㅁㄴㅁ" localSheetId="3" hidden="1">{#N/A,#N/A,FALSE,"95FW"}</definedName>
    <definedName name="ㅁㄴㅁㄴㅁ" localSheetId="1" hidden="1">{#N/A,#N/A,FALSE,"95FW"}</definedName>
    <definedName name="ㅁㄴㅁㄴㅁ" hidden="1">{#N/A,#N/A,FALSE,"95FW"}</definedName>
    <definedName name="ㅁㄴㅇ" localSheetId="5" hidden="1">{#N/A,#N/A,FALSE,"단축1";#N/A,#N/A,FALSE,"단축2";#N/A,#N/A,FALSE,"단축3";#N/A,#N/A,FALSE,"장축";#N/A,#N/A,FALSE,"4WD"}</definedName>
    <definedName name="ㅁㄴㅇ" localSheetId="4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5">#REF!</definedName>
    <definedName name="ㅁㄴㅇㄹ" localSheetId="4">#REF!</definedName>
    <definedName name="ㅁㄴㅇㄹ" localSheetId="3">#REF!</definedName>
    <definedName name="ㅁㄴㅇㄹ" localSheetId="1">#REF!</definedName>
    <definedName name="ㅁㄴㅇㄹ">#REF!</definedName>
    <definedName name="ㅁㄴㅇㅁㄴㅇ" localSheetId="5" hidden="1">{#N/A,#N/A,TRUE,"Y생산";#N/A,#N/A,TRUE,"Y판매";#N/A,#N/A,TRUE,"Y총물량";#N/A,#N/A,TRUE,"Y능력";#N/A,#N/A,TRUE,"YKD"}</definedName>
    <definedName name="ㅁㄴㅇㅁㄴㅇ" localSheetId="4" hidden="1">{#N/A,#N/A,TRUE,"Y생산";#N/A,#N/A,TRUE,"Y판매";#N/A,#N/A,TRUE,"Y총물량";#N/A,#N/A,TRUE,"Y능력";#N/A,#N/A,TRUE,"YKD"}</definedName>
    <definedName name="ㅁㄴㅇㅁㄴㅇ" localSheetId="3" hidden="1">{#N/A,#N/A,TRUE,"Y생산";#N/A,#N/A,TRUE,"Y판매";#N/A,#N/A,TRUE,"Y총물량";#N/A,#N/A,TRUE,"Y능력";#N/A,#N/A,TRUE,"YKD"}</definedName>
    <definedName name="ㅁㄴㅇㅁㄴㅇ" localSheetId="1" hidden="1">{#N/A,#N/A,TRUE,"Y생산";#N/A,#N/A,TRUE,"Y판매";#N/A,#N/A,TRUE,"Y총물량";#N/A,#N/A,TRUE,"Y능력";#N/A,#N/A,TRUE,"YKD"}</definedName>
    <definedName name="ㅁㄴㅇㅁㄴㅇ" hidden="1">{#N/A,#N/A,TRUE,"Y생산";#N/A,#N/A,TRUE,"Y판매";#N/A,#N/A,TRUE,"Y총물량";#N/A,#N/A,TRUE,"Y능력";#N/A,#N/A,TRUE,"YKD"}</definedName>
    <definedName name="ㅁㄴㅇㅁㄴㅇ_1" localSheetId="5" hidden="1">{#N/A,#N/A,TRUE,"Y생산";#N/A,#N/A,TRUE,"Y판매";#N/A,#N/A,TRUE,"Y총물량";#N/A,#N/A,TRUE,"Y능력";#N/A,#N/A,TRUE,"YKD"}</definedName>
    <definedName name="ㅁㄴㅇㅁㄴㅇ_1" localSheetId="4" hidden="1">{#N/A,#N/A,TRUE,"Y생산";#N/A,#N/A,TRUE,"Y판매";#N/A,#N/A,TRUE,"Y총물량";#N/A,#N/A,TRUE,"Y능력";#N/A,#N/A,TRUE,"YKD"}</definedName>
    <definedName name="ㅁㄴㅇㅁㄴㅇ_1" localSheetId="3" hidden="1">{#N/A,#N/A,TRUE,"Y생산";#N/A,#N/A,TRUE,"Y판매";#N/A,#N/A,TRUE,"Y총물량";#N/A,#N/A,TRUE,"Y능력";#N/A,#N/A,TRUE,"YKD"}</definedName>
    <definedName name="ㅁㄴㅇㅁㄴㅇ_1" localSheetId="1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localSheetId="5" hidden="1">{#N/A,#N/A,TRUE,"Y생산";#N/A,#N/A,TRUE,"Y판매";#N/A,#N/A,TRUE,"Y총물량";#N/A,#N/A,TRUE,"Y능력";#N/A,#N/A,TRUE,"YKD"}</definedName>
    <definedName name="ㅁㄴㅇㅁㄴㅇㅁ" localSheetId="4" hidden="1">{#N/A,#N/A,TRUE,"Y생산";#N/A,#N/A,TRUE,"Y판매";#N/A,#N/A,TRUE,"Y총물량";#N/A,#N/A,TRUE,"Y능력";#N/A,#N/A,TRUE,"YKD"}</definedName>
    <definedName name="ㅁㄴㅇㅁㄴㅇㅁ" localSheetId="3" hidden="1">{#N/A,#N/A,TRUE,"Y생산";#N/A,#N/A,TRUE,"Y판매";#N/A,#N/A,TRUE,"Y총물량";#N/A,#N/A,TRUE,"Y능력";#N/A,#N/A,TRUE,"YKD"}</definedName>
    <definedName name="ㅁㄴㅇㅁㄴㅇㅁ" localSheetId="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localSheetId="5" hidden="1">{#N/A,#N/A,TRUE,"Y생산";#N/A,#N/A,TRUE,"Y판매";#N/A,#N/A,TRUE,"Y총물량";#N/A,#N/A,TRUE,"Y능력";#N/A,#N/A,TRUE,"YKD"}</definedName>
    <definedName name="ㅁㄴㅇㅁㄴㅇㅁ_1" localSheetId="4" hidden="1">{#N/A,#N/A,TRUE,"Y생산";#N/A,#N/A,TRUE,"Y판매";#N/A,#N/A,TRUE,"Y총물량";#N/A,#N/A,TRUE,"Y능력";#N/A,#N/A,TRUE,"YKD"}</definedName>
    <definedName name="ㅁㄴㅇㅁㄴㅇㅁ_1" localSheetId="3" hidden="1">{#N/A,#N/A,TRUE,"Y생산";#N/A,#N/A,TRUE,"Y판매";#N/A,#N/A,TRUE,"Y총물량";#N/A,#N/A,TRUE,"Y능력";#N/A,#N/A,TRUE,"YKD"}</definedName>
    <definedName name="ㅁㄴㅇㅁㄴㅇㅁ_1" localSheetId="1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 localSheetId="5">#REF!</definedName>
    <definedName name="ㅁㄴㅇㅈ" localSheetId="4">#REF!</definedName>
    <definedName name="ㅁㄴㅇㅈ" localSheetId="3">#REF!</definedName>
    <definedName name="ㅁㄴㅇㅈ" localSheetId="1">#REF!</definedName>
    <definedName name="ㅁㄴㅇㅈ">#REF!</definedName>
    <definedName name="ㅁㄴㅇㅈㄷ" localSheetId="3">#REF!</definedName>
    <definedName name="ㅁㄴㅇㅈㄷ" localSheetId="1">#REF!</definedName>
    <definedName name="ㅁㄴㅇㅈㄷ">#REF!</definedName>
    <definedName name="ㅁ나ㅣ어리마ㅗㅇ호미오히ㅏ몬이호" localSheetId="5" hidden="1">{#N/A,#N/A,FALSE,"Aging Summary";#N/A,#N/A,FALSE,"Ratio Analysis";#N/A,#N/A,FALSE,"Test 120 Day Accts";#N/A,#N/A,FALSE,"Tickmarks"}</definedName>
    <definedName name="ㅁ나ㅣ어리마ㅗㅇ호미오히ㅏ몬이호" localSheetId="4" hidden="1">{#N/A,#N/A,FALSE,"Aging Summary";#N/A,#N/A,FALSE,"Ratio Analysis";#N/A,#N/A,FALSE,"Test 120 Day Accts";#N/A,#N/A,FALSE,"Tickmarks"}</definedName>
    <definedName name="ㅁ나ㅣ어리마ㅗㅇ호미오히ㅏ몬이호" localSheetId="3" hidden="1">{#N/A,#N/A,FALSE,"Aging Summary";#N/A,#N/A,FALSE,"Ratio Analysis";#N/A,#N/A,FALSE,"Test 120 Day Accts";#N/A,#N/A,FALSE,"Tickmarks"}</definedName>
    <definedName name="ㅁ나ㅣ어리마ㅗㅇ호미오히ㅏ몬이호" localSheetId="1" hidden="1">{#N/A,#N/A,FALSE,"Aging Summary";#N/A,#N/A,FALSE,"Ratio Analysis";#N/A,#N/A,FALSE,"Test 120 Day Accts";#N/A,#N/A,FALSE,"Tickmarks"}</definedName>
    <definedName name="ㅁ나ㅣ어리마ㅗㅇ호미오히ㅏ몬이호" hidden="1">{#N/A,#N/A,FALSE,"Aging Summary";#N/A,#N/A,FALSE,"Ratio Analysis";#N/A,#N/A,FALSE,"Test 120 Day Accts";#N/A,#N/A,FALSE,"Tickmarks"}</definedName>
    <definedName name="ㅁㄷ" localSheetId="5" hidden="1">#REF!</definedName>
    <definedName name="ㅁㄷ" localSheetId="4" hidden="1">#REF!</definedName>
    <definedName name="ㅁㄷ" localSheetId="3" hidden="1">#REF!</definedName>
    <definedName name="ㅁㄷ" localSheetId="1" hidden="1">#REF!</definedName>
    <definedName name="ㅁㄷ" hidden="1">#REF!</definedName>
    <definedName name="ㅁㄹ" localSheetId="5">VLOOKUP(#REF!,Cash_after!요금,2)</definedName>
    <definedName name="ㅁㄹ" localSheetId="4">VLOOKUP(#REF!,Cash_before!요금,2)</definedName>
    <definedName name="ㅁㄹ" localSheetId="3">VLOOKUP(#REF!,Inven_after!요금,2)</definedName>
    <definedName name="ㅁㄹ" localSheetId="1">VLOOKUP(#REF!,PL_after!요금,2)</definedName>
    <definedName name="ㅁㄹ">VLOOKUP(#REF!,요금,2)</definedName>
    <definedName name="ㅁㄹㄹㄹㄹ" localSheetId="5">VLOOKUP(#REF!,Cash_after!요금,2)</definedName>
    <definedName name="ㅁㄹㄹㄹㄹ" localSheetId="4">VLOOKUP(#REF!,Cash_before!요금,2)</definedName>
    <definedName name="ㅁㄹㄹㄹㄹ" localSheetId="3">VLOOKUP(#REF!,#REF!,2)</definedName>
    <definedName name="ㅁㄹㄹㄹㄹ" localSheetId="1">VLOOKUP(#REF!,#REF!,2)</definedName>
    <definedName name="ㅁㄹㄹㄹㄹ">VLOOKUP(#REF!,#REF!,2)</definedName>
    <definedName name="ㅁㄹㅇㅁㄴㅇㄹ">#N/A</definedName>
    <definedName name="ㅁㄹㅇㅁㄴㅇㄻㄴㅇㄹ">#N/A</definedName>
    <definedName name="ㅁㅁ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 localSheetId="5">#REF!</definedName>
    <definedName name="ㅁㅁAA" localSheetId="4">#REF!</definedName>
    <definedName name="ㅁㅁAA" localSheetId="3">#REF!</definedName>
    <definedName name="ㅁㅁAA" localSheetId="1">#REF!</definedName>
    <definedName name="ㅁㅁAA">#REF!</definedName>
    <definedName name="ㅁㅁㅁ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 localSheetId="5">#REF!</definedName>
    <definedName name="ㅁㅁㅁㄹㄹ" localSheetId="4">#REF!</definedName>
    <definedName name="ㅁㅁㅁㄹㄹ" localSheetId="3">#REF!</definedName>
    <definedName name="ㅁㅁㅁㄹㄹ" localSheetId="1">#REF!</definedName>
    <definedName name="ㅁㅁㅁㄹㄹ">#REF!</definedName>
    <definedName name="ㅁㅁㅁㅁ" localSheetId="5" hidden="1">{#N/A,#N/A,FALSE,"Aging Summary";#N/A,#N/A,FALSE,"Ratio Analysis";#N/A,#N/A,FALSE,"Test 120 Day Accts";#N/A,#N/A,FALSE,"Tickmarks"}</definedName>
    <definedName name="ㅁㅁㅁㅁ" localSheetId="4" hidden="1">{#N/A,#N/A,FALSE,"Aging Summary";#N/A,#N/A,FALSE,"Ratio Analysis";#N/A,#N/A,FALSE,"Test 120 Day Accts";#N/A,#N/A,FALSE,"Tickmarks"}</definedName>
    <definedName name="ㅁㅁㅁㅁ" localSheetId="3" hidden="1">{#N/A,#N/A,FALSE,"Aging Summary";#N/A,#N/A,FALSE,"Ratio Analysis";#N/A,#N/A,FALSE,"Test 120 Day Accts";#N/A,#N/A,FALSE,"Tickmarks"}</definedName>
    <definedName name="ㅁㅁㅁㅁ" localSheetId="1" hidden="1">{#N/A,#N/A,FALSE,"Aging Summary";#N/A,#N/A,FALSE,"Ratio Analysis";#N/A,#N/A,FALSE,"Test 120 Day Accts";#N/A,#N/A,FALSE,"Tickmarks"}</definedName>
    <definedName name="ㅁㅁㅁㅁ" hidden="1">{#N/A,#N/A,FALSE,"Aging Summary";#N/A,#N/A,FALSE,"Ratio Analysis";#N/A,#N/A,FALSE,"Test 120 Day Accts";#N/A,#N/A,FALSE,"Tickmarks"}</definedName>
    <definedName name="ㅁㅁㅁㅁㅁ" localSheetId="5">#REF!</definedName>
    <definedName name="ㅁㅁㅁㅁㅁ" localSheetId="4">#REF!</definedName>
    <definedName name="ㅁㅁㅁㅁㅁ" localSheetId="3">#REF!</definedName>
    <definedName name="ㅁㅁㅁㅁㅁ" localSheetId="1">#REF!</definedName>
    <definedName name="ㅁㅁㅁㅁㅁ">#REF!</definedName>
    <definedName name="ㅁㅁㅁㅁㅁㅁ" localSheetId="3">#REF!</definedName>
    <definedName name="ㅁㅁㅁㅁㅁㅁ" localSheetId="1">#REF!</definedName>
    <definedName name="ㅁㅁㅁㅁㅁㅁ">#REF!</definedName>
    <definedName name="ㅁㅁㅁㅁㅁㅁㅁ" localSheetId="3">#REF!</definedName>
    <definedName name="ㅁㅁㅁㅁㅁㅁㅁ" localSheetId="1">#REF!</definedName>
    <definedName name="ㅁㅁㅁㅁㅁㅁㅁ">#REF!</definedName>
    <definedName name="ㅁㅁㅁㅁㅁㅁㅁㅁㅁㅁ" localSheetId="5" hidden="1">{#N/A,#N/A,FALSE,"단축1";#N/A,#N/A,FALSE,"단축2";#N/A,#N/A,FALSE,"단축3";#N/A,#N/A,FALSE,"장축";#N/A,#N/A,FALSE,"4WD"}</definedName>
    <definedName name="ㅁㅁㅁㅁㅁㅁㅁㅁㅁㅁ" localSheetId="4" hidden="1">{#N/A,#N/A,FALSE,"단축1";#N/A,#N/A,FALSE,"단축2";#N/A,#N/A,FALSE,"단축3";#N/A,#N/A,FALSE,"장축";#N/A,#N/A,FALSE,"4WD"}</definedName>
    <definedName name="ㅁㅁㅁㅁㅁㅁㅁㅁㅁㅁ" localSheetId="3" hidden="1">{#N/A,#N/A,FALSE,"단축1";#N/A,#N/A,FALSE,"단축2";#N/A,#N/A,FALSE,"단축3";#N/A,#N/A,FALSE,"장축";#N/A,#N/A,FALSE,"4WD"}</definedName>
    <definedName name="ㅁㅁㅁㅁㅁㅁㅁㅁㅁㅁ" localSheetId="1" hidden="1">{#N/A,#N/A,FALSE,"단축1";#N/A,#N/A,FALSE,"단축2";#N/A,#N/A,FALSE,"단축3";#N/A,#N/A,FALSE,"장축";#N/A,#N/A,FALSE,"4WD"}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 localSheetId="5">#REF!</definedName>
    <definedName name="ㅁㅁㅁㅁㅁㅁㅁㅁㅁㅁㅁㅁㅁㅁ" localSheetId="4">#REF!</definedName>
    <definedName name="ㅁㅁㅁㅁㅁㅁㅁㅁㅁㅁㅁㅁㅁㅁ" localSheetId="3">#REF!</definedName>
    <definedName name="ㅁㅁㅁㅁㅁㅁㅁㅁㅁㅁㅁㅁㅁㅁ" localSheetId="1">#REF!</definedName>
    <definedName name="ㅁㅁㅁㅁㅁㅁㅁㅁㅁㅁㅁㅁㅁㅁ">#REF!</definedName>
    <definedName name="ㅁㅇ" localSheetId="5" hidden="1">{#N/A,#N/A,FALSE,"BS";#N/A,#N/A,FALSE,"PL";#N/A,#N/A,FALSE,"처분";#N/A,#N/A,FALSE,"현금";#N/A,#N/A,FALSE,"매출";#N/A,#N/A,FALSE,"원가";#N/A,#N/A,FALSE,"경영"}</definedName>
    <definedName name="ㅁㅇ" localSheetId="4" hidden="1">{#N/A,#N/A,FALSE,"BS";#N/A,#N/A,FALSE,"PL";#N/A,#N/A,FALSE,"처분";#N/A,#N/A,FALSE,"현금";#N/A,#N/A,FALSE,"매출";#N/A,#N/A,FALSE,"원가";#N/A,#N/A,FALSE,"경영"}</definedName>
    <definedName name="ㅁㅇ" localSheetId="3" hidden="1">{#N/A,#N/A,FALSE,"BS";#N/A,#N/A,FALSE,"PL";#N/A,#N/A,FALSE,"처분";#N/A,#N/A,FALSE,"현금";#N/A,#N/A,FALSE,"매출";#N/A,#N/A,FALSE,"원가";#N/A,#N/A,FALSE,"경영"}</definedName>
    <definedName name="ㅁㅇ" localSheetId="1" hidden="1">{#N/A,#N/A,FALSE,"BS";#N/A,#N/A,FALSE,"PL";#N/A,#N/A,FALSE,"처분";#N/A,#N/A,FALSE,"현금";#N/A,#N/A,FALSE,"매출";#N/A,#N/A,FALSE,"원가";#N/A,#N/A,FALSE,"경영"}</definedName>
    <definedName name="ㅁㅇ" hidden="1">{#N/A,#N/A,FALSE,"BS";#N/A,#N/A,FALSE,"PL";#N/A,#N/A,FALSE,"처분";#N/A,#N/A,FALSE,"현금";#N/A,#N/A,FALSE,"매출";#N/A,#N/A,FALSE,"원가";#N/A,#N/A,FALSE,"경영"}</definedName>
    <definedName name="ㅁㅇㄴ" localSheetId="5">#REF!</definedName>
    <definedName name="ㅁㅇㄴ" localSheetId="4">#REF!</definedName>
    <definedName name="ㅁㅇㄴ" localSheetId="3">#REF!</definedName>
    <definedName name="ㅁㅇㄴ" localSheetId="1">#REF!</definedName>
    <definedName name="ㅁㅇㄴ">#REF!</definedName>
    <definedName name="ㅁㅇㄴㄴ" localSheetId="5" hidden="1">{#N/A,#N/A,FALSE,"BS";#N/A,#N/A,FALSE,"PL";#N/A,#N/A,FALSE,"처분";#N/A,#N/A,FALSE,"현금";#N/A,#N/A,FALSE,"매출";#N/A,#N/A,FALSE,"원가";#N/A,#N/A,FALSE,"경영"}</definedName>
    <definedName name="ㅁㅇㄴㄴ" localSheetId="4" hidden="1">{#N/A,#N/A,FALSE,"BS";#N/A,#N/A,FALSE,"PL";#N/A,#N/A,FALSE,"처분";#N/A,#N/A,FALSE,"현금";#N/A,#N/A,FALSE,"매출";#N/A,#N/A,FALSE,"원가";#N/A,#N/A,FALSE,"경영"}</definedName>
    <definedName name="ㅁㅇㄴㄴ" localSheetId="3" hidden="1">{#N/A,#N/A,FALSE,"BS";#N/A,#N/A,FALSE,"PL";#N/A,#N/A,FALSE,"처분";#N/A,#N/A,FALSE,"현금";#N/A,#N/A,FALSE,"매출";#N/A,#N/A,FALSE,"원가";#N/A,#N/A,FALSE,"경영"}</definedName>
    <definedName name="ㅁㅇㄴㄴ" localSheetId="1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localSheetId="5" hidden="1">{#N/A,#N/A,FALSE,"BS";#N/A,#N/A,FALSE,"PL";#N/A,#N/A,FALSE,"처분";#N/A,#N/A,FALSE,"현금";#N/A,#N/A,FALSE,"매출";#N/A,#N/A,FALSE,"원가";#N/A,#N/A,FALSE,"경영"}</definedName>
    <definedName name="ㅁㅇㄴㅁㄴㅇ" localSheetId="4" hidden="1">{#N/A,#N/A,FALSE,"BS";#N/A,#N/A,FALSE,"PL";#N/A,#N/A,FALSE,"처분";#N/A,#N/A,FALSE,"현금";#N/A,#N/A,FALSE,"매출";#N/A,#N/A,FALSE,"원가";#N/A,#N/A,FALSE,"경영"}</definedName>
    <definedName name="ㅁㅇㄴㅁㄴㅇ" localSheetId="3" hidden="1">{#N/A,#N/A,FALSE,"BS";#N/A,#N/A,FALSE,"PL";#N/A,#N/A,FALSE,"처분";#N/A,#N/A,FALSE,"현금";#N/A,#N/A,FALSE,"매출";#N/A,#N/A,FALSE,"원가";#N/A,#N/A,FALSE,"경영"}</definedName>
    <definedName name="ㅁㅇㄴㅁㄴㅇ" localSheetId="1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localSheetId="5" hidden="1">{#N/A,#N/A,FALSE,"Aging Summary";#N/A,#N/A,FALSE,"Ratio Analysis";#N/A,#N/A,FALSE,"Test 120 Day Accts";#N/A,#N/A,FALSE,"Tickmarks"}</definedName>
    <definedName name="ㅁㅇㄹ" localSheetId="4" hidden="1">{#N/A,#N/A,FALSE,"Aging Summary";#N/A,#N/A,FALSE,"Ratio Analysis";#N/A,#N/A,FALSE,"Test 120 Day Accts";#N/A,#N/A,FALSE,"Tickmarks"}</definedName>
    <definedName name="ㅁㅇㄹ" localSheetId="3" hidden="1">{#N/A,#N/A,FALSE,"Aging Summary";#N/A,#N/A,FALSE,"Ratio Analysis";#N/A,#N/A,FALSE,"Test 120 Day Accts";#N/A,#N/A,FALSE,"Tickmarks"}</definedName>
    <definedName name="ㅁㅇㄹ" localSheetId="1" hidden="1">{#N/A,#N/A,FALSE,"Aging Summary";#N/A,#N/A,FALSE,"Ratio Analysis";#N/A,#N/A,FALSE,"Test 120 Day Accts";#N/A,#N/A,FALSE,"Tickmarks"}</definedName>
    <definedName name="ㅁㅇㄹ" hidden="1">{#N/A,#N/A,FALSE,"Aging Summary";#N/A,#N/A,FALSE,"Ratio Analysis";#N/A,#N/A,FALSE,"Test 120 Day Accts";#N/A,#N/A,FALSE,"Tickmarks"}</definedName>
    <definedName name="ㅁㅇㅁㅇㅁㄴㅇㅁㄴㅇㅁㄴ" localSheetId="5" hidden="1">{#N/A,#N/A,FALSE,"95FW"}</definedName>
    <definedName name="ㅁㅇㅁㅇㅁㄴㅇㅁㄴㅇㅁㄴ" localSheetId="4" hidden="1">{#N/A,#N/A,FALSE,"95FW"}</definedName>
    <definedName name="ㅁㅇㅁㅇㅁㄴㅇㅁㄴㅇㅁㄴ" localSheetId="3" hidden="1">{#N/A,#N/A,FALSE,"95FW"}</definedName>
    <definedName name="ㅁㅇㅁㅇㅁㄴㅇㅁㄴㅇㅁㄴ" localSheetId="1" hidden="1">{#N/A,#N/A,FALSE,"95FW"}</definedName>
    <definedName name="ㅁㅇㅁㅇㅁㄴㅇㅁㄴㅇㅁㄴ" hidden="1">{#N/A,#N/A,FALSE,"95FW"}</definedName>
    <definedName name="ㅁ어" localSheetId="5">#REF!</definedName>
    <definedName name="ㅁ어" localSheetId="4">#REF!</definedName>
    <definedName name="ㅁ어" localSheetId="3">#REF!</definedName>
    <definedName name="ㅁ어" localSheetId="1">#REF!</definedName>
    <definedName name="ㅁ어">#REF!</definedName>
    <definedName name="마" localSheetId="5">#REF!</definedName>
    <definedName name="마" localSheetId="4">#REF!</definedName>
    <definedName name="마" localSheetId="3">#REF!</definedName>
    <definedName name="마" localSheetId="1">#REF!</definedName>
    <definedName name="마">#REF!</definedName>
    <definedName name="마마" localSheetId="5" hidden="1">{#N/A,#N/A,FALSE,"1.CRITERIA";#N/A,#N/A,FALSE,"2.IS";#N/A,#N/A,FALSE,"3.BS";#N/A,#N/A,FALSE,"4.PER PL";#N/A,#N/A,FALSE,"5.INVESTMENT";#N/A,#N/A,FALSE,"6.공문";#N/A,#N/A,FALSE,"7.netinvest"}</definedName>
    <definedName name="마마" localSheetId="4" hidden="1">{#N/A,#N/A,FALSE,"1.CRITERIA";#N/A,#N/A,FALSE,"2.IS";#N/A,#N/A,FALSE,"3.BS";#N/A,#N/A,FALSE,"4.PER PL";#N/A,#N/A,FALSE,"5.INVESTMENT";#N/A,#N/A,FALSE,"6.공문";#N/A,#N/A,FALSE,"7.netinvest"}</definedName>
    <definedName name="마마" localSheetId="3" hidden="1">{#N/A,#N/A,FALSE,"1.CRITERIA";#N/A,#N/A,FALSE,"2.IS";#N/A,#N/A,FALSE,"3.BS";#N/A,#N/A,FALSE,"4.PER PL";#N/A,#N/A,FALSE,"5.INVESTMENT";#N/A,#N/A,FALSE,"6.공문";#N/A,#N/A,FALSE,"7.netinvest"}</definedName>
    <definedName name="마마" localSheetId="1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5" hidden="1">{#N/A,#N/A,FALSE,"1.CRITERIA";#N/A,#N/A,FALSE,"2.IS";#N/A,#N/A,FALSE,"3.BS";#N/A,#N/A,FALSE,"4.PER PL";#N/A,#N/A,FALSE,"5.INVESTMENT";#N/A,#N/A,FALSE,"6.공문";#N/A,#N/A,FALSE,"7.netinvest"}</definedName>
    <definedName name="마마오" localSheetId="4" hidden="1">{#N/A,#N/A,FALSE,"1.CRITERIA";#N/A,#N/A,FALSE,"2.IS";#N/A,#N/A,FALSE,"3.BS";#N/A,#N/A,FALSE,"4.PER PL";#N/A,#N/A,FALSE,"5.INVESTMENT";#N/A,#N/A,FALSE,"6.공문";#N/A,#N/A,FALSE,"7.netinvest"}</definedName>
    <definedName name="마마오" localSheetId="3" hidden="1">{#N/A,#N/A,FALSE,"1.CRITERIA";#N/A,#N/A,FALSE,"2.IS";#N/A,#N/A,FALSE,"3.BS";#N/A,#N/A,FALSE,"4.PER PL";#N/A,#N/A,FALSE,"5.INVESTMENT";#N/A,#N/A,FALSE,"6.공문";#N/A,#N/A,FALSE,"7.netinvest"}</definedName>
    <definedName name="마마오" localSheetId="1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5" hidden="1">{#N/A,#N/A,FALSE,"1.CRITERIA";#N/A,#N/A,FALSE,"2.IS";#N/A,#N/A,FALSE,"3.BS";#N/A,#N/A,FALSE,"4.PER PL";#N/A,#N/A,FALSE,"5.INVESTMENT";#N/A,#N/A,FALSE,"6.공문";#N/A,#N/A,FALSE,"7.netinvest"}</definedName>
    <definedName name="마마이" localSheetId="4" hidden="1">{#N/A,#N/A,FALSE,"1.CRITERIA";#N/A,#N/A,FALSE,"2.IS";#N/A,#N/A,FALSE,"3.BS";#N/A,#N/A,FALSE,"4.PER PL";#N/A,#N/A,FALSE,"5.INVESTMENT";#N/A,#N/A,FALSE,"6.공문";#N/A,#N/A,FALSE,"7.netinvest"}</definedName>
    <definedName name="마마이" localSheetId="3" hidden="1">{#N/A,#N/A,FALSE,"1.CRITERIA";#N/A,#N/A,FALSE,"2.IS";#N/A,#N/A,FALSE,"3.BS";#N/A,#N/A,FALSE,"4.PER PL";#N/A,#N/A,FALSE,"5.INVESTMENT";#N/A,#N/A,FALSE,"6.공문";#N/A,#N/A,FALSE,"7.netinvest"}</definedName>
    <definedName name="마마이" localSheetId="1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5" hidden="1">{#N/A,#N/A,FALSE,"1.CRITERIA";#N/A,#N/A,FALSE,"2.IS";#N/A,#N/A,FALSE,"3.BS";#N/A,#N/A,FALSE,"4.PER PL";#N/A,#N/A,FALSE,"5.INVESTMENT";#N/A,#N/A,FALSE,"6.공문";#N/A,#N/A,FALSE,"7.netinvest"}</definedName>
    <definedName name="마아" localSheetId="4" hidden="1">{#N/A,#N/A,FALSE,"1.CRITERIA";#N/A,#N/A,FALSE,"2.IS";#N/A,#N/A,FALSE,"3.BS";#N/A,#N/A,FALSE,"4.PER PL";#N/A,#N/A,FALSE,"5.INVESTMENT";#N/A,#N/A,FALSE,"6.공문";#N/A,#N/A,FALSE,"7.netinvest"}</definedName>
    <definedName name="마아" localSheetId="3" hidden="1">{#N/A,#N/A,FALSE,"1.CRITERIA";#N/A,#N/A,FALSE,"2.IS";#N/A,#N/A,FALSE,"3.BS";#N/A,#N/A,FALSE,"4.PER PL";#N/A,#N/A,FALSE,"5.INVESTMENT";#N/A,#N/A,FALSE,"6.공문";#N/A,#N/A,FALSE,"7.netinvest"}</definedName>
    <definedName name="마아" localSheetId="1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 localSheetId="5">#REF!</definedName>
    <definedName name="만" localSheetId="4">#REF!</definedName>
    <definedName name="만" localSheetId="3">#REF!</definedName>
    <definedName name="만" localSheetId="1">#REF!</definedName>
    <definedName name="만">#REF!</definedName>
    <definedName name="만기보장수익율" localSheetId="3">#REF!</definedName>
    <definedName name="만기보장수익율" localSheetId="1">#REF!</definedName>
    <definedName name="만기보장수익율">#REF!</definedName>
    <definedName name="만약" localSheetId="3">#REF!</definedName>
    <definedName name="만약" localSheetId="1">#REF!</definedName>
    <definedName name="만약">#REF!</definedName>
    <definedName name="매" localSheetId="5" hidden="1">{#N/A,#N/A,FALSE,"1.CRITERIA";#N/A,#N/A,FALSE,"2.IS";#N/A,#N/A,FALSE,"3.BS";#N/A,#N/A,FALSE,"4.PER PL";#N/A,#N/A,FALSE,"5.INVESTMENT";#N/A,#N/A,FALSE,"6.공문";#N/A,#N/A,FALSE,"7.netinvest"}</definedName>
    <definedName name="매" localSheetId="4" hidden="1">{#N/A,#N/A,FALSE,"1.CRITERIA";#N/A,#N/A,FALSE,"2.IS";#N/A,#N/A,FALSE,"3.BS";#N/A,#N/A,FALSE,"4.PER PL";#N/A,#N/A,FALSE,"5.INVESTMENT";#N/A,#N/A,FALSE,"6.공문";#N/A,#N/A,FALSE,"7.netinvest"}</definedName>
    <definedName name="매" localSheetId="3" hidden="1">{#N/A,#N/A,FALSE,"1.CRITERIA";#N/A,#N/A,FALSE,"2.IS";#N/A,#N/A,FALSE,"3.BS";#N/A,#N/A,FALSE,"4.PER PL";#N/A,#N/A,FALSE,"5.INVESTMENT";#N/A,#N/A,FALSE,"6.공문";#N/A,#N/A,FALSE,"7.netinvest"}</definedName>
    <definedName name="매" localSheetId="1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 localSheetId="5">#REF!</definedName>
    <definedName name="매1" localSheetId="4">#REF!</definedName>
    <definedName name="매1" localSheetId="3">#REF!</definedName>
    <definedName name="매1" localSheetId="1">#REF!</definedName>
    <definedName name="매1">#REF!</definedName>
    <definedName name="매10" localSheetId="3">#REF!</definedName>
    <definedName name="매10" localSheetId="1">#REF!</definedName>
    <definedName name="매10">#REF!</definedName>
    <definedName name="매11" localSheetId="3">#REF!</definedName>
    <definedName name="매11" localSheetId="1">#REF!</definedName>
    <definedName name="매11">#REF!</definedName>
    <definedName name="매12" localSheetId="3">#REF!</definedName>
    <definedName name="매12" localSheetId="1">#REF!</definedName>
    <definedName name="매12">#REF!</definedName>
    <definedName name="매2" localSheetId="3">#REF!</definedName>
    <definedName name="매2" localSheetId="1">#REF!</definedName>
    <definedName name="매2">#REF!</definedName>
    <definedName name="매3" localSheetId="3">#REF!</definedName>
    <definedName name="매3" localSheetId="1">#REF!</definedName>
    <definedName name="매3">#REF!</definedName>
    <definedName name="매4" localSheetId="3">#REF!</definedName>
    <definedName name="매4" localSheetId="1">#REF!</definedName>
    <definedName name="매4">#REF!</definedName>
    <definedName name="매5" localSheetId="3">#REF!</definedName>
    <definedName name="매5" localSheetId="1">#REF!</definedName>
    <definedName name="매5">#REF!</definedName>
    <definedName name="매6" localSheetId="3">#REF!</definedName>
    <definedName name="매6" localSheetId="1">#REF!</definedName>
    <definedName name="매6">#REF!</definedName>
    <definedName name="매7" localSheetId="3">#REF!</definedName>
    <definedName name="매7" localSheetId="1">#REF!</definedName>
    <definedName name="매7">#REF!</definedName>
    <definedName name="매8" localSheetId="3">#REF!</definedName>
    <definedName name="매8" localSheetId="1">#REF!</definedName>
    <definedName name="매8">#REF!</definedName>
    <definedName name="매9" localSheetId="3">#REF!</definedName>
    <definedName name="매9" localSheetId="1">#REF!</definedName>
    <definedName name="매9">#REF!</definedName>
    <definedName name="買掛金" localSheetId="5" hidden="1">{"'買掛金'!$J$6"}</definedName>
    <definedName name="買掛金" localSheetId="4" hidden="1">{"'買掛金'!$J$6"}</definedName>
    <definedName name="買掛金" localSheetId="3" hidden="1">{"'買掛金'!$J$6"}</definedName>
    <definedName name="買掛金" localSheetId="1" hidden="1">{"'買掛金'!$J$6"}</definedName>
    <definedName name="買掛金" hidden="1">{"'買掛金'!$J$6"}</definedName>
    <definedName name="매수" localSheetId="3">#REF!</definedName>
    <definedName name="매수" localSheetId="1">#REF!</definedName>
    <definedName name="매수">#REF!</definedName>
    <definedName name="매수2" localSheetId="3">#REF!</definedName>
    <definedName name="매수2" localSheetId="1">#REF!</definedName>
    <definedName name="매수2">#REF!</definedName>
    <definedName name="매입채무" localSheetId="3">#REF!</definedName>
    <definedName name="매입채무" localSheetId="1">#REF!</definedName>
    <definedName name="매입채무">#REF!</definedName>
    <definedName name="매축액2" localSheetId="5" hidden="1">{#N/A,#N/A,FALSE,"1.CRITERIA";#N/A,#N/A,FALSE,"2.IS";#N/A,#N/A,FALSE,"3.BS";#N/A,#N/A,FALSE,"4.PER PL";#N/A,#N/A,FALSE,"5.INVESTMENT";#N/A,#N/A,FALSE,"6.공문";#N/A,#N/A,FALSE,"7.netinvest"}</definedName>
    <definedName name="매축액2" localSheetId="4" hidden="1">{#N/A,#N/A,FALSE,"1.CRITERIA";#N/A,#N/A,FALSE,"2.IS";#N/A,#N/A,FALSE,"3.BS";#N/A,#N/A,FALSE,"4.PER PL";#N/A,#N/A,FALSE,"5.INVESTMENT";#N/A,#N/A,FALSE,"6.공문";#N/A,#N/A,FALSE,"7.netinvest"}</definedName>
    <definedName name="매축액2" localSheetId="3" hidden="1">{#N/A,#N/A,FALSE,"1.CRITERIA";#N/A,#N/A,FALSE,"2.IS";#N/A,#N/A,FALSE,"3.BS";#N/A,#N/A,FALSE,"4.PER PL";#N/A,#N/A,FALSE,"5.INVESTMENT";#N/A,#N/A,FALSE,"6.공문";#N/A,#N/A,FALSE,"7.netinvest"}</definedName>
    <definedName name="매축액2" localSheetId="1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localSheetId="5">#REF!</definedName>
    <definedName name="매출" localSheetId="4">#REF!</definedName>
    <definedName name="매출" localSheetId="3">#REF!</definedName>
    <definedName name="매출" localSheetId="1">#REF!</definedName>
    <definedName name="매출">#REF!</definedName>
    <definedName name="매출.본" localSheetId="3">#REF!</definedName>
    <definedName name="매출.본" localSheetId="1">#REF!</definedName>
    <definedName name="매출.본">#REF!</definedName>
    <definedName name="매출10월" localSheetId="3">#REF!</definedName>
    <definedName name="매출10월" localSheetId="1">#REF!</definedName>
    <definedName name="매출10월">#REF!</definedName>
    <definedName name="매출11월" localSheetId="3">#REF!</definedName>
    <definedName name="매출11월" localSheetId="1">#REF!</definedName>
    <definedName name="매출11월">#REF!</definedName>
    <definedName name="매출12월" localSheetId="3">#REF!</definedName>
    <definedName name="매출12월" localSheetId="1">#REF!</definedName>
    <definedName name="매출12월">#REF!</definedName>
    <definedName name="매출3월" localSheetId="3">#REF!</definedName>
    <definedName name="매출3월" localSheetId="1">#REF!</definedName>
    <definedName name="매출3월">#REF!</definedName>
    <definedName name="매출4월" localSheetId="3">#REF!</definedName>
    <definedName name="매출4월" localSheetId="1">#REF!</definedName>
    <definedName name="매출4월">#REF!</definedName>
    <definedName name="매출5월" localSheetId="3">#REF!</definedName>
    <definedName name="매출5월" localSheetId="1">#REF!</definedName>
    <definedName name="매출5월">#REF!</definedName>
    <definedName name="매출6월" localSheetId="3">#REF!</definedName>
    <definedName name="매출6월" localSheetId="1">#REF!</definedName>
    <definedName name="매출6월">#REF!</definedName>
    <definedName name="매출7월" localSheetId="3">#REF!</definedName>
    <definedName name="매출7월" localSheetId="1">#REF!</definedName>
    <definedName name="매출7월">#REF!</definedName>
    <definedName name="매출8월" localSheetId="3">#REF!</definedName>
    <definedName name="매출8월" localSheetId="1">#REF!</definedName>
    <definedName name="매출8월">#REF!</definedName>
    <definedName name="매출9월" localSheetId="3">#REF!</definedName>
    <definedName name="매출9월" localSheetId="1">#REF!</definedName>
    <definedName name="매출9월">#REF!</definedName>
    <definedName name="매출bog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localSheetId="5" hidden="1">#REF!</definedName>
    <definedName name="매출toc" localSheetId="4" hidden="1">#REF!</definedName>
    <definedName name="매출toc" localSheetId="3" hidden="1">#REF!</definedName>
    <definedName name="매출toc" localSheetId="1" hidden="1">#REF!</definedName>
    <definedName name="매출toc" hidden="1">#REF!</definedName>
    <definedName name="매출금" localSheetId="3">#REF!</definedName>
    <definedName name="매출금" localSheetId="1">#REF!</definedName>
    <definedName name="매출금">#REF!</definedName>
    <definedName name="매출액" localSheetId="3" hidden="1">#REF!</definedName>
    <definedName name="매출액" localSheetId="1" hidden="1">#REF!</definedName>
    <definedName name="매출액" hidden="1">#REF!</definedName>
    <definedName name="매출액2" localSheetId="5" hidden="1">{#N/A,#N/A,FALSE,"1.CRITERIA";#N/A,#N/A,FALSE,"2.IS";#N/A,#N/A,FALSE,"3.BS";#N/A,#N/A,FALSE,"4.PER PL";#N/A,#N/A,FALSE,"5.INVESTMENT";#N/A,#N/A,FALSE,"6.공문";#N/A,#N/A,FALSE,"7.netinvest"}</definedName>
    <definedName name="매출액2" localSheetId="4" hidden="1">{#N/A,#N/A,FALSE,"1.CRITERIA";#N/A,#N/A,FALSE,"2.IS";#N/A,#N/A,FALSE,"3.BS";#N/A,#N/A,FALSE,"4.PER PL";#N/A,#N/A,FALSE,"5.INVESTMENT";#N/A,#N/A,FALSE,"6.공문";#N/A,#N/A,FALSE,"7.netinvest"}</definedName>
    <definedName name="매출액2" localSheetId="3" hidden="1">{#N/A,#N/A,FALSE,"1.CRITERIA";#N/A,#N/A,FALSE,"2.IS";#N/A,#N/A,FALSE,"3.BS";#N/A,#N/A,FALSE,"4.PER PL";#N/A,#N/A,FALSE,"5.INVESTMENT";#N/A,#N/A,FALSE,"6.공문";#N/A,#N/A,FALSE,"7.netinvest"}</definedName>
    <definedName name="매출액2" localSheetId="1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5" hidden="1">{#N/A,#N/A,FALSE,"Aging Summary";#N/A,#N/A,FALSE,"Ratio Analysis";#N/A,#N/A,FALSE,"Test 120 Day Accts";#N/A,#N/A,FALSE,"Tickmarks"}</definedName>
    <definedName name="매출원가" localSheetId="4" hidden="1">{#N/A,#N/A,FALSE,"Aging Summary";#N/A,#N/A,FALSE,"Ratio Analysis";#N/A,#N/A,FALSE,"Test 120 Day Accts";#N/A,#N/A,FALSE,"Tickmarks"}</definedName>
    <definedName name="매출원가" localSheetId="3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채권" localSheetId="5">#REF!</definedName>
    <definedName name="매출채권" localSheetId="4">#REF!</definedName>
    <definedName name="매출채권" localSheetId="3">#REF!</definedName>
    <definedName name="매출채권" localSheetId="1">#REF!</definedName>
    <definedName name="매출채권">#REF!</definedName>
    <definedName name="머머" localSheetId="5" hidden="1">{#N/A,#N/A,FALSE,"1.CRITERIA";#N/A,#N/A,FALSE,"2.IS";#N/A,#N/A,FALSE,"3.BS";#N/A,#N/A,FALSE,"4.PER PL";#N/A,#N/A,FALSE,"5.INVESTMENT";#N/A,#N/A,FALSE,"6.공문";#N/A,#N/A,FALSE,"7.netinvest"}</definedName>
    <definedName name="머머" localSheetId="4" hidden="1">{#N/A,#N/A,FALSE,"1.CRITERIA";#N/A,#N/A,FALSE,"2.IS";#N/A,#N/A,FALSE,"3.BS";#N/A,#N/A,FALSE,"4.PER PL";#N/A,#N/A,FALSE,"5.INVESTMENT";#N/A,#N/A,FALSE,"6.공문";#N/A,#N/A,FALSE,"7.netinvest"}</definedName>
    <definedName name="머머" localSheetId="3" hidden="1">{#N/A,#N/A,FALSE,"1.CRITERIA";#N/A,#N/A,FALSE,"2.IS";#N/A,#N/A,FALSE,"3.BS";#N/A,#N/A,FALSE,"4.PER PL";#N/A,#N/A,FALSE,"5.INVESTMENT";#N/A,#N/A,FALSE,"6.공문";#N/A,#N/A,FALSE,"7.netinvest"}</definedName>
    <definedName name="머머" localSheetId="1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 localSheetId="5">#REF!</definedName>
    <definedName name="멍멍" localSheetId="4">#REF!</definedName>
    <definedName name="멍멍" localSheetId="3">#REF!</definedName>
    <definedName name="멍멍" localSheetId="1">#REF!</definedName>
    <definedName name="멍멍">#REF!</definedName>
    <definedName name="멍청이" localSheetId="3">#REF!</definedName>
    <definedName name="멍청이" localSheetId="1">#REF!</definedName>
    <definedName name="멍청이">#REF!</definedName>
    <definedName name="메뉴연결" localSheetId="3">#REF!</definedName>
    <definedName name="메뉴연결" localSheetId="1">#REF!</definedName>
    <definedName name="메뉴연결">#REF!</definedName>
    <definedName name="메뉴연결시작" localSheetId="3">#REF!</definedName>
    <definedName name="메뉴연결시작" localSheetId="1">#REF!</definedName>
    <definedName name="메뉴연결시작">#REF!</definedName>
    <definedName name="메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localSheetId="5" hidden="1">#REF!</definedName>
    <definedName name="며" localSheetId="4" hidden="1">#REF!</definedName>
    <definedName name="며" localSheetId="3" hidden="1">#REF!</definedName>
    <definedName name="며" localSheetId="1" hidden="1">#REF!</definedName>
    <definedName name="며" hidden="1">#REF!</definedName>
    <definedName name="며며" localSheetId="5" hidden="1">{#N/A,#N/A,FALSE,"1.CRITERIA";#N/A,#N/A,FALSE,"2.IS";#N/A,#N/A,FALSE,"3.BS";#N/A,#N/A,FALSE,"4.PER PL";#N/A,#N/A,FALSE,"5.INVESTMENT";#N/A,#N/A,FALSE,"6.공문";#N/A,#N/A,FALSE,"7.netinvest"}</definedName>
    <definedName name="며며" localSheetId="4" hidden="1">{#N/A,#N/A,FALSE,"1.CRITERIA";#N/A,#N/A,FALSE,"2.IS";#N/A,#N/A,FALSE,"3.BS";#N/A,#N/A,FALSE,"4.PER PL";#N/A,#N/A,FALSE,"5.INVESTMENT";#N/A,#N/A,FALSE,"6.공문";#N/A,#N/A,FALSE,"7.netinvest"}</definedName>
    <definedName name="며며" localSheetId="3" hidden="1">{#N/A,#N/A,FALSE,"1.CRITERIA";#N/A,#N/A,FALSE,"2.IS";#N/A,#N/A,FALSE,"3.BS";#N/A,#N/A,FALSE,"4.PER PL";#N/A,#N/A,FALSE,"5.INVESTMENT";#N/A,#N/A,FALSE,"6.공문";#N/A,#N/A,FALSE,"7.netinvest"}</definedName>
    <definedName name="며며" localSheetId="1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 localSheetId="5">#REF!</definedName>
    <definedName name="면담" localSheetId="4">#REF!</definedName>
    <definedName name="면담" localSheetId="3">#REF!</definedName>
    <definedName name="면담" localSheetId="1">#REF!</definedName>
    <definedName name="면담">#REF!</definedName>
    <definedName name="면적표" localSheetId="3">#REF!</definedName>
    <definedName name="면적표" localSheetId="1">#REF!</definedName>
    <definedName name="면적표">#REF!</definedName>
    <definedName name="명세" localSheetId="5" hidden="1">{#N/A,#N/A,FALSE,"Aging Summary";#N/A,#N/A,FALSE,"Ratio Analysis";#N/A,#N/A,FALSE,"Test 120 Day Accts";#N/A,#N/A,FALSE,"Tickmarks"}</definedName>
    <definedName name="명세" localSheetId="4" hidden="1">{#N/A,#N/A,FALSE,"Aging Summary";#N/A,#N/A,FALSE,"Ratio Analysis";#N/A,#N/A,FALSE,"Test 120 Day Accts";#N/A,#N/A,FALSE,"Tickmarks"}</definedName>
    <definedName name="명세" localSheetId="3" hidden="1">{#N/A,#N/A,FALSE,"Aging Summary";#N/A,#N/A,FALSE,"Ratio Analysis";#N/A,#N/A,FALSE,"Test 120 Day Accts";#N/A,#N/A,FALSE,"Tickmarks"}</definedName>
    <definedName name="명세" localSheetId="1" hidden="1">{#N/A,#N/A,FALSE,"Aging Summary";#N/A,#N/A,FALSE,"Ratio Analysis";#N/A,#N/A,FALSE,"Test 120 Day Accts";#N/A,#N/A,FALSE,"Tickmarks"}</definedName>
    <definedName name="명세" hidden="1">{#N/A,#N/A,FALSE,"Aging Summary";#N/A,#N/A,FALSE,"Ratio Analysis";#N/A,#N/A,FALSE,"Test 120 Day Accts";#N/A,#N/A,FALSE,"Tickmarks"}</definedName>
    <definedName name="모" localSheetId="5">#REF!</definedName>
    <definedName name="모" localSheetId="4">#REF!</definedName>
    <definedName name="모" localSheetId="3">#REF!</definedName>
    <definedName name="모" localSheetId="1">#REF!</definedName>
    <definedName name="모">#REF!</definedName>
    <definedName name="모델명" localSheetId="5">#REF!</definedName>
    <definedName name="모델명" localSheetId="4">#REF!</definedName>
    <definedName name="모델명" localSheetId="3">#REF!</definedName>
    <definedName name="모델명" localSheetId="1">#REF!</definedName>
    <definedName name="모델명">#REF!</definedName>
    <definedName name="모리" localSheetId="5" hidden="1">{#N/A,#N/A,FALSE,"1.CRITERIA";#N/A,#N/A,FALSE,"2.IS";#N/A,#N/A,FALSE,"3.BS";#N/A,#N/A,FALSE,"4.PER PL";#N/A,#N/A,FALSE,"5.INVESTMENT";#N/A,#N/A,FALSE,"6.공문";#N/A,#N/A,FALSE,"7.netinvest"}</definedName>
    <definedName name="모리" localSheetId="4" hidden="1">{#N/A,#N/A,FALSE,"1.CRITERIA";#N/A,#N/A,FALSE,"2.IS";#N/A,#N/A,FALSE,"3.BS";#N/A,#N/A,FALSE,"4.PER PL";#N/A,#N/A,FALSE,"5.INVESTMENT";#N/A,#N/A,FALSE,"6.공문";#N/A,#N/A,FALSE,"7.netinvest"}</definedName>
    <definedName name="모리" localSheetId="3" hidden="1">{#N/A,#N/A,FALSE,"1.CRITERIA";#N/A,#N/A,FALSE,"2.IS";#N/A,#N/A,FALSE,"3.BS";#N/A,#N/A,FALSE,"4.PER PL";#N/A,#N/A,FALSE,"5.INVESTMENT";#N/A,#N/A,FALSE,"6.공문";#N/A,#N/A,FALSE,"7.netinvest"}</definedName>
    <definedName name="모리" localSheetId="1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5" hidden="1">{#N/A,#N/A,FALSE,"1.CRITERIA";#N/A,#N/A,FALSE,"2.IS";#N/A,#N/A,FALSE,"3.BS";#N/A,#N/A,FALSE,"4.PER PL";#N/A,#N/A,FALSE,"5.INVESTMENT";#N/A,#N/A,FALSE,"6.공문";#N/A,#N/A,FALSE,"7.netinvest"}</definedName>
    <definedName name="모모" localSheetId="4" hidden="1">{#N/A,#N/A,FALSE,"1.CRITERIA";#N/A,#N/A,FALSE,"2.IS";#N/A,#N/A,FALSE,"3.BS";#N/A,#N/A,FALSE,"4.PER PL";#N/A,#N/A,FALSE,"5.INVESTMENT";#N/A,#N/A,FALSE,"6.공문";#N/A,#N/A,FALSE,"7.netinvest"}</definedName>
    <definedName name="모모" localSheetId="3" hidden="1">{#N/A,#N/A,FALSE,"1.CRITERIA";#N/A,#N/A,FALSE,"2.IS";#N/A,#N/A,FALSE,"3.BS";#N/A,#N/A,FALSE,"4.PER PL";#N/A,#N/A,FALSE,"5.INVESTMENT";#N/A,#N/A,FALSE,"6.공문";#N/A,#N/A,FALSE,"7.netinvest"}</definedName>
    <definedName name="모모" localSheetId="1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 localSheetId="5">#REF!</definedName>
    <definedName name="모홓로" localSheetId="4">#REF!</definedName>
    <definedName name="모홓로" localSheetId="3">#REF!</definedName>
    <definedName name="모홓로" localSheetId="1">#REF!</definedName>
    <definedName name="모홓로">#REF!</definedName>
    <definedName name="목차1" localSheetId="3">#REF!</definedName>
    <definedName name="목차1" localSheetId="1">#REF!</definedName>
    <definedName name="목차1">#REF!</definedName>
    <definedName name="목차2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 localSheetId="5">#REF!</definedName>
    <definedName name="목차3" localSheetId="4">#REF!</definedName>
    <definedName name="목차3" localSheetId="3">#REF!</definedName>
    <definedName name="목차3" localSheetId="1">#REF!</definedName>
    <definedName name="목차3">#REF!</definedName>
    <definedName name="목차4" localSheetId="3">#REF!</definedName>
    <definedName name="목차4" localSheetId="1">#REF!</definedName>
    <definedName name="목차4">#REF!</definedName>
    <definedName name="목표">#N/A</definedName>
    <definedName name="몰라" localSheetId="5" hidden="1">#REF!</definedName>
    <definedName name="몰라" localSheetId="4" hidden="1">#REF!</definedName>
    <definedName name="몰라" localSheetId="3" hidden="1">#REF!</definedName>
    <definedName name="몰라" localSheetId="1" hidden="1">#REF!</definedName>
    <definedName name="몰라" hidden="1">#REF!</definedName>
    <definedName name="뫌" localSheetId="5" hidden="1">{#N/A,#N/A,FALSE,"1.CRITERIA";#N/A,#N/A,FALSE,"2.IS";#N/A,#N/A,FALSE,"3.BS";#N/A,#N/A,FALSE,"4.PER PL";#N/A,#N/A,FALSE,"5.INVESTMENT";#N/A,#N/A,FALSE,"6.공문";#N/A,#N/A,FALSE,"7.netinvest"}</definedName>
    <definedName name="뫌" localSheetId="4" hidden="1">{#N/A,#N/A,FALSE,"1.CRITERIA";#N/A,#N/A,FALSE,"2.IS";#N/A,#N/A,FALSE,"3.BS";#N/A,#N/A,FALSE,"4.PER PL";#N/A,#N/A,FALSE,"5.INVESTMENT";#N/A,#N/A,FALSE,"6.공문";#N/A,#N/A,FALSE,"7.netinvest"}</definedName>
    <definedName name="뫌" localSheetId="3" hidden="1">{#N/A,#N/A,FALSE,"1.CRITERIA";#N/A,#N/A,FALSE,"2.IS";#N/A,#N/A,FALSE,"3.BS";#N/A,#N/A,FALSE,"4.PER PL";#N/A,#N/A,FALSE,"5.INVESTMENT";#N/A,#N/A,FALSE,"6.공문";#N/A,#N/A,FALSE,"7.netinvest"}</definedName>
    <definedName name="뫌" localSheetId="1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localSheetId="5" hidden="1">#REF!</definedName>
    <definedName name="묘" localSheetId="4" hidden="1">#REF!</definedName>
    <definedName name="묘" localSheetId="3" hidden="1">#REF!</definedName>
    <definedName name="묘" localSheetId="1" hidden="1">#REF!</definedName>
    <definedName name="묘" hidden="1">#REF!</definedName>
    <definedName name="무무" localSheetId="5" hidden="1">{#N/A,#N/A,FALSE,"1.CRITERIA";#N/A,#N/A,FALSE,"2.IS";#N/A,#N/A,FALSE,"3.BS";#N/A,#N/A,FALSE,"4.PER PL";#N/A,#N/A,FALSE,"5.INVESTMENT";#N/A,#N/A,FALSE,"6.공문";#N/A,#N/A,FALSE,"7.netinvest"}</definedName>
    <definedName name="무무" localSheetId="4" hidden="1">{#N/A,#N/A,FALSE,"1.CRITERIA";#N/A,#N/A,FALSE,"2.IS";#N/A,#N/A,FALSE,"3.BS";#N/A,#N/A,FALSE,"4.PER PL";#N/A,#N/A,FALSE,"5.INVESTMENT";#N/A,#N/A,FALSE,"6.공문";#N/A,#N/A,FALSE,"7.netinvest"}</definedName>
    <definedName name="무무" localSheetId="3" hidden="1">{#N/A,#N/A,FALSE,"1.CRITERIA";#N/A,#N/A,FALSE,"2.IS";#N/A,#N/A,FALSE,"3.BS";#N/A,#N/A,FALSE,"4.PER PL";#N/A,#N/A,FALSE,"5.INVESTMENT";#N/A,#N/A,FALSE,"6.공문";#N/A,#N/A,FALSE,"7.netinvest"}</definedName>
    <definedName name="무무" localSheetId="1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localSheetId="5" hidden="1">{#N/A,#N/A,FALSE,"Aging Summary";#N/A,#N/A,FALSE,"Ratio Analysis";#N/A,#N/A,FALSE,"Test 120 Day Accts";#N/A,#N/A,FALSE,"Tickmarks"}</definedName>
    <definedName name="무형자산" localSheetId="4" hidden="1">{#N/A,#N/A,FALSE,"Aging Summary";#N/A,#N/A,FALSE,"Ratio Analysis";#N/A,#N/A,FALSE,"Test 120 Day Accts";#N/A,#N/A,FALSE,"Tickmarks"}</definedName>
    <definedName name="무형자산" localSheetId="3" hidden="1">{#N/A,#N/A,FALSE,"Aging Summary";#N/A,#N/A,FALSE,"Ratio Analysis";#N/A,#N/A,FALSE,"Test 120 Day Accts";#N/A,#N/A,FALSE,"Tickmarks"}</definedName>
    <definedName name="무형자산" localSheetId="1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기수" localSheetId="5" hidden="1">{"'호선별현황(방식)'!$K$22:$P$22","'호선별현황(방식)'!$K$22:$P$22"}</definedName>
    <definedName name="문기수" localSheetId="4" hidden="1">{"'호선별현황(방식)'!$K$22:$P$22","'호선별현황(방식)'!$K$22:$P$22"}</definedName>
    <definedName name="문기수" localSheetId="3" hidden="1">{"'호선별현황(방식)'!$K$22:$P$22","'호선별현황(방식)'!$K$22:$P$22"}</definedName>
    <definedName name="문기수" localSheetId="1" hidden="1">{"'호선별현황(방식)'!$K$22:$P$22","'호선별현황(방식)'!$K$22:$P$22"}</definedName>
    <definedName name="문기수" hidden="1">{"'호선별현황(방식)'!$K$22:$P$22","'호선별현황(방식)'!$K$22:$P$22"}</definedName>
    <definedName name="문제3" localSheetId="5" hidden="1">{#N/A,#N/A,FALSE,"단축1";#N/A,#N/A,FALSE,"단축2";#N/A,#N/A,FALSE,"단축3";#N/A,#N/A,FALSE,"장축";#N/A,#N/A,FALSE,"4WD"}</definedName>
    <definedName name="문제3" localSheetId="4" hidden="1">{#N/A,#N/A,FALSE,"단축1";#N/A,#N/A,FALSE,"단축2";#N/A,#N/A,FALSE,"단축3";#N/A,#N/A,FALSE,"장축";#N/A,#N/A,FALSE,"4WD"}</definedName>
    <definedName name="문제3" localSheetId="3" hidden="1">{#N/A,#N/A,FALSE,"단축1";#N/A,#N/A,FALSE,"단축2";#N/A,#N/A,FALSE,"단축3";#N/A,#N/A,FALSE,"장축";#N/A,#N/A,FALSE,"4WD"}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 localSheetId="5">#REF!</definedName>
    <definedName name="물가상승률" localSheetId="4">#REF!</definedName>
    <definedName name="물가상승률" localSheetId="3">#REF!</definedName>
    <definedName name="물가상승률" localSheetId="1">#REF!</definedName>
    <definedName name="물가상승률">#REF!</definedName>
    <definedName name="물랴자" localSheetId="5" hidden="1">{#N/A,#N/A,TRUE,"Y생산";#N/A,#N/A,TRUE,"Y판매";#N/A,#N/A,TRUE,"Y총물량";#N/A,#N/A,TRUE,"Y능력";#N/A,#N/A,TRUE,"YKD"}</definedName>
    <definedName name="물랴자" localSheetId="4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랴자_1" localSheetId="5" hidden="1">{#N/A,#N/A,TRUE,"Y생산";#N/A,#N/A,TRUE,"Y판매";#N/A,#N/A,TRUE,"Y총물량";#N/A,#N/A,TRUE,"Y능력";#N/A,#N/A,TRUE,"YKD"}</definedName>
    <definedName name="물랴자_1" localSheetId="4" hidden="1">{#N/A,#N/A,TRUE,"Y생산";#N/A,#N/A,TRUE,"Y판매";#N/A,#N/A,TRUE,"Y총물량";#N/A,#N/A,TRUE,"Y능력";#N/A,#N/A,TRUE,"YKD"}</definedName>
    <definedName name="물랴자_1" localSheetId="3" hidden="1">{#N/A,#N/A,TRUE,"Y생산";#N/A,#N/A,TRUE,"Y판매";#N/A,#N/A,TRUE,"Y총물량";#N/A,#N/A,TRUE,"Y능력";#N/A,#N/A,TRUE,"YKD"}</definedName>
    <definedName name="물랴자_1" localSheetId="1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" localSheetId="4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localSheetId="5" hidden="1">{#N/A,#N/A,TRUE,"Y생산";#N/A,#N/A,TRUE,"Y판매";#N/A,#N/A,TRUE,"Y총물량";#N/A,#N/A,TRUE,"Y능력";#N/A,#N/A,TRUE,"YKD"}</definedName>
    <definedName name="물량수_1" localSheetId="4" hidden="1">{#N/A,#N/A,TRUE,"Y생산";#N/A,#N/A,TRUE,"Y판매";#N/A,#N/A,TRUE,"Y총물량";#N/A,#N/A,TRUE,"Y능력";#N/A,#N/A,TRUE,"YKD"}</definedName>
    <definedName name="물량수_1" localSheetId="3" hidden="1">{#N/A,#N/A,TRUE,"Y생산";#N/A,#N/A,TRUE,"Y판매";#N/A,#N/A,TRUE,"Y총물량";#N/A,#N/A,TRUE,"Y능력";#N/A,#N/A,TRUE,"YKD"}</definedName>
    <definedName name="물량수_1" localSheetId="1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localSheetId="5" hidden="1">{#N/A,#N/A,TRUE,"Y생산";#N/A,#N/A,TRUE,"Y판매";#N/A,#N/A,TRUE,"Y총물량";#N/A,#N/A,TRUE,"Y능력";#N/A,#N/A,TRUE,"YKD"}</definedName>
    <definedName name="물량수전ㅇ" localSheetId="4" hidden="1">{#N/A,#N/A,TRUE,"Y생산";#N/A,#N/A,TRUE,"Y판매";#N/A,#N/A,TRUE,"Y총물량";#N/A,#N/A,TRUE,"Y능력";#N/A,#N/A,TRUE,"YKD"}</definedName>
    <definedName name="물량수전ㅇ" localSheetId="3" hidden="1">{#N/A,#N/A,TRUE,"Y생산";#N/A,#N/A,TRUE,"Y판매";#N/A,#N/A,TRUE,"Y총물량";#N/A,#N/A,TRUE,"Y능력";#N/A,#N/A,TRUE,"YKD"}</definedName>
    <definedName name="물량수전ㅇ" localSheetId="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" localSheetId="4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localSheetId="5" hidden="1">{#N/A,#N/A,TRUE,"Y생산";#N/A,#N/A,TRUE,"Y판매";#N/A,#N/A,TRUE,"Y총물량";#N/A,#N/A,TRUE,"Y능력";#N/A,#N/A,TRUE,"YKD"}</definedName>
    <definedName name="물량수정_1" localSheetId="4" hidden="1">{#N/A,#N/A,TRUE,"Y생산";#N/A,#N/A,TRUE,"Y판매";#N/A,#N/A,TRUE,"Y총물량";#N/A,#N/A,TRUE,"Y능력";#N/A,#N/A,TRUE,"YKD"}</definedName>
    <definedName name="물량수정_1" localSheetId="3" hidden="1">{#N/A,#N/A,TRUE,"Y생산";#N/A,#N/A,TRUE,"Y판매";#N/A,#N/A,TRUE,"Y총물량";#N/A,#N/A,TRUE,"Y능력";#N/A,#N/A,TRUE,"YKD"}</definedName>
    <definedName name="물량수정_1" localSheetId="1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" localSheetId="4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localSheetId="5" hidden="1">{#N/A,#N/A,TRUE,"Y생산";#N/A,#N/A,TRUE,"Y판매";#N/A,#N/A,TRUE,"Y총물량";#N/A,#N/A,TRUE,"Y능력";#N/A,#N/A,TRUE,"YKD"}</definedName>
    <definedName name="물량수정1_1" localSheetId="4" hidden="1">{#N/A,#N/A,TRUE,"Y생산";#N/A,#N/A,TRUE,"Y판매";#N/A,#N/A,TRUE,"Y총물량";#N/A,#N/A,TRUE,"Y능력";#N/A,#N/A,TRUE,"YKD"}</definedName>
    <definedName name="물량수정1_1" localSheetId="3" hidden="1">{#N/A,#N/A,TRUE,"Y생산";#N/A,#N/A,TRUE,"Y판매";#N/A,#N/A,TRUE,"Y총물량";#N/A,#N/A,TRUE,"Y능력";#N/A,#N/A,TRUE,"YKD"}</definedName>
    <definedName name="물량수정1_1" localSheetId="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" localSheetId="4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localSheetId="5" hidden="1">{#N/A,#N/A,TRUE,"Y생산";#N/A,#N/A,TRUE,"Y판매";#N/A,#N/A,TRUE,"Y총물량";#N/A,#N/A,TRUE,"Y능력";#N/A,#N/A,TRUE,"YKD"}</definedName>
    <definedName name="물량수정2_1" localSheetId="4" hidden="1">{#N/A,#N/A,TRUE,"Y생산";#N/A,#N/A,TRUE,"Y판매";#N/A,#N/A,TRUE,"Y총물량";#N/A,#N/A,TRUE,"Y능력";#N/A,#N/A,TRUE,"YKD"}</definedName>
    <definedName name="물량수정2_1" localSheetId="3" hidden="1">{#N/A,#N/A,TRUE,"Y생산";#N/A,#N/A,TRUE,"Y판매";#N/A,#N/A,TRUE,"Y총물량";#N/A,#N/A,TRUE,"Y능력";#N/A,#N/A,TRUE,"YKD"}</definedName>
    <definedName name="물량수정2_1" localSheetId="1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" localSheetId="4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localSheetId="5" hidden="1">{#N/A,#N/A,TRUE,"Y생산";#N/A,#N/A,TRUE,"Y판매";#N/A,#N/A,TRUE,"Y총물량";#N/A,#N/A,TRUE,"Y능력";#N/A,#N/A,TRUE,"YKD"}</definedName>
    <definedName name="물량정_1" localSheetId="4" hidden="1">{#N/A,#N/A,TRUE,"Y생산";#N/A,#N/A,TRUE,"Y판매";#N/A,#N/A,TRUE,"Y총물량";#N/A,#N/A,TRUE,"Y능력";#N/A,#N/A,TRUE,"YKD"}</definedName>
    <definedName name="물량정_1" localSheetId="3" hidden="1">{#N/A,#N/A,TRUE,"Y생산";#N/A,#N/A,TRUE,"Y판매";#N/A,#N/A,TRUE,"Y총물량";#N/A,#N/A,TRUE,"Y능력";#N/A,#N/A,TRUE,"YKD"}</definedName>
    <definedName name="물량정_1" localSheetId="1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" localSheetId="4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localSheetId="5" hidden="1">{#N/A,#N/A,TRUE,"Y생산";#N/A,#N/A,TRUE,"Y판매";#N/A,#N/A,TRUE,"Y총물량";#N/A,#N/A,TRUE,"Y능력";#N/A,#N/A,TRUE,"YKD"}</definedName>
    <definedName name="물량조정_1" localSheetId="4" hidden="1">{#N/A,#N/A,TRUE,"Y생산";#N/A,#N/A,TRUE,"Y판매";#N/A,#N/A,TRUE,"Y총물량";#N/A,#N/A,TRUE,"Y능력";#N/A,#N/A,TRUE,"YKD"}</definedName>
    <definedName name="물량조정_1" localSheetId="3" hidden="1">{#N/A,#N/A,TRUE,"Y생산";#N/A,#N/A,TRUE,"Y판매";#N/A,#N/A,TRUE,"Y총물량";#N/A,#N/A,TRUE,"Y능력";#N/A,#N/A,TRUE,"YKD"}</definedName>
    <definedName name="물량조정_1" localSheetId="1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localSheetId="5" hidden="1">{#N/A,#N/A,TRUE,"Y생산";#N/A,#N/A,TRUE,"Y판매";#N/A,#N/A,TRUE,"Y총물량";#N/A,#N/A,TRUE,"Y능력";#N/A,#N/A,TRUE,"YKD"}</definedName>
    <definedName name="물수" localSheetId="4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localSheetId="5" hidden="1">{#N/A,#N/A,TRUE,"Y생산";#N/A,#N/A,TRUE,"Y판매";#N/A,#N/A,TRUE,"Y총물량";#N/A,#N/A,TRUE,"Y능력";#N/A,#N/A,TRUE,"YKD"}</definedName>
    <definedName name="물수_1" localSheetId="4" hidden="1">{#N/A,#N/A,TRUE,"Y생산";#N/A,#N/A,TRUE,"Y판매";#N/A,#N/A,TRUE,"Y총물량";#N/A,#N/A,TRUE,"Y능력";#N/A,#N/A,TRUE,"YKD"}</definedName>
    <definedName name="물수_1" localSheetId="3" hidden="1">{#N/A,#N/A,TRUE,"Y생산";#N/A,#N/A,TRUE,"Y판매";#N/A,#N/A,TRUE,"Y총물량";#N/A,#N/A,TRUE,"Y능력";#N/A,#N/A,TRUE,"YKD"}</definedName>
    <definedName name="물수_1" localSheetId="1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localSheetId="5" hidden="1">{#N/A,#N/A,FALSE,"95FW"}</definedName>
    <definedName name="뭐야.." localSheetId="4" hidden="1">{#N/A,#N/A,FALSE,"95FW"}</definedName>
    <definedName name="뭐야.." localSheetId="3" hidden="1">{#N/A,#N/A,FALSE,"95FW"}</definedName>
    <definedName name="뭐야.." localSheetId="1" hidden="1">{#N/A,#N/A,FALSE,"95FW"}</definedName>
    <definedName name="뭐야.." hidden="1">{#N/A,#N/A,FALSE,"95FW"}</definedName>
    <definedName name="뭐지" localSheetId="5" hidden="1">{#N/A,#N/A,FALSE,"95FW"}</definedName>
    <definedName name="뭐지" localSheetId="4" hidden="1">{#N/A,#N/A,FALSE,"95FW"}</definedName>
    <definedName name="뭐지" localSheetId="3" hidden="1">{#N/A,#N/A,FALSE,"95FW"}</definedName>
    <definedName name="뭐지" localSheetId="1" hidden="1">{#N/A,#N/A,FALSE,"95FW"}</definedName>
    <definedName name="뭐지" hidden="1">{#N/A,#N/A,FALSE,"95FW"}</definedName>
    <definedName name="뮤뮤" localSheetId="5" hidden="1">{#N/A,#N/A,FALSE,"1.CRITERIA";#N/A,#N/A,FALSE,"2.IS";#N/A,#N/A,FALSE,"3.BS";#N/A,#N/A,FALSE,"4.PER PL";#N/A,#N/A,FALSE,"5.INVESTMENT";#N/A,#N/A,FALSE,"6.공문";#N/A,#N/A,FALSE,"7.netinvest"}</definedName>
    <definedName name="뮤뮤" localSheetId="4" hidden="1">{#N/A,#N/A,FALSE,"1.CRITERIA";#N/A,#N/A,FALSE,"2.IS";#N/A,#N/A,FALSE,"3.BS";#N/A,#N/A,FALSE,"4.PER PL";#N/A,#N/A,FALSE,"5.INVESTMENT";#N/A,#N/A,FALSE,"6.공문";#N/A,#N/A,FALSE,"7.netinvest"}</definedName>
    <definedName name="뮤뮤" localSheetId="3" hidden="1">{#N/A,#N/A,FALSE,"1.CRITERIA";#N/A,#N/A,FALSE,"2.IS";#N/A,#N/A,FALSE,"3.BS";#N/A,#N/A,FALSE,"4.PER PL";#N/A,#N/A,FALSE,"5.INVESTMENT";#N/A,#N/A,FALSE,"6.공문";#N/A,#N/A,FALSE,"7.netinvest"}</definedName>
    <definedName name="뮤뮤" localSheetId="1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localSheetId="5" hidden="1">{#N/A,#N/A,TRUE,"Y생산";#N/A,#N/A,TRUE,"Y판매";#N/A,#N/A,TRUE,"Y총물량";#N/A,#N/A,TRUE,"Y능력";#N/A,#N/A,TRUE,"YKD"}</definedName>
    <definedName name="뮬소" localSheetId="4" hidden="1">{#N/A,#N/A,TRUE,"Y생산";#N/A,#N/A,TRUE,"Y판매";#N/A,#N/A,TRUE,"Y총물량";#N/A,#N/A,TRUE,"Y능력";#N/A,#N/A,TRUE,"YKD"}</definedName>
    <definedName name="뮬소" localSheetId="3" hidden="1">{#N/A,#N/A,TRUE,"Y생산";#N/A,#N/A,TRUE,"Y판매";#N/A,#N/A,TRUE,"Y총물량";#N/A,#N/A,TRUE,"Y능력";#N/A,#N/A,TRUE,"YKD"}</definedName>
    <definedName name="뮬소" localSheetId="1" hidden="1">{#N/A,#N/A,TRUE,"Y생산";#N/A,#N/A,TRUE,"Y판매";#N/A,#N/A,TRUE,"Y총물량";#N/A,#N/A,TRUE,"Y능력";#N/A,#N/A,TRUE,"YKD"}</definedName>
    <definedName name="뮬소" hidden="1">{#N/A,#N/A,TRUE,"Y생산";#N/A,#N/A,TRUE,"Y판매";#N/A,#N/A,TRUE,"Y총물량";#N/A,#N/A,TRUE,"Y능력";#N/A,#N/A,TRUE,"YKD"}</definedName>
    <definedName name="뮬소_1" localSheetId="5" hidden="1">{#N/A,#N/A,TRUE,"Y생산";#N/A,#N/A,TRUE,"Y판매";#N/A,#N/A,TRUE,"Y총물량";#N/A,#N/A,TRUE,"Y능력";#N/A,#N/A,TRUE,"YKD"}</definedName>
    <definedName name="뮬소_1" localSheetId="4" hidden="1">{#N/A,#N/A,TRUE,"Y생산";#N/A,#N/A,TRUE,"Y판매";#N/A,#N/A,TRUE,"Y총물량";#N/A,#N/A,TRUE,"Y능력";#N/A,#N/A,TRUE,"YKD"}</definedName>
    <definedName name="뮬소_1" localSheetId="3" hidden="1">{#N/A,#N/A,TRUE,"Y생산";#N/A,#N/A,TRUE,"Y판매";#N/A,#N/A,TRUE,"Y총물량";#N/A,#N/A,TRUE,"Y능력";#N/A,#N/A,TRUE,"YKD"}</definedName>
    <definedName name="뮬소_1" localSheetId="1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localSheetId="5" hidden="1">{#N/A,#N/A,TRUE,"일정"}</definedName>
    <definedName name="므" localSheetId="4" hidden="1">{#N/A,#N/A,TRUE,"일정"}</definedName>
    <definedName name="므" localSheetId="3" hidden="1">{#N/A,#N/A,TRUE,"일정"}</definedName>
    <definedName name="므" localSheetId="1" hidden="1">{#N/A,#N/A,TRUE,"일정"}</definedName>
    <definedName name="므" hidden="1">{#N/A,#N/A,TRUE,"일정"}</definedName>
    <definedName name="미" localSheetId="5" hidden="1">{#N/A,#N/A,TRUE,"일정"}</definedName>
    <definedName name="미" localSheetId="4" hidden="1">{#N/A,#N/A,TRUE,"일정"}</definedName>
    <definedName name="미" localSheetId="3" hidden="1">{#N/A,#N/A,TRUE,"일정"}</definedName>
    <definedName name="미" localSheetId="1" hidden="1">{#N/A,#N/A,TRUE,"일정"}</definedName>
    <definedName name="미" hidden="1">{#N/A,#N/A,TRUE,"일정"}</definedName>
    <definedName name="미라" localSheetId="5" hidden="1">{#N/A,#N/A,FALSE,"1.CRITERIA";#N/A,#N/A,FALSE,"2.IS";#N/A,#N/A,FALSE,"3.BS";#N/A,#N/A,FALSE,"4.PER PL";#N/A,#N/A,FALSE,"5.INVESTMENT";#N/A,#N/A,FALSE,"6.공문";#N/A,#N/A,FALSE,"7.netinvest"}</definedName>
    <definedName name="미라" localSheetId="4" hidden="1">{#N/A,#N/A,FALSE,"1.CRITERIA";#N/A,#N/A,FALSE,"2.IS";#N/A,#N/A,FALSE,"3.BS";#N/A,#N/A,FALSE,"4.PER PL";#N/A,#N/A,FALSE,"5.INVESTMENT";#N/A,#N/A,FALSE,"6.공문";#N/A,#N/A,FALSE,"7.netinvest"}</definedName>
    <definedName name="미라" localSheetId="3" hidden="1">{#N/A,#N/A,FALSE,"1.CRITERIA";#N/A,#N/A,FALSE,"2.IS";#N/A,#N/A,FALSE,"3.BS";#N/A,#N/A,FALSE,"4.PER PL";#N/A,#N/A,FALSE,"5.INVESTMENT";#N/A,#N/A,FALSE,"6.공문";#N/A,#N/A,FALSE,"7.netinvest"}</definedName>
    <definedName name="미라" localSheetId="1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5" hidden="1">{#N/A,#N/A,FALSE,"1.CRITERIA";#N/A,#N/A,FALSE,"2.IS";#N/A,#N/A,FALSE,"3.BS";#N/A,#N/A,FALSE,"4.PER PL";#N/A,#N/A,FALSE,"5.INVESTMENT";#N/A,#N/A,FALSE,"6.공문";#N/A,#N/A,FALSE,"7.netinvest"}</definedName>
    <definedName name="미로" localSheetId="4" hidden="1">{#N/A,#N/A,FALSE,"1.CRITERIA";#N/A,#N/A,FALSE,"2.IS";#N/A,#N/A,FALSE,"3.BS";#N/A,#N/A,FALSE,"4.PER PL";#N/A,#N/A,FALSE,"5.INVESTMENT";#N/A,#N/A,FALSE,"6.공문";#N/A,#N/A,FALSE,"7.netinvest"}</definedName>
    <definedName name="미로" localSheetId="3" hidden="1">{#N/A,#N/A,FALSE,"1.CRITERIA";#N/A,#N/A,FALSE,"2.IS";#N/A,#N/A,FALSE,"3.BS";#N/A,#N/A,FALSE,"4.PER PL";#N/A,#N/A,FALSE,"5.INVESTMENT";#N/A,#N/A,FALSE,"6.공문";#N/A,#N/A,FALSE,"7.netinvest"}</definedName>
    <definedName name="미로" localSheetId="1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5" hidden="1">{#N/A,#N/A,FALSE,"1.CRITERIA";#N/A,#N/A,FALSE,"2.IS";#N/A,#N/A,FALSE,"3.BS";#N/A,#N/A,FALSE,"4.PER PL";#N/A,#N/A,FALSE,"5.INVESTMENT";#N/A,#N/A,FALSE,"6.공문";#N/A,#N/A,FALSE,"7.netinvest"}</definedName>
    <definedName name="미로어" localSheetId="4" hidden="1">{#N/A,#N/A,FALSE,"1.CRITERIA";#N/A,#N/A,FALSE,"2.IS";#N/A,#N/A,FALSE,"3.BS";#N/A,#N/A,FALSE,"4.PER PL";#N/A,#N/A,FALSE,"5.INVESTMENT";#N/A,#N/A,FALSE,"6.공문";#N/A,#N/A,FALSE,"7.netinvest"}</definedName>
    <definedName name="미로어" localSheetId="3" hidden="1">{#N/A,#N/A,FALSE,"1.CRITERIA";#N/A,#N/A,FALSE,"2.IS";#N/A,#N/A,FALSE,"3.BS";#N/A,#N/A,FALSE,"4.PER PL";#N/A,#N/A,FALSE,"5.INVESTMENT";#N/A,#N/A,FALSE,"6.공문";#N/A,#N/A,FALSE,"7.netinvest"}</definedName>
    <definedName name="미로어" localSheetId="1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5" hidden="1">{#N/A,#N/A,FALSE,"1.CRITERIA";#N/A,#N/A,FALSE,"2.IS";#N/A,#N/A,FALSE,"3.BS";#N/A,#N/A,FALSE,"4.PER PL";#N/A,#N/A,FALSE,"5.INVESTMENT";#N/A,#N/A,FALSE,"6.공문";#N/A,#N/A,FALSE,"7.netinvest"}</definedName>
    <definedName name="미료" localSheetId="4" hidden="1">{#N/A,#N/A,FALSE,"1.CRITERIA";#N/A,#N/A,FALSE,"2.IS";#N/A,#N/A,FALSE,"3.BS";#N/A,#N/A,FALSE,"4.PER PL";#N/A,#N/A,FALSE,"5.INVESTMENT";#N/A,#N/A,FALSE,"6.공문";#N/A,#N/A,FALSE,"7.netinvest"}</definedName>
    <definedName name="미료" localSheetId="3" hidden="1">{#N/A,#N/A,FALSE,"1.CRITERIA";#N/A,#N/A,FALSE,"2.IS";#N/A,#N/A,FALSE,"3.BS";#N/A,#N/A,FALSE,"4.PER PL";#N/A,#N/A,FALSE,"5.INVESTMENT";#N/A,#N/A,FALSE,"6.공문";#N/A,#N/A,FALSE,"7.netinvest"}</definedName>
    <definedName name="미료" localSheetId="1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5" hidden="1">{#N/A,#N/A,FALSE,"1.CRITERIA";#N/A,#N/A,FALSE,"2.IS";#N/A,#N/A,FALSE,"3.BS";#N/A,#N/A,FALSE,"4.PER PL";#N/A,#N/A,FALSE,"5.INVESTMENT";#N/A,#N/A,FALSE,"6.공문";#N/A,#N/A,FALSE,"7.netinvest"}</definedName>
    <definedName name="미미" localSheetId="4" hidden="1">{#N/A,#N/A,FALSE,"1.CRITERIA";#N/A,#N/A,FALSE,"2.IS";#N/A,#N/A,FALSE,"3.BS";#N/A,#N/A,FALSE,"4.PER PL";#N/A,#N/A,FALSE,"5.INVESTMENT";#N/A,#N/A,FALSE,"6.공문";#N/A,#N/A,FALSE,"7.netinvest"}</definedName>
    <definedName name="미미" localSheetId="3" hidden="1">{#N/A,#N/A,FALSE,"1.CRITERIA";#N/A,#N/A,FALSE,"2.IS";#N/A,#N/A,FALSE,"3.BS";#N/A,#N/A,FALSE,"4.PER PL";#N/A,#N/A,FALSE,"5.INVESTMENT";#N/A,#N/A,FALSE,"6.공문";#N/A,#N/A,FALSE,"7.netinvest"}</definedName>
    <definedName name="미미" localSheetId="1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localSheetId="5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4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3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1" hidden="1">{#N/A,#N/A,FALSE,"표지";#N/A,#N/A,FALSE,"전제";#N/A,#N/A,FALSE,"손익-자 (2)";#N/A,#N/A,FALSE,"손익-자";#N/A,#N/A,FALSE,"손익-마 (2)";#N/A,#N/A,FALSE,"손익-마";#N/A,#N/A,FALSE,"총손최종"}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localSheetId="5" hidden="1">{"'買掛金'!$J$6"}</definedName>
    <definedName name="未払" localSheetId="4" hidden="1">{"'買掛金'!$J$6"}</definedName>
    <definedName name="未払" localSheetId="3" hidden="1">{"'買掛金'!$J$6"}</definedName>
    <definedName name="未払" localSheetId="1" hidden="1">{"'買掛金'!$J$6"}</definedName>
    <definedName name="未払" hidden="1">{"'買掛金'!$J$6"}</definedName>
    <definedName name="未払金" localSheetId="5" hidden="1">{"'買掛金'!$J$6"}</definedName>
    <definedName name="未払金" localSheetId="4" hidden="1">{"'買掛金'!$J$6"}</definedName>
    <definedName name="未払金" localSheetId="3" hidden="1">{"'買掛金'!$J$6"}</definedName>
    <definedName name="未払金" localSheetId="1" hidden="1">{"'買掛金'!$J$6"}</definedName>
    <definedName name="未払金" hidden="1">{"'買掛金'!$J$6"}</definedName>
    <definedName name="미수금" localSheetId="5" hidden="1">{#N/A,#N/A,FALSE,"Aging Summary";#N/A,#N/A,FALSE,"Ratio Analysis";#N/A,#N/A,FALSE,"Test 120 Day Accts";#N/A,#N/A,FALSE,"Tickmarks"}</definedName>
    <definedName name="미수금" localSheetId="4" hidden="1">{#N/A,#N/A,FALSE,"Aging Summary";#N/A,#N/A,FALSE,"Ratio Analysis";#N/A,#N/A,FALSE,"Test 120 Day Accts";#N/A,#N/A,FALSE,"Tickmarks"}</definedName>
    <definedName name="미수금" localSheetId="3" hidden="1">{#N/A,#N/A,FALSE,"Aging Summary";#N/A,#N/A,FALSE,"Ratio Analysis";#N/A,#N/A,FALSE,"Test 120 Day Accts";#N/A,#N/A,FALSE,"Tickmarks"}</definedName>
    <definedName name="미수금" localSheetId="1" hidden="1">{#N/A,#N/A,FALSE,"Aging Summary";#N/A,#N/A,FALSE,"Ratio Analysis";#N/A,#N/A,FALSE,"Test 120 Day Accts";#N/A,#N/A,FALSE,"Tickmarks"}</definedName>
    <definedName name="미수금" hidden="1">{#N/A,#N/A,FALSE,"Aging Summary";#N/A,#N/A,FALSE,"Ratio Analysis";#N/A,#N/A,FALSE,"Test 120 Day Accts";#N/A,#N/A,FALSE,"Tickmarks"}</definedName>
    <definedName name="미수금2" localSheetId="5" hidden="1">#REF!</definedName>
    <definedName name="미수금2" localSheetId="4" hidden="1">#REF!</definedName>
    <definedName name="미수금2" localSheetId="3" hidden="1">#REF!</definedName>
    <definedName name="미수금2" localSheetId="1" hidden="1">#REF!</definedName>
    <definedName name="미수금2" hidden="1">#REF!</definedName>
    <definedName name="미수수익" localSheetId="3">#REF!</definedName>
    <definedName name="미수수익" localSheetId="1">#REF!</definedName>
    <definedName name="미수수익">#REF!</definedName>
    <definedName name="미술합계" localSheetId="5">#REF!</definedName>
    <definedName name="미술합계" localSheetId="4">#REF!</definedName>
    <definedName name="미술합계" localSheetId="3">#REF!</definedName>
    <definedName name="미술합계" localSheetId="1">#REF!</definedName>
    <definedName name="미술합계">#REF!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 localSheetId="5">#REF!</definedName>
    <definedName name="미오" localSheetId="4">#REF!</definedName>
    <definedName name="미오" localSheetId="3">#REF!</definedName>
    <definedName name="미오" localSheetId="1">#REF!</definedName>
    <definedName name="미오">#REF!</definedName>
    <definedName name="미적용401" localSheetId="5">#REF!,#REF!,#REF!,#REF!,#REF!,#REF!,#REF!,#REF!,#REF!,#REF!</definedName>
    <definedName name="미적용401" localSheetId="4">#REF!,#REF!,#REF!,#REF!,#REF!,#REF!,#REF!,#REF!,#REF!,#REF!</definedName>
    <definedName name="미적용401" localSheetId="3">#REF!,#REF!,#REF!,#REF!,#REF!,#REF!,#REF!,#REF!,#REF!,#REF!</definedName>
    <definedName name="미적용401" localSheetId="1">#REF!,#REF!,#REF!,#REF!,#REF!,#REF!,#REF!,#REF!,#REF!,#REF!</definedName>
    <definedName name="미적용401">#REF!,#REF!,#REF!,#REF!,#REF!,#REF!,#REF!,#REF!,#REF!,#REF!</definedName>
    <definedName name="미지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localSheetId="5" hidden="1">#REF!</definedName>
    <definedName name="미지급" localSheetId="4" hidden="1">#REF!</definedName>
    <definedName name="미지급" localSheetId="3" hidden="1">#REF!</definedName>
    <definedName name="미지급" localSheetId="1" hidden="1">#REF!</definedName>
    <definedName name="미지급" hidden="1">#REF!</definedName>
    <definedName name="미지급금" localSheetId="3">#REF!</definedName>
    <definedName name="미지급금" localSheetId="1">#REF!</definedName>
    <definedName name="미지급금">#REF!</definedName>
    <definedName name="미지급비용" localSheetId="3">#REF!</definedName>
    <definedName name="미지급비용" localSheetId="1">#REF!</definedName>
    <definedName name="미지급비용">#REF!</definedName>
    <definedName name="미착자산">#N/A</definedName>
    <definedName name="미치겠네" localSheetId="5" hidden="1">{"'Sheet1'!$A$1:$H$36"}</definedName>
    <definedName name="미치겠네" localSheetId="4" hidden="1">{"'Sheet1'!$A$1:$H$36"}</definedName>
    <definedName name="미치겠네" localSheetId="3" hidden="1">{"'Sheet1'!$A$1:$H$36"}</definedName>
    <definedName name="미치겠네" localSheetId="1" hidden="1">{"'Sheet1'!$A$1:$H$36"}</definedName>
    <definedName name="미치겠네" hidden="1">{"'Sheet1'!$A$1:$H$36"}</definedName>
    <definedName name="미치겠당" localSheetId="3">#REF!</definedName>
    <definedName name="미치겠당" localSheetId="1">#REF!</definedName>
    <definedName name="미치겠당">#REF!</definedName>
    <definedName name="미화" localSheetId="5" hidden="1">{#N/A,#N/A,FALSE,"이력서&amp;자기소개서"}</definedName>
    <definedName name="미화" localSheetId="4" hidden="1">{#N/A,#N/A,FALSE,"이력서&amp;자기소개서"}</definedName>
    <definedName name="미화" localSheetId="3" hidden="1">{#N/A,#N/A,FALSE,"이력서&amp;자기소개서"}</definedName>
    <definedName name="미화" localSheetId="1" hidden="1">{#N/A,#N/A,FALSE,"이력서&amp;자기소개서"}</definedName>
    <definedName name="미화" hidden="1">{#N/A,#N/A,FALSE,"이력서&amp;자기소개서"}</definedName>
    <definedName name="미화_1" localSheetId="5" hidden="1">{#N/A,#N/A,FALSE,"이력서&amp;자기소개서"}</definedName>
    <definedName name="미화_1" localSheetId="4" hidden="1">{#N/A,#N/A,FALSE,"이력서&amp;자기소개서"}</definedName>
    <definedName name="미화_1" localSheetId="3" hidden="1">{#N/A,#N/A,FALSE,"이력서&amp;자기소개서"}</definedName>
    <definedName name="미화_1" localSheetId="1" hidden="1">{#N/A,#N/A,FALSE,"이력서&amp;자기소개서"}</definedName>
    <definedName name="미화_1" hidden="1">{#N/A,#N/A,FALSE,"이력서&amp;자기소개서"}</definedName>
    <definedName name="미화2" localSheetId="5" hidden="1">{#N/A,#N/A,FALSE,"이력서&amp;자기소개서"}</definedName>
    <definedName name="미화2" localSheetId="4" hidden="1">{#N/A,#N/A,FALSE,"이력서&amp;자기소개서"}</definedName>
    <definedName name="미화2" localSheetId="3" hidden="1">{#N/A,#N/A,FALSE,"이력서&amp;자기소개서"}</definedName>
    <definedName name="미화2" localSheetId="1" hidden="1">{#N/A,#N/A,FALSE,"이력서&amp;자기소개서"}</definedName>
    <definedName name="미화2" hidden="1">{#N/A,#N/A,FALSE,"이력서&amp;자기소개서"}</definedName>
    <definedName name="미화2_1" localSheetId="5" hidden="1">{#N/A,#N/A,FALSE,"이력서&amp;자기소개서"}</definedName>
    <definedName name="미화2_1" localSheetId="4" hidden="1">{#N/A,#N/A,FALSE,"이력서&amp;자기소개서"}</definedName>
    <definedName name="미화2_1" localSheetId="3" hidden="1">{#N/A,#N/A,FALSE,"이력서&amp;자기소개서"}</definedName>
    <definedName name="미화2_1" localSheetId="1" hidden="1">{#N/A,#N/A,FALSE,"이력서&amp;자기소개서"}</definedName>
    <definedName name="미화2_1" hidden="1">{#N/A,#N/A,FALSE,"이력서&amp;자기소개서"}</definedName>
    <definedName name="민감도" localSheetId="5" hidden="1">#REF!</definedName>
    <definedName name="민감도" localSheetId="4" hidden="1">#REF!</definedName>
    <definedName name="민감도" localSheetId="3" hidden="1">#REF!</definedName>
    <definedName name="민감도" localSheetId="1" hidden="1">#REF!</definedName>
    <definedName name="민감도" hidden="1">#REF!</definedName>
    <definedName name="민자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 localSheetId="5">#REF!</definedName>
    <definedName name="밋션별" localSheetId="4">#REF!</definedName>
    <definedName name="밋션별" localSheetId="3">#REF!</definedName>
    <definedName name="밋션별" localSheetId="1">#REF!</definedName>
    <definedName name="밋션별">#REF!</definedName>
    <definedName name="ㅂ" localSheetId="5" hidden="1">{#N/A,#N/A,TRUE,"Y생산";#N/A,#N/A,TRUE,"Y판매";#N/A,#N/A,TRUE,"Y총물량";#N/A,#N/A,TRUE,"Y능력";#N/A,#N/A,TRUE,"YKD"}</definedName>
    <definedName name="ㅂ" localSheetId="4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localSheetId="1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1" localSheetId="5" hidden="1">{#N/A,#N/A,FALSE,"95FW"}</definedName>
    <definedName name="ㅂ1" localSheetId="4" hidden="1">{#N/A,#N/A,FALSE,"95FW"}</definedName>
    <definedName name="ㅂ1" localSheetId="3" hidden="1">{#N/A,#N/A,FALSE,"95FW"}</definedName>
    <definedName name="ㅂ1" localSheetId="1" hidden="1">{#N/A,#N/A,FALSE,"95FW"}</definedName>
    <definedName name="ㅂ1" hidden="1">{#N/A,#N/A,FALSE,"95FW"}</definedName>
    <definedName name="ㅂㄴ">#N/A</definedName>
    <definedName name="ㅂㄷ" localSheetId="5" hidden="1">{#N/A,#N/A,FALSE,"BS";#N/A,#N/A,FALSE,"PL";#N/A,#N/A,FALSE,"처분";#N/A,#N/A,FALSE,"현금";#N/A,#N/A,FALSE,"매출";#N/A,#N/A,FALSE,"원가";#N/A,#N/A,FALSE,"경영"}</definedName>
    <definedName name="ㅂㄷ" localSheetId="4" hidden="1">{#N/A,#N/A,FALSE,"BS";#N/A,#N/A,FALSE,"PL";#N/A,#N/A,FALSE,"처분";#N/A,#N/A,FALSE,"현금";#N/A,#N/A,FALSE,"매출";#N/A,#N/A,FALSE,"원가";#N/A,#N/A,FALSE,"경영"}</definedName>
    <definedName name="ㅂㄷ" localSheetId="3" hidden="1">{#N/A,#N/A,FALSE,"BS";#N/A,#N/A,FALSE,"PL";#N/A,#N/A,FALSE,"처분";#N/A,#N/A,FALSE,"현금";#N/A,#N/A,FALSE,"매출";#N/A,#N/A,FALSE,"원가";#N/A,#N/A,FALSE,"경영"}</definedName>
    <definedName name="ㅂㄷ" localSheetId="1" hidden="1">{#N/A,#N/A,FALSE,"BS";#N/A,#N/A,FALSE,"PL";#N/A,#N/A,FALSE,"처분";#N/A,#N/A,FALSE,"현금";#N/A,#N/A,FALSE,"매출";#N/A,#N/A,FALSE,"원가";#N/A,#N/A,FALSE,"경영"}</definedName>
    <definedName name="ㅂㄷ" hidden="1">{#N/A,#N/A,FALSE,"BS";#N/A,#N/A,FALSE,"PL";#N/A,#N/A,FALSE,"처분";#N/A,#N/A,FALSE,"현금";#N/A,#N/A,FALSE,"매출";#N/A,#N/A,FALSE,"원가";#N/A,#N/A,FALSE,"경영"}</definedName>
    <definedName name="ㅂㄷㄱ" localSheetId="5" hidden="1">{#N/A,#N/A,FALSE,"Aging Summary";#N/A,#N/A,FALSE,"Ratio Analysis";#N/A,#N/A,FALSE,"Test 120 Day Accts";#N/A,#N/A,FALSE,"Tickmarks"}</definedName>
    <definedName name="ㅂㄷㄱ" localSheetId="4" hidden="1">{#N/A,#N/A,FALSE,"Aging Summary";#N/A,#N/A,FALSE,"Ratio Analysis";#N/A,#N/A,FALSE,"Test 120 Day Accts";#N/A,#N/A,FALSE,"Tickmarks"}</definedName>
    <definedName name="ㅂㄷㄱ" localSheetId="3" hidden="1">{#N/A,#N/A,FALSE,"Aging Summary";#N/A,#N/A,FALSE,"Ratio Analysis";#N/A,#N/A,FALSE,"Test 120 Day Accts";#N/A,#N/A,FALSE,"Tickmarks"}</definedName>
    <definedName name="ㅂㄷㄱ" localSheetId="1" hidden="1">{#N/A,#N/A,FALSE,"Aging Summary";#N/A,#N/A,FALSE,"Ratio Analysis";#N/A,#N/A,FALSE,"Test 120 Day Accts";#N/A,#N/A,FALSE,"Tickmarks"}</definedName>
    <definedName name="ㅂㄷㄱ" hidden="1">{#N/A,#N/A,FALSE,"Aging Summary";#N/A,#N/A,FALSE,"Ratio Analysis";#N/A,#N/A,FALSE,"Test 120 Day Accts";#N/A,#N/A,FALSE,"Tickmarks"}</definedName>
    <definedName name="ㅂㄷㄷㄱ" localSheetId="5" hidden="1">{#N/A,#N/A,FALSE,"Aging Summary";#N/A,#N/A,FALSE,"Ratio Analysis";#N/A,#N/A,FALSE,"Test 120 Day Accts";#N/A,#N/A,FALSE,"Tickmarks"}</definedName>
    <definedName name="ㅂㄷㄷㄱ" localSheetId="4" hidden="1">{#N/A,#N/A,FALSE,"Aging Summary";#N/A,#N/A,FALSE,"Ratio Analysis";#N/A,#N/A,FALSE,"Test 120 Day Accts";#N/A,#N/A,FALSE,"Tickmarks"}</definedName>
    <definedName name="ㅂㄷㄷㄱ" localSheetId="3" hidden="1">{#N/A,#N/A,FALSE,"Aging Summary";#N/A,#N/A,FALSE,"Ratio Analysis";#N/A,#N/A,FALSE,"Test 120 Day Accts";#N/A,#N/A,FALSE,"Tickmarks"}</definedName>
    <definedName name="ㅂㄷㄷㄱ" localSheetId="1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 localSheetId="5">#REF!</definedName>
    <definedName name="ㅂㅂ" localSheetId="4">#REF!</definedName>
    <definedName name="ㅂㅂ" localSheetId="3">#REF!</definedName>
    <definedName name="ㅂㅂ" localSheetId="1">#REF!</definedName>
    <definedName name="ㅂㅂ">#REF!</definedName>
    <definedName name="ㅂㅂ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5" hidden="1">{#N/A,#N/A,FALSE,"Aging Summary";#N/A,#N/A,FALSE,"Ratio Analysis";#N/A,#N/A,FALSE,"Test 120 Day Accts";#N/A,#N/A,FALSE,"Tickmarks"}</definedName>
    <definedName name="ㅂㅂㅂ" localSheetId="4" hidden="1">{#N/A,#N/A,FALSE,"Aging Summary";#N/A,#N/A,FALSE,"Ratio Analysis";#N/A,#N/A,FALSE,"Test 120 Day Accts";#N/A,#N/A,FALSE,"Tickmarks"}</definedName>
    <definedName name="ㅂㅂㅂ" localSheetId="3" hidden="1">{#N/A,#N/A,FALSE,"Aging Summary";#N/A,#N/A,FALSE,"Ratio Analysis";#N/A,#N/A,FALSE,"Test 120 Day Accts";#N/A,#N/A,FALSE,"Tickmarks"}</definedName>
    <definedName name="ㅂㅂㅂ" localSheetId="1" hidden="1">{#N/A,#N/A,FALSE,"Aging Summary";#N/A,#N/A,FALSE,"Ratio Analysis";#N/A,#N/A,FALSE,"Test 120 Day Accts";#N/A,#N/A,FALSE,"Tickmarks"}</definedName>
    <definedName name="ㅂㅂㅂ" hidden="1">{#N/A,#N/A,FALSE,"Aging Summary";#N/A,#N/A,FALSE,"Ratio Analysis";#N/A,#N/A,FALSE,"Test 120 Day Accts";#N/A,#N/A,FALSE,"Tickmarks"}</definedName>
    <definedName name="ㅂㅂㅂㅂ" localSheetId="5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4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3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1" hidden="1">{#N/A,#N/A,FALSE,"채산3501.XLS";#N/A,#N/A,FALSE,"신조수A.XLS";#N/A,#N/A,FALSE,"신조수b.XLS";#N/A,#N/A,FALSE,"채산3502.XLS";#N/A,#N/A,FALSE,"신조원리.XLS";#N/A,#N/A,FALSE,"신조감가.XLS"}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 localSheetId="5">#REF!</definedName>
    <definedName name="ㅂㅂㅂㅂㅂㅂㅂㅂㅂ" localSheetId="4">#REF!</definedName>
    <definedName name="ㅂㅂㅂㅂㅂㅂㅂㅂㅂ" localSheetId="3">#REF!</definedName>
    <definedName name="ㅂㅂㅂㅂㅂㅂㅂㅂㅂ" localSheetId="1">#REF!</definedName>
    <definedName name="ㅂㅂㅂㅂㅂㅂㅂㅂㅂ">#REF!</definedName>
    <definedName name="ㅂㅈ">#N/A</definedName>
    <definedName name="ㅂㅈㄱㄷㅈ" localSheetId="5" hidden="1">{#N/A,#N/A,FALSE,"Aging Summary";#N/A,#N/A,FALSE,"Ratio Analysis";#N/A,#N/A,FALSE,"Test 120 Day Accts";#N/A,#N/A,FALSE,"Tickmarks"}</definedName>
    <definedName name="ㅂㅈㄱㄷㅈ" localSheetId="4" hidden="1">{#N/A,#N/A,FALSE,"Aging Summary";#N/A,#N/A,FALSE,"Ratio Analysis";#N/A,#N/A,FALSE,"Test 120 Day Accts";#N/A,#N/A,FALSE,"Tickmarks"}</definedName>
    <definedName name="ㅂㅈㄱㄷㅈ" localSheetId="3" hidden="1">{#N/A,#N/A,FALSE,"Aging Summary";#N/A,#N/A,FALSE,"Ratio Analysis";#N/A,#N/A,FALSE,"Test 120 Day Accts";#N/A,#N/A,FALSE,"Tickmarks"}</definedName>
    <definedName name="ㅂㅈㄱㄷㅈ" localSheetId="1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ㄷ" localSheetId="5" hidden="1">{#N/A,#N/A,FALSE,"Aging Summary";#N/A,#N/A,FALSE,"Ratio Analysis";#N/A,#N/A,FALSE,"Test 120 Day Accts";#N/A,#N/A,FALSE,"Tickmarks"}</definedName>
    <definedName name="ㅂㅈㄷ" localSheetId="4" hidden="1">{#N/A,#N/A,FALSE,"Aging Summary";#N/A,#N/A,FALSE,"Ratio Analysis";#N/A,#N/A,FALSE,"Test 120 Day Accts";#N/A,#N/A,FALSE,"Tickmarks"}</definedName>
    <definedName name="ㅂㅈㄷ" localSheetId="3" hidden="1">{#N/A,#N/A,FALSE,"Aging Summary";#N/A,#N/A,FALSE,"Ratio Analysis";#N/A,#N/A,FALSE,"Test 120 Day Accts";#N/A,#N/A,FALSE,"Tickmarks"}</definedName>
    <definedName name="ㅂㅈㄷ" localSheetId="1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 localSheetId="5">#REF!</definedName>
    <definedName name="ㅂㅈㄷㄴ" localSheetId="4">#REF!</definedName>
    <definedName name="ㅂㅈㄷㄴ" localSheetId="3">#REF!</definedName>
    <definedName name="ㅂㅈㄷㄴ" localSheetId="1">#REF!</definedName>
    <definedName name="ㅂㅈㄷㄴ">#REF!</definedName>
    <definedName name="ㅂㅋ" localSheetId="5" hidden="1">#REF!</definedName>
    <definedName name="ㅂㅋ" localSheetId="4" hidden="1">#REF!</definedName>
    <definedName name="ㅂㅋ" localSheetId="3" hidden="1">#REF!</definedName>
    <definedName name="ㅂㅋ" localSheetId="1" hidden="1">#REF!</definedName>
    <definedName name="ㅂㅋ" hidden="1">#REF!</definedName>
    <definedName name="바" localSheetId="5">#REF!</definedName>
    <definedName name="바" localSheetId="4">#REF!</definedName>
    <definedName name="바" localSheetId="3">#REF!</definedName>
    <definedName name="바" localSheetId="1">#REF!</definedName>
    <definedName name="바">#REF!</definedName>
    <definedName name="바가" localSheetId="5" hidden="1">{#N/A,#N/A,FALSE,"1.CRITERIA";#N/A,#N/A,FALSE,"2.IS";#N/A,#N/A,FALSE,"3.BS";#N/A,#N/A,FALSE,"4.PER PL";#N/A,#N/A,FALSE,"5.INVESTMENT";#N/A,#N/A,FALSE,"6.공문";#N/A,#N/A,FALSE,"7.netinvest"}</definedName>
    <definedName name="바가" localSheetId="4" hidden="1">{#N/A,#N/A,FALSE,"1.CRITERIA";#N/A,#N/A,FALSE,"2.IS";#N/A,#N/A,FALSE,"3.BS";#N/A,#N/A,FALSE,"4.PER PL";#N/A,#N/A,FALSE,"5.INVESTMENT";#N/A,#N/A,FALSE,"6.공문";#N/A,#N/A,FALSE,"7.netinvest"}</definedName>
    <definedName name="바가" localSheetId="3" hidden="1">{#N/A,#N/A,FALSE,"1.CRITERIA";#N/A,#N/A,FALSE,"2.IS";#N/A,#N/A,FALSE,"3.BS";#N/A,#N/A,FALSE,"4.PER PL";#N/A,#N/A,FALSE,"5.INVESTMENT";#N/A,#N/A,FALSE,"6.공문";#N/A,#N/A,FALSE,"7.netinvest"}</definedName>
    <definedName name="바가" localSheetId="1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5" hidden="1">{#N/A,#N/A,FALSE,"1.CRITERIA";#N/A,#N/A,FALSE,"2.IS";#N/A,#N/A,FALSE,"3.BS";#N/A,#N/A,FALSE,"4.PER PL";#N/A,#N/A,FALSE,"5.INVESTMENT";#N/A,#N/A,FALSE,"6.공문";#N/A,#N/A,FALSE,"7.netinvest"}</definedName>
    <definedName name="바나" localSheetId="4" hidden="1">{#N/A,#N/A,FALSE,"1.CRITERIA";#N/A,#N/A,FALSE,"2.IS";#N/A,#N/A,FALSE,"3.BS";#N/A,#N/A,FALSE,"4.PER PL";#N/A,#N/A,FALSE,"5.INVESTMENT";#N/A,#N/A,FALSE,"6.공문";#N/A,#N/A,FALSE,"7.netinvest"}</definedName>
    <definedName name="바나" localSheetId="3" hidden="1">{#N/A,#N/A,FALSE,"1.CRITERIA";#N/A,#N/A,FALSE,"2.IS";#N/A,#N/A,FALSE,"3.BS";#N/A,#N/A,FALSE,"4.PER PL";#N/A,#N/A,FALSE,"5.INVESTMENT";#N/A,#N/A,FALSE,"6.공문";#N/A,#N/A,FALSE,"7.netinvest"}</definedName>
    <definedName name="바나" localSheetId="1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5" hidden="1">{#N/A,#N/A,FALSE,"1.CRITERIA";#N/A,#N/A,FALSE,"2.IS";#N/A,#N/A,FALSE,"3.BS";#N/A,#N/A,FALSE,"4.PER PL";#N/A,#N/A,FALSE,"5.INVESTMENT";#N/A,#N/A,FALSE,"6.공문";#N/A,#N/A,FALSE,"7.netinvest"}</definedName>
    <definedName name="바다올" localSheetId="4" hidden="1">{#N/A,#N/A,FALSE,"1.CRITERIA";#N/A,#N/A,FALSE,"2.IS";#N/A,#N/A,FALSE,"3.BS";#N/A,#N/A,FALSE,"4.PER PL";#N/A,#N/A,FALSE,"5.INVESTMENT";#N/A,#N/A,FALSE,"6.공문";#N/A,#N/A,FALSE,"7.netinvest"}</definedName>
    <definedName name="바다올" localSheetId="3" hidden="1">{#N/A,#N/A,FALSE,"1.CRITERIA";#N/A,#N/A,FALSE,"2.IS";#N/A,#N/A,FALSE,"3.BS";#N/A,#N/A,FALSE,"4.PER PL";#N/A,#N/A,FALSE,"5.INVESTMENT";#N/A,#N/A,FALSE,"6.공문";#N/A,#N/A,FALSE,"7.netinvest"}</definedName>
    <definedName name="바다올" localSheetId="1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localSheetId="5" hidden="1">{#N/A,#N/A,FALSE,"1.CRITERIA";#N/A,#N/A,FALSE,"2.IS";#N/A,#N/A,FALSE,"3.BS";#N/A,#N/A,FALSE,"4.PER PL";#N/A,#N/A,FALSE,"5.INVESTMENT";#N/A,#N/A,FALSE,"6.공문";#N/A,#N/A,FALSE,"7.netinvest"}</definedName>
    <definedName name="바라" localSheetId="4" hidden="1">{#N/A,#N/A,FALSE,"1.CRITERIA";#N/A,#N/A,FALSE,"2.IS";#N/A,#N/A,FALSE,"3.BS";#N/A,#N/A,FALSE,"4.PER PL";#N/A,#N/A,FALSE,"5.INVESTMENT";#N/A,#N/A,FALSE,"6.공문";#N/A,#N/A,FALSE,"7.netinvest"}</definedName>
    <definedName name="바라" localSheetId="3" hidden="1">{#N/A,#N/A,FALSE,"1.CRITERIA";#N/A,#N/A,FALSE,"2.IS";#N/A,#N/A,FALSE,"3.BS";#N/A,#N/A,FALSE,"4.PER PL";#N/A,#N/A,FALSE,"5.INVESTMENT";#N/A,#N/A,FALSE,"6.공문";#N/A,#N/A,FALSE,"7.netinvest"}</definedName>
    <definedName name="바라" localSheetId="1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5" hidden="1">{#N/A,#N/A,FALSE,"1.CRITERIA";#N/A,#N/A,FALSE,"2.IS";#N/A,#N/A,FALSE,"3.BS";#N/A,#N/A,FALSE,"4.PER PL";#N/A,#N/A,FALSE,"5.INVESTMENT";#N/A,#N/A,FALSE,"6.공문";#N/A,#N/A,FALSE,"7.netinvest"}</definedName>
    <definedName name="바라오" localSheetId="4" hidden="1">{#N/A,#N/A,FALSE,"1.CRITERIA";#N/A,#N/A,FALSE,"2.IS";#N/A,#N/A,FALSE,"3.BS";#N/A,#N/A,FALSE,"4.PER PL";#N/A,#N/A,FALSE,"5.INVESTMENT";#N/A,#N/A,FALSE,"6.공문";#N/A,#N/A,FALSE,"7.netinvest"}</definedName>
    <definedName name="바라오" localSheetId="3" hidden="1">{#N/A,#N/A,FALSE,"1.CRITERIA";#N/A,#N/A,FALSE,"2.IS";#N/A,#N/A,FALSE,"3.BS";#N/A,#N/A,FALSE,"4.PER PL";#N/A,#N/A,FALSE,"5.INVESTMENT";#N/A,#N/A,FALSE,"6.공문";#N/A,#N/A,FALSE,"7.netinvest"}</definedName>
    <definedName name="바라오" localSheetId="1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localSheetId="5" hidden="1">{#N/A,#N/A,FALSE,"1.CRITERIA";#N/A,#N/A,FALSE,"2.IS";#N/A,#N/A,FALSE,"3.BS";#N/A,#N/A,FALSE,"4.PER PL";#N/A,#N/A,FALSE,"5.INVESTMENT";#N/A,#N/A,FALSE,"6.공문";#N/A,#N/A,FALSE,"7.netinvest"}</definedName>
    <definedName name="바로" localSheetId="4" hidden="1">{#N/A,#N/A,FALSE,"1.CRITERIA";#N/A,#N/A,FALSE,"2.IS";#N/A,#N/A,FALSE,"3.BS";#N/A,#N/A,FALSE,"4.PER PL";#N/A,#N/A,FALSE,"5.INVESTMENT";#N/A,#N/A,FALSE,"6.공문";#N/A,#N/A,FALSE,"7.netinvest"}</definedName>
    <definedName name="바로" localSheetId="3" hidden="1">{#N/A,#N/A,FALSE,"1.CRITERIA";#N/A,#N/A,FALSE,"2.IS";#N/A,#N/A,FALSE,"3.BS";#N/A,#N/A,FALSE,"4.PER PL";#N/A,#N/A,FALSE,"5.INVESTMENT";#N/A,#N/A,FALSE,"6.공문";#N/A,#N/A,FALSE,"7.netinvest"}</definedName>
    <definedName name="바로" localSheetId="1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5" hidden="1">{#N/A,#N/A,FALSE,"1.CRITERIA";#N/A,#N/A,FALSE,"2.IS";#N/A,#N/A,FALSE,"3.BS";#N/A,#N/A,FALSE,"4.PER PL";#N/A,#N/A,FALSE,"5.INVESTMENT";#N/A,#N/A,FALSE,"6.공문";#N/A,#N/A,FALSE,"7.netinvest"}</definedName>
    <definedName name="바바" localSheetId="4" hidden="1">{#N/A,#N/A,FALSE,"1.CRITERIA";#N/A,#N/A,FALSE,"2.IS";#N/A,#N/A,FALSE,"3.BS";#N/A,#N/A,FALSE,"4.PER PL";#N/A,#N/A,FALSE,"5.INVESTMENT";#N/A,#N/A,FALSE,"6.공문";#N/A,#N/A,FALSE,"7.netinvest"}</definedName>
    <definedName name="바바" localSheetId="3" hidden="1">{#N/A,#N/A,FALSE,"1.CRITERIA";#N/A,#N/A,FALSE,"2.IS";#N/A,#N/A,FALSE,"3.BS";#N/A,#N/A,FALSE,"4.PER PL";#N/A,#N/A,FALSE,"5.INVESTMENT";#N/A,#N/A,FALSE,"6.공문";#N/A,#N/A,FALSE,"7.netinvest"}</definedName>
    <definedName name="바바" localSheetId="1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5" hidden="1">{#N/A,#N/A,TRUE,"Y생산";#N/A,#N/A,TRUE,"Y판매";#N/A,#N/A,TRUE,"Y총물량";#N/A,#N/A,TRUE,"Y능력";#N/A,#N/A,TRUE,"YKD"}</definedName>
    <definedName name="바바라" localSheetId="4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라_1" localSheetId="5" hidden="1">{#N/A,#N/A,TRUE,"Y생산";#N/A,#N/A,TRUE,"Y판매";#N/A,#N/A,TRUE,"Y총물량";#N/A,#N/A,TRUE,"Y능력";#N/A,#N/A,TRUE,"YKD"}</definedName>
    <definedName name="바바라_1" localSheetId="4" hidden="1">{#N/A,#N/A,TRUE,"Y생산";#N/A,#N/A,TRUE,"Y판매";#N/A,#N/A,TRUE,"Y총물량";#N/A,#N/A,TRUE,"Y능력";#N/A,#N/A,TRUE,"YKD"}</definedName>
    <definedName name="바바라_1" localSheetId="3" hidden="1">{#N/A,#N/A,TRUE,"Y생산";#N/A,#N/A,TRUE,"Y판매";#N/A,#N/A,TRUE,"Y총물량";#N/A,#N/A,TRUE,"Y능력";#N/A,#N/A,TRUE,"YKD"}</definedName>
    <definedName name="바바라_1" localSheetId="1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localSheetId="5" hidden="1">{#N/A,#N/A,FALSE,"단축1";#N/A,#N/A,FALSE,"단축2";#N/A,#N/A,FALSE,"단축3";#N/A,#N/A,FALSE,"장축";#N/A,#N/A,FALSE,"4WD"}</definedName>
    <definedName name="바바바" localSheetId="4" hidden="1">{#N/A,#N/A,FALSE,"단축1";#N/A,#N/A,FALSE,"단축2";#N/A,#N/A,FALSE,"단축3";#N/A,#N/A,FALSE,"장축";#N/A,#N/A,FALSE,"4WD"}</definedName>
    <definedName name="바바바" localSheetId="3" hidden="1">{#N/A,#N/A,FALSE,"단축1";#N/A,#N/A,FALSE,"단축2";#N/A,#N/A,FALSE,"단축3";#N/A,#N/A,FALSE,"장축";#N/A,#N/A,FALSE,"4WD"}</definedName>
    <definedName name="바바바" localSheetId="1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바보" localSheetId="5">#REF!</definedName>
    <definedName name="바보" localSheetId="4">#REF!</definedName>
    <definedName name="바보" localSheetId="3">#REF!</definedName>
    <definedName name="바보" localSheetId="1">#REF!</definedName>
    <definedName name="바보">#REF!</definedName>
    <definedName name="바아" localSheetId="5" hidden="1">{#N/A,#N/A,FALSE,"1.CRITERIA";#N/A,#N/A,FALSE,"2.IS";#N/A,#N/A,FALSE,"3.BS";#N/A,#N/A,FALSE,"4.PER PL";#N/A,#N/A,FALSE,"5.INVESTMENT";#N/A,#N/A,FALSE,"6.공문";#N/A,#N/A,FALSE,"7.netinvest"}</definedName>
    <definedName name="바아" localSheetId="4" hidden="1">{#N/A,#N/A,FALSE,"1.CRITERIA";#N/A,#N/A,FALSE,"2.IS";#N/A,#N/A,FALSE,"3.BS";#N/A,#N/A,FALSE,"4.PER PL";#N/A,#N/A,FALSE,"5.INVESTMENT";#N/A,#N/A,FALSE,"6.공문";#N/A,#N/A,FALSE,"7.netinvest"}</definedName>
    <definedName name="바아" localSheetId="3" hidden="1">{#N/A,#N/A,FALSE,"1.CRITERIA";#N/A,#N/A,FALSE,"2.IS";#N/A,#N/A,FALSE,"3.BS";#N/A,#N/A,FALSE,"4.PER PL";#N/A,#N/A,FALSE,"5.INVESTMENT";#N/A,#N/A,FALSE,"6.공문";#N/A,#N/A,FALSE,"7.netinvest"}</definedName>
    <definedName name="바아" localSheetId="1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5" hidden="1">{#N/A,#N/A,FALSE,"1.CRITERIA";#N/A,#N/A,FALSE,"2.IS";#N/A,#N/A,FALSE,"3.BS";#N/A,#N/A,FALSE,"4.PER PL";#N/A,#N/A,FALSE,"5.INVESTMENT";#N/A,#N/A,FALSE,"6.공문";#N/A,#N/A,FALSE,"7.netinvest"}</definedName>
    <definedName name="바아가" localSheetId="4" hidden="1">{#N/A,#N/A,FALSE,"1.CRITERIA";#N/A,#N/A,FALSE,"2.IS";#N/A,#N/A,FALSE,"3.BS";#N/A,#N/A,FALSE,"4.PER PL";#N/A,#N/A,FALSE,"5.INVESTMENT";#N/A,#N/A,FALSE,"6.공문";#N/A,#N/A,FALSE,"7.netinvest"}</definedName>
    <definedName name="바아가" localSheetId="3" hidden="1">{#N/A,#N/A,FALSE,"1.CRITERIA";#N/A,#N/A,FALSE,"2.IS";#N/A,#N/A,FALSE,"3.BS";#N/A,#N/A,FALSE,"4.PER PL";#N/A,#N/A,FALSE,"5.INVESTMENT";#N/A,#N/A,FALSE,"6.공문";#N/A,#N/A,FALSE,"7.netinvest"}</definedName>
    <definedName name="바아가" localSheetId="1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5" hidden="1">{#N/A,#N/A,FALSE,"1.CRITERIA";#N/A,#N/A,FALSE,"2.IS";#N/A,#N/A,FALSE,"3.BS";#N/A,#N/A,FALSE,"4.PER PL";#N/A,#N/A,FALSE,"5.INVESTMENT";#N/A,#N/A,FALSE,"6.공문";#N/A,#N/A,FALSE,"7.netinvest"}</definedName>
    <definedName name="바아가오" localSheetId="4" hidden="1">{#N/A,#N/A,FALSE,"1.CRITERIA";#N/A,#N/A,FALSE,"2.IS";#N/A,#N/A,FALSE,"3.BS";#N/A,#N/A,FALSE,"4.PER PL";#N/A,#N/A,FALSE,"5.INVESTMENT";#N/A,#N/A,FALSE,"6.공문";#N/A,#N/A,FALSE,"7.netinvest"}</definedName>
    <definedName name="바아가오" localSheetId="3" hidden="1">{#N/A,#N/A,FALSE,"1.CRITERIA";#N/A,#N/A,FALSE,"2.IS";#N/A,#N/A,FALSE,"3.BS";#N/A,#N/A,FALSE,"4.PER PL";#N/A,#N/A,FALSE,"5.INVESTMENT";#N/A,#N/A,FALSE,"6.공문";#N/A,#N/A,FALSE,"7.netinvest"}</definedName>
    <definedName name="바아가오" localSheetId="1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5" hidden="1">{#N/A,#N/A,FALSE,"1.CRITERIA";#N/A,#N/A,FALSE,"2.IS";#N/A,#N/A,FALSE,"3.BS";#N/A,#N/A,FALSE,"4.PER PL";#N/A,#N/A,FALSE,"5.INVESTMENT";#N/A,#N/A,FALSE,"6.공문";#N/A,#N/A,FALSE,"7.netinvest"}</definedName>
    <definedName name="바아고" localSheetId="4" hidden="1">{#N/A,#N/A,FALSE,"1.CRITERIA";#N/A,#N/A,FALSE,"2.IS";#N/A,#N/A,FALSE,"3.BS";#N/A,#N/A,FALSE,"4.PER PL";#N/A,#N/A,FALSE,"5.INVESTMENT";#N/A,#N/A,FALSE,"6.공문";#N/A,#N/A,FALSE,"7.netinvest"}</definedName>
    <definedName name="바아고" localSheetId="3" hidden="1">{#N/A,#N/A,FALSE,"1.CRITERIA";#N/A,#N/A,FALSE,"2.IS";#N/A,#N/A,FALSE,"3.BS";#N/A,#N/A,FALSE,"4.PER PL";#N/A,#N/A,FALSE,"5.INVESTMENT";#N/A,#N/A,FALSE,"6.공문";#N/A,#N/A,FALSE,"7.netinvest"}</definedName>
    <definedName name="바아고" localSheetId="1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5" hidden="1">{#N/A,#N/A,FALSE,"1.CRITERIA";#N/A,#N/A,FALSE,"2.IS";#N/A,#N/A,FALSE,"3.BS";#N/A,#N/A,FALSE,"4.PER PL";#N/A,#N/A,FALSE,"5.INVESTMENT";#N/A,#N/A,FALSE,"6.공문";#N/A,#N/A,FALSE,"7.netinvest"}</definedName>
    <definedName name="바이" localSheetId="4" hidden="1">{#N/A,#N/A,FALSE,"1.CRITERIA";#N/A,#N/A,FALSE,"2.IS";#N/A,#N/A,FALSE,"3.BS";#N/A,#N/A,FALSE,"4.PER PL";#N/A,#N/A,FALSE,"5.INVESTMENT";#N/A,#N/A,FALSE,"6.공문";#N/A,#N/A,FALSE,"7.netinvest"}</definedName>
    <definedName name="바이" localSheetId="3" hidden="1">{#N/A,#N/A,FALSE,"1.CRITERIA";#N/A,#N/A,FALSE,"2.IS";#N/A,#N/A,FALSE,"3.BS";#N/A,#N/A,FALSE,"4.PER PL";#N/A,#N/A,FALSE,"5.INVESTMENT";#N/A,#N/A,FALSE,"6.공문";#N/A,#N/A,FALSE,"7.netinvest"}</definedName>
    <definedName name="바이" localSheetId="1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5" hidden="1">{#N/A,#N/A,FALSE,"1.CRITERIA";#N/A,#N/A,FALSE,"2.IS";#N/A,#N/A,FALSE,"3.BS";#N/A,#N/A,FALSE,"4.PER PL";#N/A,#N/A,FALSE,"5.INVESTMENT";#N/A,#N/A,FALSE,"6.공문";#N/A,#N/A,FALSE,"7.netinvest"}</definedName>
    <definedName name="박" localSheetId="4" hidden="1">{#N/A,#N/A,FALSE,"1.CRITERIA";#N/A,#N/A,FALSE,"2.IS";#N/A,#N/A,FALSE,"3.BS";#N/A,#N/A,FALSE,"4.PER PL";#N/A,#N/A,FALSE,"5.INVESTMENT";#N/A,#N/A,FALSE,"6.공문";#N/A,#N/A,FALSE,"7.netinvest"}</definedName>
    <definedName name="박" localSheetId="3" hidden="1">{#N/A,#N/A,FALSE,"1.CRITERIA";#N/A,#N/A,FALSE,"2.IS";#N/A,#N/A,FALSE,"3.BS";#N/A,#N/A,FALSE,"4.PER PL";#N/A,#N/A,FALSE,"5.INVESTMENT";#N/A,#N/A,FALSE,"6.공문";#N/A,#N/A,FALSE,"7.netinvest"}</definedName>
    <definedName name="박" localSheetId="1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 localSheetId="5">#REF!</definedName>
    <definedName name="박상" localSheetId="4">#REF!</definedName>
    <definedName name="박상" localSheetId="3">#REF!</definedName>
    <definedName name="박상" localSheetId="1">#REF!</definedName>
    <definedName name="박상">#REF!</definedName>
    <definedName name="박정" localSheetId="5" hidden="1">{#N/A,#N/A,TRUE,"일정"}</definedName>
    <definedName name="박정" localSheetId="4" hidden="1">{#N/A,#N/A,TRUE,"일정"}</definedName>
    <definedName name="박정" localSheetId="3" hidden="1">{#N/A,#N/A,TRUE,"일정"}</definedName>
    <definedName name="박정" localSheetId="1" hidden="1">{#N/A,#N/A,TRUE,"일정"}</definedName>
    <definedName name="박정" hidden="1">{#N/A,#N/A,TRUE,"일정"}</definedName>
    <definedName name="박준철" localSheetId="5">#REF!</definedName>
    <definedName name="박준철" localSheetId="4">#REF!</definedName>
    <definedName name="박준철" localSheetId="3">#REF!</definedName>
    <definedName name="박준철" localSheetId="1">#REF!</definedName>
    <definedName name="박준철">#REF!</definedName>
    <definedName name="박준철1" localSheetId="3">#REF!</definedName>
    <definedName name="박준철1" localSheetId="1">#REF!</definedName>
    <definedName name="박준철1">#REF!</definedName>
    <definedName name="반영" localSheetId="5" hidden="1">{#N/A,#N/A,TRUE,"일정"}</definedName>
    <definedName name="반영" localSheetId="4" hidden="1">{#N/A,#N/A,TRUE,"일정"}</definedName>
    <definedName name="반영" localSheetId="3" hidden="1">{#N/A,#N/A,TRUE,"일정"}</definedName>
    <definedName name="반영" localSheetId="1" hidden="1">{#N/A,#N/A,TRUE,"일정"}</definedName>
    <definedName name="반영" hidden="1">{#N/A,#N/A,TRUE,"일정"}</definedName>
    <definedName name="받을어음" localSheetId="5">#REF!</definedName>
    <definedName name="받을어음" localSheetId="4">#REF!</definedName>
    <definedName name="받을어음" localSheetId="3">#REF!</definedName>
    <definedName name="받을어음" localSheetId="1">#REF!</definedName>
    <definedName name="받을어음">#REF!</definedName>
    <definedName name="발" localSheetId="3">#REF!</definedName>
    <definedName name="발" localSheetId="1">#REF!</definedName>
    <definedName name="발">#REF!</definedName>
    <definedName name="방송사" localSheetId="5">#REF!</definedName>
    <definedName name="방송사" localSheetId="4">#REF!</definedName>
    <definedName name="방송사" localSheetId="3">#REF!</definedName>
    <definedName name="방송사" localSheetId="1">#REF!</definedName>
    <definedName name="방송사">#REF!</definedName>
    <definedName name="방영요일" localSheetId="5">#REF!</definedName>
    <definedName name="방영요일" localSheetId="4">#REF!</definedName>
    <definedName name="방영요일" localSheetId="3">#REF!</definedName>
    <definedName name="방영요일" localSheetId="1">#REF!</definedName>
    <definedName name="방영요일">#REF!</definedName>
    <definedName name="배" localSheetId="5" hidden="1">{#N/A,#N/A,FALSE,"1.CRITERIA";#N/A,#N/A,FALSE,"2.IS";#N/A,#N/A,FALSE,"3.BS";#N/A,#N/A,FALSE,"4.PER PL";#N/A,#N/A,FALSE,"5.INVESTMENT";#N/A,#N/A,FALSE,"6.공문";#N/A,#N/A,FALSE,"7.netinvest"}</definedName>
    <definedName name="배" localSheetId="4" hidden="1">{#N/A,#N/A,FALSE,"1.CRITERIA";#N/A,#N/A,FALSE,"2.IS";#N/A,#N/A,FALSE,"3.BS";#N/A,#N/A,FALSE,"4.PER PL";#N/A,#N/A,FALSE,"5.INVESTMENT";#N/A,#N/A,FALSE,"6.공문";#N/A,#N/A,FALSE,"7.netinvest"}</definedName>
    <definedName name="배" localSheetId="3" hidden="1">{#N/A,#N/A,FALSE,"1.CRITERIA";#N/A,#N/A,FALSE,"2.IS";#N/A,#N/A,FALSE,"3.BS";#N/A,#N/A,FALSE,"4.PER PL";#N/A,#N/A,FALSE,"5.INVESTMENT";#N/A,#N/A,FALSE,"6.공문";#N/A,#N/A,FALSE,"7.netinvest"}</definedName>
    <definedName name="배" localSheetId="1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localSheetId="5" hidden="1">#REF!</definedName>
    <definedName name="배관명세" localSheetId="4" hidden="1">#REF!</definedName>
    <definedName name="배관명세" localSheetId="3" hidden="1">#REF!</definedName>
    <definedName name="배관명세" localSheetId="1" hidden="1">#REF!</definedName>
    <definedName name="배관명세" hidden="1">#REF!</definedName>
    <definedName name="배부기준" localSheetId="3">#REF!</definedName>
    <definedName name="배부기준" localSheetId="1">#REF!</definedName>
    <definedName name="배부기준">#REF!</definedName>
    <definedName name="배부액" localSheetId="5">#REF!</definedName>
    <definedName name="배부액" localSheetId="4">#REF!</definedName>
    <definedName name="배부액" localSheetId="3">#REF!</definedName>
    <definedName name="배부액" localSheetId="1">#REF!</definedName>
    <definedName name="배부액">#REF!</definedName>
    <definedName name="배부율" localSheetId="3">#REF!</definedName>
    <definedName name="배부율" localSheetId="1">#REF!</definedName>
    <definedName name="배부율">#REF!</definedName>
    <definedName name="배우자" localSheetId="3">#REF!</definedName>
    <definedName name="배우자" localSheetId="1">#REF!</definedName>
    <definedName name="배우자">#REF!</definedName>
    <definedName name="배우자2" localSheetId="3">#REF!</definedName>
    <definedName name="배우자2" localSheetId="1">#REF!</definedName>
    <definedName name="배우자2">#REF!</definedName>
    <definedName name="백" localSheetId="3">IF(INT(RIGHT(#REF!,3)/100)=0,"",CHOOSE(INT(RIGHT(#REF!,3)/100),"일","이","삼","사","오","육","칠","팔","구")&amp;"백")</definedName>
    <definedName name="백" localSheetId="1">IF(INT(RIGHT(#REF!,3)/100)=0,"",CHOOSE(INT(RIGHT(#REF!,3)/100),"일","이","삼","사","오","육","칠","팔","구")&amp;"백")</definedName>
    <definedName name="백">IF(INT(RIGHT(#REF!,3)/100)=0,"",CHOOSE(INT(RIGHT(#REF!,3)/100),"일","이","삼","사","오","육","칠","팔","구")&amp;"백")</definedName>
    <definedName name="백나영" localSheetId="3">#REF!</definedName>
    <definedName name="백나영" localSheetId="1">#REF!</definedName>
    <definedName name="백나영">#REF!</definedName>
    <definedName name="백만" localSheetId="3">IF(INT(RIGHT(#REF!,7)/1000000)=0,"",CHOOSE(INT(RIGHT(#REF!,7)/1000000),"일","이","삼","사","오","육","칠","팔","구")&amp;"백")</definedName>
    <definedName name="백만" localSheetId="1">IF(INT(RIGHT(#REF!,7)/1000000)=0,"",CHOOSE(INT(RIGHT(#REF!,7)/1000000),"일","이","삼","사","오","육","칠","팔","구")&amp;"백")</definedName>
    <definedName name="백만">IF(INT(RIGHT(#REF!,7)/1000000)=0,"",CHOOSE(INT(RIGHT(#REF!,7)/1000000),"일","이","삼","사","오","육","칠","팔","구")&amp;"백")</definedName>
    <definedName name="백만원" localSheetId="3">#REF!</definedName>
    <definedName name="백만원" localSheetId="1">#REF!</definedName>
    <definedName name="백만원">#REF!</definedName>
    <definedName name="백백만원" localSheetId="3">#REF!</definedName>
    <definedName name="백백만원" localSheetId="1">#REF!</definedName>
    <definedName name="백백만원">#REF!</definedName>
    <definedName name="버버" localSheetId="5" hidden="1">{#N/A,#N/A,FALSE,"1.CRITERIA";#N/A,#N/A,FALSE,"2.IS";#N/A,#N/A,FALSE,"3.BS";#N/A,#N/A,FALSE,"4.PER PL";#N/A,#N/A,FALSE,"5.INVESTMENT";#N/A,#N/A,FALSE,"6.공문";#N/A,#N/A,FALSE,"7.netinvest"}</definedName>
    <definedName name="버버" localSheetId="4" hidden="1">{#N/A,#N/A,FALSE,"1.CRITERIA";#N/A,#N/A,FALSE,"2.IS";#N/A,#N/A,FALSE,"3.BS";#N/A,#N/A,FALSE,"4.PER PL";#N/A,#N/A,FALSE,"5.INVESTMENT";#N/A,#N/A,FALSE,"6.공문";#N/A,#N/A,FALSE,"7.netinvest"}</definedName>
    <definedName name="버버" localSheetId="3" hidden="1">{#N/A,#N/A,FALSE,"1.CRITERIA";#N/A,#N/A,FALSE,"2.IS";#N/A,#N/A,FALSE,"3.BS";#N/A,#N/A,FALSE,"4.PER PL";#N/A,#N/A,FALSE,"5.INVESTMENT";#N/A,#N/A,FALSE,"6.공문";#N/A,#N/A,FALSE,"7.netinvest"}</definedName>
    <definedName name="버버" localSheetId="1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 localSheetId="5">#REF!</definedName>
    <definedName name="범위" localSheetId="4">#REF!</definedName>
    <definedName name="범위" localSheetId="3">#REF!</definedName>
    <definedName name="범위" localSheetId="1">#REF!</definedName>
    <definedName name="범위">#REF!</definedName>
    <definedName name="범위1" localSheetId="3">#REF!</definedName>
    <definedName name="범위1" localSheetId="1">#REF!</definedName>
    <definedName name="범위1">#REF!</definedName>
    <definedName name="범위액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 localSheetId="5">#REF!</definedName>
    <definedName name="법_인_명_상_호" localSheetId="4">#REF!</definedName>
    <definedName name="법_인_명_상_호" localSheetId="3">#REF!</definedName>
    <definedName name="법_인_명_상_호" localSheetId="1">#REF!</definedName>
    <definedName name="법_인_명_상_호">#REF!</definedName>
    <definedName name="법인구분" localSheetId="5">#REF!</definedName>
    <definedName name="법인구분" localSheetId="4">#REF!</definedName>
    <definedName name="법인구분" localSheetId="3">#REF!</definedName>
    <definedName name="법인구분" localSheetId="1">#REF!</definedName>
    <definedName name="법인구분">#REF!</definedName>
    <definedName name="법인구분코드" localSheetId="5">#REF!</definedName>
    <definedName name="법인구분코드" localSheetId="4">#REF!</definedName>
    <definedName name="법인구분코드" localSheetId="3">#REF!</definedName>
    <definedName name="법인구분코드" localSheetId="1">#REF!</definedName>
    <definedName name="법인구분코드">#REF!</definedName>
    <definedName name="법인등록번호" localSheetId="3">#REF!</definedName>
    <definedName name="법인등록번호" localSheetId="1">#REF!</definedName>
    <definedName name="법인등록번호">#REF!</definedName>
    <definedName name="법인명_상호명" localSheetId="3">#REF!</definedName>
    <definedName name="법인명_상호명" localSheetId="1">#REF!</definedName>
    <definedName name="법인명_상호명">#REF!</definedName>
    <definedName name="법인세" localSheetId="3">#REF!</definedName>
    <definedName name="법인세" localSheetId="1">#REF!</definedName>
    <definedName name="법인세">#REF!</definedName>
    <definedName name="법인세비용" localSheetId="5" hidden="1">{#N/A,#N/A,FALSE,"BS";#N/A,#N/A,FALSE,"PL";#N/A,#N/A,FALSE,"처분";#N/A,#N/A,FALSE,"현금";#N/A,#N/A,FALSE,"매출";#N/A,#N/A,FALSE,"원가";#N/A,#N/A,FALSE,"경영"}</definedName>
    <definedName name="법인세비용" localSheetId="4" hidden="1">{#N/A,#N/A,FALSE,"BS";#N/A,#N/A,FALSE,"PL";#N/A,#N/A,FALSE,"처분";#N/A,#N/A,FALSE,"현금";#N/A,#N/A,FALSE,"매출";#N/A,#N/A,FALSE,"원가";#N/A,#N/A,FALSE,"경영"}</definedName>
    <definedName name="법인세비용" localSheetId="3" hidden="1">{#N/A,#N/A,FALSE,"BS";#N/A,#N/A,FALSE,"PL";#N/A,#N/A,FALSE,"처분";#N/A,#N/A,FALSE,"현금";#N/A,#N/A,FALSE,"매출";#N/A,#N/A,FALSE,"원가";#N/A,#N/A,FALSE,"경영"}</definedName>
    <definedName name="법인세비용" localSheetId="1" hidden="1">{#N/A,#N/A,FALSE,"BS";#N/A,#N/A,FALSE,"PL";#N/A,#N/A,FALSE,"처분";#N/A,#N/A,FALSE,"현금";#N/A,#N/A,FALSE,"매출";#N/A,#N/A,FALSE,"원가";#N/A,#N/A,FALSE,"경영"}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localSheetId="5" hidden="1">{#N/A,#N/A,FALSE,"1.CRITERIA";#N/A,#N/A,FALSE,"2.IS";#N/A,#N/A,FALSE,"3.BS";#N/A,#N/A,FALSE,"4.PER PL";#N/A,#N/A,FALSE,"5.INVESTMENT";#N/A,#N/A,FALSE,"6.공문";#N/A,#N/A,FALSE,"7.netinvest"}</definedName>
    <definedName name="베" localSheetId="4" hidden="1">{#N/A,#N/A,FALSE,"1.CRITERIA";#N/A,#N/A,FALSE,"2.IS";#N/A,#N/A,FALSE,"3.BS";#N/A,#N/A,FALSE,"4.PER PL";#N/A,#N/A,FALSE,"5.INVESTMENT";#N/A,#N/A,FALSE,"6.공문";#N/A,#N/A,FALSE,"7.netinvest"}</definedName>
    <definedName name="베" localSheetId="3" hidden="1">{#N/A,#N/A,FALSE,"1.CRITERIA";#N/A,#N/A,FALSE,"2.IS";#N/A,#N/A,FALSE,"3.BS";#N/A,#N/A,FALSE,"4.PER PL";#N/A,#N/A,FALSE,"5.INVESTMENT";#N/A,#N/A,FALSE,"6.공문";#N/A,#N/A,FALSE,"7.netinvest"}</definedName>
    <definedName name="베" localSheetId="1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 localSheetId="5">#REF!</definedName>
    <definedName name="변경" localSheetId="4">#REF!</definedName>
    <definedName name="변경" localSheetId="3">#REF!</definedName>
    <definedName name="변경" localSheetId="1">#REF!</definedName>
    <definedName name="변경">#REF!</definedName>
    <definedName name="변경내역" localSheetId="5" hidden="1">{#N/A,#N/A,FALSE,"3가";#N/A,#N/A,FALSE,"3나";#N/A,#N/A,FALSE,"3다"}</definedName>
    <definedName name="변경내역" localSheetId="4" hidden="1">{#N/A,#N/A,FALSE,"3가";#N/A,#N/A,FALSE,"3나";#N/A,#N/A,FALSE,"3다"}</definedName>
    <definedName name="변경내역" localSheetId="3" hidden="1">{#N/A,#N/A,FALSE,"3가";#N/A,#N/A,FALSE,"3나";#N/A,#N/A,FALSE,"3다"}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변동" localSheetId="5">#REF!</definedName>
    <definedName name="변동" localSheetId="4">#REF!</definedName>
    <definedName name="변동" localSheetId="3">#REF!</definedName>
    <definedName name="변동" localSheetId="1">#REF!</definedName>
    <definedName name="변동">#REF!</definedName>
    <definedName name="변동비" localSheetId="5">#REF!</definedName>
    <definedName name="변동비" localSheetId="4">#REF!</definedName>
    <definedName name="변동비" localSheetId="3">#REF!</definedName>
    <definedName name="변동비" localSheetId="1">#REF!</definedName>
    <definedName name="변동비">#REF!</definedName>
    <definedName name="변동비인쇄영역" localSheetId="3">#REF!</definedName>
    <definedName name="변동비인쇄영역" localSheetId="1">#REF!</definedName>
    <definedName name="변동비인쇄영역">#REF!</definedName>
    <definedName name="변동연" localSheetId="3">#REF!</definedName>
    <definedName name="변동연" localSheetId="1">#REF!</definedName>
    <definedName name="변동연">#REF!</definedName>
    <definedName name="변동연료비" localSheetId="3">#REF!</definedName>
    <definedName name="변동연료비" localSheetId="1">#REF!</definedName>
    <definedName name="변동연료비">#REF!</definedName>
    <definedName name="변동율기준표" localSheetId="5">#REF!</definedName>
    <definedName name="변동율기준표" localSheetId="4">#REF!</definedName>
    <definedName name="변동율기준표" localSheetId="3">#REF!</definedName>
    <definedName name="변동율기준표" localSheetId="1">#REF!</definedName>
    <definedName name="변동율기준표">#REF!</definedName>
    <definedName name="변동제" localSheetId="5">#REF!</definedName>
    <definedName name="변동제" localSheetId="4">#REF!</definedName>
    <definedName name="변동제" localSheetId="3">#REF!</definedName>
    <definedName name="변동제" localSheetId="1">#REF!</definedName>
    <definedName name="변동제">#REF!</definedName>
    <definedName name="변동판" localSheetId="3">#REF!</definedName>
    <definedName name="변동판" localSheetId="1">#REF!</definedName>
    <definedName name="변동판">#REF!</definedName>
    <definedName name="변파유닛" localSheetId="5" hidden="1">{#N/A,#N/A,FALSE,"3가";#N/A,#N/A,FALSE,"3나";#N/A,#N/A,FALSE,"3다"}</definedName>
    <definedName name="변파유닛" localSheetId="4" hidden="1">{#N/A,#N/A,FALSE,"3가";#N/A,#N/A,FALSE,"3나";#N/A,#N/A,FALSE,"3다"}</definedName>
    <definedName name="변파유닛" localSheetId="3" hidden="1">{#N/A,#N/A,FALSE,"3가";#N/A,#N/A,FALSE,"3나";#N/A,#N/A,FALSE,"3다"}</definedName>
    <definedName name="변파유닛" localSheetId="1" hidden="1">{#N/A,#N/A,FALSE,"3가";#N/A,#N/A,FALSE,"3나";#N/A,#N/A,FALSE,"3다"}</definedName>
    <definedName name="변파유닛" hidden="1">{#N/A,#N/A,FALSE,"3가";#N/A,#N/A,FALSE,"3나";#N/A,#N/A,FALSE,"3다"}</definedName>
    <definedName name="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 localSheetId="5">#REF!</definedName>
    <definedName name="별도합산" localSheetId="4">#REF!</definedName>
    <definedName name="별도합산" localSheetId="3">#REF!</definedName>
    <definedName name="별도합산" localSheetId="1">#REF!</definedName>
    <definedName name="별도합산">#REF!</definedName>
    <definedName name="별도합산세" localSheetId="3">#REF!</definedName>
    <definedName name="별도합산세" localSheetId="1">#REF!</definedName>
    <definedName name="별도합산세">#REF!</definedName>
    <definedName name="별도합산세율" localSheetId="3">#REF!</definedName>
    <definedName name="별도합산세율" localSheetId="1">#REF!</definedName>
    <definedName name="별도합산세율">#REF!</definedName>
    <definedName name="별정시급" localSheetId="3">#REF!</definedName>
    <definedName name="별정시급" localSheetId="1">#REF!</definedName>
    <definedName name="별정시급">#REF!</definedName>
    <definedName name="별지66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localSheetId="5" hidden="1">#REF!</definedName>
    <definedName name="별첨" localSheetId="4" hidden="1">#REF!</definedName>
    <definedName name="별첨" localSheetId="3" hidden="1">#REF!</definedName>
    <definedName name="별첨" localSheetId="1" hidden="1">#REF!</definedName>
    <definedName name="별첨" hidden="1">#REF!</definedName>
    <definedName name="보" localSheetId="5" hidden="1">{#N/A,#N/A,FALSE,"3가";#N/A,#N/A,FALSE,"3나";#N/A,#N/A,FALSE,"3다"}</definedName>
    <definedName name="보" localSheetId="4" hidden="1">{#N/A,#N/A,FALSE,"3가";#N/A,#N/A,FALSE,"3나";#N/A,#N/A,FALSE,"3다"}</definedName>
    <definedName name="보" localSheetId="3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보고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 localSheetId="5">#REF!</definedName>
    <definedName name="보고서2" localSheetId="4">#REF!</definedName>
    <definedName name="보고서2" localSheetId="3">#REF!</definedName>
    <definedName name="보고서2" localSheetId="1">#REF!</definedName>
    <definedName name="보고서2">#REF!</definedName>
    <definedName name="보관1" localSheetId="3">#REF!</definedName>
    <definedName name="보관1" localSheetId="1">#REF!</definedName>
    <definedName name="보관1">#REF!</definedName>
    <definedName name="보관2" localSheetId="3">#REF!</definedName>
    <definedName name="보관2" localSheetId="1">#REF!</definedName>
    <definedName name="보관2">#REF!</definedName>
    <definedName name="보너스" localSheetId="3">#REF!</definedName>
    <definedName name="보너스" localSheetId="1">#REF!</definedName>
    <definedName name="보너스">#REF!</definedName>
    <definedName name="보라차" localSheetId="5" hidden="1">{#N/A,#N/A,FALSE,"1.CRITERIA";#N/A,#N/A,FALSE,"2.IS";#N/A,#N/A,FALSE,"3.BS";#N/A,#N/A,FALSE,"4.PER PL";#N/A,#N/A,FALSE,"5.INVESTMENT";#N/A,#N/A,FALSE,"6.공문";#N/A,#N/A,FALSE,"7.netinvest"}</definedName>
    <definedName name="보라차" localSheetId="4" hidden="1">{#N/A,#N/A,FALSE,"1.CRITERIA";#N/A,#N/A,FALSE,"2.IS";#N/A,#N/A,FALSE,"3.BS";#N/A,#N/A,FALSE,"4.PER PL";#N/A,#N/A,FALSE,"5.INVESTMENT";#N/A,#N/A,FALSE,"6.공문";#N/A,#N/A,FALSE,"7.netinvest"}</definedName>
    <definedName name="보라차" localSheetId="3" hidden="1">{#N/A,#N/A,FALSE,"1.CRITERIA";#N/A,#N/A,FALSE,"2.IS";#N/A,#N/A,FALSE,"3.BS";#N/A,#N/A,FALSE,"4.PER PL";#N/A,#N/A,FALSE,"5.INVESTMENT";#N/A,#N/A,FALSE,"6.공문";#N/A,#N/A,FALSE,"7.netinvest"}</definedName>
    <definedName name="보라차" localSheetId="1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 localSheetId="5">#REF!</definedName>
    <definedName name="보보봅" localSheetId="4">#REF!</definedName>
    <definedName name="보보봅" localSheetId="3">#REF!</definedName>
    <definedName name="보보봅" localSheetId="1">#REF!</definedName>
    <definedName name="보보봅">#REF!</definedName>
    <definedName name="보봅" localSheetId="5" hidden="1">{#N/A,#N/A,FALSE,"Aging Summary";#N/A,#N/A,FALSE,"Ratio Analysis";#N/A,#N/A,FALSE,"Test 120 Day Accts";#N/A,#N/A,FALSE,"Tickmarks"}</definedName>
    <definedName name="보봅" localSheetId="4" hidden="1">{#N/A,#N/A,FALSE,"Aging Summary";#N/A,#N/A,FALSE,"Ratio Analysis";#N/A,#N/A,FALSE,"Test 120 Day Accts";#N/A,#N/A,FALSE,"Tickmarks"}</definedName>
    <definedName name="보봅" localSheetId="3" hidden="1">{#N/A,#N/A,FALSE,"Aging Summary";#N/A,#N/A,FALSE,"Ratio Analysis";#N/A,#N/A,FALSE,"Test 120 Day Accts";#N/A,#N/A,FALSE,"Tickmarks"}</definedName>
    <definedName name="보봅" localSheetId="1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수사진" localSheetId="5">#REF!</definedName>
    <definedName name="보수사진" localSheetId="4">#REF!</definedName>
    <definedName name="보수사진" localSheetId="3">#REF!</definedName>
    <definedName name="보수사진" localSheetId="1">#REF!</definedName>
    <definedName name="보수사진">#REF!</definedName>
    <definedName name="보아리" localSheetId="5" hidden="1">{#N/A,#N/A,FALSE,"1.CRITERIA";#N/A,#N/A,FALSE,"2.IS";#N/A,#N/A,FALSE,"3.BS";#N/A,#N/A,FALSE,"4.PER PL";#N/A,#N/A,FALSE,"5.INVESTMENT";#N/A,#N/A,FALSE,"6.공문";#N/A,#N/A,FALSE,"7.netinvest"}</definedName>
    <definedName name="보아리" localSheetId="4" hidden="1">{#N/A,#N/A,FALSE,"1.CRITERIA";#N/A,#N/A,FALSE,"2.IS";#N/A,#N/A,FALSE,"3.BS";#N/A,#N/A,FALSE,"4.PER PL";#N/A,#N/A,FALSE,"5.INVESTMENT";#N/A,#N/A,FALSE,"6.공문";#N/A,#N/A,FALSE,"7.netinvest"}</definedName>
    <definedName name="보아리" localSheetId="3" hidden="1">{#N/A,#N/A,FALSE,"1.CRITERIA";#N/A,#N/A,FALSE,"2.IS";#N/A,#N/A,FALSE,"3.BS";#N/A,#N/A,FALSE,"4.PER PL";#N/A,#N/A,FALSE,"5.INVESTMENT";#N/A,#N/A,FALSE,"6.공문";#N/A,#N/A,FALSE,"7.netinvest"}</definedName>
    <definedName name="보아리" localSheetId="1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localSheetId="5" hidden="1">{#N/A,#N/A,FALSE,"1.CRITERIA";#N/A,#N/A,FALSE,"2.IS";#N/A,#N/A,FALSE,"3.BS";#N/A,#N/A,FALSE,"4.PER PL";#N/A,#N/A,FALSE,"5.INVESTMENT";#N/A,#N/A,FALSE,"6.공문";#N/A,#N/A,FALSE,"7.netinvest"}</definedName>
    <definedName name="보이" localSheetId="4" hidden="1">{#N/A,#N/A,FALSE,"1.CRITERIA";#N/A,#N/A,FALSE,"2.IS";#N/A,#N/A,FALSE,"3.BS";#N/A,#N/A,FALSE,"4.PER PL";#N/A,#N/A,FALSE,"5.INVESTMENT";#N/A,#N/A,FALSE,"6.공문";#N/A,#N/A,FALSE,"7.netinvest"}</definedName>
    <definedName name="보이" localSheetId="3" hidden="1">{#N/A,#N/A,FALSE,"1.CRITERIA";#N/A,#N/A,FALSE,"2.IS";#N/A,#N/A,FALSE,"3.BS";#N/A,#N/A,FALSE,"4.PER PL";#N/A,#N/A,FALSE,"5.INVESTMENT";#N/A,#N/A,FALSE,"6.공문";#N/A,#N/A,FALSE,"7.netinvest"}</definedName>
    <definedName name="보이" localSheetId="1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5" hidden="1">{#N/A,#N/A,FALSE,"1.CRITERIA";#N/A,#N/A,FALSE,"2.IS";#N/A,#N/A,FALSE,"3.BS";#N/A,#N/A,FALSE,"4.PER PL";#N/A,#N/A,FALSE,"5.INVESTMENT";#N/A,#N/A,FALSE,"6.공문";#N/A,#N/A,FALSE,"7.netinvest"}</definedName>
    <definedName name="보이아" localSheetId="4" hidden="1">{#N/A,#N/A,FALSE,"1.CRITERIA";#N/A,#N/A,FALSE,"2.IS";#N/A,#N/A,FALSE,"3.BS";#N/A,#N/A,FALSE,"4.PER PL";#N/A,#N/A,FALSE,"5.INVESTMENT";#N/A,#N/A,FALSE,"6.공문";#N/A,#N/A,FALSE,"7.netinvest"}</definedName>
    <definedName name="보이아" localSheetId="3" hidden="1">{#N/A,#N/A,FALSE,"1.CRITERIA";#N/A,#N/A,FALSE,"2.IS";#N/A,#N/A,FALSE,"3.BS";#N/A,#N/A,FALSE,"4.PER PL";#N/A,#N/A,FALSE,"5.INVESTMENT";#N/A,#N/A,FALSE,"6.공문";#N/A,#N/A,FALSE,"7.netinvest"}</definedName>
    <definedName name="보이아" localSheetId="1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 localSheetId="5">#REF!</definedName>
    <definedName name="보조출연료합계" localSheetId="4">#REF!</definedName>
    <definedName name="보조출연료합계" localSheetId="3">#REF!</definedName>
    <definedName name="보조출연료합계" localSheetId="1">#REF!</definedName>
    <definedName name="보조출연료합계">#REF!</definedName>
    <definedName name="보증금환급률" localSheetId="5">#REF!</definedName>
    <definedName name="보증금환급률" localSheetId="4">#REF!</definedName>
    <definedName name="보증금환급률" localSheetId="3">#REF!</definedName>
    <definedName name="보증금환급률" localSheetId="1">#REF!</definedName>
    <definedName name="보증금환급률">#REF!</definedName>
    <definedName name="보증기관" localSheetId="3">#REF!</definedName>
    <definedName name="보증기관" localSheetId="1">#REF!</definedName>
    <definedName name="보증기관">#REF!</definedName>
    <definedName name="보충" localSheetId="3" hidden="1">#REF!</definedName>
    <definedName name="보충" localSheetId="1" hidden="1">#REF!</definedName>
    <definedName name="보충" hidden="1">#REF!</definedName>
    <definedName name="보험" localSheetId="3">#REF!</definedName>
    <definedName name="보험" localSheetId="1">#REF!</definedName>
    <definedName name="보험">#REF!</definedName>
    <definedName name="보험2" localSheetId="3">#REF!</definedName>
    <definedName name="보험2" localSheetId="1">#REF!</definedName>
    <definedName name="보험2">#REF!</definedName>
    <definedName name="보험료" localSheetId="5" hidden="1">{#N/A,#N/A,FALSE,"Aging Summary";#N/A,#N/A,FALSE,"Ratio Analysis";#N/A,#N/A,FALSE,"Test 120 Day Accts";#N/A,#N/A,FALSE,"Tickmarks"}</definedName>
    <definedName name="보험료" localSheetId="4" hidden="1">{#N/A,#N/A,FALSE,"Aging Summary";#N/A,#N/A,FALSE,"Ratio Analysis";#N/A,#N/A,FALSE,"Test 120 Day Accts";#N/A,#N/A,FALSE,"Tickmarks"}</definedName>
    <definedName name="보험료" localSheetId="3" hidden="1">{#N/A,#N/A,FALSE,"Aging Summary";#N/A,#N/A,FALSE,"Ratio Analysis";#N/A,#N/A,FALSE,"Test 120 Day Accts";#N/A,#N/A,FALSE,"Tickmarks"}</definedName>
    <definedName name="보험료" localSheetId="1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보험료합계" localSheetId="5">#REF!</definedName>
    <definedName name="보험료합계" localSheetId="4">#REF!</definedName>
    <definedName name="보험료합계" localSheetId="3">#REF!</definedName>
    <definedName name="보험료합계" localSheetId="1">#REF!</definedName>
    <definedName name="보험료합계">#REF!</definedName>
    <definedName name="보험예산대비실적분석자료" localSheetId="5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4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3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1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 localSheetId="5">#REF!</definedName>
    <definedName name="복귀" localSheetId="4">#REF!</definedName>
    <definedName name="복귀" localSheetId="3">#REF!</definedName>
    <definedName name="복귀" localSheetId="1">#REF!</definedName>
    <definedName name="복귀">#REF!</definedName>
    <definedName name="복리후생비집계" localSheetId="3">#REF!</definedName>
    <definedName name="복리후생비집계" localSheetId="1">#REF!</definedName>
    <definedName name="복리후생비집계">#REF!</definedName>
    <definedName name="복사대상" localSheetId="3">#REF!</definedName>
    <definedName name="복사대상" localSheetId="1">#REF!</definedName>
    <definedName name="복사대상">#REF!</definedName>
    <definedName name="본사손익" localSheetId="3">#REF!</definedName>
    <definedName name="본사손익" localSheetId="1">#REF!</definedName>
    <definedName name="본사손익">#REF!</definedName>
    <definedName name="볼" localSheetId="5" hidden="1">{#N/A,#N/A,FALSE,"1.CRITERIA";#N/A,#N/A,FALSE,"2.IS";#N/A,#N/A,FALSE,"3.BS";#N/A,#N/A,FALSE,"4.PER PL";#N/A,#N/A,FALSE,"5.INVESTMENT";#N/A,#N/A,FALSE,"6.공문";#N/A,#N/A,FALSE,"7.netinvest"}</definedName>
    <definedName name="볼" localSheetId="4" hidden="1">{#N/A,#N/A,FALSE,"1.CRITERIA";#N/A,#N/A,FALSE,"2.IS";#N/A,#N/A,FALSE,"3.BS";#N/A,#N/A,FALSE,"4.PER PL";#N/A,#N/A,FALSE,"5.INVESTMENT";#N/A,#N/A,FALSE,"6.공문";#N/A,#N/A,FALSE,"7.netinvest"}</definedName>
    <definedName name="볼" localSheetId="3" hidden="1">{#N/A,#N/A,FALSE,"1.CRITERIA";#N/A,#N/A,FALSE,"2.IS";#N/A,#N/A,FALSE,"3.BS";#N/A,#N/A,FALSE,"4.PER PL";#N/A,#N/A,FALSE,"5.INVESTMENT";#N/A,#N/A,FALSE,"6.공문";#N/A,#N/A,FALSE,"7.netinvest"}</definedName>
    <definedName name="볼" localSheetId="1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localSheetId="5" hidden="1">{#N/A,#N/A,FALSE,"95FW"}</definedName>
    <definedName name="봄" localSheetId="4" hidden="1">{#N/A,#N/A,FALSE,"95FW"}</definedName>
    <definedName name="봄" localSheetId="3" hidden="1">{#N/A,#N/A,FALSE,"95FW"}</definedName>
    <definedName name="봄" localSheetId="1" hidden="1">{#N/A,#N/A,FALSE,"95FW"}</definedName>
    <definedName name="봄" hidden="1">{#N/A,#N/A,FALSE,"95FW"}</definedName>
    <definedName name="봉석" localSheetId="5">#REF!</definedName>
    <definedName name="봉석" localSheetId="4">#REF!</definedName>
    <definedName name="봉석" localSheetId="3">#REF!</definedName>
    <definedName name="봉석" localSheetId="1">#REF!</definedName>
    <definedName name="봉석">#REF!</definedName>
    <definedName name="봐" localSheetId="5" hidden="1">{#N/A,#N/A,FALSE,"1.CRITERIA";#N/A,#N/A,FALSE,"2.IS";#N/A,#N/A,FALSE,"3.BS";#N/A,#N/A,FALSE,"4.PER PL";#N/A,#N/A,FALSE,"5.INVESTMENT";#N/A,#N/A,FALSE,"6.공문";#N/A,#N/A,FALSE,"7.netinvest"}</definedName>
    <definedName name="봐" localSheetId="4" hidden="1">{#N/A,#N/A,FALSE,"1.CRITERIA";#N/A,#N/A,FALSE,"2.IS";#N/A,#N/A,FALSE,"3.BS";#N/A,#N/A,FALSE,"4.PER PL";#N/A,#N/A,FALSE,"5.INVESTMENT";#N/A,#N/A,FALSE,"6.공문";#N/A,#N/A,FALSE,"7.netinvest"}</definedName>
    <definedName name="봐" localSheetId="3" hidden="1">{#N/A,#N/A,FALSE,"1.CRITERIA";#N/A,#N/A,FALSE,"2.IS";#N/A,#N/A,FALSE,"3.BS";#N/A,#N/A,FALSE,"4.PER PL";#N/A,#N/A,FALSE,"5.INVESTMENT";#N/A,#N/A,FALSE,"6.공문";#N/A,#N/A,FALSE,"7.netinvest"}</definedName>
    <definedName name="봐" localSheetId="1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 localSheetId="5">#REF!</definedName>
    <definedName name="부가" localSheetId="4">#REF!</definedName>
    <definedName name="부가" localSheetId="3">#REF!</definedName>
    <definedName name="부가" localSheetId="1">#REF!</definedName>
    <definedName name="부가">#REF!</definedName>
    <definedName name="부가세">1.1</definedName>
    <definedName name="부가세검토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 localSheetId="5">#REF!</definedName>
    <definedName name="부가세율표" localSheetId="4">#REF!</definedName>
    <definedName name="부가세율표" localSheetId="3">#REF!</definedName>
    <definedName name="부가세율표" localSheetId="1">#REF!</definedName>
    <definedName name="부가세율표">#REF!</definedName>
    <definedName name="부녀" localSheetId="3">#REF!</definedName>
    <definedName name="부녀" localSheetId="1">#REF!</definedName>
    <definedName name="부녀">#REF!</definedName>
    <definedName name="부녀2" localSheetId="3">#REF!</definedName>
    <definedName name="부녀2" localSheetId="1">#REF!</definedName>
    <definedName name="부녀2">#REF!</definedName>
    <definedName name="부도어음" localSheetId="3">#REF!</definedName>
    <definedName name="부도어음" localSheetId="1">#REF!</definedName>
    <definedName name="부도어음">#REF!</definedName>
    <definedName name="부동산투자신탁6호" localSheetId="3">#REF!</definedName>
    <definedName name="부동산투자신탁6호" localSheetId="1">#REF!</definedName>
    <definedName name="부동산투자신탁6호">#REF!</definedName>
    <definedName name="부서" localSheetId="3">#REF!</definedName>
    <definedName name="부서" localSheetId="1">#REF!</definedName>
    <definedName name="부서">#REF!</definedName>
    <definedName name="부서코드다" localSheetId="3">#REF!</definedName>
    <definedName name="부서코드다" localSheetId="1">#REF!</definedName>
    <definedName name="부서코드다">#REF!</definedName>
    <definedName name="부속" localSheetId="5" hidden="1">#REF!</definedName>
    <definedName name="부속" localSheetId="4" hidden="1">#REF!</definedName>
    <definedName name="부속" localSheetId="3" hidden="1">#REF!</definedName>
    <definedName name="부속" localSheetId="1" hidden="1">#REF!</definedName>
    <definedName name="부속" hidden="1">#REF!</definedName>
    <definedName name="부양" localSheetId="3">#REF!</definedName>
    <definedName name="부양" localSheetId="1">#REF!</definedName>
    <definedName name="부양">#REF!</definedName>
    <definedName name="부양2" localSheetId="3">#REF!</definedName>
    <definedName name="부양2" localSheetId="1">#REF!</definedName>
    <definedName name="부양2">#REF!</definedName>
    <definedName name="부양가족" localSheetId="3">#REF!</definedName>
    <definedName name="부양가족" localSheetId="1">#REF!</definedName>
    <definedName name="부양가족">#REF!</definedName>
    <definedName name="부양가족2" localSheetId="3">#REF!</definedName>
    <definedName name="부양가족2" localSheetId="1">#REF!</definedName>
    <definedName name="부양가족2">#REF!</definedName>
    <definedName name="부채자본" localSheetId="3">#REF!</definedName>
    <definedName name="부채자본" localSheetId="1">#REF!</definedName>
    <definedName name="부채자본">#REF!</definedName>
    <definedName name="부천변경내역서" localSheetId="3">#REF!</definedName>
    <definedName name="부천변경내역서" localSheetId="1">#REF!</definedName>
    <definedName name="부천변경내역서">#REF!</definedName>
    <definedName name="부하s" localSheetId="5" hidden="1">#REF!</definedName>
    <definedName name="부하s" localSheetId="4" hidden="1">#REF!</definedName>
    <definedName name="부하s" localSheetId="3" hidden="1">#REF!</definedName>
    <definedName name="부하s" localSheetId="1" hidden="1">#REF!</definedName>
    <definedName name="부하s" hidden="1">#REF!</definedName>
    <definedName name="부하sa" localSheetId="5" hidden="1">#REF!</definedName>
    <definedName name="부하sa" localSheetId="4" hidden="1">#REF!</definedName>
    <definedName name="부하sa" localSheetId="3" hidden="1">#REF!</definedName>
    <definedName name="부하sa" localSheetId="1" hidden="1">#REF!</definedName>
    <definedName name="부하sa" hidden="1">#REF!</definedName>
    <definedName name="북부" localSheetId="5">#REF!</definedName>
    <definedName name="북부" localSheetId="4">#REF!</definedName>
    <definedName name="북부" localSheetId="3">#REF!</definedName>
    <definedName name="북부" localSheetId="1">#REF!</definedName>
    <definedName name="북부">#REF!</definedName>
    <definedName name="북채" localSheetId="3">#REF!</definedName>
    <definedName name="북채" localSheetId="1">#REF!</definedName>
    <definedName name="북채">#REF!</definedName>
    <definedName name="분" localSheetId="5" hidden="1">{#N/A,#N/A,FALSE,"단축1";#N/A,#N/A,FALSE,"단축2";#N/A,#N/A,FALSE,"단축3";#N/A,#N/A,FALSE,"장축";#N/A,#N/A,FALSE,"4WD"}</definedName>
    <definedName name="분" localSheetId="4" hidden="1">{#N/A,#N/A,FALSE,"단축1";#N/A,#N/A,FALSE,"단축2";#N/A,#N/A,FALSE,"단축3";#N/A,#N/A,FALSE,"장축";#N/A,#N/A,FALSE,"4WD"}</definedName>
    <definedName name="분" localSheetId="3" hidden="1">{#N/A,#N/A,FALSE,"단축1";#N/A,#N/A,FALSE,"단축2";#N/A,#N/A,FALSE,"단축3";#N/A,#N/A,FALSE,"장축";#N/A,#N/A,FALSE,"4WD"}</definedName>
    <definedName name="분" localSheetId="1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개및수수료계상" localSheetId="5">#REF!</definedName>
    <definedName name="분개및수수료계상" localSheetId="4">#REF!</definedName>
    <definedName name="분개및수수료계상" localSheetId="3">#REF!</definedName>
    <definedName name="분개및수수료계상" localSheetId="1">#REF!</definedName>
    <definedName name="분개및수수료계상">#REF!</definedName>
    <definedName name="분기별" localSheetId="5" hidden="1">{#N/A,#N/A,TRUE,"Y생산";#N/A,#N/A,TRUE,"Y판매";#N/A,#N/A,TRUE,"Y총물량";#N/A,#N/A,TRUE,"Y능력";#N/A,#N/A,TRUE,"YKD"}</definedName>
    <definedName name="분기별" localSheetId="4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별_1" localSheetId="5" hidden="1">{#N/A,#N/A,TRUE,"Y생산";#N/A,#N/A,TRUE,"Y판매";#N/A,#N/A,TRUE,"Y총물량";#N/A,#N/A,TRUE,"Y능력";#N/A,#N/A,TRUE,"YKD"}</definedName>
    <definedName name="분기별_1" localSheetId="4" hidden="1">{#N/A,#N/A,TRUE,"Y생산";#N/A,#N/A,TRUE,"Y판매";#N/A,#N/A,TRUE,"Y총물량";#N/A,#N/A,TRUE,"Y능력";#N/A,#N/A,TRUE,"YKD"}</definedName>
    <definedName name="분기별_1" localSheetId="3" hidden="1">{#N/A,#N/A,TRUE,"Y생산";#N/A,#N/A,TRUE,"Y판매";#N/A,#N/A,TRUE,"Y총물량";#N/A,#N/A,TRUE,"Y능력";#N/A,#N/A,TRUE,"YKD"}</definedName>
    <definedName name="분기별_1" localSheetId="1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 localSheetId="5">#REF!</definedName>
    <definedName name="분리과세" localSheetId="4">#REF!</definedName>
    <definedName name="분리과세" localSheetId="3">#REF!</definedName>
    <definedName name="분리과세" localSheetId="1">#REF!</definedName>
    <definedName name="분리과세">#REF!</definedName>
    <definedName name="분리과세세율" localSheetId="3">#REF!</definedName>
    <definedName name="분리과세세율" localSheetId="1">#REF!</definedName>
    <definedName name="분리과세세율">#REF!</definedName>
    <definedName name="분리과세액" localSheetId="3">#REF!</definedName>
    <definedName name="분리과세액" localSheetId="1">#REF!</definedName>
    <definedName name="분리과세액">#REF!</definedName>
    <definedName name="분석" localSheetId="5" hidden="1">{"'호선별현황(방식)'!$K$22:$P$22","'호선별현황(방식)'!$K$22:$P$22"}</definedName>
    <definedName name="분석" localSheetId="4" hidden="1">{"'호선별현황(방식)'!$K$22:$P$22","'호선별현황(방식)'!$K$22:$P$22"}</definedName>
    <definedName name="분석" localSheetId="3" hidden="1">{"'호선별현황(방식)'!$K$22:$P$22","'호선별현황(방식)'!$K$22:$P$22"}</definedName>
    <definedName name="분석" localSheetId="1" hidden="1">{"'호선별현황(방식)'!$K$22:$P$22","'호선별현황(방식)'!$K$22:$P$22"}</definedName>
    <definedName name="분석" hidden="1">{"'호선별현황(방식)'!$K$22:$P$22","'호선별현황(방식)'!$K$22:$P$22"}</definedName>
    <definedName name="분석2002" localSheetId="5" hidden="1">{"'호선별현황(방식)'!$K$22:$P$22","'호선별현황(방식)'!$K$22:$P$22"}</definedName>
    <definedName name="분석2002" localSheetId="4" hidden="1">{"'호선별현황(방식)'!$K$22:$P$22","'호선별현황(방식)'!$K$22:$P$22"}</definedName>
    <definedName name="분석2002" localSheetId="3" hidden="1">{"'호선별현황(방식)'!$K$22:$P$22","'호선별현황(방식)'!$K$22:$P$22"}</definedName>
    <definedName name="분석2002" localSheetId="1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localSheetId="5" hidden="1">{"'호선별현황(방식)'!$K$22:$P$22","'호선별현황(방식)'!$K$22:$P$22"}</definedName>
    <definedName name="분석용" localSheetId="4" hidden="1">{"'호선별현황(방식)'!$K$22:$P$22","'호선별현황(방식)'!$K$22:$P$22"}</definedName>
    <definedName name="분석용" localSheetId="3" hidden="1">{"'호선별현황(방식)'!$K$22:$P$22","'호선별현황(방식)'!$K$22:$P$22"}</definedName>
    <definedName name="분석용" localSheetId="1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 localSheetId="5">#REF!</definedName>
    <definedName name="분양가" localSheetId="4">#REF!</definedName>
    <definedName name="분양가" localSheetId="3">#REF!</definedName>
    <definedName name="분양가" localSheetId="1">#REF!</definedName>
    <definedName name="분양가">#REF!</definedName>
    <definedName name="분양원가명세서" localSheetId="5" hidden="1">{#N/A,#N/A,FALSE,"BS";#N/A,#N/A,FALSE,"PL";#N/A,#N/A,FALSE,"처분";#N/A,#N/A,FALSE,"현금";#N/A,#N/A,FALSE,"매출";#N/A,#N/A,FALSE,"원가";#N/A,#N/A,FALSE,"경영"}</definedName>
    <definedName name="분양원가명세서" localSheetId="4" hidden="1">{#N/A,#N/A,FALSE,"BS";#N/A,#N/A,FALSE,"PL";#N/A,#N/A,FALSE,"처분";#N/A,#N/A,FALSE,"현금";#N/A,#N/A,FALSE,"매출";#N/A,#N/A,FALSE,"원가";#N/A,#N/A,FALSE,"경영"}</definedName>
    <definedName name="분양원가명세서" localSheetId="3" hidden="1">{#N/A,#N/A,FALSE,"BS";#N/A,#N/A,FALSE,"PL";#N/A,#N/A,FALSE,"처분";#N/A,#N/A,FALSE,"현금";#N/A,#N/A,FALSE,"매출";#N/A,#N/A,FALSE,"원가";#N/A,#N/A,FALSE,"경영"}</definedName>
    <definedName name="분양원가명세서" localSheetId="1" hidden="1">{#N/A,#N/A,FALSE,"BS";#N/A,#N/A,FALSE,"PL";#N/A,#N/A,FALSE,"처분";#N/A,#N/A,FALSE,"현금";#N/A,#N/A,FALSE,"매출";#N/A,#N/A,FALSE,"원가";#N/A,#N/A,FALSE,"경영"}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localSheetId="5" hidden="1">{#N/A,#N/A,FALSE,"BS";#N/A,#N/A,FALSE,"PL";#N/A,#N/A,FALSE,"처분";#N/A,#N/A,FALSE,"현금";#N/A,#N/A,FALSE,"매출";#N/A,#N/A,FALSE,"원가";#N/A,#N/A,FALSE,"경영"}</definedName>
    <definedName name="분양원가명세서1" localSheetId="4" hidden="1">{#N/A,#N/A,FALSE,"BS";#N/A,#N/A,FALSE,"PL";#N/A,#N/A,FALSE,"처분";#N/A,#N/A,FALSE,"현금";#N/A,#N/A,FALSE,"매출";#N/A,#N/A,FALSE,"원가";#N/A,#N/A,FALSE,"경영"}</definedName>
    <definedName name="분양원가명세서1" localSheetId="3" hidden="1">{#N/A,#N/A,FALSE,"BS";#N/A,#N/A,FALSE,"PL";#N/A,#N/A,FALSE,"처분";#N/A,#N/A,FALSE,"현금";#N/A,#N/A,FALSE,"매출";#N/A,#N/A,FALSE,"원가";#N/A,#N/A,FALSE,"경영"}</definedName>
    <definedName name="분양원가명세서1" localSheetId="1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 localSheetId="5">#REF!</definedName>
    <definedName name="불" localSheetId="4">#REF!</definedName>
    <definedName name="불" localSheetId="3">#REF!</definedName>
    <definedName name="불" localSheetId="1">#REF!</definedName>
    <definedName name="불">#REF!</definedName>
    <definedName name="불량" localSheetId="3">#REF!</definedName>
    <definedName name="불량" localSheetId="1">#REF!</definedName>
    <definedName name="불량">#REF!</definedName>
    <definedName name="불합격" localSheetId="3">#REF!</definedName>
    <definedName name="불합격" localSheetId="1">#REF!</definedName>
    <definedName name="불합격">#REF!</definedName>
    <definedName name="브레이크" localSheetId="3">#REF!</definedName>
    <definedName name="브레이크" localSheetId="1">#REF!</definedName>
    <definedName name="브레이크">#REF!</definedName>
    <definedName name="비" localSheetId="5" hidden="1">{#N/A,#N/A,FALSE,"1.CRITERIA";#N/A,#N/A,FALSE,"2.IS";#N/A,#N/A,FALSE,"3.BS";#N/A,#N/A,FALSE,"4.PER PL";#N/A,#N/A,FALSE,"5.INVESTMENT";#N/A,#N/A,FALSE,"6.공문";#N/A,#N/A,FALSE,"7.netinvest"}</definedName>
    <definedName name="비" localSheetId="4" hidden="1">{#N/A,#N/A,FALSE,"1.CRITERIA";#N/A,#N/A,FALSE,"2.IS";#N/A,#N/A,FALSE,"3.BS";#N/A,#N/A,FALSE,"4.PER PL";#N/A,#N/A,FALSE,"5.INVESTMENT";#N/A,#N/A,FALSE,"6.공문";#N/A,#N/A,FALSE,"7.netinvest"}</definedName>
    <definedName name="비" localSheetId="3" hidden="1">{#N/A,#N/A,FALSE,"1.CRITERIA";#N/A,#N/A,FALSE,"2.IS";#N/A,#N/A,FALSE,"3.BS";#N/A,#N/A,FALSE,"4.PER PL";#N/A,#N/A,FALSE,"5.INVESTMENT";#N/A,#N/A,FALSE,"6.공문";#N/A,#N/A,FALSE,"7.netinvest"}</definedName>
    <definedName name="비" localSheetId="1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 localSheetId="5">#REF!</definedName>
    <definedName name="비고" localSheetId="4">#REF!</definedName>
    <definedName name="비고" localSheetId="3">#REF!</definedName>
    <definedName name="비고" localSheetId="1">#REF!</definedName>
    <definedName name="비고">#REF!</definedName>
    <definedName name="비과세" localSheetId="3">#REF!</definedName>
    <definedName name="비과세" localSheetId="1">#REF!</definedName>
    <definedName name="비과세">#REF!</definedName>
    <definedName name="비과세2" localSheetId="3">#REF!</definedName>
    <definedName name="비과세2" localSheetId="1">#REF!</definedName>
    <definedName name="비과세2">#REF!</definedName>
    <definedName name="비교" localSheetId="3">#REF!</definedName>
    <definedName name="비교" localSheetId="1">#REF!</definedName>
    <definedName name="비교">#REF!</definedName>
    <definedName name="비교A" localSheetId="3">#REF!</definedName>
    <definedName name="비교A" localSheetId="1">#REF!</definedName>
    <definedName name="비교A">#REF!</definedName>
    <definedName name="비교분" localSheetId="3">#REF!</definedName>
    <definedName name="비교분" localSheetId="1">#REF!</definedName>
    <definedName name="비교분">#REF!</definedName>
    <definedName name="비교표2" localSheetId="3" hidden="1">#REF!</definedName>
    <definedName name="비교표2" localSheetId="1" hidden="1">#REF!</definedName>
    <definedName name="비교표2" hidden="1">#REF!</definedName>
    <definedName name="비상장주식" hidden="1">#N/A</definedName>
    <definedName name="비용거래" localSheetId="5">#REF!</definedName>
    <definedName name="비용거래" localSheetId="4">#REF!</definedName>
    <definedName name="비용거래" localSheetId="3">#REF!</definedName>
    <definedName name="비용거래" localSheetId="1">#REF!</definedName>
    <definedName name="비용거래">#REF!</definedName>
    <definedName name="비용배분" localSheetId="3">#REF!</definedName>
    <definedName name="비용배분" localSheetId="1">#REF!</definedName>
    <definedName name="비용배분">#REF!</definedName>
    <definedName name="비품" localSheetId="3">#REF!</definedName>
    <definedName name="비품" localSheetId="1">#REF!</definedName>
    <definedName name="비품">#REF!</definedName>
    <definedName name="비품상각" localSheetId="3">#REF!</definedName>
    <definedName name="비품상각" localSheetId="1">#REF!</definedName>
    <definedName name="비품상각">#REF!</definedName>
    <definedName name="비호선율" localSheetId="5" hidden="1">{"'호선별현황(방식)'!$K$22:$P$22","'호선별현황(방식)'!$K$22:$P$22"}</definedName>
    <definedName name="비호선율" localSheetId="4" hidden="1">{"'호선별현황(방식)'!$K$22:$P$22","'호선별현황(방식)'!$K$22:$P$22"}</definedName>
    <definedName name="비호선율" localSheetId="3" hidden="1">{"'호선별현황(방식)'!$K$22:$P$22","'호선별현황(방식)'!$K$22:$P$22"}</definedName>
    <definedName name="비호선율" localSheetId="1" hidden="1">{"'호선별현황(방식)'!$K$22:$P$22","'호선별현황(방식)'!$K$22:$P$22"}</definedName>
    <definedName name="비호선율" hidden="1">{"'호선별현황(방식)'!$K$22:$P$22","'호선별현황(방식)'!$K$22:$P$22"}</definedName>
    <definedName name="빌딩명" localSheetId="5">#REF!</definedName>
    <definedName name="빌딩명" localSheetId="4">#REF!</definedName>
    <definedName name="빌딩명" localSheetId="3">#REF!</definedName>
    <definedName name="빌딩명" localSheetId="1">#REF!</definedName>
    <definedName name="빌딩명">#REF!</definedName>
    <definedName name="빌딩이름" localSheetId="3">#REF!</definedName>
    <definedName name="빌딩이름" localSheetId="1">#REF!</definedName>
    <definedName name="빌딩이름">#REF!</definedName>
    <definedName name="빙수" localSheetId="5" hidden="1">{#N/A,#N/A,FALSE,"1.CRITERIA";#N/A,#N/A,FALSE,"2.IS";#N/A,#N/A,FALSE,"3.BS";#N/A,#N/A,FALSE,"4.PER PL";#N/A,#N/A,FALSE,"5.INVESTMENT";#N/A,#N/A,FALSE,"6.공문";#N/A,#N/A,FALSE,"7.netinvest"}</definedName>
    <definedName name="빙수" localSheetId="4" hidden="1">{#N/A,#N/A,FALSE,"1.CRITERIA";#N/A,#N/A,FALSE,"2.IS";#N/A,#N/A,FALSE,"3.BS";#N/A,#N/A,FALSE,"4.PER PL";#N/A,#N/A,FALSE,"5.INVESTMENT";#N/A,#N/A,FALSE,"6.공문";#N/A,#N/A,FALSE,"7.netinvest"}</definedName>
    <definedName name="빙수" localSheetId="3" hidden="1">{#N/A,#N/A,FALSE,"1.CRITERIA";#N/A,#N/A,FALSE,"2.IS";#N/A,#N/A,FALSE,"3.BS";#N/A,#N/A,FALSE,"4.PER PL";#N/A,#N/A,FALSE,"5.INVESTMENT";#N/A,#N/A,FALSE,"6.공문";#N/A,#N/A,FALSE,"7.netinvest"}</definedName>
    <definedName name="빙수" localSheetId="1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localSheetId="5" hidden="1">{"'호선별현황(방식)'!$K$22:$P$22","'호선별현황(방식)'!$K$22:$P$22"}</definedName>
    <definedName name="빨리행" localSheetId="4" hidden="1">{"'호선별현황(방식)'!$K$22:$P$22","'호선별현황(방식)'!$K$22:$P$22"}</definedName>
    <definedName name="빨리행" localSheetId="3" hidden="1">{"'호선별현황(방식)'!$K$22:$P$22","'호선별현황(방식)'!$K$22:$P$22"}</definedName>
    <definedName name="빨리행" localSheetId="1" hidden="1">{"'호선별현황(방식)'!$K$22:$P$22","'호선별현황(방식)'!$K$22:$P$22"}</definedName>
    <definedName name="빨리행" hidden="1">{"'호선별현황(방식)'!$K$22:$P$22","'호선별현황(방식)'!$K$22:$P$22"}</definedName>
    <definedName name="ㅅ" localSheetId="5" hidden="1">{#N/A,#N/A,TRUE,"Y생산";#N/A,#N/A,TRUE,"Y판매";#N/A,#N/A,TRUE,"Y총물량";#N/A,#N/A,TRUE,"Y능력";#N/A,#N/A,TRUE,"YKD"}</definedName>
    <definedName name="ㅅ" localSheetId="4" hidden="1">{#N/A,#N/A,TRUE,"Y생산";#N/A,#N/A,TRUE,"Y판매";#N/A,#N/A,TRUE,"Y총물량";#N/A,#N/A,TRUE,"Y능력";#N/A,#N/A,TRUE,"YKD"}</definedName>
    <definedName name="ㅅ" localSheetId="3" hidden="1">{#N/A,#N/A,TRUE,"Y생산";#N/A,#N/A,TRUE,"Y판매";#N/A,#N/A,TRUE,"Y총물량";#N/A,#N/A,TRUE,"Y능력";#N/A,#N/A,TRUE,"YKD"}</definedName>
    <definedName name="ㅅ" localSheetId="1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7ㅓㅛㅗㅓ로ㅓ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localSheetId="5" hidden="1">{#N/A,#N/A,TRUE,"일정"}</definedName>
    <definedName name="ㅅㄹ녀ㅛㅅ누ㅛㅅㄴ구ㅛㅅㄱ누" localSheetId="4" hidden="1">{#N/A,#N/A,TRUE,"일정"}</definedName>
    <definedName name="ㅅㄹ녀ㅛㅅ누ㅛㅅㄴ구ㅛㅅㄱ누" localSheetId="3" hidden="1">{#N/A,#N/A,TRUE,"일정"}</definedName>
    <definedName name="ㅅㄹ녀ㅛㅅ누ㅛㅅㄴ구ㅛㅅㄱ누" localSheetId="1" hidden="1">{#N/A,#N/A,TRUE,"일정"}</definedName>
    <definedName name="ㅅㄹ녀ㅛㅅ누ㅛㅅㄴ구ㅛㅅㄱ누" hidden="1">{#N/A,#N/A,TRUE,"일정"}</definedName>
    <definedName name="ㅅㅅ" localSheetId="5">#REF!</definedName>
    <definedName name="ㅅㅅ" localSheetId="4">#REF!</definedName>
    <definedName name="ㅅㅅ" localSheetId="3">#REF!</definedName>
    <definedName name="ㅅㅅ" localSheetId="1">#REF!</definedName>
    <definedName name="ㅅㅅ">#REF!</definedName>
    <definedName name="ㅅㅅㅅ" localSheetId="5" hidden="1">{#N/A,#N/A,TRUE,"일정"}</definedName>
    <definedName name="ㅅㅅㅅ" localSheetId="4" hidden="1">{#N/A,#N/A,TRUE,"일정"}</definedName>
    <definedName name="ㅅㅅㅅ" localSheetId="3" hidden="1">{#N/A,#N/A,TRUE,"일정"}</definedName>
    <definedName name="ㅅㅅㅅ" localSheetId="1" hidden="1">{#N/A,#N/A,TRUE,"일정"}</definedName>
    <definedName name="ㅅㅅㅅ" hidden="1">{#N/A,#N/A,TRUE,"일정"}</definedName>
    <definedName name="사" localSheetId="5">#REF!</definedName>
    <definedName name="사" localSheetId="4">#REF!</definedName>
    <definedName name="사" localSheetId="3">#REF!</definedName>
    <definedName name="사" localSheetId="1">#REF!</definedName>
    <definedName name="사">#REF!</definedName>
    <definedName name="사1" localSheetId="3">#REF!</definedName>
    <definedName name="사1" localSheetId="1">#REF!</definedName>
    <definedName name="사1">#REF!</definedName>
    <definedName name="사10" localSheetId="3">#REF!</definedName>
    <definedName name="사10" localSheetId="1">#REF!</definedName>
    <definedName name="사10">#REF!</definedName>
    <definedName name="사11" localSheetId="3">#REF!</definedName>
    <definedName name="사11" localSheetId="1">#REF!</definedName>
    <definedName name="사11">#REF!</definedName>
    <definedName name="사12" localSheetId="3">#REF!</definedName>
    <definedName name="사12" localSheetId="1">#REF!</definedName>
    <definedName name="사12">#REF!</definedName>
    <definedName name="사2" localSheetId="3">#REF!</definedName>
    <definedName name="사2" localSheetId="1">#REF!</definedName>
    <definedName name="사2">#REF!</definedName>
    <definedName name="사3" localSheetId="3">#REF!</definedName>
    <definedName name="사3" localSheetId="1">#REF!</definedName>
    <definedName name="사3">#REF!</definedName>
    <definedName name="사4" localSheetId="3">#REF!</definedName>
    <definedName name="사4" localSheetId="1">#REF!</definedName>
    <definedName name="사4">#REF!</definedName>
    <definedName name="사5" localSheetId="3">#REF!</definedName>
    <definedName name="사5" localSheetId="1">#REF!</definedName>
    <definedName name="사5">#REF!</definedName>
    <definedName name="사6" localSheetId="3">#REF!</definedName>
    <definedName name="사6" localSheetId="1">#REF!</definedName>
    <definedName name="사6">#REF!</definedName>
    <definedName name="사7" localSheetId="3">#REF!</definedName>
    <definedName name="사7" localSheetId="1">#REF!</definedName>
    <definedName name="사7">#REF!</definedName>
    <definedName name="사8" localSheetId="3">#REF!</definedName>
    <definedName name="사8" localSheetId="1">#REF!</definedName>
    <definedName name="사8">#REF!</definedName>
    <definedName name="사9" localSheetId="3">#REF!</definedName>
    <definedName name="사9" localSheetId="1">#REF!</definedName>
    <definedName name="사9">#REF!</definedName>
    <definedName name="사고뭉치" localSheetId="5" hidden="1">{#N/A,#N/A,FALSE,"96 3월물량표";#N/A,#N/A,FALSE,"96 4월물량표";#N/A,#N/A,FALSE,"96 5월물량표"}</definedName>
    <definedName name="사고뭉치" localSheetId="4" hidden="1">{#N/A,#N/A,FALSE,"96 3월물량표";#N/A,#N/A,FALSE,"96 4월물량표";#N/A,#N/A,FALSE,"96 5월물량표"}</definedName>
    <definedName name="사고뭉치" localSheetId="3" hidden="1">{#N/A,#N/A,FALSE,"96 3월물량표";#N/A,#N/A,FALSE,"96 4월물량표";#N/A,#N/A,FALSE,"96 5월물량표"}</definedName>
    <definedName name="사고뭉치" localSheetId="1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람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localSheetId="5" hidden="1">{"'Sheet1'!$A$1:$H$36"}</definedName>
    <definedName name="사랑" localSheetId="4" hidden="1">{"'Sheet1'!$A$1:$H$36"}</definedName>
    <definedName name="사랑" localSheetId="3" hidden="1">{"'Sheet1'!$A$1:$H$36"}</definedName>
    <definedName name="사랑" localSheetId="1" hidden="1">{"'Sheet1'!$A$1:$H$36"}</definedName>
    <definedName name="사랑" hidden="1">{"'Sheet1'!$A$1:$H$36"}</definedName>
    <definedName name="사랑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 localSheetId="5">#REF!</definedName>
    <definedName name="사번" localSheetId="4">#REF!</definedName>
    <definedName name="사번" localSheetId="3">#REF!</definedName>
    <definedName name="사번" localSheetId="1">#REF!</definedName>
    <definedName name="사번">#REF!</definedName>
    <definedName name="사업" localSheetId="5" hidden="1">{#N/A,#N/A,FALSE,"SILO현황";#N/A,#N/A,FALSE,"타업체";#N/A,#N/A,FALSE,"생산능력"}</definedName>
    <definedName name="사업" localSheetId="4" hidden="1">{#N/A,#N/A,FALSE,"SILO현황";#N/A,#N/A,FALSE,"타업체";#N/A,#N/A,FALSE,"생산능력"}</definedName>
    <definedName name="사업" localSheetId="3" hidden="1">{#N/A,#N/A,FALSE,"SILO현황";#N/A,#N/A,FALSE,"타업체";#N/A,#N/A,FALSE,"생산능력"}</definedName>
    <definedName name="사업" localSheetId="1" hidden="1">{#N/A,#N/A,FALSE,"SILO현황";#N/A,#N/A,FALSE,"타업체";#N/A,#N/A,FALSE,"생산능력"}</definedName>
    <definedName name="사업" hidden="1">{#N/A,#N/A,FALSE,"SILO현황";#N/A,#N/A,FALSE,"타업체";#N/A,#N/A,FALSE,"생산능력"}</definedName>
    <definedName name="사업10월" localSheetId="5">#REF!</definedName>
    <definedName name="사업10월" localSheetId="4">#REF!</definedName>
    <definedName name="사업10월" localSheetId="3">#REF!</definedName>
    <definedName name="사업10월" localSheetId="1">#REF!</definedName>
    <definedName name="사업10월">#REF!</definedName>
    <definedName name="사업11월" localSheetId="3">#REF!</definedName>
    <definedName name="사업11월" localSheetId="1">#REF!</definedName>
    <definedName name="사업11월">#REF!</definedName>
    <definedName name="사업12월" localSheetId="3">#REF!</definedName>
    <definedName name="사업12월" localSheetId="1">#REF!</definedName>
    <definedName name="사업12월">#REF!</definedName>
    <definedName name="사업3월" localSheetId="3">#REF!</definedName>
    <definedName name="사업3월" localSheetId="1">#REF!</definedName>
    <definedName name="사업3월">#REF!</definedName>
    <definedName name="사업4월" localSheetId="3">#REF!</definedName>
    <definedName name="사업4월" localSheetId="1">#REF!</definedName>
    <definedName name="사업4월">#REF!</definedName>
    <definedName name="사업5월" localSheetId="3">#REF!</definedName>
    <definedName name="사업5월" localSheetId="1">#REF!</definedName>
    <definedName name="사업5월">#REF!</definedName>
    <definedName name="사업6월" localSheetId="3">#REF!</definedName>
    <definedName name="사업6월" localSheetId="1">#REF!</definedName>
    <definedName name="사업6월">#REF!</definedName>
    <definedName name="사업7월" localSheetId="3">#REF!</definedName>
    <definedName name="사업7월" localSheetId="1">#REF!</definedName>
    <definedName name="사업7월">#REF!</definedName>
    <definedName name="사업8월" localSheetId="3">#REF!</definedName>
    <definedName name="사업8월" localSheetId="1">#REF!</definedName>
    <definedName name="사업8월">#REF!</definedName>
    <definedName name="사업9월" localSheetId="3">#REF!</definedName>
    <definedName name="사업9월" localSheetId="1">#REF!</definedName>
    <definedName name="사업9월">#REF!</definedName>
    <definedName name="사업별" localSheetId="5">#REF!</definedName>
    <definedName name="사업별" localSheetId="4">#REF!</definedName>
    <definedName name="사업별" localSheetId="3">#REF!</definedName>
    <definedName name="사업별" localSheetId="1">#REF!</definedName>
    <definedName name="사업별">#REF!</definedName>
    <definedName name="사업부양식2" localSheetId="5" hidden="1">#REF!</definedName>
    <definedName name="사업부양식2" localSheetId="4" hidden="1">#REF!</definedName>
    <definedName name="사업부양식2" localSheetId="3" hidden="1">#REF!</definedName>
    <definedName name="사업부양식2" localSheetId="1" hidden="1">#REF!</definedName>
    <definedName name="사업부양식2" hidden="1">#REF!</definedName>
    <definedName name="사업자등록번호" localSheetId="3">#REF!</definedName>
    <definedName name="사업자등록번호" localSheetId="1">#REF!</definedName>
    <definedName name="사업자등록번호">#REF!</definedName>
    <definedName name="사업투자" localSheetId="3">#REF!</definedName>
    <definedName name="사업투자" localSheetId="1">#REF!</definedName>
    <definedName name="사업투자">#REF!</definedName>
    <definedName name="사업투자1" localSheetId="3">#REF!</definedName>
    <definedName name="사업투자1" localSheetId="1">#REF!</definedName>
    <definedName name="사업투자1">#REF!</definedName>
    <definedName name="사용">#N/A</definedName>
    <definedName name="사용량" localSheetId="5">#REF!</definedName>
    <definedName name="사용량" localSheetId="4">#REF!</definedName>
    <definedName name="사용량" localSheetId="3">#REF!</definedName>
    <definedName name="사용량" localSheetId="1">#REF!</definedName>
    <definedName name="사용량">#REF!</definedName>
    <definedName name="사용량1" localSheetId="3">#REF!</definedName>
    <definedName name="사용량1" localSheetId="1">#REF!</definedName>
    <definedName name="사용량1">#REF!</definedName>
    <definedName name="사용량2" localSheetId="3">#REF!</definedName>
    <definedName name="사용량2" localSheetId="1">#REF!</definedName>
    <definedName name="사용량2">#REF!</definedName>
    <definedName name="사용료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 localSheetId="5">#REF!</definedName>
    <definedName name="사원" localSheetId="4">#REF!</definedName>
    <definedName name="사원" localSheetId="3">#REF!</definedName>
    <definedName name="사원" localSheetId="1">#REF!</definedName>
    <definedName name="사원">#REF!</definedName>
    <definedName name="사원미지급" localSheetId="5" hidden="1">{#N/A,#N/A,FALSE,"1.CRITERIA";#N/A,#N/A,FALSE,"2.IS";#N/A,#N/A,FALSE,"3.BS";#N/A,#N/A,FALSE,"4.PER PL";#N/A,#N/A,FALSE,"5.INVESTMENT";#N/A,#N/A,FALSE,"6.공문";#N/A,#N/A,FALSE,"7.netinvest"}</definedName>
    <definedName name="사원미지급" localSheetId="4" hidden="1">{#N/A,#N/A,FALSE,"1.CRITERIA";#N/A,#N/A,FALSE,"2.IS";#N/A,#N/A,FALSE,"3.BS";#N/A,#N/A,FALSE,"4.PER PL";#N/A,#N/A,FALSE,"5.INVESTMENT";#N/A,#N/A,FALSE,"6.공문";#N/A,#N/A,FALSE,"7.netinvest"}</definedName>
    <definedName name="사원미지급" localSheetId="3" hidden="1">{#N/A,#N/A,FALSE,"1.CRITERIA";#N/A,#N/A,FALSE,"2.IS";#N/A,#N/A,FALSE,"3.BS";#N/A,#N/A,FALSE,"4.PER PL";#N/A,#N/A,FALSE,"5.INVESTMENT";#N/A,#N/A,FALSE,"6.공문";#N/A,#N/A,FALSE,"7.netinvest"}</definedName>
    <definedName name="사원미지급" localSheetId="1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 localSheetId="5">#REF!</definedName>
    <definedName name="사월이" localSheetId="4">#REF!</definedName>
    <definedName name="사월이" localSheetId="3">#REF!</definedName>
    <definedName name="사월이" localSheetId="1">#REF!</definedName>
    <definedName name="사월이">#REF!</definedName>
    <definedName name="사월일" localSheetId="5">#REF!</definedName>
    <definedName name="사월일" localSheetId="4">#REF!</definedName>
    <definedName name="사월일" localSheetId="3">#REF!</definedName>
    <definedName name="사월일" localSheetId="1">#REF!</definedName>
    <definedName name="사월일">#REF!</definedName>
    <definedName name="사이버" localSheetId="3">#REF!</definedName>
    <definedName name="사이버" localSheetId="1">#REF!</definedName>
    <definedName name="사이버">#REF!</definedName>
    <definedName name="사진" localSheetId="5" hidden="1">{#N/A,#N/A,FALSE,"단축1";#N/A,#N/A,FALSE,"단축2";#N/A,#N/A,FALSE,"단축3";#N/A,#N/A,FALSE,"장축";#N/A,#N/A,FALSE,"4WD"}</definedName>
    <definedName name="사진" localSheetId="4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5" hidden="1">{#N/A,#N/A,FALSE,"단축1";#N/A,#N/A,FALSE,"단축2";#N/A,#N/A,FALSE,"단축3";#N/A,#N/A,FALSE,"장축";#N/A,#N/A,FALSE,"4WD"}</definedName>
    <definedName name="사진1" localSheetId="4" hidden="1">{#N/A,#N/A,FALSE,"단축1";#N/A,#N/A,FALSE,"단축2";#N/A,#N/A,FALSE,"단축3";#N/A,#N/A,FALSE,"장축";#N/A,#N/A,FALSE,"4WD"}</definedName>
    <definedName name="사진1" localSheetId="3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 localSheetId="5">#REF!</definedName>
    <definedName name="사채" localSheetId="4">#REF!</definedName>
    <definedName name="사채" localSheetId="3">#REF!</definedName>
    <definedName name="사채" localSheetId="1">#REF!</definedName>
    <definedName name="사채">#REF!</definedName>
    <definedName name="산1" localSheetId="3">#REF!</definedName>
    <definedName name="산1" localSheetId="1">#REF!</definedName>
    <definedName name="산1">#REF!</definedName>
    <definedName name="산10" localSheetId="3">#REF!</definedName>
    <definedName name="산10" localSheetId="1">#REF!</definedName>
    <definedName name="산10">#REF!</definedName>
    <definedName name="산11" localSheetId="3">#REF!</definedName>
    <definedName name="산11" localSheetId="1">#REF!</definedName>
    <definedName name="산11">#REF!</definedName>
    <definedName name="산12" localSheetId="3">#REF!</definedName>
    <definedName name="산12" localSheetId="1">#REF!</definedName>
    <definedName name="산12">#REF!</definedName>
    <definedName name="산2" localSheetId="3">#REF!</definedName>
    <definedName name="산2" localSheetId="1">#REF!</definedName>
    <definedName name="산2">#REF!</definedName>
    <definedName name="산3" localSheetId="3">#REF!</definedName>
    <definedName name="산3" localSheetId="1">#REF!</definedName>
    <definedName name="산3">#REF!</definedName>
    <definedName name="산4" localSheetId="3">#REF!</definedName>
    <definedName name="산4" localSheetId="1">#REF!</definedName>
    <definedName name="산4">#REF!</definedName>
    <definedName name="산5" localSheetId="3">#REF!</definedName>
    <definedName name="산5" localSheetId="1">#REF!</definedName>
    <definedName name="산5">#REF!</definedName>
    <definedName name="산6" localSheetId="3">#REF!</definedName>
    <definedName name="산6" localSheetId="1">#REF!</definedName>
    <definedName name="산6">#REF!</definedName>
    <definedName name="산7" localSheetId="3">#REF!</definedName>
    <definedName name="산7" localSheetId="1">#REF!</definedName>
    <definedName name="산7">#REF!</definedName>
    <definedName name="산8" localSheetId="3">#REF!</definedName>
    <definedName name="산8" localSheetId="1">#REF!</definedName>
    <definedName name="산8">#REF!</definedName>
    <definedName name="산9" localSheetId="3">#REF!</definedName>
    <definedName name="산9" localSheetId="1">#REF!</definedName>
    <definedName name="산9">#REF!</definedName>
    <definedName name="산재" localSheetId="3">#REF!</definedName>
    <definedName name="산재" localSheetId="1">#REF!</definedName>
    <definedName name="산재">#REF!</definedName>
    <definedName name="산재10월" localSheetId="3">#REF!</definedName>
    <definedName name="산재10월" localSheetId="1">#REF!</definedName>
    <definedName name="산재10월">#REF!</definedName>
    <definedName name="산재11월" localSheetId="3">#REF!</definedName>
    <definedName name="산재11월" localSheetId="1">#REF!</definedName>
    <definedName name="산재11월">#REF!</definedName>
    <definedName name="산재12월" localSheetId="3">#REF!</definedName>
    <definedName name="산재12월" localSheetId="1">#REF!</definedName>
    <definedName name="산재12월">#REF!</definedName>
    <definedName name="산재3월" localSheetId="3">#REF!</definedName>
    <definedName name="산재3월" localSheetId="1">#REF!</definedName>
    <definedName name="산재3월">#REF!</definedName>
    <definedName name="산재4월" localSheetId="3">#REF!</definedName>
    <definedName name="산재4월" localSheetId="1">#REF!</definedName>
    <definedName name="산재4월">#REF!</definedName>
    <definedName name="산재5월" localSheetId="3">#REF!</definedName>
    <definedName name="산재5월" localSheetId="1">#REF!</definedName>
    <definedName name="산재5월">#REF!</definedName>
    <definedName name="산재6월" localSheetId="3">#REF!</definedName>
    <definedName name="산재6월" localSheetId="1">#REF!</definedName>
    <definedName name="산재6월">#REF!</definedName>
    <definedName name="산재7월" localSheetId="3">#REF!</definedName>
    <definedName name="산재7월" localSheetId="1">#REF!</definedName>
    <definedName name="산재7월">#REF!</definedName>
    <definedName name="산재8월" localSheetId="3">#REF!</definedName>
    <definedName name="산재8월" localSheetId="1">#REF!</definedName>
    <definedName name="산재8월">#REF!</definedName>
    <definedName name="산재9월" localSheetId="3">#REF!</definedName>
    <definedName name="산재9월" localSheetId="1">#REF!</definedName>
    <definedName name="산재9월">#REF!</definedName>
    <definedName name="삼" localSheetId="3">#REF!</definedName>
    <definedName name="삼" localSheetId="1">#REF!</definedName>
    <definedName name="삼">#REF!</definedName>
    <definedName name="삼성" localSheetId="5" hidden="1">{#N/A,#N/A,FALSE,"정공"}</definedName>
    <definedName name="삼성" localSheetId="4" hidden="1">{#N/A,#N/A,FALSE,"정공"}</definedName>
    <definedName name="삼성" localSheetId="3" hidden="1">{#N/A,#N/A,FALSE,"정공"}</definedName>
    <definedName name="삼성" localSheetId="1" hidden="1">{#N/A,#N/A,FALSE,"정공"}</definedName>
    <definedName name="삼성" hidden="1">{#N/A,#N/A,FALSE,"정공"}</definedName>
    <definedName name="삼호중" localSheetId="5" hidden="1">{"'호선별현황(방식)'!$K$22:$P$22","'호선별현황(방식)'!$K$22:$P$22"}</definedName>
    <definedName name="삼호중" localSheetId="4" hidden="1">{"'호선별현황(방식)'!$K$22:$P$22","'호선별현황(방식)'!$K$22:$P$22"}</definedName>
    <definedName name="삼호중" localSheetId="3" hidden="1">{"'호선별현황(방식)'!$K$22:$P$22","'호선별현황(방식)'!$K$22:$P$22"}</definedName>
    <definedName name="삼호중" localSheetId="1" hidden="1">{"'호선별현황(방식)'!$K$22:$P$22","'호선별현황(방식)'!$K$22:$P$22"}</definedName>
    <definedName name="삼호중" hidden="1">{"'호선별현황(방식)'!$K$22:$P$22","'호선별현황(방식)'!$K$22:$P$22"}</definedName>
    <definedName name="상가매매0115" localSheetId="5">#REF!</definedName>
    <definedName name="상가매매0115" localSheetId="4">#REF!</definedName>
    <definedName name="상가매매0115" localSheetId="3">#REF!</definedName>
    <definedName name="상가매매0115" localSheetId="1">#REF!</definedName>
    <definedName name="상가매매0115">#REF!</definedName>
    <definedName name="상가임대0115" localSheetId="3">#REF!</definedName>
    <definedName name="상가임대0115" localSheetId="1">#REF!</definedName>
    <definedName name="상가임대0115">#REF!</definedName>
    <definedName name="상각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 localSheetId="5">#REF!</definedName>
    <definedName name="상각비" localSheetId="4">#REF!</definedName>
    <definedName name="상각비" localSheetId="3">#REF!</definedName>
    <definedName name="상각비" localSheetId="1">#REF!</definedName>
    <definedName name="상각비">#REF!</definedName>
    <definedName name="상농" localSheetId="3">OFFSET(#REF!,0,0,COUNTA(#REF!)-1,1)</definedName>
    <definedName name="상농" localSheetId="1">OFFSET(#REF!,0,0,COUNTA(#REF!)-1,1)</definedName>
    <definedName name="상농">OFFSET(#REF!,0,0,COUNTA(#REF!)-1,1)</definedName>
    <definedName name="상농2" localSheetId="3">OFFSET(#REF!,0,0,COUNTA(#REF!)-1,1)</definedName>
    <definedName name="상농2" localSheetId="1">OFFSET(#REF!,0,0,COUNTA(#REF!)-1,1)</definedName>
    <definedName name="상농2">OFFSET(#REF!,0,0,COUNTA(#REF!)-1,1)</definedName>
    <definedName name="상비1" localSheetId="5">#REF!</definedName>
    <definedName name="상비1" localSheetId="4">#REF!</definedName>
    <definedName name="상비1" localSheetId="3">#REF!</definedName>
    <definedName name="상비1" localSheetId="1">#REF!</definedName>
    <definedName name="상비1">#REF!</definedName>
    <definedName name="상비2" localSheetId="3">#REF!</definedName>
    <definedName name="상비2" localSheetId="1">#REF!</definedName>
    <definedName name="상비2">#REF!</definedName>
    <definedName name="상설월별시트2" localSheetId="5" hidden="1">{#N/A,#N/A,FALSE,"95FW"}</definedName>
    <definedName name="상설월별시트2" localSheetId="4" hidden="1">{#N/A,#N/A,FALSE,"95FW"}</definedName>
    <definedName name="상설월별시트2" localSheetId="3" hidden="1">{#N/A,#N/A,FALSE,"95FW"}</definedName>
    <definedName name="상설월별시트2" localSheetId="1" hidden="1">{#N/A,#N/A,FALSE,"95FW"}</definedName>
    <definedName name="상설월별시트2" hidden="1">{#N/A,#N/A,FALSE,"95FW"}</definedName>
    <definedName name="상여" localSheetId="5">#REF!</definedName>
    <definedName name="상여" localSheetId="4">#REF!</definedName>
    <definedName name="상여" localSheetId="3">#REF!</definedName>
    <definedName name="상여" localSheetId="1">#REF!</definedName>
    <definedName name="상여">#REF!</definedName>
    <definedName name="상여2" localSheetId="3">#REF!</definedName>
    <definedName name="상여2" localSheetId="1">#REF!</definedName>
    <definedName name="상여2">#REF!</definedName>
    <definedName name="상여율" localSheetId="3">#REF!</definedName>
    <definedName name="상여율" localSheetId="1">#REF!</definedName>
    <definedName name="상여율">#REF!</definedName>
    <definedName name="상품" localSheetId="3" hidden="1">#REF!</definedName>
    <definedName name="상품" localSheetId="1" hidden="1">#REF!</definedName>
    <definedName name="상품" hidden="1">#REF!</definedName>
    <definedName name="상품1월" localSheetId="5">#REF!</definedName>
    <definedName name="상품1월" localSheetId="4">#REF!</definedName>
    <definedName name="상품1월" localSheetId="3">#REF!</definedName>
    <definedName name="상품1월" localSheetId="1">#REF!</definedName>
    <definedName name="상품1월">#REF!</definedName>
    <definedName name="상품시화" localSheetId="3">#REF!</definedName>
    <definedName name="상품시화" localSheetId="1">#REF!</definedName>
    <definedName name="상품시화">#REF!</definedName>
    <definedName name="새" localSheetId="5" hidden="1">{#N/A,#N/A,FALSE,"Aging Summary";#N/A,#N/A,FALSE,"Ratio Analysis";#N/A,#N/A,FALSE,"Test 120 Day Accts";#N/A,#N/A,FALSE,"Tickmarks"}</definedName>
    <definedName name="새" localSheetId="4" hidden="1">{#N/A,#N/A,FALSE,"Aging Summary";#N/A,#N/A,FALSE,"Ratio Analysis";#N/A,#N/A,FALSE,"Test 120 Day Accts";#N/A,#N/A,FALSE,"Tickmarks"}</definedName>
    <definedName name="새" localSheetId="3" hidden="1">{#N/A,#N/A,FALSE,"Aging Summary";#N/A,#N/A,FALSE,"Ratio Analysis";#N/A,#N/A,FALSE,"Test 120 Day Accts";#N/A,#N/A,FALSE,"Tickmarks"}</definedName>
    <definedName name="새" localSheetId="1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로부분" localSheetId="5">#REF!</definedName>
    <definedName name="새로부분" localSheetId="4">#REF!</definedName>
    <definedName name="새로부분" localSheetId="3">#REF!</definedName>
    <definedName name="새로부분" localSheetId="1">#REF!</definedName>
    <definedName name="새로부분">#REF!</definedName>
    <definedName name="새이름" localSheetId="5" hidden="1">{"'호선별현황(방식)'!$K$22:$P$22","'호선별현황(방식)'!$K$22:$P$22"}</definedName>
    <definedName name="새이름" localSheetId="4" hidden="1">{"'호선별현황(방식)'!$K$22:$P$22","'호선별현황(방식)'!$K$22:$P$22"}</definedName>
    <definedName name="새이름" localSheetId="3" hidden="1">{"'호선별현황(방식)'!$K$22:$P$22","'호선별현황(방식)'!$K$22:$P$22"}</definedName>
    <definedName name="새이름" localSheetId="1" hidden="1">{"'호선별현황(방식)'!$K$22:$P$22","'호선별현황(방식)'!$K$22:$P$22"}</definedName>
    <definedName name="새이름" hidden="1">{"'호선별현황(방식)'!$K$22:$P$22","'호선별현황(방식)'!$K$22:$P$22"}</definedName>
    <definedName name="새천년" localSheetId="5" hidden="1">{#N/A,#N/A,TRUE,"Y생산";#N/A,#N/A,TRUE,"Y판매";#N/A,#N/A,TRUE,"Y총물량";#N/A,#N/A,TRUE,"Y능력";#N/A,#N/A,TRUE,"YKD"}</definedName>
    <definedName name="새천년" localSheetId="4" hidden="1">{#N/A,#N/A,TRUE,"Y생산";#N/A,#N/A,TRUE,"Y판매";#N/A,#N/A,TRUE,"Y총물량";#N/A,#N/A,TRUE,"Y능력";#N/A,#N/A,TRUE,"YKD"}</definedName>
    <definedName name="새천년" localSheetId="3" hidden="1">{#N/A,#N/A,TRUE,"Y생산";#N/A,#N/A,TRUE,"Y판매";#N/A,#N/A,TRUE,"Y총물량";#N/A,#N/A,TRUE,"Y능력";#N/A,#N/A,TRUE,"YKD"}</definedName>
    <definedName name="새천년" localSheetId="1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색상현황" localSheetId="5" hidden="1">#REF!</definedName>
    <definedName name="색상현황" localSheetId="4" hidden="1">#REF!</definedName>
    <definedName name="색상현황" localSheetId="3" hidden="1">#REF!</definedName>
    <definedName name="색상현황" localSheetId="1" hidden="1">#REF!</definedName>
    <definedName name="색상현황" hidden="1">#REF!</definedName>
    <definedName name="색인" localSheetId="3">#REF!</definedName>
    <definedName name="색인" localSheetId="1">#REF!</definedName>
    <definedName name="색인">#REF!</definedName>
    <definedName name="생" localSheetId="3">#REF!</definedName>
    <definedName name="생" localSheetId="1">#REF!</definedName>
    <definedName name="생">#REF!</definedName>
    <definedName name="생산" localSheetId="3">#REF!</definedName>
    <definedName name="생산" localSheetId="1">#REF!</definedName>
    <definedName name="생산">#REF!</definedName>
    <definedName name="생산TON" localSheetId="5" hidden="1">{#N/A,#N/A,TRUE,"Y생산";#N/A,#N/A,TRUE,"Y판매";#N/A,#N/A,TRUE,"Y총물량";#N/A,#N/A,TRUE,"Y능력";#N/A,#N/A,TRUE,"YKD"}</definedName>
    <definedName name="생산TON" localSheetId="4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localSheetId="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관리팀절감세부계획" localSheetId="5">#REF!</definedName>
    <definedName name="생산관리팀절감세부계획" localSheetId="4">#REF!</definedName>
    <definedName name="생산관리팀절감세부계획" localSheetId="3">#REF!</definedName>
    <definedName name="생산관리팀절감세부계획" localSheetId="1">#REF!</definedName>
    <definedName name="생산관리팀절감세부계획">#REF!</definedName>
    <definedName name="생산능력" localSheetId="5">#REF!</definedName>
    <definedName name="생산능력" localSheetId="4">#REF!</definedName>
    <definedName name="생산능력" localSheetId="3">#REF!</definedName>
    <definedName name="생산능력" localSheetId="1">#REF!</definedName>
    <definedName name="생산능력">#REF!</definedName>
    <definedName name="생산시급" localSheetId="3">#REF!</definedName>
    <definedName name="생산시급" localSheetId="1">#REF!</definedName>
    <definedName name="생산시급">#REF!</definedName>
    <definedName name="생산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localSheetId="5" hidden="1">#REF!</definedName>
    <definedName name="생산조향" localSheetId="4" hidden="1">#REF!</definedName>
    <definedName name="생산조향" localSheetId="3" hidden="1">#REF!</definedName>
    <definedName name="생산조향" localSheetId="1" hidden="1">#REF!</definedName>
    <definedName name="생산조향" hidden="1">#REF!</definedName>
    <definedName name="생산준비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localSheetId="5" hidden="1">{#N/A,#N/A,TRUE,"Y생산";#N/A,#N/A,TRUE,"Y판매";#N/A,#N/A,TRUE,"Y총물량";#N/A,#N/A,TRUE,"Y능력";#N/A,#N/A,TRUE,"YKD"}</definedName>
    <definedName name="생산특장2" localSheetId="4" hidden="1">{#N/A,#N/A,TRUE,"Y생산";#N/A,#N/A,TRUE,"Y판매";#N/A,#N/A,TRUE,"Y총물량";#N/A,#N/A,TRUE,"Y능력";#N/A,#N/A,TRUE,"YKD"}</definedName>
    <definedName name="생산특장2" localSheetId="3" hidden="1">{#N/A,#N/A,TRUE,"Y생산";#N/A,#N/A,TRUE,"Y판매";#N/A,#N/A,TRUE,"Y총물량";#N/A,#N/A,TRUE,"Y능력";#N/A,#N/A,TRUE,"YKD"}</definedName>
    <definedName name="생산특장2" localSheetId="1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5" hidden="1">{#N/A,#N/A,TRUE,"Y생산";#N/A,#N/A,TRUE,"Y판매";#N/A,#N/A,TRUE,"Y총물량";#N/A,#N/A,TRUE,"Y능력";#N/A,#N/A,TRUE,"YKD"}</definedName>
    <definedName name="생산합격" localSheetId="4" hidden="1">{#N/A,#N/A,TRUE,"Y생산";#N/A,#N/A,TRUE,"Y판매";#N/A,#N/A,TRUE,"Y총물량";#N/A,#N/A,TRUE,"Y능력";#N/A,#N/A,TRUE,"YKD"}</definedName>
    <definedName name="생산합격" localSheetId="3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 localSheetId="5">#REF!</definedName>
    <definedName name="생산현황" localSheetId="4">#REF!</definedName>
    <definedName name="생산현황" localSheetId="3">#REF!</definedName>
    <definedName name="생산현황" localSheetId="1">#REF!</definedName>
    <definedName name="생산현황">#REF!</definedName>
    <definedName name="생산현황집계표" localSheetId="5">#REF!</definedName>
    <definedName name="생산현황집계표" localSheetId="4">#REF!</definedName>
    <definedName name="생산현황집계표" localSheetId="3">#REF!</definedName>
    <definedName name="생산현황집계표" localSheetId="1">#REF!</definedName>
    <definedName name="생산현황집계표">#REF!</definedName>
    <definedName name="생산현황집계표1" localSheetId="5">#REF!</definedName>
    <definedName name="생산현황집계표1" localSheetId="4">#REF!</definedName>
    <definedName name="생산현황집계표1" localSheetId="3">#REF!</definedName>
    <definedName name="생산현황집계표1" localSheetId="1">#REF!</definedName>
    <definedName name="생산현황집계표1">#REF!</definedName>
    <definedName name="생산현황집계표ELLE" localSheetId="5">#REF!</definedName>
    <definedName name="생산현황집계표ELLE" localSheetId="4">#REF!</definedName>
    <definedName name="생산현황집계표ELLE" localSheetId="3">#REF!</definedName>
    <definedName name="생산현황집계표ELLE" localSheetId="1">#REF!</definedName>
    <definedName name="생산현황집계표ELLE">#REF!</definedName>
    <definedName name="생산현황집계표RENO" localSheetId="5">#REF!</definedName>
    <definedName name="생산현황집계표RENO" localSheetId="4">#REF!</definedName>
    <definedName name="생산현황집계표RENO" localSheetId="3">#REF!</definedName>
    <definedName name="생산현황집계표RENO" localSheetId="1">#REF!</definedName>
    <definedName name="생산현황집계표RENO">#REF!</definedName>
    <definedName name="생산현황집계표SIS" localSheetId="5">#REF!</definedName>
    <definedName name="생산현황집계표SIS" localSheetId="4">#REF!</definedName>
    <definedName name="생산현황집계표SIS" localSheetId="3">#REF!</definedName>
    <definedName name="생산현황집계표SIS" localSheetId="1">#REF!</definedName>
    <definedName name="생산현황집계표SIS">#REF!</definedName>
    <definedName name="샤시1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localSheetId="5" hidden="1">#REF!</definedName>
    <definedName name="서비스임대" localSheetId="4" hidden="1">#REF!</definedName>
    <definedName name="서비스임대" localSheetId="3" hidden="1">#REF!</definedName>
    <definedName name="서비스임대" localSheetId="1" hidden="1">#REF!</definedName>
    <definedName name="서비스임대" hidden="1">#REF!</definedName>
    <definedName name="서식파일명" localSheetId="3">#REF!</definedName>
    <definedName name="서식파일명" localSheetId="1">#REF!</definedName>
    <definedName name="서식파일명">#REF!</definedName>
    <definedName name="서식파일목록" localSheetId="3">#REF!</definedName>
    <definedName name="서식파일목록" localSheetId="1">#REF!</definedName>
    <definedName name="서식파일목록">#REF!</definedName>
    <definedName name="서영태" localSheetId="5" hidden="1">{#N/A,#N/A,TRUE,"Y생산";#N/A,#N/A,TRUE,"Y판매";#N/A,#N/A,TRUE,"Y총물량";#N/A,#N/A,TRUE,"Y능력";#N/A,#N/A,TRUE,"YKD"}</definedName>
    <definedName name="서영태" localSheetId="4" hidden="1">{#N/A,#N/A,TRUE,"Y생산";#N/A,#N/A,TRUE,"Y판매";#N/A,#N/A,TRUE,"Y총물량";#N/A,#N/A,TRUE,"Y능력";#N/A,#N/A,TRUE,"YKD"}</definedName>
    <definedName name="서영태" localSheetId="3" hidden="1">{#N/A,#N/A,TRUE,"Y생산";#N/A,#N/A,TRUE,"Y판매";#N/A,#N/A,TRUE,"Y총물량";#N/A,#N/A,TRUE,"Y능력";#N/A,#N/A,TRUE,"YKD"}</definedName>
    <definedName name="서영태" localSheetId="1" hidden="1">{#N/A,#N/A,TRUE,"Y생산";#N/A,#N/A,TRUE,"Y판매";#N/A,#N/A,TRUE,"Y총물량";#N/A,#N/A,TRUE,"Y능력";#N/A,#N/A,TRUE,"YKD"}</definedName>
    <definedName name="서영태" hidden="1">{#N/A,#N/A,TRUE,"Y생산";#N/A,#N/A,TRUE,"Y판매";#N/A,#N/A,TRUE,"Y총물량";#N/A,#N/A,TRUE,"Y능력";#N/A,#N/A,TRUE,"YKD"}</definedName>
    <definedName name="서영태_1" localSheetId="5" hidden="1">{#N/A,#N/A,TRUE,"Y생산";#N/A,#N/A,TRUE,"Y판매";#N/A,#N/A,TRUE,"Y총물량";#N/A,#N/A,TRUE,"Y능력";#N/A,#N/A,TRUE,"YKD"}</definedName>
    <definedName name="서영태_1" localSheetId="4" hidden="1">{#N/A,#N/A,TRUE,"Y생산";#N/A,#N/A,TRUE,"Y판매";#N/A,#N/A,TRUE,"Y총물량";#N/A,#N/A,TRUE,"Y능력";#N/A,#N/A,TRUE,"YKD"}</definedName>
    <definedName name="서영태_1" localSheetId="3" hidden="1">{#N/A,#N/A,TRUE,"Y생산";#N/A,#N/A,TRUE,"Y판매";#N/A,#N/A,TRUE,"Y총물량";#N/A,#N/A,TRUE,"Y능력";#N/A,#N/A,TRUE,"YKD"}</definedName>
    <definedName name="서영태_1" localSheetId="1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localSheetId="5" hidden="1">{#N/A,#N/A,FALSE,"1.CRITERIA";#N/A,#N/A,FALSE,"2.IS";#N/A,#N/A,FALSE,"3.BS";#N/A,#N/A,FALSE,"4.PER PL";#N/A,#N/A,FALSE,"5.INVESTMENT";#N/A,#N/A,FALSE,"6.공문";#N/A,#N/A,FALSE,"7.netinvest"}</definedName>
    <definedName name="서이" localSheetId="4" hidden="1">{#N/A,#N/A,FALSE,"1.CRITERIA";#N/A,#N/A,FALSE,"2.IS";#N/A,#N/A,FALSE,"3.BS";#N/A,#N/A,FALSE,"4.PER PL";#N/A,#N/A,FALSE,"5.INVESTMENT";#N/A,#N/A,FALSE,"6.공문";#N/A,#N/A,FALSE,"7.netinvest"}</definedName>
    <definedName name="서이" localSheetId="3" hidden="1">{#N/A,#N/A,FALSE,"1.CRITERIA";#N/A,#N/A,FALSE,"2.IS";#N/A,#N/A,FALSE,"3.BS";#N/A,#N/A,FALSE,"4.PER PL";#N/A,#N/A,FALSE,"5.INVESTMENT";#N/A,#N/A,FALSE,"6.공문";#N/A,#N/A,FALSE,"7.netinvest"}</definedName>
    <definedName name="서이" localSheetId="1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localSheetId="5" hidden="1">{#N/A,#N/A,TRUE,"대 차 대 조 표"}</definedName>
    <definedName name="서초" localSheetId="4" hidden="1">{#N/A,#N/A,TRUE,"대 차 대 조 표"}</definedName>
    <definedName name="서초" localSheetId="3" hidden="1">{#N/A,#N/A,TRUE,"대 차 대 조 표"}</definedName>
    <definedName name="서초" localSheetId="1" hidden="1">{#N/A,#N/A,TRUE,"대 차 대 조 표"}</definedName>
    <definedName name="서초" hidden="1">{#N/A,#N/A,TRUE,"대 차 대 조 표"}</definedName>
    <definedName name="서초_1" localSheetId="5" hidden="1">{#N/A,#N/A,TRUE,"대 차 대 조 표"}</definedName>
    <definedName name="서초_1" localSheetId="4" hidden="1">{#N/A,#N/A,TRUE,"대 차 대 조 표"}</definedName>
    <definedName name="서초_1" localSheetId="3" hidden="1">{#N/A,#N/A,TRUE,"대 차 대 조 표"}</definedName>
    <definedName name="서초_1" localSheetId="1" hidden="1">{#N/A,#N/A,TRUE,"대 차 대 조 표"}</definedName>
    <definedName name="서초_1" hidden="1">{#N/A,#N/A,TRUE,"대 차 대 조 표"}</definedName>
    <definedName name="서초2" localSheetId="5" hidden="1">{#N/A,#N/A,TRUE,"대 차 대 조 표"}</definedName>
    <definedName name="서초2" localSheetId="4" hidden="1">{#N/A,#N/A,TRUE,"대 차 대 조 표"}</definedName>
    <definedName name="서초2" localSheetId="3" hidden="1">{#N/A,#N/A,TRUE,"대 차 대 조 표"}</definedName>
    <definedName name="서초2" localSheetId="1" hidden="1">{#N/A,#N/A,TRUE,"대 차 대 조 표"}</definedName>
    <definedName name="서초2" hidden="1">{#N/A,#N/A,TRUE,"대 차 대 조 표"}</definedName>
    <definedName name="서초2_1" localSheetId="5" hidden="1">{#N/A,#N/A,TRUE,"대 차 대 조 표"}</definedName>
    <definedName name="서초2_1" localSheetId="4" hidden="1">{#N/A,#N/A,TRUE,"대 차 대 조 표"}</definedName>
    <definedName name="서초2_1" localSheetId="3" hidden="1">{#N/A,#N/A,TRUE,"대 차 대 조 표"}</definedName>
    <definedName name="서초2_1" localSheetId="1" hidden="1">{#N/A,#N/A,TRUE,"대 차 대 조 표"}</definedName>
    <definedName name="서초2_1" hidden="1">{#N/A,#N/A,TRUE,"대 차 대 조 표"}</definedName>
    <definedName name="서초해동" localSheetId="5" hidden="1">{#N/A,#N/A,TRUE,"대 차 대 조 표"}</definedName>
    <definedName name="서초해동" localSheetId="4" hidden="1">{#N/A,#N/A,TRUE,"대 차 대 조 표"}</definedName>
    <definedName name="서초해동" localSheetId="3" hidden="1">{#N/A,#N/A,TRUE,"대 차 대 조 표"}</definedName>
    <definedName name="서초해동" localSheetId="1" hidden="1">{#N/A,#N/A,TRUE,"대 차 대 조 표"}</definedName>
    <definedName name="서초해동" hidden="1">{#N/A,#N/A,TRUE,"대 차 대 조 표"}</definedName>
    <definedName name="서초해동_1" localSheetId="5" hidden="1">{#N/A,#N/A,TRUE,"대 차 대 조 표"}</definedName>
    <definedName name="서초해동_1" localSheetId="4" hidden="1">{#N/A,#N/A,TRUE,"대 차 대 조 표"}</definedName>
    <definedName name="서초해동_1" localSheetId="3" hidden="1">{#N/A,#N/A,TRUE,"대 차 대 조 표"}</definedName>
    <definedName name="서초해동_1" localSheetId="1" hidden="1">{#N/A,#N/A,TRUE,"대 차 대 조 표"}</definedName>
    <definedName name="서초해동_1" hidden="1">{#N/A,#N/A,TRUE,"대 차 대 조 표"}</definedName>
    <definedName name="선급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 localSheetId="5">#REF!</definedName>
    <definedName name="선급금" localSheetId="4">#REF!</definedName>
    <definedName name="선급금" localSheetId="3">#REF!</definedName>
    <definedName name="선급금" localSheetId="1">#REF!</definedName>
    <definedName name="선급금">#REF!</definedName>
    <definedName name="선급법인세9" localSheetId="5">#REF!</definedName>
    <definedName name="선급법인세9" localSheetId="4">#REF!</definedName>
    <definedName name="선급법인세9" localSheetId="3">#REF!</definedName>
    <definedName name="선급법인세9" localSheetId="1">#REF!</definedName>
    <definedName name="선급법인세9">#REF!</definedName>
    <definedName name="선급비용" localSheetId="3">#REF!</definedName>
    <definedName name="선급비용" localSheetId="1">#REF!</definedName>
    <definedName name="선급비용">#REF!</definedName>
    <definedName name="선급이자" localSheetId="5" hidden="1">{"'Sheet1'!$A$1:$H$36"}</definedName>
    <definedName name="선급이자" localSheetId="4" hidden="1">{"'Sheet1'!$A$1:$H$36"}</definedName>
    <definedName name="선급이자" localSheetId="3" hidden="1">{"'Sheet1'!$A$1:$H$36"}</definedName>
    <definedName name="선급이자" localSheetId="1" hidden="1">{"'Sheet1'!$A$1:$H$36"}</definedName>
    <definedName name="선급이자" hidden="1">{"'Sheet1'!$A$1:$H$36"}</definedName>
    <definedName name="선급조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 localSheetId="5">#REF!</definedName>
    <definedName name="선수금" localSheetId="4">#REF!</definedName>
    <definedName name="선수금" localSheetId="3">#REF!</definedName>
    <definedName name="선수금" localSheetId="1">#REF!</definedName>
    <definedName name="선수금">#REF!</definedName>
    <definedName name="선체설계" localSheetId="5" hidden="1">{"'호선별현황(방식)'!$K$22:$P$22","'호선별현황(방식)'!$K$22:$P$22"}</definedName>
    <definedName name="선체설계" localSheetId="4" hidden="1">{"'호선별현황(방식)'!$K$22:$P$22","'호선별현황(방식)'!$K$22:$P$22"}</definedName>
    <definedName name="선체설계" localSheetId="3" hidden="1">{"'호선별현황(방식)'!$K$22:$P$22","'호선별현황(방식)'!$K$22:$P$22"}</definedName>
    <definedName name="선체설계" localSheetId="1" hidden="1">{"'호선별현황(방식)'!$K$22:$P$22","'호선별현황(방식)'!$K$22:$P$22"}</definedName>
    <definedName name="선체설계" hidden="1">{"'호선별현황(방식)'!$K$22:$P$22","'호선별현황(방식)'!$K$22:$P$22"}</definedName>
    <definedName name="선택" localSheetId="5">#REF!</definedName>
    <definedName name="선택" localSheetId="4">#REF!</definedName>
    <definedName name="선택" localSheetId="3">#REF!</definedName>
    <definedName name="선택" localSheetId="1">#REF!</definedName>
    <definedName name="선택">#REF!</definedName>
    <definedName name="선행시작팀" localSheetId="3">#REF!</definedName>
    <definedName name="선행시작팀" localSheetId="1">#REF!</definedName>
    <definedName name="선행시작팀">#REF!</definedName>
    <definedName name="설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localSheetId="5" hidden="1">{#N/A,#N/A,FALSE,"단축1";#N/A,#N/A,FALSE,"단축2";#N/A,#N/A,FALSE,"단축3";#N/A,#N/A,FALSE,"장축";#N/A,#N/A,FALSE,"4WD"}</definedName>
    <definedName name="성능시험2" localSheetId="4" hidden="1">{#N/A,#N/A,FALSE,"단축1";#N/A,#N/A,FALSE,"단축2";#N/A,#N/A,FALSE,"단축3";#N/A,#N/A,FALSE,"장축";#N/A,#N/A,FALSE,"4WD"}</definedName>
    <definedName name="성능시험2" localSheetId="3" hidden="1">{#N/A,#N/A,FALSE,"단축1";#N/A,#N/A,FALSE,"단축2";#N/A,#N/A,FALSE,"단축3";#N/A,#N/A,FALSE,"장축";#N/A,#N/A,FALSE,"4WD"}</definedName>
    <definedName name="성능시험2" localSheetId="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명" localSheetId="5">#REF!</definedName>
    <definedName name="성명" localSheetId="4">#REF!</definedName>
    <definedName name="성명" localSheetId="3">#REF!</definedName>
    <definedName name="성명" localSheetId="1">#REF!</definedName>
    <definedName name="성명">#REF!</definedName>
    <definedName name="성명2" localSheetId="3">#REF!</definedName>
    <definedName name="성명2" localSheetId="1">#REF!</definedName>
    <definedName name="성명2">#REF!</definedName>
    <definedName name="省市" localSheetId="5">#REF!</definedName>
    <definedName name="省市" localSheetId="4">#REF!</definedName>
    <definedName name="省市" localSheetId="3">#REF!</definedName>
    <definedName name="省市" localSheetId="1">#REF!</definedName>
    <definedName name="省市">#REF!</definedName>
    <definedName name="세금" localSheetId="5">#REF!</definedName>
    <definedName name="세금" localSheetId="4">#REF!</definedName>
    <definedName name="세금" localSheetId="3">#REF!</definedName>
    <definedName name="세금" localSheetId="1">#REF!</definedName>
    <definedName name="세금">#REF!</definedName>
    <definedName name="세금1" localSheetId="3">#REF!</definedName>
    <definedName name="세금1" localSheetId="1">#REF!</definedName>
    <definedName name="세금1">#REF!</definedName>
    <definedName name="세금유형" localSheetId="3">#REF!</definedName>
    <definedName name="세금유형" localSheetId="1">#REF!</definedName>
    <definedName name="세금유형">#REF!</definedName>
    <definedName name="세금종류" localSheetId="3">#REF!</definedName>
    <definedName name="세금종류" localSheetId="1">#REF!</definedName>
    <definedName name="세금종류">#REF!</definedName>
    <definedName name="세대" localSheetId="3">#REF!</definedName>
    <definedName name="세대" localSheetId="1">#REF!</definedName>
    <definedName name="세대">#REF!</definedName>
    <definedName name="세무서" localSheetId="5">#REF!</definedName>
    <definedName name="세무서" localSheetId="4">#REF!</definedName>
    <definedName name="세무서" localSheetId="3">#REF!</definedName>
    <definedName name="세무서" localSheetId="1">#REF!</definedName>
    <definedName name="세무서">#REF!</definedName>
    <definedName name="세무서표" localSheetId="5">#REF!</definedName>
    <definedName name="세무서표" localSheetId="4">#REF!</definedName>
    <definedName name="세무서표" localSheetId="3">#REF!</definedName>
    <definedName name="세무서표" localSheetId="1">#REF!</definedName>
    <definedName name="세무서표">#REF!</definedName>
    <definedName name="세무조정모든양식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localSheetId="5">#REF!</definedName>
    <definedName name="세부" localSheetId="4">#REF!</definedName>
    <definedName name="세부" localSheetId="3">#REF!</definedName>
    <definedName name="세부" localSheetId="1">#REF!</definedName>
    <definedName name="세부">#REF!</definedName>
    <definedName name="세부그림" localSheetId="3">#REF!</definedName>
    <definedName name="세부그림" localSheetId="1">#REF!</definedName>
    <definedName name="세부그림">#REF!</definedName>
    <definedName name="세부내역" localSheetId="3">#REF!</definedName>
    <definedName name="세부내역" localSheetId="1">#REF!</definedName>
    <definedName name="세부내역">#REF!</definedName>
    <definedName name="세부생산계획" localSheetId="5" hidden="1">{#N/A,#N/A,TRUE,"Y생산";#N/A,#N/A,TRUE,"Y판매";#N/A,#N/A,TRUE,"Y총물량";#N/A,#N/A,TRUE,"Y능력";#N/A,#N/A,TRUE,"YKD"}</definedName>
    <definedName name="세부생산계획" localSheetId="4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localSheetId="1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5" hidden="1">{#N/A,#N/A,FALSE,"단축1";#N/A,#N/A,FALSE,"단축2";#N/A,#N/A,FALSE,"단축3";#N/A,#N/A,FALSE,"장축";#N/A,#N/A,FALSE,"4WD"}</definedName>
    <definedName name="세부일정" localSheetId="4" hidden="1">{#N/A,#N/A,FALSE,"단축1";#N/A,#N/A,FALSE,"단축2";#N/A,#N/A,FALSE,"단축3";#N/A,#N/A,FALSE,"장축";#N/A,#N/A,FALSE,"4WD"}</definedName>
    <definedName name="세부일정" localSheetId="3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5" hidden="1">{#N/A,#N/A,FALSE,"단축1";#N/A,#N/A,FALSE,"단축2";#N/A,#N/A,FALSE,"단축3";#N/A,#N/A,FALSE,"장축";#N/A,#N/A,FALSE,"4WD"}</definedName>
    <definedName name="세부일정.1" localSheetId="4" hidden="1">{#N/A,#N/A,FALSE,"단축1";#N/A,#N/A,FALSE,"단축2";#N/A,#N/A,FALSE,"단축3";#N/A,#N/A,FALSE,"장축";#N/A,#N/A,FALSE,"4WD"}</definedName>
    <definedName name="세부일정.1" localSheetId="3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 localSheetId="5">#REF!</definedName>
    <definedName name="세세항목" localSheetId="4">#REF!</definedName>
    <definedName name="세세항목" localSheetId="3">#REF!</definedName>
    <definedName name="세세항목" localSheetId="1">#REF!</definedName>
    <definedName name="세세항목">#REF!</definedName>
    <definedName name="세율" localSheetId="3">#REF!</definedName>
    <definedName name="세율" localSheetId="1">#REF!</definedName>
    <definedName name="세율">#REF!</definedName>
    <definedName name="세일">#N/A</definedName>
    <definedName name="셀리카" localSheetId="5" hidden="1">#REF!</definedName>
    <definedName name="셀리카" localSheetId="4" hidden="1">#REF!</definedName>
    <definedName name="셀리카" localSheetId="3" hidden="1">#REF!</definedName>
    <definedName name="셀리카" localSheetId="1" hidden="1">#REF!</definedName>
    <definedName name="셀리카" hidden="1">#REF!</definedName>
    <definedName name="소갑" localSheetId="3">#REF!</definedName>
    <definedName name="소갑" localSheetId="1">#REF!</definedName>
    <definedName name="소갑">#REF!</definedName>
    <definedName name="소급" localSheetId="5">#REF!</definedName>
    <definedName name="소급" localSheetId="4">#REF!</definedName>
    <definedName name="소급" localSheetId="3">#REF!</definedName>
    <definedName name="소급" localSheetId="1">#REF!</definedName>
    <definedName name="소급">#REF!</definedName>
    <definedName name="소나타" localSheetId="3">#REF!</definedName>
    <definedName name="소나타" localSheetId="1">#REF!</definedName>
    <definedName name="소나타">#REF!</definedName>
    <definedName name="소득" localSheetId="5" hidden="1">#REF!</definedName>
    <definedName name="소득" localSheetId="4" hidden="1">#REF!</definedName>
    <definedName name="소득" localSheetId="3" hidden="1">#REF!</definedName>
    <definedName name="소득" localSheetId="1" hidden="1">#REF!</definedName>
    <definedName name="소득" hidden="1">#REF!</definedName>
    <definedName name="소득2" localSheetId="3">#REF!</definedName>
    <definedName name="소득2" localSheetId="1">#REF!</definedName>
    <definedName name="소득2">#REF!</definedName>
    <definedName name="소득구분3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 localSheetId="5">#REF!</definedName>
    <definedName name="소득금액" localSheetId="4">#REF!</definedName>
    <definedName name="소득금액" localSheetId="3">#REF!</definedName>
    <definedName name="소득금액" localSheetId="1">#REF!</definedName>
    <definedName name="소득금액">#REF!</definedName>
    <definedName name="소득세" localSheetId="3">#REF!</definedName>
    <definedName name="소득세" localSheetId="1">#REF!</definedName>
    <definedName name="소득세">#REF!</definedName>
    <definedName name="소득종류" localSheetId="3">#REF!</definedName>
    <definedName name="소득종류" localSheetId="1">#REF!</definedName>
    <definedName name="소득종류">#REF!</definedName>
    <definedName name="소솟" localSheetId="5">#REF!</definedName>
    <definedName name="소솟" localSheetId="4">#REF!</definedName>
    <definedName name="소솟" localSheetId="3">#REF!</definedName>
    <definedName name="소솟" localSheetId="1">#REF!</definedName>
    <definedName name="소솟">#REF!</definedName>
    <definedName name="소유자분_보증금" localSheetId="5">#REF!</definedName>
    <definedName name="소유자분_보증금" localSheetId="4">#REF!</definedName>
    <definedName name="소유자분_보증금" localSheetId="3">#REF!</definedName>
    <definedName name="소유자분_보증금" localSheetId="1">#REF!</definedName>
    <definedName name="소유자분_보증금">#REF!</definedName>
    <definedName name="소재검토" localSheetId="3">#REF!</definedName>
    <definedName name="소재검토" localSheetId="1">#REF!</definedName>
    <definedName name="소재검토">#REF!</definedName>
    <definedName name="소형4" localSheetId="3" hidden="1">#REF!</definedName>
    <definedName name="소형4" localSheetId="1" hidden="1">#REF!</definedName>
    <definedName name="소형4" hidden="1">#REF!</definedName>
    <definedName name="소형발인" localSheetId="3" hidden="1">#REF!</definedName>
    <definedName name="소형발인" localSheetId="1" hidden="1">#REF!</definedName>
    <definedName name="소형발인" hidden="1">#REF!</definedName>
    <definedName name="소화주철장판" localSheetId="5" hidden="1">{#N/A,#N/A,FALSE,"단축1";#N/A,#N/A,FALSE,"단축2";#N/A,#N/A,FALSE,"단축3";#N/A,#N/A,FALSE,"장축";#N/A,#N/A,FALSE,"4WD"}</definedName>
    <definedName name="소화주철장판" localSheetId="4" hidden="1">{#N/A,#N/A,FALSE,"단축1";#N/A,#N/A,FALSE,"단축2";#N/A,#N/A,FALSE,"단축3";#N/A,#N/A,FALSE,"장축";#N/A,#N/A,FALSE,"4WD"}</definedName>
    <definedName name="소화주철장판" localSheetId="3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5" hidden="1">{#N/A,#N/A,FALSE,"1.CRITERIA";#N/A,#N/A,FALSE,"2.IS";#N/A,#N/A,FALSE,"3.BS";#N/A,#N/A,FALSE,"4.PER PL";#N/A,#N/A,FALSE,"5.INVESTMENT";#N/A,#N/A,FALSE,"6.공문";#N/A,#N/A,FALSE,"7.netinvest"}</definedName>
    <definedName name="손실" localSheetId="4" hidden="1">{#N/A,#N/A,FALSE,"1.CRITERIA";#N/A,#N/A,FALSE,"2.IS";#N/A,#N/A,FALSE,"3.BS";#N/A,#N/A,FALSE,"4.PER PL";#N/A,#N/A,FALSE,"5.INVESTMENT";#N/A,#N/A,FALSE,"6.공문";#N/A,#N/A,FALSE,"7.netinvest"}</definedName>
    <definedName name="손실" localSheetId="3" hidden="1">{#N/A,#N/A,FALSE,"1.CRITERIA";#N/A,#N/A,FALSE,"2.IS";#N/A,#N/A,FALSE,"3.BS";#N/A,#N/A,FALSE,"4.PER PL";#N/A,#N/A,FALSE,"5.INVESTMENT";#N/A,#N/A,FALSE,"6.공문";#N/A,#N/A,FALSE,"7.netinvest"}</definedName>
    <definedName name="손실" localSheetId="1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localSheetId="5" hidden="1">#REF!</definedName>
    <definedName name="손익계산서" localSheetId="4" hidden="1">#REF!</definedName>
    <definedName name="손익계산서" localSheetId="3" hidden="1">#REF!</definedName>
    <definedName name="손익계산서" localSheetId="1" hidden="1">#REF!</definedName>
    <definedName name="손익계산서" hidden="1">#REF!</definedName>
    <definedName name="손익계산서조정_04_12" localSheetId="5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4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3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1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localSheetId="5" hidden="1">{#N/A,#N/A,TRUE,"대 차 대 조 표"}</definedName>
    <definedName name="솔" localSheetId="4" hidden="1">{#N/A,#N/A,TRUE,"대 차 대 조 표"}</definedName>
    <definedName name="솔" localSheetId="3" hidden="1">{#N/A,#N/A,TRUE,"대 차 대 조 표"}</definedName>
    <definedName name="솔" localSheetId="1" hidden="1">{#N/A,#N/A,TRUE,"대 차 대 조 표"}</definedName>
    <definedName name="솔" hidden="1">{#N/A,#N/A,TRUE,"대 차 대 조 표"}</definedName>
    <definedName name="솔_1" localSheetId="5" hidden="1">{#N/A,#N/A,TRUE,"대 차 대 조 표"}</definedName>
    <definedName name="솔_1" localSheetId="4" hidden="1">{#N/A,#N/A,TRUE,"대 차 대 조 표"}</definedName>
    <definedName name="솔_1" localSheetId="3" hidden="1">{#N/A,#N/A,TRUE,"대 차 대 조 표"}</definedName>
    <definedName name="솔_1" localSheetId="1" hidden="1">{#N/A,#N/A,TRUE,"대 차 대 조 표"}</definedName>
    <definedName name="솔_1" hidden="1">{#N/A,#N/A,TRUE,"대 차 대 조 표"}</definedName>
    <definedName name="송" localSheetId="5" hidden="1">{#N/A,#N/A,TRUE,"Y생산";#N/A,#N/A,TRUE,"Y판매";#N/A,#N/A,TRUE,"Y총물량";#N/A,#N/A,TRUE,"Y능력";#N/A,#N/A,TRUE,"YKD"}</definedName>
    <definedName name="송" localSheetId="4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localSheetId="1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5" hidden="1">{#N/A,#N/A,TRUE,"Y생산";#N/A,#N/A,TRUE,"Y판매";#N/A,#N/A,TRUE,"Y총물량";#N/A,#N/A,TRUE,"Y능력";#N/A,#N/A,TRUE,"YKD"}</definedName>
    <definedName name="송창기" localSheetId="4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 localSheetId="5">#REF!</definedName>
    <definedName name="수_______출" localSheetId="4">#REF!</definedName>
    <definedName name="수_______출" localSheetId="3">#REF!</definedName>
    <definedName name="수_______출" localSheetId="1">#REF!</definedName>
    <definedName name="수_______출">#REF!</definedName>
    <definedName name="수광비실적" localSheetId="3" hidden="1">#REF!</definedName>
    <definedName name="수광비실적" localSheetId="1" hidden="1">#REF!</definedName>
    <definedName name="수광비실적" hidden="1">#REF!</definedName>
    <definedName name="수금" localSheetId="3">#REF!</definedName>
    <definedName name="수금" localSheetId="1">#REF!</definedName>
    <definedName name="수금">#REF!</definedName>
    <definedName name="수금분석" localSheetId="3">#REF!</definedName>
    <definedName name="수금분석" localSheetId="1">#REF!</definedName>
    <definedName name="수금분석">#REF!</definedName>
    <definedName name="수급추이" localSheetId="5" hidden="1">{"'7-2지역별'!$A$1:$R$44"}</definedName>
    <definedName name="수급추이" localSheetId="4" hidden="1">{"'7-2지역별'!$A$1:$R$44"}</definedName>
    <definedName name="수급추이" localSheetId="3" hidden="1">{"'7-2지역별'!$A$1:$R$44"}</definedName>
    <definedName name="수급추이" localSheetId="1" hidden="1">{"'7-2지역별'!$A$1:$R$44"}</definedName>
    <definedName name="수급추이" hidden="1">{"'7-2지역별'!$A$1:$R$44"}</definedName>
    <definedName name="수도" localSheetId="3" hidden="1">#REF!</definedName>
    <definedName name="수도" localSheetId="1" hidden="1">#REF!</definedName>
    <definedName name="수도" hidden="1">#REF!</definedName>
    <definedName name="수불" localSheetId="3">#REF!</definedName>
    <definedName name="수불" localSheetId="1">#REF!</definedName>
    <definedName name="수불">#REF!</definedName>
    <definedName name="수선비세부" localSheetId="3" hidden="1">#REF!</definedName>
    <definedName name="수선비세부" localSheetId="1" hidden="1">#REF!</definedName>
    <definedName name="수선비세부" hidden="1">#REF!</definedName>
    <definedName name="수수" localSheetId="5" hidden="1">{#N/A,#N/A,FALSE,"95FW"}</definedName>
    <definedName name="수수" localSheetId="4" hidden="1">{#N/A,#N/A,FALSE,"95FW"}</definedName>
    <definedName name="수수" localSheetId="3" hidden="1">{#N/A,#N/A,FALSE,"95FW"}</definedName>
    <definedName name="수수" localSheetId="1" hidden="1">{#N/A,#N/A,FALSE,"95FW"}</definedName>
    <definedName name="수수" hidden="1">{#N/A,#N/A,FALSE,"95FW"}</definedName>
    <definedName name="수수료계상" localSheetId="5">#REF!</definedName>
    <definedName name="수수료계상" localSheetId="4">#REF!</definedName>
    <definedName name="수수료계상" localSheetId="3">#REF!</definedName>
    <definedName name="수수료계상" localSheetId="1">#REF!</definedName>
    <definedName name="수수료계상">#REF!</definedName>
    <definedName name="수수료정산" localSheetId="5" hidden="1">{#N/A,#N/A,FALSE,"95FW"}</definedName>
    <definedName name="수수료정산" localSheetId="4" hidden="1">{#N/A,#N/A,FALSE,"95FW"}</definedName>
    <definedName name="수수료정산" localSheetId="3" hidden="1">{#N/A,#N/A,FALSE,"95FW"}</definedName>
    <definedName name="수수료정산" localSheetId="1" hidden="1">{#N/A,#N/A,FALSE,"95FW"}</definedName>
    <definedName name="수수료정산" hidden="1">{#N/A,#N/A,FALSE,"95FW"}</definedName>
    <definedName name="수익·비용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localSheetId="5" hidden="1">{#N/A,#N/A,FALSE,"단축1";#N/A,#N/A,FALSE,"단축2";#N/A,#N/A,FALSE,"단축3";#N/A,#N/A,FALSE,"장축";#N/A,#N/A,FALSE,"4WD"}</definedName>
    <definedName name="수익4속" localSheetId="4" hidden="1">{#N/A,#N/A,FALSE,"단축1";#N/A,#N/A,FALSE,"단축2";#N/A,#N/A,FALSE,"단축3";#N/A,#N/A,FALSE,"장축";#N/A,#N/A,FALSE,"4WD"}</definedName>
    <definedName name="수익4속" localSheetId="3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입3" localSheetId="5" hidden="1">{"'7-2지역별'!$A$1:$R$44"}</definedName>
    <definedName name="수입3" localSheetId="4" hidden="1">{"'7-2지역별'!$A$1:$R$44"}</definedName>
    <definedName name="수입3" localSheetId="3" hidden="1">{"'7-2지역별'!$A$1:$R$44"}</definedName>
    <definedName name="수입3" localSheetId="1" hidden="1">{"'7-2지역별'!$A$1:$R$44"}</definedName>
    <definedName name="수입3" hidden="1">{"'7-2지역별'!$A$1:$R$44"}</definedName>
    <definedName name="수입보증금" localSheetId="3">#REF!</definedName>
    <definedName name="수입보증금" localSheetId="1">#REF!</definedName>
    <definedName name="수입보증금">#REF!</definedName>
    <definedName name="수정2" localSheetId="5" hidden="1">{#N/A,#N/A,FALSE,"신규dep";#N/A,#N/A,FALSE,"신규dep-금형상각후";#N/A,#N/A,FALSE,"신규dep-연구비상각후";#N/A,#N/A,FALSE,"신규dep-기계,공구상각후"}</definedName>
    <definedName name="수정2" localSheetId="4" hidden="1">{#N/A,#N/A,FALSE,"신규dep";#N/A,#N/A,FALSE,"신규dep-금형상각후";#N/A,#N/A,FALSE,"신규dep-연구비상각후";#N/A,#N/A,FALSE,"신규dep-기계,공구상각후"}</definedName>
    <definedName name="수정2" localSheetId="3" hidden="1">{#N/A,#N/A,FALSE,"신규dep";#N/A,#N/A,FALSE,"신규dep-금형상각후";#N/A,#N/A,FALSE,"신규dep-연구비상각후";#N/A,#N/A,FALSE,"신규dep-기계,공구상각후"}</definedName>
    <definedName name="수정2" localSheetId="1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localSheetId="5" hidden="1">{#N/A,#N/A,TRUE,"Y생산";#N/A,#N/A,TRUE,"Y판매";#N/A,#N/A,TRUE,"Y총물량";#N/A,#N/A,TRUE,"Y능력";#N/A,#N/A,TRUE,"YKD"}</definedName>
    <definedName name="수정물량" localSheetId="4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물량_1" localSheetId="5" hidden="1">{#N/A,#N/A,TRUE,"Y생산";#N/A,#N/A,TRUE,"Y판매";#N/A,#N/A,TRUE,"Y총물량";#N/A,#N/A,TRUE,"Y능력";#N/A,#N/A,TRUE,"YKD"}</definedName>
    <definedName name="수정물량_1" localSheetId="4" hidden="1">{#N/A,#N/A,TRUE,"Y생산";#N/A,#N/A,TRUE,"Y판매";#N/A,#N/A,TRUE,"Y총물량";#N/A,#N/A,TRUE,"Y능력";#N/A,#N/A,TRUE,"YKD"}</definedName>
    <definedName name="수정물량_1" localSheetId="3" hidden="1">{#N/A,#N/A,TRUE,"Y생산";#N/A,#N/A,TRUE,"Y판매";#N/A,#N/A,TRUE,"Y총물량";#N/A,#N/A,TRUE,"Y능력";#N/A,#N/A,TRUE,"YKD"}</definedName>
    <definedName name="수정물량_1" localSheetId="1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localSheetId="5" hidden="1">#REF!</definedName>
    <definedName name="수정사항" localSheetId="4" hidden="1">#REF!</definedName>
    <definedName name="수정사항" localSheetId="3" hidden="1">#REF!</definedName>
    <definedName name="수정사항" localSheetId="1" hidden="1">#REF!</definedName>
    <definedName name="수정사항" hidden="1">#REF!</definedName>
    <definedName name="수정사항1" localSheetId="5" hidden="1">{#N/A,#N/A,FALSE,"BS";#N/A,#N/A,FALSE,"PL";#N/A,#N/A,FALSE,"처분";#N/A,#N/A,FALSE,"현금";#N/A,#N/A,FALSE,"매출";#N/A,#N/A,FALSE,"원가";#N/A,#N/A,FALSE,"경영"}</definedName>
    <definedName name="수정사항1" localSheetId="4" hidden="1">{#N/A,#N/A,FALSE,"BS";#N/A,#N/A,FALSE,"PL";#N/A,#N/A,FALSE,"처분";#N/A,#N/A,FALSE,"현금";#N/A,#N/A,FALSE,"매출";#N/A,#N/A,FALSE,"원가";#N/A,#N/A,FALSE,"경영"}</definedName>
    <definedName name="수정사항1" localSheetId="3" hidden="1">{#N/A,#N/A,FALSE,"BS";#N/A,#N/A,FALSE,"PL";#N/A,#N/A,FALSE,"처분";#N/A,#N/A,FALSE,"현금";#N/A,#N/A,FALSE,"매출";#N/A,#N/A,FALSE,"원가";#N/A,#N/A,FALSE,"경영"}</definedName>
    <definedName name="수정사항1" localSheetId="1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localSheetId="5" hidden="1">#REF!</definedName>
    <definedName name="수정사항집계표" localSheetId="4" hidden="1">#REF!</definedName>
    <definedName name="수정사항집계표" localSheetId="3" hidden="1">#REF!</definedName>
    <definedName name="수정사항집계표" localSheetId="1" hidden="1">#REF!</definedName>
    <definedName name="수정사항집계표" hidden="1">#REF!</definedName>
    <definedName name="수주" localSheetId="5" hidden="1">{#N/A,#N/A,FALSE,"기안지";#N/A,#N/A,FALSE,"통신지"}</definedName>
    <definedName name="수주" localSheetId="4" hidden="1">{#N/A,#N/A,FALSE,"기안지";#N/A,#N/A,FALSE,"통신지"}</definedName>
    <definedName name="수주" localSheetId="3" hidden="1">{#N/A,#N/A,FALSE,"기안지";#N/A,#N/A,FALSE,"통신지"}</definedName>
    <definedName name="수주" localSheetId="1" hidden="1">{#N/A,#N/A,FALSE,"기안지";#N/A,#N/A,FALSE,"통신지"}</definedName>
    <definedName name="수주" hidden="1">{#N/A,#N/A,FALSE,"기안지";#N/A,#N/A,FALSE,"통신지"}</definedName>
    <definedName name="수출" localSheetId="5">#REF!</definedName>
    <definedName name="수출" localSheetId="4">#REF!</definedName>
    <definedName name="수출" localSheetId="3">#REF!</definedName>
    <definedName name="수출" localSheetId="1">#REF!</definedName>
    <definedName name="수출">#REF!</definedName>
    <definedName name="수출2" localSheetId="3">#REF!</definedName>
    <definedName name="수출2" localSheetId="1">#REF!</definedName>
    <definedName name="수출2">#REF!</definedName>
    <definedName name="수출순위" localSheetId="5" hidden="1">{"'7-2지역별'!$A$1:$R$44"}</definedName>
    <definedName name="수출순위" localSheetId="4" hidden="1">{"'7-2지역별'!$A$1:$R$44"}</definedName>
    <definedName name="수출순위" localSheetId="3" hidden="1">{"'7-2지역별'!$A$1:$R$44"}</definedName>
    <definedName name="수출순위" localSheetId="1" hidden="1">{"'7-2지역별'!$A$1:$R$44"}</definedName>
    <definedName name="수출순위" hidden="1">{"'7-2지역별'!$A$1:$R$44"}</definedName>
    <definedName name="수퍼살롱LPG" localSheetId="3">#REF!</definedName>
    <definedName name="수퍼살롱LPG" localSheetId="1">#REF!</definedName>
    <definedName name="수퍼살롱LPG">#REF!</definedName>
    <definedName name="순서" localSheetId="5" hidden="1">{#N/A,#N/A,FALSE,"1.CRITERIA";#N/A,#N/A,FALSE,"2.IS";#N/A,#N/A,FALSE,"3.BS";#N/A,#N/A,FALSE,"4.PER PL";#N/A,#N/A,FALSE,"5.INVESTMENT";#N/A,#N/A,FALSE,"6.공문";#N/A,#N/A,FALSE,"7.netinvest"}</definedName>
    <definedName name="순서" localSheetId="4" hidden="1">{#N/A,#N/A,FALSE,"1.CRITERIA";#N/A,#N/A,FALSE,"2.IS";#N/A,#N/A,FALSE,"3.BS";#N/A,#N/A,FALSE,"4.PER PL";#N/A,#N/A,FALSE,"5.INVESTMENT";#N/A,#N/A,FALSE,"6.공문";#N/A,#N/A,FALSE,"7.netinvest"}</definedName>
    <definedName name="순서" localSheetId="3" hidden="1">{#N/A,#N/A,FALSE,"1.CRITERIA";#N/A,#N/A,FALSE,"2.IS";#N/A,#N/A,FALSE,"3.BS";#N/A,#N/A,FALSE,"4.PER PL";#N/A,#N/A,FALSE,"5.INVESTMENT";#N/A,#N/A,FALSE,"6.공문";#N/A,#N/A,FALSE,"7.netinvest"}</definedName>
    <definedName name="순서" localSheetId="1" hidden="1">{#N/A,#N/A,FALSE,"1.CRITERIA";#N/A,#N/A,FALSE,"2.IS";#N/A,#N/A,FALSE,"3.BS";#N/A,#N/A,FALSE,"4.PER PL";#N/A,#N/A,FALSE,"5.INVESTMENT";#N/A,#N/A,FALSE,"6.공문";#N/A,#N/A,FALSE,"7.netinvest"}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 localSheetId="5">#REF!</definedName>
    <definedName name="스탭료합계" localSheetId="4">#REF!</definedName>
    <definedName name="스탭료합계" localSheetId="3">#REF!</definedName>
    <definedName name="스탭료합계" localSheetId="1">#REF!</definedName>
    <definedName name="스탭료합계">#REF!</definedName>
    <definedName name="슬래그" localSheetId="3">#REF!</definedName>
    <definedName name="슬래그" localSheetId="1">#REF!</definedName>
    <definedName name="슬래그">#REF!</definedName>
    <definedName name="슬래그파우더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 localSheetId="5">#REF!</definedName>
    <definedName name="승계_대출" localSheetId="4">#REF!</definedName>
    <definedName name="승계_대출" localSheetId="3">#REF!</definedName>
    <definedName name="승계_대출" localSheetId="1">#REF!</definedName>
    <definedName name="승계_대출">#REF!</definedName>
    <definedName name="승용2" localSheetId="3">#REF!</definedName>
    <definedName name="승용2" localSheetId="1">#REF!</definedName>
    <definedName name="승용2">#REF!</definedName>
    <definedName name="시" localSheetId="3">#REF!</definedName>
    <definedName name="시" localSheetId="1">#REF!</definedName>
    <definedName name="시">#REF!</definedName>
    <definedName name="시간" localSheetId="5" hidden="1">{#N/A,#N/A,TRUE,"Y생산";#N/A,#N/A,TRUE,"Y판매";#N/A,#N/A,TRUE,"Y총물량";#N/A,#N/A,TRUE,"Y능력";#N/A,#N/A,TRUE,"YKD"}</definedName>
    <definedName name="시간" localSheetId="4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localSheetId="1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급" localSheetId="5">#REF!</definedName>
    <definedName name="시급" localSheetId="4">#REF!</definedName>
    <definedName name="시급" localSheetId="3">#REF!</definedName>
    <definedName name="시급" localSheetId="1">#REF!</definedName>
    <definedName name="시급">#REF!</definedName>
    <definedName name="시나리오" localSheetId="5">#REF!</definedName>
    <definedName name="시나리오" localSheetId="4">#REF!</definedName>
    <definedName name="시나리오" localSheetId="3">#REF!</definedName>
    <definedName name="시나리오" localSheetId="1">#REF!</definedName>
    <definedName name="시나리오">#REF!</definedName>
    <definedName name="시느" localSheetId="3">#REF!</definedName>
    <definedName name="시느" localSheetId="1">#REF!</definedName>
    <definedName name="시느">#REF!</definedName>
    <definedName name="시럽680" localSheetId="3">#REF!</definedName>
    <definedName name="시럽680" localSheetId="1">#REF!</definedName>
    <definedName name="시럽680">#REF!</definedName>
    <definedName name="시매출" localSheetId="3">#REF!</definedName>
    <definedName name="시매출" localSheetId="1">#REF!</definedName>
    <definedName name="시매출">#REF!</definedName>
    <definedName name="시산" localSheetId="3">#REF!</definedName>
    <definedName name="시산" localSheetId="1">#REF!</definedName>
    <definedName name="시산">#REF!</definedName>
    <definedName name="시설투자">#N/A</definedName>
    <definedName name="시이자" localSheetId="5">#REF!</definedName>
    <definedName name="시이자" localSheetId="4">#REF!</definedName>
    <definedName name="시이자" localSheetId="3">#REF!</definedName>
    <definedName name="시이자" localSheetId="1">#REF!</definedName>
    <definedName name="시이자">#REF!</definedName>
    <definedName name="시인원" localSheetId="3">#REF!</definedName>
    <definedName name="시인원" localSheetId="1">#REF!</definedName>
    <definedName name="시인원">#REF!</definedName>
    <definedName name="시화감가" localSheetId="3">#REF!</definedName>
    <definedName name="시화감가" localSheetId="1">#REF!</definedName>
    <definedName name="시화감가">#REF!</definedName>
    <definedName name="시화매출" localSheetId="3">#REF!</definedName>
    <definedName name="시화매출" localSheetId="1">#REF!</definedName>
    <definedName name="시화매출">#REF!</definedName>
    <definedName name="시화배부" localSheetId="3">#REF!</definedName>
    <definedName name="시화배부" localSheetId="1">#REF!</definedName>
    <definedName name="시화배부">#REF!</definedName>
    <definedName name="시화인원" localSheetId="3">#REF!</definedName>
    <definedName name="시화인원" localSheetId="1">#REF!</definedName>
    <definedName name="시화인원">#REF!</definedName>
    <definedName name="시화재료" localSheetId="3">#REF!</definedName>
    <definedName name="시화재료" localSheetId="1">#REF!</definedName>
    <definedName name="시화재료">#REF!</definedName>
    <definedName name="시화제품제고" localSheetId="3">#REF!</definedName>
    <definedName name="시화제품제고" localSheetId="1">#REF!</definedName>
    <definedName name="시화제품제고">#REF!</definedName>
    <definedName name="식대2" localSheetId="3">#REF!</definedName>
    <definedName name="식대2" localSheetId="1">#REF!</definedName>
    <definedName name="식대2">#REF!</definedName>
    <definedName name="신AT종합" localSheetId="5" hidden="1">{#N/A,#N/A,FALSE,"단축1";#N/A,#N/A,FALSE,"단축2";#N/A,#N/A,FALSE,"단축3";#N/A,#N/A,FALSE,"장축";#N/A,#N/A,FALSE,"4WD"}</definedName>
    <definedName name="신AT종합" localSheetId="4" hidden="1">{#N/A,#N/A,FALSE,"단축1";#N/A,#N/A,FALSE,"단축2";#N/A,#N/A,FALSE,"단축3";#N/A,#N/A,FALSE,"장축";#N/A,#N/A,FALSE,"4WD"}</definedName>
    <definedName name="신AT종합" localSheetId="3" hidden="1">{#N/A,#N/A,FALSE,"단축1";#N/A,#N/A,FALSE,"단축2";#N/A,#N/A,FALSE,"단축3";#N/A,#N/A,FALSE,"장축";#N/A,#N/A,FALSE,"4WD"}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고구분" localSheetId="5">#REF!</definedName>
    <definedName name="신고구분" localSheetId="4">#REF!</definedName>
    <definedName name="신고구분" localSheetId="3">#REF!</definedName>
    <definedName name="신고구분" localSheetId="1">#REF!</definedName>
    <definedName name="신고구분">#REF!</definedName>
    <definedName name="신고구분목록" localSheetId="3">#REF!</definedName>
    <definedName name="신고구분목록" localSheetId="1">#REF!</definedName>
    <definedName name="신고구분목록">#REF!</definedName>
    <definedName name="신규_대출" localSheetId="3">#REF!</definedName>
    <definedName name="신규_대출" localSheetId="1">#REF!</definedName>
    <definedName name="신규_대출">#REF!</definedName>
    <definedName name="신사번" localSheetId="3">#REF!</definedName>
    <definedName name="신사번" localSheetId="1">#REF!</definedName>
    <definedName name="신사번">#REF!</definedName>
    <definedName name="신상" localSheetId="3">#REF!</definedName>
    <definedName name="신상" localSheetId="1">#REF!</definedName>
    <definedName name="신상">#REF!</definedName>
    <definedName name="신설통계" localSheetId="5" hidden="1">{#N/A,#N/A,FALSE,"3가";#N/A,#N/A,FALSE,"3나";#N/A,#N/A,FALSE,"3다"}</definedName>
    <definedName name="신설통계" localSheetId="4" hidden="1">{#N/A,#N/A,FALSE,"3가";#N/A,#N/A,FALSE,"3나";#N/A,#N/A,FALSE,"3다"}</definedName>
    <definedName name="신설통계" localSheetId="3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신세대종합" localSheetId="5" hidden="1">{#N/A,#N/A,FALSE,"단축1";#N/A,#N/A,FALSE,"단축2";#N/A,#N/A,FALSE,"단축3";#N/A,#N/A,FALSE,"장축";#N/A,#N/A,FALSE,"4WD"}</definedName>
    <definedName name="신세대종합" localSheetId="4" hidden="1">{#N/A,#N/A,FALSE,"단축1";#N/A,#N/A,FALSE,"단축2";#N/A,#N/A,FALSE,"단축3";#N/A,#N/A,FALSE,"장축";#N/A,#N/A,FALSE,"4WD"}</definedName>
    <definedName name="신세대종합" localSheetId="3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 localSheetId="5">#REF!</definedName>
    <definedName name="신우단가표" localSheetId="4">#REF!</definedName>
    <definedName name="신우단가표" localSheetId="3">#REF!</definedName>
    <definedName name="신우단가표" localSheetId="1">#REF!</definedName>
    <definedName name="신우단가표">#REF!</definedName>
    <definedName name="신한은행_1" localSheetId="5" hidden="1">{#N/A,#N/A,FALSE,"Aging Summary";#N/A,#N/A,FALSE,"Ratio Analysis";#N/A,#N/A,FALSE,"Test 120 Day Accts";#N/A,#N/A,FALSE,"Tickmarks"}</definedName>
    <definedName name="신한은행_1" localSheetId="4" hidden="1">{#N/A,#N/A,FALSE,"Aging Summary";#N/A,#N/A,FALSE,"Ratio Analysis";#N/A,#N/A,FALSE,"Test 120 Day Accts";#N/A,#N/A,FALSE,"Tickmarks"}</definedName>
    <definedName name="신한은행_1" localSheetId="3" hidden="1">{#N/A,#N/A,FALSE,"Aging Summary";#N/A,#N/A,FALSE,"Ratio Analysis";#N/A,#N/A,FALSE,"Test 120 Day Accts";#N/A,#N/A,FALSE,"Tickmarks"}</definedName>
    <definedName name="신한은행_1" localSheetId="1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5" hidden="1">{#N/A,#N/A,FALSE,"Aging Summary";#N/A,#N/A,FALSE,"Ratio Analysis";#N/A,#N/A,FALSE,"Test 120 Day Accts";#N/A,#N/A,FALSE,"Tickmarks"}</definedName>
    <definedName name="신한은행_2" localSheetId="4" hidden="1">{#N/A,#N/A,FALSE,"Aging Summary";#N/A,#N/A,FALSE,"Ratio Analysis";#N/A,#N/A,FALSE,"Test 120 Day Accts";#N/A,#N/A,FALSE,"Tickmarks"}</definedName>
    <definedName name="신한은행_2" localSheetId="3" hidden="1">{#N/A,#N/A,FALSE,"Aging Summary";#N/A,#N/A,FALSE,"Ratio Analysis";#N/A,#N/A,FALSE,"Test 120 Day Accts";#N/A,#N/A,FALSE,"Tickmarks"}</definedName>
    <definedName name="신한은행_2" localSheetId="1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localSheetId="5" hidden="1">{"'호선별현황(방식)'!$K$22:$P$22","'호선별현황(방식)'!$K$22:$P$22"}</definedName>
    <definedName name="신효성" localSheetId="4" hidden="1">{"'호선별현황(방식)'!$K$22:$P$22","'호선별현황(방식)'!$K$22:$P$22"}</definedName>
    <definedName name="신효성" localSheetId="3" hidden="1">{"'호선별현황(방식)'!$K$22:$P$22","'호선별현황(방식)'!$K$22:$P$22"}</definedName>
    <definedName name="신효성" localSheetId="1" hidden="1">{"'호선별현황(방식)'!$K$22:$P$22","'호선별현황(방식)'!$K$22:$P$22"}</definedName>
    <definedName name="신효성" hidden="1">{"'호선별현황(방식)'!$K$22:$P$22","'호선별현황(방식)'!$K$22:$P$22"}</definedName>
    <definedName name="실수요" localSheetId="5">#REF!</definedName>
    <definedName name="실수요" localSheetId="4">#REF!</definedName>
    <definedName name="실수요" localSheetId="3">#REF!</definedName>
    <definedName name="실수요" localSheetId="1">#REF!</definedName>
    <definedName name="실수요">#REF!</definedName>
    <definedName name="실시" localSheetId="5" hidden="1">{#N/A,#N/A,FALSE,"단축1";#N/A,#N/A,FALSE,"단축2";#N/A,#N/A,FALSE,"단축3";#N/A,#N/A,FALSE,"장축";#N/A,#N/A,FALSE,"4WD"}</definedName>
    <definedName name="실시" localSheetId="4" hidden="1">{#N/A,#N/A,FALSE,"단축1";#N/A,#N/A,FALSE,"단축2";#N/A,#N/A,FALSE,"단축3";#N/A,#N/A,FALSE,"장축";#N/A,#N/A,FALSE,"4WD"}</definedName>
    <definedName name="실시" localSheetId="3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5">#REF!</definedName>
    <definedName name="실적" localSheetId="4">#REF!</definedName>
    <definedName name="실적" localSheetId="3">#REF!</definedName>
    <definedName name="실적" localSheetId="1">#REF!</definedName>
    <definedName name="실적">#REF!</definedName>
    <definedName name="실적3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 localSheetId="5">#REF!</definedName>
    <definedName name="실적4" localSheetId="4">#REF!</definedName>
    <definedName name="실적4" localSheetId="3">#REF!</definedName>
    <definedName name="실적4" localSheetId="1">#REF!</definedName>
    <definedName name="실적4">#REF!</definedName>
    <definedName name="실제급여" localSheetId="5" hidden="1">{#N/A,#N/A,TRUE,"대 차 대 조 표"}</definedName>
    <definedName name="실제급여" localSheetId="4" hidden="1">{#N/A,#N/A,TRUE,"대 차 대 조 표"}</definedName>
    <definedName name="실제급여" localSheetId="3" hidden="1">{#N/A,#N/A,TRUE,"대 차 대 조 표"}</definedName>
    <definedName name="실제급여" localSheetId="1" hidden="1">{#N/A,#N/A,TRUE,"대 차 대 조 표"}</definedName>
    <definedName name="실제급여" hidden="1">{#N/A,#N/A,TRUE,"대 차 대 조 표"}</definedName>
    <definedName name="실제급여_1" localSheetId="5" hidden="1">{#N/A,#N/A,TRUE,"대 차 대 조 표"}</definedName>
    <definedName name="실제급여_1" localSheetId="4" hidden="1">{#N/A,#N/A,TRUE,"대 차 대 조 표"}</definedName>
    <definedName name="실제급여_1" localSheetId="3" hidden="1">{#N/A,#N/A,TRUE,"대 차 대 조 표"}</definedName>
    <definedName name="실제급여_1" localSheetId="1" hidden="1">{#N/A,#N/A,TRUE,"대 차 대 조 표"}</definedName>
    <definedName name="실제급여_1" hidden="1">{#N/A,#N/A,TRUE,"대 차 대 조 표"}</definedName>
    <definedName name="실제매출전체" localSheetId="5">#REF!</definedName>
    <definedName name="실제매출전체" localSheetId="4">#REF!</definedName>
    <definedName name="실제매출전체" localSheetId="3">#REF!</definedName>
    <definedName name="실제매출전체" localSheetId="1">#REF!</definedName>
    <definedName name="실제매출전체">#REF!</definedName>
    <definedName name="실제수익회당" localSheetId="5">#REF!</definedName>
    <definedName name="실제수익회당" localSheetId="4">#REF!</definedName>
    <definedName name="실제수익회당" localSheetId="3">#REF!</definedName>
    <definedName name="실제수익회당" localSheetId="1">#REF!</definedName>
    <definedName name="실제수익회당">#REF!</definedName>
    <definedName name="실초출" localSheetId="3">#REF!</definedName>
    <definedName name="실초출" localSheetId="1">#REF!</definedName>
    <definedName name="실초출">#REF!</definedName>
    <definedName name="실행">#N/A</definedName>
    <definedName name="심양신세게" localSheetId="5">#REF!</definedName>
    <definedName name="심양신세게" localSheetId="4">#REF!</definedName>
    <definedName name="심양신세게" localSheetId="3">#REF!</definedName>
    <definedName name="심양신세게" localSheetId="1">#REF!</definedName>
    <definedName name="심양신세게">#REF!</definedName>
    <definedName name="십" localSheetId="3">IF(INT(RIGHT(#REF!,2)/10)=0,"",CHOOSE(INT(RIGHT(#REF!,2)/10),"일","이","삼","사","오","육","칠","팔","구")&amp;"십")</definedName>
    <definedName name="십" localSheetId="1">IF(INT(RIGHT(#REF!,2)/10)=0,"",CHOOSE(INT(RIGHT(#REF!,2)/10),"일","이","삼","사","오","육","칠","팔","구")&amp;"십")</definedName>
    <definedName name="십">IF(INT(RIGHT(#REF!,2)/10)=0,"",CHOOSE(INT(RIGHT(#REF!,2)/10),"일","이","삼","사","오","육","칠","팔","구")&amp;"십")</definedName>
    <definedName name="십만" localSheetId="3">IF(INT(RIGHT(#REF!,6)/100000)=0,"",CHOOSE(INT(RIGHT(#REF!,6)/100000),"일","이","삼","사","오","육","칠","팔","구")&amp;"십")</definedName>
    <definedName name="십만" localSheetId="1">IF(INT(RIGHT(#REF!,6)/100000)=0,"",CHOOSE(INT(RIGHT(#REF!,6)/100000),"일","이","삼","사","오","육","칠","팔","구")&amp;"십")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 localSheetId="5">#REF!</definedName>
    <definedName name="십이월" localSheetId="4">#REF!</definedName>
    <definedName name="십이월" localSheetId="3">#REF!</definedName>
    <definedName name="십이월" localSheetId="1">#REF!</definedName>
    <definedName name="십이월">#REF!</definedName>
    <definedName name="씨엔에이치" localSheetId="5" hidden="1">{#N/A,#N/A,TRUE,"대 차 대 조 표"}</definedName>
    <definedName name="씨엔에이치" localSheetId="4" hidden="1">{#N/A,#N/A,TRUE,"대 차 대 조 표"}</definedName>
    <definedName name="씨엔에이치" localSheetId="3" hidden="1">{#N/A,#N/A,TRUE,"대 차 대 조 표"}</definedName>
    <definedName name="씨엔에이치" localSheetId="1" hidden="1">{#N/A,#N/A,TRUE,"대 차 대 조 표"}</definedName>
    <definedName name="씨엔에이치" hidden="1">{#N/A,#N/A,TRUE,"대 차 대 조 표"}</definedName>
    <definedName name="씨엔에이치_1" localSheetId="5" hidden="1">{#N/A,#N/A,TRUE,"대 차 대 조 표"}</definedName>
    <definedName name="씨엔에이치_1" localSheetId="4" hidden="1">{#N/A,#N/A,TRUE,"대 차 대 조 표"}</definedName>
    <definedName name="씨엔에이치_1" localSheetId="3" hidden="1">{#N/A,#N/A,TRUE,"대 차 대 조 표"}</definedName>
    <definedName name="씨엔에이치_1" localSheetId="1" hidden="1">{#N/A,#N/A,TRUE,"대 차 대 조 표"}</definedName>
    <definedName name="씨엔에이치_1" hidden="1">{#N/A,#N/A,TRUE,"대 차 대 조 표"}</definedName>
    <definedName name="씨티" localSheetId="5">#REF!</definedName>
    <definedName name="씨티" localSheetId="4">#REF!</definedName>
    <definedName name="씨티" localSheetId="3">#REF!</definedName>
    <definedName name="씨티" localSheetId="1">#REF!</definedName>
    <definedName name="씨티">#REF!</definedName>
    <definedName name="ㅇ" localSheetId="5" hidden="1">{#N/A,#N/A,FALSE,"Aging Summary";#N/A,#N/A,FALSE,"Ratio Analysis";#N/A,#N/A,FALSE,"Test 120 Day Accts";#N/A,#N/A,FALSE,"Tickmarks"}</definedName>
    <definedName name="ㅇ" localSheetId="4" hidden="1">{#N/A,#N/A,FALSE,"Aging Summary";#N/A,#N/A,FALSE,"Ratio Analysis";#N/A,#N/A,FALSE,"Test 120 Day Accts";#N/A,#N/A,FALSE,"Tickmarks"}</definedName>
    <definedName name="ㅇ" localSheetId="3" hidden="1">{#N/A,#N/A,FALSE,"Aging Summary";#N/A,#N/A,FALSE,"Ratio Analysis";#N/A,#N/A,FALSE,"Test 120 Day Accts";#N/A,#N/A,FALSE,"Tickmarks"}</definedName>
    <definedName name="ㅇ" localSheetId="1" hidden="1">{#N/A,#N/A,FALSE,"Aging Summary";#N/A,#N/A,FALSE,"Ratio Analysis";#N/A,#N/A,FALSE,"Test 120 Day Accts";#N/A,#N/A,FALSE,"Tickmarks"}</definedName>
    <definedName name="ㅇ" hidden="1">{#N/A,#N/A,FALSE,"Aging Summary";#N/A,#N/A,FALSE,"Ratio Analysis";#N/A,#N/A,FALSE,"Test 120 Day Accts";#N/A,#N/A,FALSE,"Tickmarks"}</definedName>
    <definedName name="ㅇ0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 localSheetId="5">#REF!</definedName>
    <definedName name="ㅇㄴㄹㅇㅇㅇㅇㅇㅇㅇㅇㅇㅇㅇ" localSheetId="4">#REF!</definedName>
    <definedName name="ㅇㄴㄹㅇㅇㅇㅇㅇㅇㅇㅇㅇㅇㅇ" localSheetId="3">#REF!</definedName>
    <definedName name="ㅇㄴㄹㅇㅇㅇㅇㅇㅇㅇㅇㅇㅇㅇ" localSheetId="1">#REF!</definedName>
    <definedName name="ㅇㄴㄹㅇㅇㅇㅇㅇㅇㅇㅇㅇㅇㅇ">#REF!</definedName>
    <definedName name="ㅇㄴㄻㄴㅇㄹ" localSheetId="5" hidden="1">{#N/A,#N/A,TRUE,"Y생산";#N/A,#N/A,TRUE,"Y판매";#N/A,#N/A,TRUE,"Y총물량";#N/A,#N/A,TRUE,"Y능력";#N/A,#N/A,TRUE,"YKD"}</definedName>
    <definedName name="ㅇㄴㄻㄴㅇㄹ" localSheetId="4" hidden="1">{#N/A,#N/A,TRUE,"Y생산";#N/A,#N/A,TRUE,"Y판매";#N/A,#N/A,TRUE,"Y총물량";#N/A,#N/A,TRUE,"Y능력";#N/A,#N/A,TRUE,"YKD"}</definedName>
    <definedName name="ㅇㄴㄻㄴㅇㄹ" localSheetId="3" hidden="1">{#N/A,#N/A,TRUE,"Y생산";#N/A,#N/A,TRUE,"Y판매";#N/A,#N/A,TRUE,"Y총물량";#N/A,#N/A,TRUE,"Y능력";#N/A,#N/A,TRUE,"YKD"}</definedName>
    <definedName name="ㅇㄴㄻㄴㅇㄹ" localSheetId="1" hidden="1">{#N/A,#N/A,TRUE,"Y생산";#N/A,#N/A,TRUE,"Y판매";#N/A,#N/A,TRUE,"Y총물량";#N/A,#N/A,TRUE,"Y능력";#N/A,#N/A,TRUE,"YKD"}</definedName>
    <definedName name="ㅇㄴㄻㄴㅇㄹ" hidden="1">{#N/A,#N/A,TRUE,"Y생산";#N/A,#N/A,TRUE,"Y판매";#N/A,#N/A,TRUE,"Y총물량";#N/A,#N/A,TRUE,"Y능력";#N/A,#N/A,TRUE,"YKD"}</definedName>
    <definedName name="ㅇㄴㄻㄴㅇㄹ_1" localSheetId="5" hidden="1">{#N/A,#N/A,TRUE,"Y생산";#N/A,#N/A,TRUE,"Y판매";#N/A,#N/A,TRUE,"Y총물량";#N/A,#N/A,TRUE,"Y능력";#N/A,#N/A,TRUE,"YKD"}</definedName>
    <definedName name="ㅇㄴㄻㄴㅇㄹ_1" localSheetId="4" hidden="1">{#N/A,#N/A,TRUE,"Y생산";#N/A,#N/A,TRUE,"Y판매";#N/A,#N/A,TRUE,"Y총물량";#N/A,#N/A,TRUE,"Y능력";#N/A,#N/A,TRUE,"YKD"}</definedName>
    <definedName name="ㅇㄴㄻㄴㅇㄹ_1" localSheetId="3" hidden="1">{#N/A,#N/A,TRUE,"Y생산";#N/A,#N/A,TRUE,"Y판매";#N/A,#N/A,TRUE,"Y총물량";#N/A,#N/A,TRUE,"Y능력";#N/A,#N/A,TRUE,"YKD"}</definedName>
    <definedName name="ㅇㄴㄻㄴㅇㄹ_1" localSheetId="1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localSheetId="5" hidden="1">{#N/A,#N/A,TRUE,"Y생산";#N/A,#N/A,TRUE,"Y판매";#N/A,#N/A,TRUE,"Y총물량";#N/A,#N/A,TRUE,"Y능력";#N/A,#N/A,TRUE,"YKD"}</definedName>
    <definedName name="ㅇㄴㅇㄹㄴㅇ" localSheetId="4" hidden="1">{#N/A,#N/A,TRUE,"Y생산";#N/A,#N/A,TRUE,"Y판매";#N/A,#N/A,TRUE,"Y총물량";#N/A,#N/A,TRUE,"Y능력";#N/A,#N/A,TRUE,"YKD"}</definedName>
    <definedName name="ㅇㄴㅇㄹㄴㅇ" localSheetId="3" hidden="1">{#N/A,#N/A,TRUE,"Y생산";#N/A,#N/A,TRUE,"Y판매";#N/A,#N/A,TRUE,"Y총물량";#N/A,#N/A,TRUE,"Y능력";#N/A,#N/A,TRUE,"YKD"}</definedName>
    <definedName name="ㅇㄴㅇㄹㄴㅇ" localSheetId="1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localSheetId="5" hidden="1">{#N/A,#N/A,TRUE,"Y생산";#N/A,#N/A,TRUE,"Y판매";#N/A,#N/A,TRUE,"Y총물량";#N/A,#N/A,TRUE,"Y능력";#N/A,#N/A,TRUE,"YKD"}</definedName>
    <definedName name="ㅇㄴㅇㄹㄴㅇ_1" localSheetId="4" hidden="1">{#N/A,#N/A,TRUE,"Y생산";#N/A,#N/A,TRUE,"Y판매";#N/A,#N/A,TRUE,"Y총물량";#N/A,#N/A,TRUE,"Y능력";#N/A,#N/A,TRUE,"YKD"}</definedName>
    <definedName name="ㅇㄴㅇㄹㄴㅇ_1" localSheetId="3" hidden="1">{#N/A,#N/A,TRUE,"Y생산";#N/A,#N/A,TRUE,"Y판매";#N/A,#N/A,TRUE,"Y총물량";#N/A,#N/A,TRUE,"Y능력";#N/A,#N/A,TRUE,"YKD"}</definedName>
    <definedName name="ㅇㄴㅇㄹㄴㅇ_1" localSheetId="1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localSheetId="5" hidden="1">{#N/A,#N/A,FALSE,"BS";#N/A,#N/A,FALSE,"PL";#N/A,#N/A,FALSE,"처분";#N/A,#N/A,FALSE,"현금";#N/A,#N/A,FALSE,"매출";#N/A,#N/A,FALSE,"원가";#N/A,#N/A,FALSE,"경영"}</definedName>
    <definedName name="ㅇ니라먼" localSheetId="4" hidden="1">{#N/A,#N/A,FALSE,"BS";#N/A,#N/A,FALSE,"PL";#N/A,#N/A,FALSE,"처분";#N/A,#N/A,FALSE,"현금";#N/A,#N/A,FALSE,"매출";#N/A,#N/A,FALSE,"원가";#N/A,#N/A,FALSE,"경영"}</definedName>
    <definedName name="ㅇ니라먼" localSheetId="3" hidden="1">{#N/A,#N/A,FALSE,"BS";#N/A,#N/A,FALSE,"PL";#N/A,#N/A,FALSE,"처분";#N/A,#N/A,FALSE,"현금";#N/A,#N/A,FALSE,"매출";#N/A,#N/A,FALSE,"원가";#N/A,#N/A,FALSE,"경영"}</definedName>
    <definedName name="ㅇ니라먼" localSheetId="1" hidden="1">{#N/A,#N/A,FALSE,"BS";#N/A,#N/A,FALSE,"PL";#N/A,#N/A,FALSE,"처분";#N/A,#N/A,FALSE,"현금";#N/A,#N/A,FALSE,"매출";#N/A,#N/A,FALSE,"원가";#N/A,#N/A,FALSE,"경영"}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localSheetId="5" hidden="1">{#N/A,#N/A,FALSE,"Aging Summary";#N/A,#N/A,FALSE,"Ratio Analysis";#N/A,#N/A,FALSE,"Test 120 Day Accts";#N/A,#N/A,FALSE,"Tickmarks"}</definedName>
    <definedName name="ㅇㄷㄴ" localSheetId="4" hidden="1">{#N/A,#N/A,FALSE,"Aging Summary";#N/A,#N/A,FALSE,"Ratio Analysis";#N/A,#N/A,FALSE,"Test 120 Day Accts";#N/A,#N/A,FALSE,"Tickmarks"}</definedName>
    <definedName name="ㅇㄷㄴ" localSheetId="3" hidden="1">{#N/A,#N/A,FALSE,"Aging Summary";#N/A,#N/A,FALSE,"Ratio Analysis";#N/A,#N/A,FALSE,"Test 120 Day Accts";#N/A,#N/A,FALSE,"Tickmarks"}</definedName>
    <definedName name="ㅇㄷㄴ" localSheetId="1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ㄹ" localSheetId="5" hidden="1">{#N/A,#N/A,FALSE,"BS";#N/A,#N/A,FALSE,"PL";#N/A,#N/A,FALSE,"처분";#N/A,#N/A,FALSE,"현금";#N/A,#N/A,FALSE,"매출";#N/A,#N/A,FALSE,"원가";#N/A,#N/A,FALSE,"경영"}</definedName>
    <definedName name="ㅇㄹ" localSheetId="4" hidden="1">{#N/A,#N/A,FALSE,"BS";#N/A,#N/A,FALSE,"PL";#N/A,#N/A,FALSE,"처분";#N/A,#N/A,FALSE,"현금";#N/A,#N/A,FALSE,"매출";#N/A,#N/A,FALSE,"원가";#N/A,#N/A,FALSE,"경영"}</definedName>
    <definedName name="ㅇㄹ" localSheetId="3" hidden="1">{#N/A,#N/A,FALSE,"BS";#N/A,#N/A,FALSE,"PL";#N/A,#N/A,FALSE,"처분";#N/A,#N/A,FALSE,"현금";#N/A,#N/A,FALSE,"매출";#N/A,#N/A,FALSE,"원가";#N/A,#N/A,FALSE,"경영"}</definedName>
    <definedName name="ㅇㄹ" localSheetId="1" hidden="1">{#N/A,#N/A,FALSE,"BS";#N/A,#N/A,FALSE,"PL";#N/A,#N/A,FALSE,"처분";#N/A,#N/A,FALSE,"현금";#N/A,#N/A,FALSE,"매출";#N/A,#N/A,FALSE,"원가";#N/A,#N/A,FALSE,"경영"}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localSheetId="5" hidden="1">#REF!</definedName>
    <definedName name="ㅇㄹㄴㄷㄱㅈ" localSheetId="4" hidden="1">#REF!</definedName>
    <definedName name="ㅇㄹㄴㄷㄱㅈ" localSheetId="3" hidden="1">#REF!</definedName>
    <definedName name="ㅇㄹㄴㄷㄱㅈ" localSheetId="1" hidden="1">#REF!</definedName>
    <definedName name="ㅇㄹㄴㄷㄱㅈ" hidden="1">#REF!</definedName>
    <definedName name="ㅇㄹㄴㅇㄹ" localSheetId="5" hidden="1">{#N/A,#N/A,TRUE,"Y생산";#N/A,#N/A,TRUE,"Y판매";#N/A,#N/A,TRUE,"Y총물량";#N/A,#N/A,TRUE,"Y능력";#N/A,#N/A,TRUE,"YKD"}</definedName>
    <definedName name="ㅇㄹㄴㅇㄹ" localSheetId="4" hidden="1">{#N/A,#N/A,TRUE,"Y생산";#N/A,#N/A,TRUE,"Y판매";#N/A,#N/A,TRUE,"Y총물량";#N/A,#N/A,TRUE,"Y능력";#N/A,#N/A,TRUE,"YKD"}</definedName>
    <definedName name="ㅇㄹㄴㅇㄹ" localSheetId="3" hidden="1">{#N/A,#N/A,TRUE,"Y생산";#N/A,#N/A,TRUE,"Y판매";#N/A,#N/A,TRUE,"Y총물량";#N/A,#N/A,TRUE,"Y능력";#N/A,#N/A,TRUE,"YKD"}</definedName>
    <definedName name="ㅇㄹㄴㅇㄹ" localSheetId="1" hidden="1">{#N/A,#N/A,TRUE,"Y생산";#N/A,#N/A,TRUE,"Y판매";#N/A,#N/A,TRUE,"Y총물량";#N/A,#N/A,TRUE,"Y능력";#N/A,#N/A,TRUE,"YKD"}</definedName>
    <definedName name="ㅇㄹㄴㅇㄹ" hidden="1">{#N/A,#N/A,TRUE,"Y생산";#N/A,#N/A,TRUE,"Y판매";#N/A,#N/A,TRUE,"Y총물량";#N/A,#N/A,TRUE,"Y능력";#N/A,#N/A,TRUE,"YKD"}</definedName>
    <definedName name="ㅇㄹㄴㅇㄹ_1" localSheetId="5" hidden="1">{#N/A,#N/A,TRUE,"Y생산";#N/A,#N/A,TRUE,"Y판매";#N/A,#N/A,TRUE,"Y총물량";#N/A,#N/A,TRUE,"Y능력";#N/A,#N/A,TRUE,"YKD"}</definedName>
    <definedName name="ㅇㄹㄴㅇㄹ_1" localSheetId="4" hidden="1">{#N/A,#N/A,TRUE,"Y생산";#N/A,#N/A,TRUE,"Y판매";#N/A,#N/A,TRUE,"Y총물량";#N/A,#N/A,TRUE,"Y능력";#N/A,#N/A,TRUE,"YKD"}</definedName>
    <definedName name="ㅇㄹㄴㅇㄹ_1" localSheetId="3" hidden="1">{#N/A,#N/A,TRUE,"Y생산";#N/A,#N/A,TRUE,"Y판매";#N/A,#N/A,TRUE,"Y총물량";#N/A,#N/A,TRUE,"Y능력";#N/A,#N/A,TRUE,"YKD"}</definedName>
    <definedName name="ㅇㄹㄴㅇㄹ_1" localSheetId="1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localSheetId="5" hidden="1">{#N/A,#N/A,FALSE,"Aging Summary";#N/A,#N/A,FALSE,"Ratio Analysis";#N/A,#N/A,FALSE,"Test 120 Day Accts";#N/A,#N/A,FALSE,"Tickmarks"}</definedName>
    <definedName name="ㅇㄹㅀㅎ" localSheetId="4" hidden="1">{#N/A,#N/A,FALSE,"Aging Summary";#N/A,#N/A,FALSE,"Ratio Analysis";#N/A,#N/A,FALSE,"Test 120 Day Accts";#N/A,#N/A,FALSE,"Tickmarks"}</definedName>
    <definedName name="ㅇㄹㅀㅎ" localSheetId="3" hidden="1">{#N/A,#N/A,FALSE,"Aging Summary";#N/A,#N/A,FALSE,"Ratio Analysis";#N/A,#N/A,FALSE,"Test 120 Day Accts";#N/A,#N/A,FALSE,"Tickmarks"}</definedName>
    <definedName name="ㅇㄹㅀㅎ" localSheetId="1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ㅇ" localSheetId="5" hidden="1">{#N/A,#N/A,FALSE,"3가";#N/A,#N/A,FALSE,"3나";#N/A,#N/A,FALSE,"3다"}</definedName>
    <definedName name="ㅇㄹㅇ" localSheetId="4" hidden="1">{#N/A,#N/A,FALSE,"3가";#N/A,#N/A,FALSE,"3나";#N/A,#N/A,FALSE,"3다"}</definedName>
    <definedName name="ㅇㄹㅇ" localSheetId="3" hidden="1">{#N/A,#N/A,FALSE,"3가";#N/A,#N/A,FALSE,"3나";#N/A,#N/A,FALSE,"3다"}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ㅇㄴ" localSheetId="5" hidden="1">{#N/A,#N/A,FALSE,"3가";#N/A,#N/A,FALSE,"3나";#N/A,#N/A,FALSE,"3다"}</definedName>
    <definedName name="ㅇㄹㅇㄴ" localSheetId="4" hidden="1">{#N/A,#N/A,FALSE,"3가";#N/A,#N/A,FALSE,"3나";#N/A,#N/A,FALSE,"3다"}</definedName>
    <definedName name="ㅇㄹㅇㄴ" localSheetId="3" hidden="1">{#N/A,#N/A,FALSE,"3가";#N/A,#N/A,FALSE,"3나";#N/A,#N/A,FALSE,"3다"}</definedName>
    <definedName name="ㅇㄹㅇㄴ" localSheetId="1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5" hidden="1">{#N/A,#N/A,TRUE,"Y생산";#N/A,#N/A,TRUE,"Y판매";#N/A,#N/A,TRUE,"Y총물량";#N/A,#N/A,TRUE,"Y능력";#N/A,#N/A,TRUE,"YKD"}</definedName>
    <definedName name="ㅇㄹㅇㄴㄹ" localSheetId="4" hidden="1">{#N/A,#N/A,TRUE,"Y생산";#N/A,#N/A,TRUE,"Y판매";#N/A,#N/A,TRUE,"Y총물량";#N/A,#N/A,TRUE,"Y능력";#N/A,#N/A,TRUE,"YKD"}</definedName>
    <definedName name="ㅇㄹㅇㄴㄹ" localSheetId="3" hidden="1">{#N/A,#N/A,TRUE,"Y생산";#N/A,#N/A,TRUE,"Y판매";#N/A,#N/A,TRUE,"Y총물량";#N/A,#N/A,TRUE,"Y능력";#N/A,#N/A,TRUE,"YKD"}</definedName>
    <definedName name="ㅇㄹㅇㄴㄹ" localSheetId="1" hidden="1">{#N/A,#N/A,TRUE,"Y생산";#N/A,#N/A,TRUE,"Y판매";#N/A,#N/A,TRUE,"Y총물량";#N/A,#N/A,TRUE,"Y능력";#N/A,#N/A,TRUE,"YKD"}</definedName>
    <definedName name="ㅇㄹㅇㄴㄹ" hidden="1">{#N/A,#N/A,TRUE,"Y생산";#N/A,#N/A,TRUE,"Y판매";#N/A,#N/A,TRUE,"Y총물량";#N/A,#N/A,TRUE,"Y능력";#N/A,#N/A,TRUE,"YKD"}</definedName>
    <definedName name="ㅇㄹㅇㄴㄹ_1" localSheetId="5" hidden="1">{#N/A,#N/A,TRUE,"Y생산";#N/A,#N/A,TRUE,"Y판매";#N/A,#N/A,TRUE,"Y총물량";#N/A,#N/A,TRUE,"Y능력";#N/A,#N/A,TRUE,"YKD"}</definedName>
    <definedName name="ㅇㄹㅇㄴㄹ_1" localSheetId="4" hidden="1">{#N/A,#N/A,TRUE,"Y생산";#N/A,#N/A,TRUE,"Y판매";#N/A,#N/A,TRUE,"Y총물량";#N/A,#N/A,TRUE,"Y능력";#N/A,#N/A,TRUE,"YKD"}</definedName>
    <definedName name="ㅇㄹㅇㄴㄹ_1" localSheetId="3" hidden="1">{#N/A,#N/A,TRUE,"Y생산";#N/A,#N/A,TRUE,"Y판매";#N/A,#N/A,TRUE,"Y총물량";#N/A,#N/A,TRUE,"Y능력";#N/A,#N/A,TRUE,"YKD"}</definedName>
    <definedName name="ㅇㄹㅇㄴㄹ_1" localSheetId="1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 localSheetId="5">#REF!</definedName>
    <definedName name="ㅇㄹㅇㄹ" localSheetId="4">#REF!</definedName>
    <definedName name="ㅇㄹㅇㄹ" localSheetId="3">#REF!</definedName>
    <definedName name="ㅇㄹㅇㄹ" localSheetId="1">#REF!</definedName>
    <definedName name="ㅇㄹㅇㄹ">#REF!</definedName>
    <definedName name="ㅇㄹㅇㄹ_1" localSheetId="5" hidden="1">{#N/A,#N/A,TRUE,"Y생산";#N/A,#N/A,TRUE,"Y판매";#N/A,#N/A,TRUE,"Y총물량";#N/A,#N/A,TRUE,"Y능력";#N/A,#N/A,TRUE,"YKD"}</definedName>
    <definedName name="ㅇㄹㅇㄹ_1" localSheetId="4" hidden="1">{#N/A,#N/A,TRUE,"Y생산";#N/A,#N/A,TRUE,"Y판매";#N/A,#N/A,TRUE,"Y총물량";#N/A,#N/A,TRUE,"Y능력";#N/A,#N/A,TRUE,"YKD"}</definedName>
    <definedName name="ㅇㄹㅇㄹ_1" localSheetId="3" hidden="1">{#N/A,#N/A,TRUE,"Y생산";#N/A,#N/A,TRUE,"Y판매";#N/A,#N/A,TRUE,"Y총물량";#N/A,#N/A,TRUE,"Y능력";#N/A,#N/A,TRUE,"YKD"}</definedName>
    <definedName name="ㅇㄹㅇㄹ_1" localSheetId="1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ㄹㅇㄹㅇㄹㅇㄹㅇㄹㅇㄹ" localSheetId="5" hidden="1">{#N/A,#N/A,FALSE,"이력서&amp;자기소개서"}</definedName>
    <definedName name="ㅇㄹㅇㄹㅇㄹㅇㄹㅇㄹㅇㄹㅇㄹㅇㄹ" localSheetId="4" hidden="1">{#N/A,#N/A,FALSE,"이력서&amp;자기소개서"}</definedName>
    <definedName name="ㅇㄹㅇㄹㅇㄹㅇㄹㅇㄹㅇㄹㅇㄹㅇㄹ" localSheetId="3" hidden="1">{#N/A,#N/A,FALSE,"이력서&amp;자기소개서"}</definedName>
    <definedName name="ㅇㄹㅇㄹㅇㄹㅇㄹㅇㄹㅇㄹㅇㄹㅇㄹ" localSheetId="1" hidden="1">{#N/A,#N/A,FALSE,"이력서&amp;자기소개서"}</definedName>
    <definedName name="ㅇㄹㅇㄹㅇㄹㅇㄹㅇㄹㅇㄹㅇㄹㅇㄹ" hidden="1">{#N/A,#N/A,FALSE,"이력서&amp;자기소개서"}</definedName>
    <definedName name="ㅇㄹㅇㅁㄴㅁ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 localSheetId="5">#REF!</definedName>
    <definedName name="ㅇㄻㄴㅇㄻㄴ" localSheetId="4">#REF!</definedName>
    <definedName name="ㅇㄻㄴㅇㄻㄴ" localSheetId="3">#REF!</definedName>
    <definedName name="ㅇㄻㄴㅇㄻㄴ" localSheetId="1">#REF!</definedName>
    <definedName name="ㅇㄻㄴㅇㄻㄴ">#REF!</definedName>
    <definedName name="ㅇㄻㅇ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localSheetId="5" hidden="1">{#N/A,#N/A,FALSE,"Aging Summary";#N/A,#N/A,FALSE,"Ratio Analysis";#N/A,#N/A,FALSE,"Test 120 Day Accts";#N/A,#N/A,FALSE,"Tickmarks"}</definedName>
    <definedName name="ㅇㄻㅇㄹ" localSheetId="4" hidden="1">{#N/A,#N/A,FALSE,"Aging Summary";#N/A,#N/A,FALSE,"Ratio Analysis";#N/A,#N/A,FALSE,"Test 120 Day Accts";#N/A,#N/A,FALSE,"Tickmarks"}</definedName>
    <definedName name="ㅇㄻㅇㄹ" localSheetId="3" hidden="1">{#N/A,#N/A,FALSE,"Aging Summary";#N/A,#N/A,FALSE,"Ratio Analysis";#N/A,#N/A,FALSE,"Test 120 Day Accts";#N/A,#N/A,FALSE,"Tickmarks"}</definedName>
    <definedName name="ㅇㄻㅇㄹ" localSheetId="1" hidden="1">{#N/A,#N/A,FALSE,"Aging Summary";#N/A,#N/A,FALSE,"Ratio Analysis";#N/A,#N/A,FALSE,"Test 120 Day Accts";#N/A,#N/A,FALSE,"Tickmarks"}</definedName>
    <definedName name="ㅇㄻㅇㄹ" hidden="1">{#N/A,#N/A,FALSE,"Aging Summary";#N/A,#N/A,FALSE,"Ratio Analysis";#N/A,#N/A,FALSE,"Test 120 Day Accts";#N/A,#N/A,FALSE,"Tickmarks"}</definedName>
    <definedName name="ㅇㅀㄴㅇ" localSheetId="5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4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3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1" hidden="1">{#N/A,#N/A,FALSE,"채산3501.XLS";#N/A,#N/A,FALSE,"신조수A.XLS";#N/A,#N/A,FALSE,"신조수b.XLS";#N/A,#N/A,FALSE,"채산3502.XLS";#N/A,#N/A,FALSE,"신조원리.XLS";#N/A,#N/A,FALSE,"신조감가.XLS"}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localSheetId="5" hidden="1">{#N/A,#N/A,FALSE,"3가";#N/A,#N/A,FALSE,"3나";#N/A,#N/A,FALSE,"3다"}</definedName>
    <definedName name="ㅇㅀㅇㅁㄹ" localSheetId="4" hidden="1">{#N/A,#N/A,FALSE,"3가";#N/A,#N/A,FALSE,"3나";#N/A,#N/A,FALSE,"3다"}</definedName>
    <definedName name="ㅇㅀㅇㅁㄹ" localSheetId="3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ㅁㄻ" localSheetId="5" hidden="1">{#N/A,#N/A,FALSE,"Aging Summary";#N/A,#N/A,FALSE,"Ratio Analysis";#N/A,#N/A,FALSE,"Test 120 Day Accts";#N/A,#N/A,FALSE,"Tickmarks"}</definedName>
    <definedName name="ㅇㅁㄻ" localSheetId="4" hidden="1">{#N/A,#N/A,FALSE,"Aging Summary";#N/A,#N/A,FALSE,"Ratio Analysis";#N/A,#N/A,FALSE,"Test 120 Day Accts";#N/A,#N/A,FALSE,"Tickmarks"}</definedName>
    <definedName name="ㅇㅁㄻ" localSheetId="3" hidden="1">{#N/A,#N/A,FALSE,"Aging Summary";#N/A,#N/A,FALSE,"Ratio Analysis";#N/A,#N/A,FALSE,"Test 120 Day Accts";#N/A,#N/A,FALSE,"Tickmarks"}</definedName>
    <definedName name="ㅇㅁㄻ" localSheetId="1" hidden="1">{#N/A,#N/A,FALSE,"Aging Summary";#N/A,#N/A,FALSE,"Ratio Analysis";#N/A,#N/A,FALSE,"Test 120 Day Accts";#N/A,#N/A,FALSE,"Tickmarks"}</definedName>
    <definedName name="ㅇㅁㄻ" hidden="1">{#N/A,#N/A,FALSE,"Aging Summary";#N/A,#N/A,FALSE,"Ratio Analysis";#N/A,#N/A,FALSE,"Test 120 Day Accts";#N/A,#N/A,FALSE,"Tickmarks"}</definedName>
    <definedName name="ㅇㅁㄻㅇㄴㄹㅇㅁ" localSheetId="5" hidden="1">{#N/A,#N/A,FALSE,"Aging Summary";#N/A,#N/A,FALSE,"Ratio Analysis";#N/A,#N/A,FALSE,"Test 120 Day Accts";#N/A,#N/A,FALSE,"Tickmarks"}</definedName>
    <definedName name="ㅇㅁㄻㅇㄴㄹㅇㅁ" localSheetId="4" hidden="1">{#N/A,#N/A,FALSE,"Aging Summary";#N/A,#N/A,FALSE,"Ratio Analysis";#N/A,#N/A,FALSE,"Test 120 Day Accts";#N/A,#N/A,FALSE,"Tickmarks"}</definedName>
    <definedName name="ㅇㅁㄻㅇㄴㄹㅇㅁ" localSheetId="3" hidden="1">{#N/A,#N/A,FALSE,"Aging Summary";#N/A,#N/A,FALSE,"Ratio Analysis";#N/A,#N/A,FALSE,"Test 120 Day Accts";#N/A,#N/A,FALSE,"Tickmarks"}</definedName>
    <definedName name="ㅇㅁㄻㅇㄴㄹㅇㅁ" localSheetId="1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localSheetId="5" hidden="1">{#N/A,#N/A,FALSE,"Aging Summary";#N/A,#N/A,FALSE,"Ratio Analysis";#N/A,#N/A,FALSE,"Test 120 Day Accts";#N/A,#N/A,FALSE,"Tickmarks"}</definedName>
    <definedName name="ㅇㅁㄻㅇㄹ" localSheetId="4" hidden="1">{#N/A,#N/A,FALSE,"Aging Summary";#N/A,#N/A,FALSE,"Ratio Analysis";#N/A,#N/A,FALSE,"Test 120 Day Accts";#N/A,#N/A,FALSE,"Tickmarks"}</definedName>
    <definedName name="ㅇㅁㄻㅇㄹ" localSheetId="3" hidden="1">{#N/A,#N/A,FALSE,"Aging Summary";#N/A,#N/A,FALSE,"Ratio Analysis";#N/A,#N/A,FALSE,"Test 120 Day Accts";#N/A,#N/A,FALSE,"Tickmarks"}</definedName>
    <definedName name="ㅇㅁㄻㅇㄹ" localSheetId="1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 localSheetId="5">#REF!</definedName>
    <definedName name="ㅇㅁㅇ" localSheetId="4">#REF!</definedName>
    <definedName name="ㅇㅁㅇ" localSheetId="3">#REF!</definedName>
    <definedName name="ㅇㅁㅇ" localSheetId="1">#REF!</definedName>
    <definedName name="ㅇㅁㅇ">#REF!</definedName>
    <definedName name="ㅇㅇ" localSheetId="5">#REF!</definedName>
    <definedName name="ㅇㅇ" localSheetId="4">#REF!</definedName>
    <definedName name="ㅇㅇ" localSheetId="3">#REF!</definedName>
    <definedName name="ㅇㅇ" localSheetId="1">#REF!</definedName>
    <definedName name="ㅇㅇ">#REF!</definedName>
    <definedName name="ㅇㅇㄳ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5">BlankMacro1</definedName>
    <definedName name="ㅇㅇㄴ" localSheetId="4">BlankMacro1</definedName>
    <definedName name="ㅇㅇㄴ" localSheetId="3">BlankMacro1</definedName>
    <definedName name="ㅇㅇㄴ" localSheetId="2">BlankMacro1</definedName>
    <definedName name="ㅇㅇㄴ" localSheetId="1">BlankMacro1</definedName>
    <definedName name="ㅇㅇㄴ" localSheetId="0">BlankMacro1</definedName>
    <definedName name="ㅇㅇㄴ">BlankMacro1</definedName>
    <definedName name="ㅇㅇㄴㄴㄴㄴ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4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3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 localSheetId="5">#REF!</definedName>
    <definedName name="ㅇㅇㅁㄹ" localSheetId="4">#REF!</definedName>
    <definedName name="ㅇㅇㅁㄹ" localSheetId="3">#REF!</definedName>
    <definedName name="ㅇㅇㅁㄹ" localSheetId="1">#REF!</definedName>
    <definedName name="ㅇㅇㅁㄹ">#REF!</definedName>
    <definedName name="ㅇㅇㅇ" localSheetId="3">#REF!</definedName>
    <definedName name="ㅇㅇㅇ" localSheetId="1">#REF!</definedName>
    <definedName name="ㅇㅇㅇ">#REF!</definedName>
    <definedName name="ㅇㅇㅇㅇ" localSheetId="3">#REF!</definedName>
    <definedName name="ㅇㅇㅇㅇ" localSheetId="1">#REF!</definedName>
    <definedName name="ㅇㅇㅇㅇ">#REF!</definedName>
    <definedName name="ㅇㅇㅇㅇㅇ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localSheetId="5" hidden="1">{#N/A,#N/A,TRUE,"대 차 대 조 표"}</definedName>
    <definedName name="ㅇㅇㅇㅇㅇ_1" localSheetId="4" hidden="1">{#N/A,#N/A,TRUE,"대 차 대 조 표"}</definedName>
    <definedName name="ㅇㅇㅇㅇㅇ_1" localSheetId="3" hidden="1">{#N/A,#N/A,TRUE,"대 차 대 조 표"}</definedName>
    <definedName name="ㅇㅇㅇㅇㅇ_1" localSheetId="1" hidden="1">{#N/A,#N/A,TRUE,"대 차 대 조 표"}</definedName>
    <definedName name="ㅇㅇㅇㅇㅇ_1" hidden="1">{#N/A,#N/A,TRUE,"대 차 대 조 표"}</definedName>
    <definedName name="ㅇㅇㅇㅇㅇㅇ" localSheetId="5">#REF!</definedName>
    <definedName name="ㅇㅇㅇㅇㅇㅇ" localSheetId="4">#REF!</definedName>
    <definedName name="ㅇㅇㅇㅇㅇㅇ" localSheetId="3">#REF!</definedName>
    <definedName name="ㅇㅇㅇㅇㅇㅇ" localSheetId="1">#REF!</definedName>
    <definedName name="ㅇㅇㅇㅇㅇㅇ">#REF!</definedName>
    <definedName name="ㅇㅇㅇㅇㅇㅇㅇㅇ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4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3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localSheetId="5" hidden="1">{#N/A,#N/A,TRUE,"Y생산";#N/A,#N/A,TRUE,"Y판매";#N/A,#N/A,TRUE,"Y총물량";#N/A,#N/A,TRUE,"Y능력";#N/A,#N/A,TRUE,"YKD"}</definedName>
    <definedName name="ㅇㅇㅇㅇㅇㅇㅇㅇㅇㅇㅇ" localSheetId="4" hidden="1">{#N/A,#N/A,TRUE,"Y생산";#N/A,#N/A,TRUE,"Y판매";#N/A,#N/A,TRUE,"Y총물량";#N/A,#N/A,TRUE,"Y능력";#N/A,#N/A,TRUE,"YKD"}</definedName>
    <definedName name="ㅇㅇㅇㅇㅇㅇㅇㅇㅇㅇㅇ" localSheetId="3" hidden="1">{#N/A,#N/A,TRUE,"Y생산";#N/A,#N/A,TRUE,"Y판매";#N/A,#N/A,TRUE,"Y총물량";#N/A,#N/A,TRUE,"Y능력";#N/A,#N/A,TRUE,"YKD"}</definedName>
    <definedName name="ㅇㅇㅇㅇㅇㅇㅇㅇㅇㅇㅇ" localSheetId="1" hidden="1">{#N/A,#N/A,TRUE,"Y생산";#N/A,#N/A,TRUE,"Y판매";#N/A,#N/A,TRUE,"Y총물량";#N/A,#N/A,TRUE,"Y능력";#N/A,#N/A,TRUE,"YKD"}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localSheetId="5" hidden="1">{#N/A,#N/A,TRUE,"Y생산";#N/A,#N/A,TRUE,"Y판매";#N/A,#N/A,TRUE,"Y총물량";#N/A,#N/A,TRUE,"Y능력";#N/A,#N/A,TRUE,"YKD"}</definedName>
    <definedName name="ㅇㅇㅇㅇㅇㅇㅇㅇㅇㅇㅇ_1" localSheetId="4" hidden="1">{#N/A,#N/A,TRUE,"Y생산";#N/A,#N/A,TRUE,"Y판매";#N/A,#N/A,TRUE,"Y총물량";#N/A,#N/A,TRUE,"Y능력";#N/A,#N/A,TRUE,"YKD"}</definedName>
    <definedName name="ㅇㅇㅇㅇㅇㅇㅇㅇㅇㅇㅇ_1" localSheetId="3" hidden="1">{#N/A,#N/A,TRUE,"Y생산";#N/A,#N/A,TRUE,"Y판매";#N/A,#N/A,TRUE,"Y총물량";#N/A,#N/A,TRUE,"Y능력";#N/A,#N/A,TRUE,"YKD"}</definedName>
    <definedName name="ㅇㅇㅇㅇㅇㅇㅇㅇㅇㅇㅇ_1" localSheetId="1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 localSheetId="5">#REF!</definedName>
    <definedName name="ㅇㅇㅇㅇㅇㅇㅇㅇㅇㅇㅇㅇ" localSheetId="4">#REF!</definedName>
    <definedName name="ㅇㅇㅇㅇㅇㅇㅇㅇㅇㅇㅇㅇ" localSheetId="3">#REF!</definedName>
    <definedName name="ㅇㅇㅇㅇㅇㅇㅇㅇㅇㅇㅇㅇ" localSheetId="1">#REF!</definedName>
    <definedName name="ㅇㅇㅇㅇㅇㅇㅇㅇㅇㅇㅇㅇ">#REF!</definedName>
    <definedName name="ㅇㅇㅇㅇㅇㅇㅇㅇㅇㅇㅇㅇㅇㅇ" localSheetId="5">#REF!</definedName>
    <definedName name="ㅇㅇㅇㅇㅇㅇㅇㅇㅇㅇㅇㅇㅇㅇ" localSheetId="4">#REF!</definedName>
    <definedName name="ㅇㅇㅇㅇㅇㅇㅇㅇㅇㅇㅇㅇㅇㅇ" localSheetId="3">#REF!</definedName>
    <definedName name="ㅇㅇㅇㅇㅇㅇㅇㅇㅇㅇㅇㅇㅇㅇ" localSheetId="1">#REF!</definedName>
    <definedName name="ㅇㅇㅇㅇㅇㅇㅇㅇㅇㅇㅇㅇㅇㅇ">#REF!</definedName>
    <definedName name="ㅇㅇㅇㅇㅇㅇㅇㅇㅇㅇㅇㅇㅇㅇㅇㅇㅇㅇㅇ" localSheetId="3">#REF!</definedName>
    <definedName name="ㅇㅇㅇㅇㅇㅇㅇㅇㅇㅇㅇㅇㅇㅇㅇㅇㅇㅇㅇ" localSheetId="1">#REF!</definedName>
    <definedName name="ㅇㅇㅇㅇㅇㅇㅇㅇㅇㅇㅇㅇㅇㅇㅇㅇㅇㅇㅇ">#REF!</definedName>
    <definedName name="ㅇㅈ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localSheetId="5" hidden="1">{#N/A,#N/A,FALSE,"단축1";#N/A,#N/A,FALSE,"단축2";#N/A,#N/A,FALSE,"단축3";#N/A,#N/A,FALSE,"장축";#N/A,#N/A,FALSE,"4WD"}</definedName>
    <definedName name="ㅇㅎ" localSheetId="4" hidden="1">{#N/A,#N/A,FALSE,"단축1";#N/A,#N/A,FALSE,"단축2";#N/A,#N/A,FALSE,"단축3";#N/A,#N/A,FALSE,"장축";#N/A,#N/A,FALSE,"4WD"}</definedName>
    <definedName name="ㅇㅎ" localSheetId="3" hidden="1">{#N/A,#N/A,FALSE,"단축1";#N/A,#N/A,FALSE,"단축2";#N/A,#N/A,FALSE,"단축3";#N/A,#N/A,FALSE,"장축";#N/A,#N/A,FALSE,"4WD"}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호" localSheetId="5">#REF!</definedName>
    <definedName name="ㅇ호" localSheetId="4">#REF!</definedName>
    <definedName name="ㅇ호" localSheetId="3">#REF!</definedName>
    <definedName name="ㅇ호" localSheetId="1">#REF!</definedName>
    <definedName name="ㅇ호">#REF!</definedName>
    <definedName name="아" localSheetId="5">#REF!</definedName>
    <definedName name="아" localSheetId="4">#REF!</definedName>
    <definedName name="아" localSheetId="3">#REF!</definedName>
    <definedName name="아" localSheetId="1">#REF!</definedName>
    <definedName name="아">#REF!</definedName>
    <definedName name="아름" localSheetId="3">#REF!</definedName>
    <definedName name="아름" localSheetId="1">#REF!</definedName>
    <definedName name="아름">#REF!</definedName>
    <definedName name="아메리카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localSheetId="5" hidden="1">{#N/A,#N/A,FALSE,"1.CRITERIA";#N/A,#N/A,FALSE,"2.IS";#N/A,#N/A,FALSE,"3.BS";#N/A,#N/A,FALSE,"4.PER PL";#N/A,#N/A,FALSE,"5.INVESTMENT";#N/A,#N/A,FALSE,"6.공문";#N/A,#N/A,FALSE,"7.netinvest"}</definedName>
    <definedName name="아아아" localSheetId="4" hidden="1">{#N/A,#N/A,FALSE,"1.CRITERIA";#N/A,#N/A,FALSE,"2.IS";#N/A,#N/A,FALSE,"3.BS";#N/A,#N/A,FALSE,"4.PER PL";#N/A,#N/A,FALSE,"5.INVESTMENT";#N/A,#N/A,FALSE,"6.공문";#N/A,#N/A,FALSE,"7.netinvest"}</definedName>
    <definedName name="아아아" localSheetId="3" hidden="1">{#N/A,#N/A,FALSE,"1.CRITERIA";#N/A,#N/A,FALSE,"2.IS";#N/A,#N/A,FALSE,"3.BS";#N/A,#N/A,FALSE,"4.PER PL";#N/A,#N/A,FALSE,"5.INVESTMENT";#N/A,#N/A,FALSE,"6.공문";#N/A,#N/A,FALSE,"7.netinvest"}</definedName>
    <definedName name="아아아" localSheetId="1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localSheetId="5" hidden="1">{#N/A,#N/A,FALSE,"1.CRITERIA";#N/A,#N/A,FALSE,"2.IS";#N/A,#N/A,FALSE,"3.BS";#N/A,#N/A,FALSE,"4.PER PL";#N/A,#N/A,FALSE,"5.INVESTMENT";#N/A,#N/A,FALSE,"6.공문";#N/A,#N/A,FALSE,"7.netinvest"}</definedName>
    <definedName name="아이" localSheetId="4" hidden="1">{#N/A,#N/A,FALSE,"1.CRITERIA";#N/A,#N/A,FALSE,"2.IS";#N/A,#N/A,FALSE,"3.BS";#N/A,#N/A,FALSE,"4.PER PL";#N/A,#N/A,FALSE,"5.INVESTMENT";#N/A,#N/A,FALSE,"6.공문";#N/A,#N/A,FALSE,"7.netinvest"}</definedName>
    <definedName name="아이" localSheetId="3" hidden="1">{#N/A,#N/A,FALSE,"1.CRITERIA";#N/A,#N/A,FALSE,"2.IS";#N/A,#N/A,FALSE,"3.BS";#N/A,#N/A,FALSE,"4.PER PL";#N/A,#N/A,FALSE,"5.INVESTMENT";#N/A,#N/A,FALSE,"6.공문";#N/A,#N/A,FALSE,"7.netinvest"}</definedName>
    <definedName name="아이" localSheetId="1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 localSheetId="3">OFFSET(#REF!,0,0,COUNTA(#REF!)-1)</definedName>
    <definedName name="아이템" localSheetId="1">OFFSET(#REF!,0,0,COUNTA(#REF!)-1)</definedName>
    <definedName name="아이템">OFFSET(#REF!,0,0,COUNTA(#REF!)-1)</definedName>
    <definedName name="아프" localSheetId="5">#REF!</definedName>
    <definedName name="아프" localSheetId="4">#REF!</definedName>
    <definedName name="아프" localSheetId="3">#REF!</definedName>
    <definedName name="아프" localSheetId="1">#REF!</definedName>
    <definedName name="아프">#REF!</definedName>
    <definedName name="아ㅏㅏ" localSheetId="3" hidden="1">#REF!</definedName>
    <definedName name="아ㅏㅏ" localSheetId="1" hidden="1">#REF!</definedName>
    <definedName name="아ㅏㅏ" hidden="1">#REF!</definedName>
    <definedName name="안" localSheetId="3">#REF!</definedName>
    <definedName name="안" localSheetId="1">#REF!</definedName>
    <definedName name="안">#REF!</definedName>
    <definedName name="안건종합" localSheetId="3">#REF!</definedName>
    <definedName name="안건종합" localSheetId="1">#REF!</definedName>
    <definedName name="안건종합">#REF!</definedName>
    <definedName name="안녕하세용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localSheetId="5" hidden="1">{#N/A,#N/A,FALSE,"채산3501.XLS";#N/A,#N/A,FALSE,"신조수A.XLS";#N/A,#N/A,FALSE,"신조수b.XLS";#N/A,#N/A,FALSE,"채산3502.XLS";#N/A,#N/A,FALSE,"신조원리.XLS";#N/A,#N/A,FALSE,"신조감가.XLS"}</definedName>
    <definedName name="안우준" localSheetId="4" hidden="1">{#N/A,#N/A,FALSE,"채산3501.XLS";#N/A,#N/A,FALSE,"신조수A.XLS";#N/A,#N/A,FALSE,"신조수b.XLS";#N/A,#N/A,FALSE,"채산3502.XLS";#N/A,#N/A,FALSE,"신조원리.XLS";#N/A,#N/A,FALSE,"신조감가.XLS"}</definedName>
    <definedName name="안우준" localSheetId="3" hidden="1">{#N/A,#N/A,FALSE,"채산3501.XLS";#N/A,#N/A,FALSE,"신조수A.XLS";#N/A,#N/A,FALSE,"신조수b.XLS";#N/A,#N/A,FALSE,"채산3502.XLS";#N/A,#N/A,FALSE,"신조원리.XLS";#N/A,#N/A,FALSE,"신조감가.XLS"}</definedName>
    <definedName name="안우준" localSheetId="1" hidden="1">{#N/A,#N/A,FALSE,"채산3501.XLS";#N/A,#N/A,FALSE,"신조수A.XLS";#N/A,#N/A,FALSE,"신조수b.XLS";#N/A,#N/A,FALSE,"채산3502.XLS";#N/A,#N/A,FALSE,"신조원리.XLS";#N/A,#N/A,FALSE,"신조감가.XLS"}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 localSheetId="5">#REF!</definedName>
    <definedName name="안재용" localSheetId="4">#REF!</definedName>
    <definedName name="안재용" localSheetId="3">#REF!</definedName>
    <definedName name="안재용" localSheetId="1">#REF!</definedName>
    <definedName name="안재용">#REF!</definedName>
    <definedName name="안진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 localSheetId="5">#REF!</definedName>
    <definedName name="알" localSheetId="4">#REF!</definedName>
    <definedName name="알" localSheetId="3">#REF!</definedName>
    <definedName name="알" localSheetId="1">#REF!</definedName>
    <definedName name="알">#REF!</definedName>
    <definedName name="알제리" localSheetId="5">#REF!</definedName>
    <definedName name="알제리" localSheetId="4">#REF!</definedName>
    <definedName name="알제리" localSheetId="3">#REF!</definedName>
    <definedName name="알제리" localSheetId="1">#REF!</definedName>
    <definedName name="알제리">#REF!</definedName>
    <definedName name="암류허가신청">#N/A</definedName>
    <definedName name="암사" localSheetId="5" hidden="1">{#N/A,#N/A,TRUE,"대 차 대 조 표"}</definedName>
    <definedName name="암사" localSheetId="4" hidden="1">{#N/A,#N/A,TRUE,"대 차 대 조 표"}</definedName>
    <definedName name="암사" localSheetId="3" hidden="1">{#N/A,#N/A,TRUE,"대 차 대 조 표"}</definedName>
    <definedName name="암사" localSheetId="1" hidden="1">{#N/A,#N/A,TRUE,"대 차 대 조 표"}</definedName>
    <definedName name="암사" hidden="1">{#N/A,#N/A,TRUE,"대 차 대 조 표"}</definedName>
    <definedName name="암사_1" localSheetId="5" hidden="1">{#N/A,#N/A,TRUE,"대 차 대 조 표"}</definedName>
    <definedName name="암사_1" localSheetId="4" hidden="1">{#N/A,#N/A,TRUE,"대 차 대 조 표"}</definedName>
    <definedName name="암사_1" localSheetId="3" hidden="1">{#N/A,#N/A,TRUE,"대 차 대 조 표"}</definedName>
    <definedName name="암사_1" localSheetId="1" hidden="1">{#N/A,#N/A,TRUE,"대 차 대 조 표"}</definedName>
    <definedName name="암사_1" hidden="1">{#N/A,#N/A,TRUE,"대 차 대 조 표"}</definedName>
    <definedName name="앙" localSheetId="5" hidden="1">{#N/A,#N/A,FALSE,"BS";#N/A,#N/A,FALSE,"PL";#N/A,#N/A,FALSE,"처분";#N/A,#N/A,FALSE,"현금";#N/A,#N/A,FALSE,"매출";#N/A,#N/A,FALSE,"원가";#N/A,#N/A,FALSE,"경영"}</definedName>
    <definedName name="앙" localSheetId="4" hidden="1">{#N/A,#N/A,FALSE,"BS";#N/A,#N/A,FALSE,"PL";#N/A,#N/A,FALSE,"처분";#N/A,#N/A,FALSE,"현금";#N/A,#N/A,FALSE,"매출";#N/A,#N/A,FALSE,"원가";#N/A,#N/A,FALSE,"경영"}</definedName>
    <definedName name="앙" localSheetId="3" hidden="1">{#N/A,#N/A,FALSE,"BS";#N/A,#N/A,FALSE,"PL";#N/A,#N/A,FALSE,"처분";#N/A,#N/A,FALSE,"현금";#N/A,#N/A,FALSE,"매출";#N/A,#N/A,FALSE,"원가";#N/A,#N/A,FALSE,"경영"}</definedName>
    <definedName name="앙" localSheetId="1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_1" localSheetId="5" hidden="1">{#N/A,#N/A,FALSE,"BS";#N/A,#N/A,FALSE,"PL";#N/A,#N/A,FALSE,"처분";#N/A,#N/A,FALSE,"현금";#N/A,#N/A,FALSE,"매출";#N/A,#N/A,FALSE,"원가";#N/A,#N/A,FALSE,"경영"}</definedName>
    <definedName name="앙_1" localSheetId="4" hidden="1">{#N/A,#N/A,FALSE,"BS";#N/A,#N/A,FALSE,"PL";#N/A,#N/A,FALSE,"처분";#N/A,#N/A,FALSE,"현금";#N/A,#N/A,FALSE,"매출";#N/A,#N/A,FALSE,"원가";#N/A,#N/A,FALSE,"경영"}</definedName>
    <definedName name="앙_1" localSheetId="3" hidden="1">{#N/A,#N/A,FALSE,"BS";#N/A,#N/A,FALSE,"PL";#N/A,#N/A,FALSE,"처분";#N/A,#N/A,FALSE,"현금";#N/A,#N/A,FALSE,"매출";#N/A,#N/A,FALSE,"원가";#N/A,#N/A,FALSE,"경영"}</definedName>
    <definedName name="앙_1" localSheetId="1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 localSheetId="5">#REF!</definedName>
    <definedName name="야간근로" localSheetId="4">#REF!</definedName>
    <definedName name="야간근로" localSheetId="3">#REF!</definedName>
    <definedName name="야간근로" localSheetId="1">#REF!</definedName>
    <definedName name="야간근로">#REF!</definedName>
    <definedName name="야간연장" localSheetId="3">#REF!</definedName>
    <definedName name="야간연장" localSheetId="1">#REF!</definedName>
    <definedName name="야간연장">#REF!</definedName>
    <definedName name="야간휴일" localSheetId="3">#REF!</definedName>
    <definedName name="야간휴일" localSheetId="1">#REF!</definedName>
    <definedName name="야간휴일">#REF!</definedName>
    <definedName name="양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 localSheetId="5">#REF!</definedName>
    <definedName name="양승" localSheetId="4">#REF!</definedName>
    <definedName name="양승" localSheetId="3">#REF!</definedName>
    <definedName name="양승" localSheetId="1">#REF!</definedName>
    <definedName name="양승">#REF!</definedName>
    <definedName name="양승화" localSheetId="3">#REF!</definedName>
    <definedName name="양승화" localSheetId="1">#REF!</definedName>
    <definedName name="양승화">#REF!</definedName>
    <definedName name="어떡해" localSheetId="5" hidden="1">{"'Sheet1'!$A$1:$H$36"}</definedName>
    <definedName name="어떡해" localSheetId="4" hidden="1">{"'Sheet1'!$A$1:$H$36"}</definedName>
    <definedName name="어떡해" localSheetId="3" hidden="1">{"'Sheet1'!$A$1:$H$36"}</definedName>
    <definedName name="어떡해" localSheetId="1" hidden="1">{"'Sheet1'!$A$1:$H$36"}</definedName>
    <definedName name="어떡해" hidden="1">{"'Sheet1'!$A$1:$H$36"}</definedName>
    <definedName name="어떻하지" localSheetId="3" hidden="1">#REF!</definedName>
    <definedName name="어떻하지" localSheetId="1" hidden="1">#REF!</definedName>
    <definedName name="어떻하지" hidden="1">#REF!</definedName>
    <definedName name="어떻화라고" localSheetId="5" hidden="1">{"'호선별현황(방식)'!$K$22:$P$22","'호선별현황(방식)'!$K$22:$P$22"}</definedName>
    <definedName name="어떻화라고" localSheetId="4" hidden="1">{"'호선별현황(방식)'!$K$22:$P$22","'호선별현황(방식)'!$K$22:$P$22"}</definedName>
    <definedName name="어떻화라고" localSheetId="3" hidden="1">{"'호선별현황(방식)'!$K$22:$P$22","'호선별현황(방식)'!$K$22:$P$22"}</definedName>
    <definedName name="어떻화라고" localSheetId="1" hidden="1">{"'호선별현황(방식)'!$K$22:$P$22","'호선별현황(방식)'!$K$22:$P$22"}</definedName>
    <definedName name="어떻화라고" hidden="1">{"'호선별현황(방식)'!$K$22:$P$22","'호선별현황(방식)'!$K$22:$P$22"}</definedName>
    <definedName name="어어" localSheetId="5" hidden="1">{#N/A,#N/A,FALSE,"1.CRITERIA";#N/A,#N/A,FALSE,"2.IS";#N/A,#N/A,FALSE,"3.BS";#N/A,#N/A,FALSE,"4.PER PL";#N/A,#N/A,FALSE,"5.INVESTMENT";#N/A,#N/A,FALSE,"6.공문";#N/A,#N/A,FALSE,"7.netinvest"}</definedName>
    <definedName name="어어" localSheetId="4" hidden="1">{#N/A,#N/A,FALSE,"1.CRITERIA";#N/A,#N/A,FALSE,"2.IS";#N/A,#N/A,FALSE,"3.BS";#N/A,#N/A,FALSE,"4.PER PL";#N/A,#N/A,FALSE,"5.INVESTMENT";#N/A,#N/A,FALSE,"6.공문";#N/A,#N/A,FALSE,"7.netinvest"}</definedName>
    <definedName name="어어" localSheetId="3" hidden="1">{#N/A,#N/A,FALSE,"1.CRITERIA";#N/A,#N/A,FALSE,"2.IS";#N/A,#N/A,FALSE,"3.BS";#N/A,#N/A,FALSE,"4.PER PL";#N/A,#N/A,FALSE,"5.INVESTMENT";#N/A,#N/A,FALSE,"6.공문";#N/A,#N/A,FALSE,"7.netinvest"}</definedName>
    <definedName name="어어" localSheetId="1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 localSheetId="5">#REF!</definedName>
    <definedName name="어음수금율_120" localSheetId="4">#REF!</definedName>
    <definedName name="어음수금율_120" localSheetId="3">#REF!</definedName>
    <definedName name="어음수금율_120" localSheetId="1">#REF!</definedName>
    <definedName name="어음수금율_120">#REF!</definedName>
    <definedName name="어음수금율_150" localSheetId="3">#REF!</definedName>
    <definedName name="어음수금율_150" localSheetId="1">#REF!</definedName>
    <definedName name="어음수금율_150">#REF!</definedName>
    <definedName name="어음수금율_180" localSheetId="3">#REF!</definedName>
    <definedName name="어음수금율_180" localSheetId="1">#REF!</definedName>
    <definedName name="어음수금율_180">#REF!</definedName>
    <definedName name="어음수금율_30" localSheetId="3">#REF!</definedName>
    <definedName name="어음수금율_30" localSheetId="1">#REF!</definedName>
    <definedName name="어음수금율_30">#REF!</definedName>
    <definedName name="어음수금율_60" localSheetId="3">#REF!</definedName>
    <definedName name="어음수금율_60" localSheetId="1">#REF!</definedName>
    <definedName name="어음수금율_60">#REF!</definedName>
    <definedName name="어음수금율_90" localSheetId="3">#REF!</definedName>
    <definedName name="어음수금율_90" localSheetId="1">#REF!</definedName>
    <definedName name="어음수금율_90">#REF!</definedName>
    <definedName name="어쩌구" localSheetId="3">#REF!</definedName>
    <definedName name="어쩌구" localSheetId="1">#REF!</definedName>
    <definedName name="어쩌구">#REF!</definedName>
    <definedName name="어쩌라고" localSheetId="3">#REF!</definedName>
    <definedName name="어쩌라고" localSheetId="1">#REF!</definedName>
    <definedName name="어쩌라고">#REF!</definedName>
    <definedName name="어ㅏ얼ㅇㄹ" localSheetId="3">#REF!</definedName>
    <definedName name="어ㅏ얼ㅇㄹ" localSheetId="1">#REF!</definedName>
    <definedName name="어ㅏ얼ㅇㄹ">#REF!</definedName>
    <definedName name="억" localSheetId="3">IF(INT(RIGHT(#REF!,9)/100000000)=0,"",CHOOSE(INT(RIGHT(#REF!,9)/100000000),"일","이","삼","사","오","육","칠","팔","구")&amp;"억")</definedName>
    <definedName name="억" localSheetId="1">IF(INT(RIGHT(#REF!,9)/100000000)=0,"",CHOOSE(INT(RIGHT(#REF!,9)/100000000),"일","이","삼","사","오","육","칠","팔","구")&amp;"억")</definedName>
    <definedName name="억">IF(INT(RIGHT(#REF!,9)/100000000)=0,"",CHOOSE(INT(RIGHT(#REF!,9)/100000000),"일","이","삼","사","오","육","칠","팔","구")&amp;"억")</definedName>
    <definedName name="업무" localSheetId="5">#REF!</definedName>
    <definedName name="업무" localSheetId="4">#REF!</definedName>
    <definedName name="업무" localSheetId="3">#REF!</definedName>
    <definedName name="업무" localSheetId="1">#REF!</definedName>
    <definedName name="업무">#REF!</definedName>
    <definedName name="업무_1" localSheetId="5" hidden="1">{#N/A,#N/A,TRUE,"대 차 대 조 표"}</definedName>
    <definedName name="업무_1" localSheetId="4" hidden="1">{#N/A,#N/A,TRUE,"대 차 대 조 표"}</definedName>
    <definedName name="업무_1" localSheetId="3" hidden="1">{#N/A,#N/A,TRUE,"대 차 대 조 표"}</definedName>
    <definedName name="업무_1" localSheetId="1" hidden="1">{#N/A,#N/A,TRUE,"대 차 대 조 표"}</definedName>
    <definedName name="업무_1" hidden="1">{#N/A,#N/A,TRUE,"대 차 대 조 표"}</definedName>
    <definedName name="업무2" localSheetId="5">#REF!</definedName>
    <definedName name="업무2" localSheetId="4">#REF!</definedName>
    <definedName name="업무2" localSheetId="3">#REF!</definedName>
    <definedName name="업무2" localSheetId="1">#REF!</definedName>
    <definedName name="업무2">#REF!</definedName>
    <definedName name="업무계획" localSheetId="5" hidden="1">{"'호선별현황(방식)'!$K$22:$P$22","'호선별현황(방식)'!$K$22:$P$22"}</definedName>
    <definedName name="업무계획" localSheetId="4" hidden="1">{"'호선별현황(방식)'!$K$22:$P$22","'호선별현황(방식)'!$K$22:$P$22"}</definedName>
    <definedName name="업무계획" localSheetId="3" hidden="1">{"'호선별현황(방식)'!$K$22:$P$22","'호선별현황(방식)'!$K$22:$P$22"}</definedName>
    <definedName name="업무계획" localSheetId="1" hidden="1">{"'호선별현황(방식)'!$K$22:$P$22","'호선별현황(방식)'!$K$22:$P$22"}</definedName>
    <definedName name="업무계획" hidden="1">{"'호선별현황(방식)'!$K$22:$P$22","'호선별현황(방식)'!$K$22:$P$22"}</definedName>
    <definedName name="업무계획표" localSheetId="5" hidden="1">{#N/A,#N/A,TRUE,"대 차 대 조 표"}</definedName>
    <definedName name="업무계획표" localSheetId="4" hidden="1">{#N/A,#N/A,TRUE,"대 차 대 조 표"}</definedName>
    <definedName name="업무계획표" localSheetId="3" hidden="1">{#N/A,#N/A,TRUE,"대 차 대 조 표"}</definedName>
    <definedName name="업무계획표" localSheetId="1" hidden="1">{#N/A,#N/A,TRUE,"대 차 대 조 표"}</definedName>
    <definedName name="업무계획표" hidden="1">{#N/A,#N/A,TRUE,"대 차 대 조 표"}</definedName>
    <definedName name="업무계획표_1" localSheetId="5" hidden="1">{#N/A,#N/A,TRUE,"대 차 대 조 표"}</definedName>
    <definedName name="업무계획표_1" localSheetId="4" hidden="1">{#N/A,#N/A,TRUE,"대 차 대 조 표"}</definedName>
    <definedName name="업무계획표_1" localSheetId="3" hidden="1">{#N/A,#N/A,TRUE,"대 차 대 조 표"}</definedName>
    <definedName name="업무계획표_1" localSheetId="1" hidden="1">{#N/A,#N/A,TRUE,"대 차 대 조 표"}</definedName>
    <definedName name="업무계획표_1" hidden="1">{#N/A,#N/A,TRUE,"대 차 대 조 표"}</definedName>
    <definedName name="업무계획표01" localSheetId="5" hidden="1">{#N/A,#N/A,TRUE,"대 차 대 조 표"}</definedName>
    <definedName name="업무계획표01" localSheetId="4" hidden="1">{#N/A,#N/A,TRUE,"대 차 대 조 표"}</definedName>
    <definedName name="업무계획표01" localSheetId="3" hidden="1">{#N/A,#N/A,TRUE,"대 차 대 조 표"}</definedName>
    <definedName name="업무계획표01" localSheetId="1" hidden="1">{#N/A,#N/A,TRUE,"대 차 대 조 표"}</definedName>
    <definedName name="업무계획표01" hidden="1">{#N/A,#N/A,TRUE,"대 차 대 조 표"}</definedName>
    <definedName name="업무계획표01_1" localSheetId="5" hidden="1">{#N/A,#N/A,TRUE,"대 차 대 조 표"}</definedName>
    <definedName name="업무계획표01_1" localSheetId="4" hidden="1">{#N/A,#N/A,TRUE,"대 차 대 조 표"}</definedName>
    <definedName name="업무계획표01_1" localSheetId="3" hidden="1">{#N/A,#N/A,TRUE,"대 차 대 조 표"}</definedName>
    <definedName name="업무계획표01_1" localSheetId="1" hidden="1">{#N/A,#N/A,TRUE,"대 차 대 조 표"}</definedName>
    <definedName name="업무계획표01_1" hidden="1">{#N/A,#N/A,TRUE,"대 차 대 조 표"}</definedName>
    <definedName name="업무시행" localSheetId="5">#REF!</definedName>
    <definedName name="업무시행" localSheetId="4">#REF!</definedName>
    <definedName name="업무시행" localSheetId="3">#REF!</definedName>
    <definedName name="업무시행" localSheetId="1">#REF!</definedName>
    <definedName name="업무시행">#REF!</definedName>
    <definedName name="업무실적1" localSheetId="5">#REF!</definedName>
    <definedName name="업무실적1" localSheetId="4">#REF!</definedName>
    <definedName name="업무실적1" localSheetId="3">#REF!</definedName>
    <definedName name="업무실적1" localSheetId="1">#REF!</definedName>
    <definedName name="업무실적1">#REF!</definedName>
    <definedName name="업무연락안양식_209_List" localSheetId="5">#REF!</definedName>
    <definedName name="업무연락안양식_209_List" localSheetId="4">#REF!</definedName>
    <definedName name="업무연락안양식_209_List" localSheetId="3">#REF!</definedName>
    <definedName name="업무연락안양식_209_List" localSheetId="1">#REF!</definedName>
    <definedName name="업무연락안양식_209_List">#REF!</definedName>
    <definedName name="업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 localSheetId="5">#REF!</definedName>
    <definedName name="엉댜ㄷㅈ" localSheetId="4">#REF!</definedName>
    <definedName name="엉댜ㄷㅈ" localSheetId="3">#REF!</definedName>
    <definedName name="엉댜ㄷㅈ" localSheetId="1">#REF!</definedName>
    <definedName name="엉댜ㄷㅈ">#REF!</definedName>
    <definedName name="엉댜ㄷㅈ1">#N/A</definedName>
    <definedName name="에너지비용산출근거" localSheetId="5">BlankMacro1</definedName>
    <definedName name="에너지비용산출근거" localSheetId="4">BlankMacro1</definedName>
    <definedName name="에너지비용산출근거" localSheetId="3">BlankMacro1</definedName>
    <definedName name="에너지비용산출근거" localSheetId="2">BlankMacro1</definedName>
    <definedName name="에너지비용산출근거" localSheetId="1">BlankMacro1</definedName>
    <definedName name="에너지비용산출근거" localSheetId="0">BlankMacro1</definedName>
    <definedName name="에너지비용산출근거">BlankMacro1</definedName>
    <definedName name="에누리.본" localSheetId="5">#REF!</definedName>
    <definedName name="에누리.본" localSheetId="4">#REF!</definedName>
    <definedName name="에누리.본" localSheetId="3">#REF!</definedName>
    <definedName name="에누리.본" localSheetId="1">#REF!</definedName>
    <definedName name="에누리.본">#REF!</definedName>
    <definedName name="에스페로16LPG" localSheetId="3">#REF!</definedName>
    <definedName name="에스페로16LPG" localSheetId="1">#REF!</definedName>
    <definedName name="에스페로16LPG">#REF!</definedName>
    <definedName name="에이" localSheetId="5" hidden="1">{#N/A,#N/A,TRUE,"Y생산";#N/A,#N/A,TRUE,"Y판매";#N/A,#N/A,TRUE,"Y총물량";#N/A,#N/A,TRUE,"Y능력";#N/A,#N/A,TRUE,"YKD"}</definedName>
    <definedName name="에이" localSheetId="4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localSheetId="1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엘지" localSheetId="5">OFFSET(#REF!,0,0,COUNTA(#REF!)-1,1)</definedName>
    <definedName name="엘지" localSheetId="4">OFFSET(#REF!,0,0,COUNTA(#REF!)-1,1)</definedName>
    <definedName name="엘지" localSheetId="3">OFFSET(#REF!,0,0,COUNTA(#REF!)-1,1)</definedName>
    <definedName name="엘지" localSheetId="1">OFFSET(#REF!,0,0,COUNTA(#REF!)-1,1)</definedName>
    <definedName name="엘지">OFFSET(#REF!,0,0,COUNTA(#REF!)-1,1)</definedName>
    <definedName name="여유분" localSheetId="5">#REF!</definedName>
    <definedName name="여유분" localSheetId="4">#REF!</definedName>
    <definedName name="여유분" localSheetId="3">#REF!</definedName>
    <definedName name="여유분" localSheetId="1">#REF!</definedName>
    <definedName name="여유분">#REF!</definedName>
    <definedName name="여이" localSheetId="5" hidden="1">{#N/A,#N/A,FALSE,"1.CRITERIA";#N/A,#N/A,FALSE,"2.IS";#N/A,#N/A,FALSE,"3.BS";#N/A,#N/A,FALSE,"4.PER PL";#N/A,#N/A,FALSE,"5.INVESTMENT";#N/A,#N/A,FALSE,"6.공문";#N/A,#N/A,FALSE,"7.netinvest"}</definedName>
    <definedName name="여이" localSheetId="4" hidden="1">{#N/A,#N/A,FALSE,"1.CRITERIA";#N/A,#N/A,FALSE,"2.IS";#N/A,#N/A,FALSE,"3.BS";#N/A,#N/A,FALSE,"4.PER PL";#N/A,#N/A,FALSE,"5.INVESTMENT";#N/A,#N/A,FALSE,"6.공문";#N/A,#N/A,FALSE,"7.netinvest"}</definedName>
    <definedName name="여이" localSheetId="3" hidden="1">{#N/A,#N/A,FALSE,"1.CRITERIA";#N/A,#N/A,FALSE,"2.IS";#N/A,#N/A,FALSE,"3.BS";#N/A,#N/A,FALSE,"4.PER PL";#N/A,#N/A,FALSE,"5.INVESTMENT";#N/A,#N/A,FALSE,"6.공문";#N/A,#N/A,FALSE,"7.netinvest"}</definedName>
    <definedName name="여이" localSheetId="1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 localSheetId="5">IF(#REF!="저압",0,ROUND(IF(#REF!&gt;0.95,0.05,#REF!-0.9)*#REF!*MAX(피크치1,#REF!,#REF!*0.3),0))</definedName>
    <definedName name="역률요금1" localSheetId="4">IF(#REF!="저압",0,ROUND(IF(#REF!&gt;0.95,0.05,#REF!-0.9)*#REF!*MAX(피크치1,#REF!,#REF!*0.3),0))</definedName>
    <definedName name="역률요금1" localSheetId="3">IF(#REF!="저압",0,ROUND(IF(#REF!&gt;0.95,0.05,#REF!-0.9)*Inven_after!기본요금1*MAX(피크치1,#REF!,#REF!*0.3),0))</definedName>
    <definedName name="역률요금1" localSheetId="1">IF(#REF!="저압",0,ROUND(IF(#REF!&gt;0.95,0.05,#REF!-0.9)*PL_after!기본요금1*MAX(피크치1,#REF!,#REF!*0.3),0))</definedName>
    <definedName name="역률요금1">IF(#REF!="저압",0,ROUND(IF(#REF!&gt;0.95,0.05,#REF!-0.9)*기본요금1*MAX(피크치1,#REF!,#REF!*0.3),0))</definedName>
    <definedName name="역삼동각지" localSheetId="3">#REF!</definedName>
    <definedName name="역삼동각지" localSheetId="1">#REF!</definedName>
    <definedName name="역삼동각지">#REF!</definedName>
    <definedName name="역삼빵" localSheetId="3">#REF!</definedName>
    <definedName name="역삼빵" localSheetId="1">#REF!</definedName>
    <definedName name="역삼빵">#REF!</definedName>
    <definedName name="역삼정산" localSheetId="3">#REF!</definedName>
    <definedName name="역삼정산" localSheetId="1">#REF!</definedName>
    <definedName name="역삼정산">#REF!</definedName>
    <definedName name="연" localSheetId="3">#REF!</definedName>
    <definedName name="연" localSheetId="1">#REF!</definedName>
    <definedName name="연">#REF!</definedName>
    <definedName name="연구" localSheetId="5" hidden="1">{#N/A,#N/A,FALSE,"3가";#N/A,#N/A,FALSE,"3나";#N/A,#N/A,FALSE,"3다"}</definedName>
    <definedName name="연구" localSheetId="4" hidden="1">{#N/A,#N/A,FALSE,"3가";#N/A,#N/A,FALSE,"3나";#N/A,#N/A,FALSE,"3다"}</definedName>
    <definedName name="연구" localSheetId="3" hidden="1">{#N/A,#N/A,FALSE,"3가";#N/A,#N/A,FALSE,"3나";#N/A,#N/A,FALSE,"3다"}</definedName>
    <definedName name="연구" localSheetId="1" hidden="1">{#N/A,#N/A,FALSE,"3가";#N/A,#N/A,FALSE,"3나";#N/A,#N/A,FALSE,"3다"}</definedName>
    <definedName name="연구" hidden="1">{#N/A,#N/A,FALSE,"3가";#N/A,#N/A,FALSE,"3나";#N/A,#N/A,FALSE,"3다"}</definedName>
    <definedName name="연구개발비" localSheetId="5">#REF!</definedName>
    <definedName name="연구개발비" localSheetId="4">#REF!</definedName>
    <definedName name="연구개발비" localSheetId="3">#REF!</definedName>
    <definedName name="연구개발비" localSheetId="1">#REF!</definedName>
    <definedName name="연구개발비">#REF!</definedName>
    <definedName name="연구비" localSheetId="3">#REF!</definedName>
    <definedName name="연구비" localSheetId="1">#REF!</definedName>
    <definedName name="연구비">#REF!</definedName>
    <definedName name="연면적_GFA" localSheetId="3">#REF!</definedName>
    <definedName name="연면적_GFA" localSheetId="1">#REF!</definedName>
    <definedName name="연면적_GFA">#REF!</definedName>
    <definedName name="연봉" localSheetId="3">#REF!</definedName>
    <definedName name="연봉" localSheetId="1">#REF!</definedName>
    <definedName name="연봉">#REF!</definedName>
    <definedName name="연봉1" localSheetId="3">#REF!</definedName>
    <definedName name="연봉1" localSheetId="1">#REF!</definedName>
    <definedName name="연봉1">#REF!</definedName>
    <definedName name="연봉2" localSheetId="3">#REF!</definedName>
    <definedName name="연봉2" localSheetId="1">#REF!</definedName>
    <definedName name="연봉2">#REF!</definedName>
    <definedName name="연봉3" localSheetId="3">#REF!</definedName>
    <definedName name="연봉3" localSheetId="1">#REF!</definedName>
    <definedName name="연봉3">#REF!</definedName>
    <definedName name="연습" localSheetId="3">#REF!</definedName>
    <definedName name="연습" localSheetId="1">#REF!</definedName>
    <definedName name="연습">#REF!</definedName>
    <definedName name="연월차" localSheetId="3">#REF!</definedName>
    <definedName name="연월차" localSheetId="1">#REF!</definedName>
    <definedName name="연월차">#REF!</definedName>
    <definedName name="연율" localSheetId="3">#REF!</definedName>
    <definedName name="연율" localSheetId="1">#REF!</definedName>
    <definedName name="연율">#REF!</definedName>
    <definedName name="연장" localSheetId="3">#REF!</definedName>
    <definedName name="연장" localSheetId="1">#REF!</definedName>
    <definedName name="연장">#REF!</definedName>
    <definedName name="연장추가" localSheetId="3">#REF!</definedName>
    <definedName name="연장추가" localSheetId="1">#REF!</definedName>
    <definedName name="연장추가">#REF!</definedName>
    <definedName name="연제판" localSheetId="3">#REF!</definedName>
    <definedName name="연제판" localSheetId="1">#REF!</definedName>
    <definedName name="연제판">#REF!</definedName>
    <definedName name="연직고" localSheetId="5">#REF!</definedName>
    <definedName name="연직고" localSheetId="4">#REF!</definedName>
    <definedName name="연직고" localSheetId="3">#REF!</definedName>
    <definedName name="연직고" localSheetId="1">#REF!</definedName>
    <definedName name="연직고">#REF!</definedName>
    <definedName name="연직변" localSheetId="5">#REF!</definedName>
    <definedName name="연직변" localSheetId="4">#REF!</definedName>
    <definedName name="연직변" localSheetId="3">#REF!</definedName>
    <definedName name="연직변" localSheetId="1">#REF!</definedName>
    <definedName name="연직변">#REF!</definedName>
    <definedName name="열세항목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localSheetId="5" hidden="1">{#N/A,#N/A,FALSE,"단축1";#N/A,#N/A,FALSE,"단축2";#N/A,#N/A,FALSE,"단축3";#N/A,#N/A,FALSE,"장축";#N/A,#N/A,FALSE,"4WD"}</definedName>
    <definedName name="열처리" localSheetId="4" hidden="1">{#N/A,#N/A,FALSE,"단축1";#N/A,#N/A,FALSE,"단축2";#N/A,#N/A,FALSE,"단축3";#N/A,#N/A,FALSE,"장축";#N/A,#N/A,FALSE,"4WD"}</definedName>
    <definedName name="열처리" localSheetId="3" hidden="1">{#N/A,#N/A,FALSE,"단축1";#N/A,#N/A,FALSE,"단축2";#N/A,#N/A,FALSE,"단축3";#N/A,#N/A,FALSE,"장축";#N/A,#N/A,FALSE,"4WD"}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" localSheetId="5">#REF!</definedName>
    <definedName name="영" localSheetId="4">#REF!</definedName>
    <definedName name="영" localSheetId="3">#REF!</definedName>
    <definedName name="영" localSheetId="1">#REF!</definedName>
    <definedName name="영">#REF!</definedName>
    <definedName name="영비" localSheetId="3">#REF!</definedName>
    <definedName name="영비" localSheetId="1">#REF!</definedName>
    <definedName name="영비">#REF!</definedName>
    <definedName name="영수" localSheetId="3">#REF!</definedName>
    <definedName name="영수" localSheetId="1">#REF!</definedName>
    <definedName name="영수">#REF!</definedName>
    <definedName name="영업" localSheetId="3" hidden="1">#REF!</definedName>
    <definedName name="영업" localSheetId="1" hidden="1">#REF!</definedName>
    <definedName name="영업" hidden="1">#REF!</definedName>
    <definedName name="영업권" localSheetId="5" hidden="1">{#N/A,#N/A,FALSE,"BS";#N/A,#N/A,FALSE,"PL";#N/A,#N/A,FALSE,"처분";#N/A,#N/A,FALSE,"현금";#N/A,#N/A,FALSE,"매출";#N/A,#N/A,FALSE,"원가";#N/A,#N/A,FALSE,"경영"}</definedName>
    <definedName name="영업권" localSheetId="4" hidden="1">{#N/A,#N/A,FALSE,"BS";#N/A,#N/A,FALSE,"PL";#N/A,#N/A,FALSE,"처분";#N/A,#N/A,FALSE,"현금";#N/A,#N/A,FALSE,"매출";#N/A,#N/A,FALSE,"원가";#N/A,#N/A,FALSE,"경영"}</definedName>
    <definedName name="영업권" localSheetId="3" hidden="1">{#N/A,#N/A,FALSE,"BS";#N/A,#N/A,FALSE,"PL";#N/A,#N/A,FALSE,"처분";#N/A,#N/A,FALSE,"현금";#N/A,#N/A,FALSE,"매출";#N/A,#N/A,FALSE,"원가";#N/A,#N/A,FALSE,"경영"}</definedName>
    <definedName name="영업권" localSheetId="1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5" hidden="1">{#N/A,#N/A,FALSE,"BS";#N/A,#N/A,FALSE,"PL";#N/A,#N/A,FALSE,"처분";#N/A,#N/A,FALSE,"현금";#N/A,#N/A,FALSE,"매출";#N/A,#N/A,FALSE,"원가";#N/A,#N/A,FALSE,"경영"}</definedName>
    <definedName name="영업권1" localSheetId="4" hidden="1">{#N/A,#N/A,FALSE,"BS";#N/A,#N/A,FALSE,"PL";#N/A,#N/A,FALSE,"처분";#N/A,#N/A,FALSE,"현금";#N/A,#N/A,FALSE,"매출";#N/A,#N/A,FALSE,"원가";#N/A,#N/A,FALSE,"경영"}</definedName>
    <definedName name="영업권1" localSheetId="3" hidden="1">{#N/A,#N/A,FALSE,"BS";#N/A,#N/A,FALSE,"PL";#N/A,#N/A,FALSE,"처분";#N/A,#N/A,FALSE,"현금";#N/A,#N/A,FALSE,"매출";#N/A,#N/A,FALSE,"원가";#N/A,#N/A,FALSE,"경영"}</definedName>
    <definedName name="영업권1" localSheetId="1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localSheetId="5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4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3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1" hidden="1">{#N/A,#N/A,FALSE,"표지";#N/A,#N/A,FALSE,"전제";#N/A,#N/A,FALSE,"손익-자 (2)";#N/A,#N/A,FALSE,"손익-자";#N/A,#N/A,FALSE,"손익-마 (2)";#N/A,#N/A,FALSE,"손익-마";#N/A,#N/A,FALSE,"총손최종"}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 localSheetId="5">#REF!</definedName>
    <definedName name="영업부예산" localSheetId="4">#REF!</definedName>
    <definedName name="영업부예산" localSheetId="3">#REF!</definedName>
    <definedName name="영업부예산" localSheetId="1">#REF!</definedName>
    <definedName name="영업부예산">#REF!</definedName>
    <definedName name="영업수" localSheetId="5" hidden="1">{#N/A,#N/A,FALSE,"1.CRITERIA";#N/A,#N/A,FALSE,"2.IS";#N/A,#N/A,FALSE,"3.BS";#N/A,#N/A,FALSE,"4.PER PL";#N/A,#N/A,FALSE,"5.INVESTMENT";#N/A,#N/A,FALSE,"6.공문";#N/A,#N/A,FALSE,"7.netinvest"}</definedName>
    <definedName name="영업수" localSheetId="4" hidden="1">{#N/A,#N/A,FALSE,"1.CRITERIA";#N/A,#N/A,FALSE,"2.IS";#N/A,#N/A,FALSE,"3.BS";#N/A,#N/A,FALSE,"4.PER PL";#N/A,#N/A,FALSE,"5.INVESTMENT";#N/A,#N/A,FALSE,"6.공문";#N/A,#N/A,FALSE,"7.netinvest"}</definedName>
    <definedName name="영업수" localSheetId="3" hidden="1">{#N/A,#N/A,FALSE,"1.CRITERIA";#N/A,#N/A,FALSE,"2.IS";#N/A,#N/A,FALSE,"3.BS";#N/A,#N/A,FALSE,"4.PER PL";#N/A,#N/A,FALSE,"5.INVESTMENT";#N/A,#N/A,FALSE,"6.공문";#N/A,#N/A,FALSE,"7.netinvest"}</definedName>
    <definedName name="영업수" localSheetId="1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5" hidden="1">{#N/A,#N/A,FALSE,"1.CRITERIA";#N/A,#N/A,FALSE,"2.IS";#N/A,#N/A,FALSE,"3.BS";#N/A,#N/A,FALSE,"4.PER PL";#N/A,#N/A,FALSE,"5.INVESTMENT";#N/A,#N/A,FALSE,"6.공문";#N/A,#N/A,FALSE,"7.netinvest"}</definedName>
    <definedName name="영업수익" localSheetId="4" hidden="1">{#N/A,#N/A,FALSE,"1.CRITERIA";#N/A,#N/A,FALSE,"2.IS";#N/A,#N/A,FALSE,"3.BS";#N/A,#N/A,FALSE,"4.PER PL";#N/A,#N/A,FALSE,"5.INVESTMENT";#N/A,#N/A,FALSE,"6.공문";#N/A,#N/A,FALSE,"7.netinvest"}</definedName>
    <definedName name="영업수익" localSheetId="3" hidden="1">{#N/A,#N/A,FALSE,"1.CRITERIA";#N/A,#N/A,FALSE,"2.IS";#N/A,#N/A,FALSE,"3.BS";#N/A,#N/A,FALSE,"4.PER PL";#N/A,#N/A,FALSE,"5.INVESTMENT";#N/A,#N/A,FALSE,"6.공문";#N/A,#N/A,FALSE,"7.netinvest"}</definedName>
    <definedName name="영업수익" localSheetId="1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localSheetId="5" hidden="1">{#N/A,#N/A,FALSE,"Aging Summary";#N/A,#N/A,FALSE,"Ratio Analysis";#N/A,#N/A,FALSE,"Test 120 Day Accts";#N/A,#N/A,FALSE,"Tickmarks"}</definedName>
    <definedName name="영업외비용" localSheetId="4" hidden="1">{#N/A,#N/A,FALSE,"Aging Summary";#N/A,#N/A,FALSE,"Ratio Analysis";#N/A,#N/A,FALSE,"Test 120 Day Accts";#N/A,#N/A,FALSE,"Tickmarks"}</definedName>
    <definedName name="영업외비용" localSheetId="3" hidden="1">{#N/A,#N/A,FALSE,"Aging Summary";#N/A,#N/A,FALSE,"Ratio Analysis";#N/A,#N/A,FALSE,"Test 120 Day Accts";#N/A,#N/A,FALSE,"Tickmarks"}</definedName>
    <definedName name="영업외비용" localSheetId="1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수익" localSheetId="5" hidden="1">{#N/A,#N/A,FALSE,"1.CRITERIA";#N/A,#N/A,FALSE,"2.IS";#N/A,#N/A,FALSE,"3.BS";#N/A,#N/A,FALSE,"4.PER PL";#N/A,#N/A,FALSE,"5.INVESTMENT";#N/A,#N/A,FALSE,"6.공문";#N/A,#N/A,FALSE,"7.netinvest"}</definedName>
    <definedName name="영업외수익" localSheetId="4" hidden="1">{#N/A,#N/A,FALSE,"1.CRITERIA";#N/A,#N/A,FALSE,"2.IS";#N/A,#N/A,FALSE,"3.BS";#N/A,#N/A,FALSE,"4.PER PL";#N/A,#N/A,FALSE,"5.INVESTMENT";#N/A,#N/A,FALSE,"6.공문";#N/A,#N/A,FALSE,"7.netinvest"}</definedName>
    <definedName name="영업외수익" localSheetId="3" hidden="1">{#N/A,#N/A,FALSE,"1.CRITERIA";#N/A,#N/A,FALSE,"2.IS";#N/A,#N/A,FALSE,"3.BS";#N/A,#N/A,FALSE,"4.PER PL";#N/A,#N/A,FALSE,"5.INVESTMENT";#N/A,#N/A,FALSE,"6.공문";#N/A,#N/A,FALSE,"7.netinvest"}</definedName>
    <definedName name="영업외수익" localSheetId="1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 localSheetId="5">#REF!</definedName>
    <definedName name="영역" localSheetId="4">#REF!</definedName>
    <definedName name="영역" localSheetId="3">#REF!</definedName>
    <definedName name="영역" localSheetId="1">#REF!</definedName>
    <definedName name="영역">#REF!</definedName>
    <definedName name="영역1" localSheetId="3">#REF!</definedName>
    <definedName name="영역1" localSheetId="1">#REF!</definedName>
    <definedName name="영역1">#REF!</definedName>
    <definedName name="영외수" localSheetId="3">#REF!</definedName>
    <definedName name="영외수" localSheetId="1">#REF!</definedName>
    <definedName name="영외수">#REF!</definedName>
    <definedName name="예" localSheetId="3">#REF!</definedName>
    <definedName name="예" localSheetId="1">#REF!</definedName>
    <definedName name="예">#REF!</definedName>
    <definedName name="預り保証金" localSheetId="5" hidden="1">{"'買掛金'!$J$6"}</definedName>
    <definedName name="預り保証金" localSheetId="4" hidden="1">{"'買掛金'!$J$6"}</definedName>
    <definedName name="預り保証金" localSheetId="3" hidden="1">{"'買掛金'!$J$6"}</definedName>
    <definedName name="預り保証金" localSheetId="1" hidden="1">{"'買掛金'!$J$6"}</definedName>
    <definedName name="預り保証金" hidden="1">{"'買掛金'!$J$6"}</definedName>
    <definedName name="예금" localSheetId="5" hidden="1">{#N/A,#N/A,FALSE,"1.CRITERIA";#N/A,#N/A,FALSE,"2.IS";#N/A,#N/A,FALSE,"3.BS";#N/A,#N/A,FALSE,"4.PER PL";#N/A,#N/A,FALSE,"5.INVESTMENT";#N/A,#N/A,FALSE,"6.공문";#N/A,#N/A,FALSE,"7.netinvest"}</definedName>
    <definedName name="예금" localSheetId="4" hidden="1">{#N/A,#N/A,FALSE,"1.CRITERIA";#N/A,#N/A,FALSE,"2.IS";#N/A,#N/A,FALSE,"3.BS";#N/A,#N/A,FALSE,"4.PER PL";#N/A,#N/A,FALSE,"5.INVESTMENT";#N/A,#N/A,FALSE,"6.공문";#N/A,#N/A,FALSE,"7.netinvest"}</definedName>
    <definedName name="예금" localSheetId="3" hidden="1">{#N/A,#N/A,FALSE,"1.CRITERIA";#N/A,#N/A,FALSE,"2.IS";#N/A,#N/A,FALSE,"3.BS";#N/A,#N/A,FALSE,"4.PER PL";#N/A,#N/A,FALSE,"5.INVESTMENT";#N/A,#N/A,FALSE,"6.공문";#N/A,#N/A,FALSE,"7.netinvest"}</definedName>
    <definedName name="예금" localSheetId="1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 localSheetId="5">#REF!</definedName>
    <definedName name="예비분석" localSheetId="4">#REF!</definedName>
    <definedName name="예비분석" localSheetId="3">#REF!</definedName>
    <definedName name="예비분석" localSheetId="1">#REF!</definedName>
    <definedName name="예비분석">#REF!</definedName>
    <definedName name="예비비합계" localSheetId="5">#REF!</definedName>
    <definedName name="예비비합계" localSheetId="4">#REF!</definedName>
    <definedName name="예비비합계" localSheetId="3">#REF!</definedName>
    <definedName name="예비비합계" localSheetId="1">#REF!</definedName>
    <definedName name="예비비합계">#REF!</definedName>
    <definedName name="예산" localSheetId="5" hidden="1">{#N/A,#N/A,FALSE,"단축1";#N/A,#N/A,FALSE,"단축2";#N/A,#N/A,FALSE,"단축3";#N/A,#N/A,FALSE,"장축";#N/A,#N/A,FALSE,"4WD"}</definedName>
    <definedName name="예산" localSheetId="4" hidden="1">{#N/A,#N/A,FALSE,"단축1";#N/A,#N/A,FALSE,"단축2";#N/A,#N/A,FALSE,"단축3";#N/A,#N/A,FALSE,"장축";#N/A,#N/A,FALSE,"4WD"}</definedName>
    <definedName name="예산" localSheetId="3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1기_시작년도" localSheetId="5">#REF!</definedName>
    <definedName name="예산1기_시작년도" localSheetId="4">#REF!</definedName>
    <definedName name="예산1기_시작년도" localSheetId="3">#REF!</definedName>
    <definedName name="예산1기_시작년도" localSheetId="1">#REF!</definedName>
    <definedName name="예산1기_시작년도">#REF!</definedName>
    <definedName name="예산1기_시작월일" localSheetId="3">#REF!</definedName>
    <definedName name="예산1기_시작월일" localSheetId="1">#REF!</definedName>
    <definedName name="예산1기_시작월일">#REF!</definedName>
    <definedName name="예산1기_종료월일" localSheetId="3">#REF!</definedName>
    <definedName name="예산1기_종료월일" localSheetId="1">#REF!</definedName>
    <definedName name="예산1기_종료월일">#REF!</definedName>
    <definedName name="예산2기_시작년도" localSheetId="3">#REF!</definedName>
    <definedName name="예산2기_시작년도" localSheetId="1">#REF!</definedName>
    <definedName name="예산2기_시작년도">#REF!</definedName>
    <definedName name="예산2기_시작월일" localSheetId="3">#REF!</definedName>
    <definedName name="예산2기_시작월일" localSheetId="1">#REF!</definedName>
    <definedName name="예산2기_시작월일">#REF!</definedName>
    <definedName name="예산2기_종료월일" localSheetId="3">#REF!</definedName>
    <definedName name="예산2기_종료월일" localSheetId="1">#REF!</definedName>
    <definedName name="예산2기_종료월일">#REF!</definedName>
    <definedName name="예산기수1" localSheetId="3">#REF!</definedName>
    <definedName name="예산기수1" localSheetId="1">#REF!</definedName>
    <definedName name="예산기수1">#REF!</definedName>
    <definedName name="예산기수2" localSheetId="3">#REF!</definedName>
    <definedName name="예산기수2" localSheetId="1">#REF!</definedName>
    <definedName name="예산기수2">#REF!</definedName>
    <definedName name="예산총괄시트설ONLY" localSheetId="3">#REF!</definedName>
    <definedName name="예산총괄시트설ONLY" localSheetId="1">#REF!</definedName>
    <definedName name="예산총괄시트설ONLY">#REF!</definedName>
    <definedName name="예상매출전체" localSheetId="3">#REF!</definedName>
    <definedName name="예상매출전체" localSheetId="1">#REF!</definedName>
    <definedName name="예상매출전체">#REF!</definedName>
    <definedName name="예상매출회당" localSheetId="3">#REF!</definedName>
    <definedName name="예상매출회당" localSheetId="1">#REF!</definedName>
    <definedName name="예상매출회당">#REF!</definedName>
    <definedName name="예상실적" localSheetId="3">#REF!</definedName>
    <definedName name="예상실적" localSheetId="1">#REF!</definedName>
    <definedName name="예상실적">#REF!</definedName>
    <definedName name="예수금" localSheetId="3">#REF!</definedName>
    <definedName name="예수금" localSheetId="1">#REF!</definedName>
    <definedName name="예수금">#REF!</definedName>
    <definedName name="예정량1" localSheetId="3">#REF!</definedName>
    <definedName name="예정량1" localSheetId="1">#REF!</definedName>
    <definedName name="예정량1">#REF!</definedName>
    <definedName name="예정량2" localSheetId="3">#REF!</definedName>
    <definedName name="예정량2" localSheetId="1">#REF!</definedName>
    <definedName name="예정량2">#REF!</definedName>
    <definedName name="예정일1" localSheetId="3">#REF!</definedName>
    <definedName name="예정일1" localSheetId="1">#REF!</definedName>
    <definedName name="예정일1">#REF!</definedName>
    <definedName name="예정일2" localSheetId="3">#REF!</definedName>
    <definedName name="예정일2" localSheetId="1">#REF!</definedName>
    <definedName name="예정일2">#REF!</definedName>
    <definedName name="오" localSheetId="3">#REF!</definedName>
    <definedName name="오" localSheetId="1">#REF!</definedName>
    <definedName name="오">#REF!</definedName>
    <definedName name="오늘" localSheetId="5" hidden="1">{#N/A,#N/A,TRUE,"Y생산";#N/A,#N/A,TRUE,"Y판매";#N/A,#N/A,TRUE,"Y총물량";#N/A,#N/A,TRUE,"Y능력";#N/A,#N/A,TRUE,"YKD"}</definedName>
    <definedName name="오늘" localSheetId="4" hidden="1">{#N/A,#N/A,TRUE,"Y생산";#N/A,#N/A,TRUE,"Y판매";#N/A,#N/A,TRUE,"Y총물량";#N/A,#N/A,TRUE,"Y능력";#N/A,#N/A,TRUE,"YKD"}</definedName>
    <definedName name="오늘" localSheetId="3" hidden="1">{#N/A,#N/A,TRUE,"Y생산";#N/A,#N/A,TRUE,"Y판매";#N/A,#N/A,TRUE,"Y총물량";#N/A,#N/A,TRUE,"Y능력";#N/A,#N/A,TRUE,"YKD"}</definedName>
    <definedName name="오늘" localSheetId="1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릉" localSheetId="5">#REF!</definedName>
    <definedName name="오릉" localSheetId="4">#REF!</definedName>
    <definedName name="오릉" localSheetId="3">#REF!</definedName>
    <definedName name="오릉" localSheetId="1">#REF!</definedName>
    <definedName name="오릉">#REF!</definedName>
    <definedName name="오성협" localSheetId="5" hidden="1">{#N/A,#N/A,TRUE,"Y생산";#N/A,#N/A,TRUE,"Y판매";#N/A,#N/A,TRUE,"Y총물량";#N/A,#N/A,TRUE,"Y능력";#N/A,#N/A,TRUE,"YKD"}</definedName>
    <definedName name="오성협" localSheetId="4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localSheetId="1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케이" localSheetId="5" hidden="1">{#N/A,#N/A,FALSE,"단축1";#N/A,#N/A,FALSE,"단축2";#N/A,#N/A,FALSE,"단축3";#N/A,#N/A,FALSE,"장축";#N/A,#N/A,FALSE,"4WD"}</definedName>
    <definedName name="오케이" localSheetId="4" hidden="1">{#N/A,#N/A,FALSE,"단축1";#N/A,#N/A,FALSE,"단축2";#N/A,#N/A,FALSE,"단축3";#N/A,#N/A,FALSE,"장축";#N/A,#N/A,FALSE,"4WD"}</definedName>
    <definedName name="오케이" localSheetId="3" hidden="1">{#N/A,#N/A,FALSE,"단축1";#N/A,#N/A,FALSE,"단축2";#N/A,#N/A,FALSE,"단축3";#N/A,#N/A,FALSE,"장축";#N/A,#N/A,FALSE,"4WD"}</definedName>
    <definedName name="오케이" localSheetId="1" hidden="1">{#N/A,#N/A,FALSE,"단축1";#N/A,#N/A,FALSE,"단축2";#N/A,#N/A,FALSE,"단축3";#N/A,#N/A,FALSE,"장축";#N/A,#N/A,FALSE,"4WD"}</definedName>
    <definedName name="오케이" hidden="1">{#N/A,#N/A,FALSE,"단축1";#N/A,#N/A,FALSE,"단축2";#N/A,#N/A,FALSE,"단축3";#N/A,#N/A,FALSE,"장축";#N/A,#N/A,FALSE,"4WD"}</definedName>
    <definedName name="오ㅑ" localSheetId="5">#REF!</definedName>
    <definedName name="오ㅑ" localSheetId="4">#REF!</definedName>
    <definedName name="오ㅑ" localSheetId="3">#REF!</definedName>
    <definedName name="오ㅑ" localSheetId="1">#REF!</definedName>
    <definedName name="오ㅑ">#REF!</definedName>
    <definedName name="옹홍ㅇㄹㅇㅇ" localSheetId="3">#REF!</definedName>
    <definedName name="옹홍ㅇㄹㅇㅇ" localSheetId="1">#REF!</definedName>
    <definedName name="옹홍ㅇㄹㅇㅇ">#REF!</definedName>
    <definedName name="완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 localSheetId="5">#REF!</definedName>
    <definedName name="완성차불만" localSheetId="4">#REF!</definedName>
    <definedName name="완성차불만" localSheetId="3">#REF!</definedName>
    <definedName name="완성차불만" localSheetId="1">#REF!</definedName>
    <definedName name="완성차불만">#REF!</definedName>
    <definedName name="왈왈" localSheetId="5">#REF!</definedName>
    <definedName name="왈왈" localSheetId="4">#REF!</definedName>
    <definedName name="왈왈" localSheetId="3">#REF!</definedName>
    <definedName name="왈왈" localSheetId="1">#REF!</definedName>
    <definedName name="왈왈">#REF!</definedName>
    <definedName name="왜이러냐" localSheetId="5" hidden="1">{"'Sheet1'!$A$1:$H$36"}</definedName>
    <definedName name="왜이러냐" localSheetId="4" hidden="1">{"'Sheet1'!$A$1:$H$36"}</definedName>
    <definedName name="왜이러냐" localSheetId="3" hidden="1">{"'Sheet1'!$A$1:$H$36"}</definedName>
    <definedName name="왜이러냐" localSheetId="1" hidden="1">{"'Sheet1'!$A$1:$H$36"}</definedName>
    <definedName name="왜이러냐" hidden="1">{"'Sheet1'!$A$1:$H$36"}</definedName>
    <definedName name="외국인급여" localSheetId="3">#REF!</definedName>
    <definedName name="외국인급여" localSheetId="1">#REF!</definedName>
    <definedName name="외국인급여">#REF!</definedName>
    <definedName name="외상" localSheetId="5" hidden="1">{#N/A,#N/A,FALSE,"Aging Summary";#N/A,#N/A,FALSE,"Ratio Analysis";#N/A,#N/A,FALSE,"Test 120 Day Accts";#N/A,#N/A,FALSE,"Tickmarks"}</definedName>
    <definedName name="외상" localSheetId="4" hidden="1">{#N/A,#N/A,FALSE,"Aging Summary";#N/A,#N/A,FALSE,"Ratio Analysis";#N/A,#N/A,FALSE,"Test 120 Day Accts";#N/A,#N/A,FALSE,"Tickmarks"}</definedName>
    <definedName name="외상" localSheetId="3" hidden="1">{#N/A,#N/A,FALSE,"Aging Summary";#N/A,#N/A,FALSE,"Ratio Analysis";#N/A,#N/A,FALSE,"Test 120 Day Accts";#N/A,#N/A,FALSE,"Tickmarks"}</definedName>
    <definedName name="외상" localSheetId="1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상매입" localSheetId="5">#REF!</definedName>
    <definedName name="외상매입" localSheetId="4">#REF!</definedName>
    <definedName name="외상매입" localSheetId="3">#REF!</definedName>
    <definedName name="외상매입" localSheetId="1">#REF!</definedName>
    <definedName name="외상매입">#REF!</definedName>
    <definedName name="외상매입금" localSheetId="3">#REF!</definedName>
    <definedName name="외상매입금" localSheetId="1">#REF!</definedName>
    <definedName name="외상매입금">#REF!</definedName>
    <definedName name="외상매출금" localSheetId="3">#REF!</definedName>
    <definedName name="외상매출금" localSheetId="1">#REF!</definedName>
    <definedName name="외상매출금">#REF!</definedName>
    <definedName name="외예금" localSheetId="5" hidden="1">{#N/A,#N/A,FALSE,"1.CRITERIA";#N/A,#N/A,FALSE,"2.IS";#N/A,#N/A,FALSE,"3.BS";#N/A,#N/A,FALSE,"4.PER PL";#N/A,#N/A,FALSE,"5.INVESTMENT";#N/A,#N/A,FALSE,"6.공문";#N/A,#N/A,FALSE,"7.netinvest"}</definedName>
    <definedName name="외예금" localSheetId="4" hidden="1">{#N/A,#N/A,FALSE,"1.CRITERIA";#N/A,#N/A,FALSE,"2.IS";#N/A,#N/A,FALSE,"3.BS";#N/A,#N/A,FALSE,"4.PER PL";#N/A,#N/A,FALSE,"5.INVESTMENT";#N/A,#N/A,FALSE,"6.공문";#N/A,#N/A,FALSE,"7.netinvest"}</definedName>
    <definedName name="외예금" localSheetId="3" hidden="1">{#N/A,#N/A,FALSE,"1.CRITERIA";#N/A,#N/A,FALSE,"2.IS";#N/A,#N/A,FALSE,"3.BS";#N/A,#N/A,FALSE,"4.PER PL";#N/A,#N/A,FALSE,"5.INVESTMENT";#N/A,#N/A,FALSE,"6.공문";#N/A,#N/A,FALSE,"7.netinvest"}</definedName>
    <definedName name="외예금" localSheetId="1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localSheetId="5" hidden="1">#REF!</definedName>
    <definedName name="외자비" localSheetId="4" hidden="1">#REF!</definedName>
    <definedName name="외자비" localSheetId="3" hidden="1">#REF!</definedName>
    <definedName name="외자비" localSheetId="1" hidden="1">#REF!</definedName>
    <definedName name="외자비" hidden="1">#REF!</definedName>
    <definedName name="외주">#N/A</definedName>
    <definedName name="외주계획" localSheetId="5" hidden="1">{#N/A,#N/A,TRUE,"Y생산";#N/A,#N/A,TRUE,"Y판매";#N/A,#N/A,TRUE,"Y총물량";#N/A,#N/A,TRUE,"Y능력";#N/A,#N/A,TRUE,"YKD"}</definedName>
    <definedName name="외주계획" localSheetId="4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localSheetId="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단가" localSheetId="5">#REF!</definedName>
    <definedName name="외주단가" localSheetId="4">#REF!</definedName>
    <definedName name="외주단가" localSheetId="3">#REF!</definedName>
    <definedName name="외주단가" localSheetId="1">#REF!</definedName>
    <definedName name="외주단가">#REF!</definedName>
    <definedName name="외주인상" localSheetId="3">#REF!</definedName>
    <definedName name="외주인상" localSheetId="1">#REF!</definedName>
    <definedName name="외주인상">#REF!</definedName>
    <definedName name="외화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localSheetId="5" hidden="1">{#N/A,#N/A,FALSE,"Aging Summary";#N/A,#N/A,FALSE,"Ratio Analysis";#N/A,#N/A,FALSE,"Test 120 Day Accts";#N/A,#N/A,FALSE,"Tickmarks"}</definedName>
    <definedName name="외화외상" localSheetId="4" hidden="1">{#N/A,#N/A,FALSE,"Aging Summary";#N/A,#N/A,FALSE,"Ratio Analysis";#N/A,#N/A,FALSE,"Test 120 Day Accts";#N/A,#N/A,FALSE,"Tickmarks"}</definedName>
    <definedName name="외화외상" localSheetId="3" hidden="1">{#N/A,#N/A,FALSE,"Aging Summary";#N/A,#N/A,FALSE,"Ratio Analysis";#N/A,#N/A,FALSE,"Test 120 Day Accts";#N/A,#N/A,FALSE,"Tickmarks"}</definedName>
    <definedName name="외화외상" localSheetId="1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5" hidden="1">{#N/A,#N/A,FALSE,"Aging Summary";#N/A,#N/A,FALSE,"Ratio Analysis";#N/A,#N/A,FALSE,"Test 120 Day Accts";#N/A,#N/A,FALSE,"Tickmarks"}</definedName>
    <definedName name="외화외상매입금" localSheetId="4" hidden="1">{#N/A,#N/A,FALSE,"Aging Summary";#N/A,#N/A,FALSE,"Ratio Analysis";#N/A,#N/A,FALSE,"Test 120 Day Accts";#N/A,#N/A,FALSE,"Tickmarks"}</definedName>
    <definedName name="외화외상매입금" localSheetId="3" hidden="1">{#N/A,#N/A,FALSE,"Aging Summary";#N/A,#N/A,FALSE,"Ratio Analysis";#N/A,#N/A,FALSE,"Test 120 Day Accts";#N/A,#N/A,FALSE,"Tickmarks"}</definedName>
    <definedName name="외화외상매입금" localSheetId="1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 localSheetId="5">#REF!</definedName>
    <definedName name="외화평가" localSheetId="4">#REF!</definedName>
    <definedName name="외화평가" localSheetId="3">#REF!</definedName>
    <definedName name="외화평가" localSheetId="1">#REF!</definedName>
    <definedName name="외화평가">#REF!</definedName>
    <definedName name="외화환산" localSheetId="5" hidden="1">{#N/A,#N/A,FALSE,"Aging Summary";#N/A,#N/A,FALSE,"Ratio Analysis";#N/A,#N/A,FALSE,"Test 120 Day Accts";#N/A,#N/A,FALSE,"Tickmarks"}</definedName>
    <definedName name="외화환산" localSheetId="4" hidden="1">{#N/A,#N/A,FALSE,"Aging Summary";#N/A,#N/A,FALSE,"Ratio Analysis";#N/A,#N/A,FALSE,"Test 120 Day Accts";#N/A,#N/A,FALSE,"Tickmarks"}</definedName>
    <definedName name="외화환산" localSheetId="3" hidden="1">{#N/A,#N/A,FALSE,"Aging Summary";#N/A,#N/A,FALSE,"Ratio Analysis";#N/A,#N/A,FALSE,"Test 120 Day Accts";#N/A,#N/A,FALSE,"Tickmarks"}</definedName>
    <definedName name="외화환산" localSheetId="1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환산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localSheetId="5" hidden="1">{#N/A,#N/A,FALSE,"1.CRITERIA";#N/A,#N/A,FALSE,"2.IS";#N/A,#N/A,FALSE,"3.BS";#N/A,#N/A,FALSE,"4.PER PL";#N/A,#N/A,FALSE,"5.INVESTMENT";#N/A,#N/A,FALSE,"6.공문";#N/A,#N/A,FALSE,"7.netinvest"}</definedName>
    <definedName name="요" localSheetId="4" hidden="1">{#N/A,#N/A,FALSE,"1.CRITERIA";#N/A,#N/A,FALSE,"2.IS";#N/A,#N/A,FALSE,"3.BS";#N/A,#N/A,FALSE,"4.PER PL";#N/A,#N/A,FALSE,"5.INVESTMENT";#N/A,#N/A,FALSE,"6.공문";#N/A,#N/A,FALSE,"7.netinvest"}</definedName>
    <definedName name="요" localSheetId="3" hidden="1">{#N/A,#N/A,FALSE,"1.CRITERIA";#N/A,#N/A,FALSE,"2.IS";#N/A,#N/A,FALSE,"3.BS";#N/A,#N/A,FALSE,"4.PER PL";#N/A,#N/A,FALSE,"5.INVESTMENT";#N/A,#N/A,FALSE,"6.공문";#N/A,#N/A,FALSE,"7.netinvest"}</definedName>
    <definedName name="요" localSheetId="1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 localSheetId="5">#REF!</definedName>
    <definedName name="요금" localSheetId="4">#REF!</definedName>
    <definedName name="요금" localSheetId="3">#REF!</definedName>
    <definedName name="요금" localSheetId="1">#REF!</definedName>
    <definedName name="요금">#REF!</definedName>
    <definedName name="요약1" localSheetId="5" hidden="1">{"'호선별현황(방식)'!$K$22:$P$22","'호선별현황(방식)'!$K$22:$P$22"}</definedName>
    <definedName name="요약1" localSheetId="4" hidden="1">{"'호선별현황(방식)'!$K$22:$P$22","'호선별현황(방식)'!$K$22:$P$22"}</definedName>
    <definedName name="요약1" localSheetId="3" hidden="1">{"'호선별현황(방식)'!$K$22:$P$22","'호선별현황(방식)'!$K$22:$P$22"}</definedName>
    <definedName name="요약1" localSheetId="1" hidden="1">{"'호선별현황(방식)'!$K$22:$P$22","'호선별현황(방식)'!$K$22:$P$22"}</definedName>
    <definedName name="요약1" hidden="1">{"'호선별현황(방식)'!$K$22:$P$22","'호선별현황(방식)'!$K$22:$P$22"}</definedName>
    <definedName name="요율표" localSheetId="5">#REF!</definedName>
    <definedName name="요율표" localSheetId="4">#REF!</definedName>
    <definedName name="요율표" localSheetId="3">#REF!</definedName>
    <definedName name="요율표" localSheetId="1">#REF!</definedName>
    <definedName name="요율표">#REF!</definedName>
    <definedName name="요인별2" localSheetId="3" hidden="1">#REF!</definedName>
    <definedName name="요인별2" localSheetId="1" hidden="1">#REF!</definedName>
    <definedName name="요인별2" hidden="1">#REF!</definedName>
    <definedName name="요일" localSheetId="3">#REF!</definedName>
    <definedName name="요일" localSheetId="1">#REF!</definedName>
    <definedName name="요일">#REF!</definedName>
    <definedName name="요척량" localSheetId="5">#REF!,#REF!,#REF!,#REF!,#REF!,#REF!,#REF!,#REF!,#REF!,#REF!,#REF!,#REF!,#REF!,#REF!,#REF!</definedName>
    <definedName name="요척량" localSheetId="4">#REF!,#REF!,#REF!,#REF!,#REF!,#REF!,#REF!,#REF!,#REF!,#REF!,#REF!,#REF!,#REF!,#REF!,#REF!</definedName>
    <definedName name="요척량" localSheetId="3">#REF!,#REF!,#REF!,#REF!,#REF!,#REF!,#REF!,#REF!,#REF!,#REF!,#REF!,#REF!,#REF!,#REF!,#REF!</definedName>
    <definedName name="요척량" localSheetId="1">#REF!,#REF!,#REF!,#REF!,#REF!,#REF!,#REF!,#REF!,#REF!,#REF!,#REF!,#REF!,#REF!,#REF!,#REF!</definedName>
    <definedName name="요척량">#REF!,#REF!,#REF!,#REF!,#REF!,#REF!,#REF!,#REF!,#REF!,#REF!,#REF!,#REF!,#REF!,#REF!,#REF!</definedName>
    <definedName name="용도차" localSheetId="5" hidden="1">{#N/A,#N/A,FALSE,"단축1";#N/A,#N/A,FALSE,"단축2";#N/A,#N/A,FALSE,"단축3";#N/A,#N/A,FALSE,"장축";#N/A,#N/A,FALSE,"4WD"}</definedName>
    <definedName name="용도차" localSheetId="4" hidden="1">{#N/A,#N/A,FALSE,"단축1";#N/A,#N/A,FALSE,"단축2";#N/A,#N/A,FALSE,"단축3";#N/A,#N/A,FALSE,"장축";#N/A,#N/A,FALSE,"4WD"}</definedName>
    <definedName name="용도차" localSheetId="3" hidden="1">{#N/A,#N/A,FALSE,"단축1";#N/A,#N/A,FALSE,"단축2";#N/A,#N/A,FALSE,"단축3";#N/A,#N/A,FALSE,"장축";#N/A,#N/A,FALSE,"4WD"}</definedName>
    <definedName name="용도차" localSheetId="1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5">#REF!</definedName>
    <definedName name="용역" localSheetId="4">#REF!</definedName>
    <definedName name="용역" localSheetId="3">#REF!</definedName>
    <definedName name="용역" localSheetId="1">#REF!</definedName>
    <definedName name="용역">#REF!</definedName>
    <definedName name="용품" localSheetId="5" hidden="1">{#N/A,#N/A,FALSE,"95FW"}</definedName>
    <definedName name="용품" localSheetId="4" hidden="1">{#N/A,#N/A,FALSE,"95FW"}</definedName>
    <definedName name="용품" localSheetId="3" hidden="1">{#N/A,#N/A,FALSE,"95FW"}</definedName>
    <definedName name="용품" localSheetId="1" hidden="1">{#N/A,#N/A,FALSE,"95FW"}</definedName>
    <definedName name="용품" hidden="1">{#N/A,#N/A,FALSE,"95FW"}</definedName>
    <definedName name="용품스케쥴" localSheetId="5" hidden="1">{#N/A,#N/A,FALSE,"95FW"}</definedName>
    <definedName name="용품스케쥴" localSheetId="4" hidden="1">{#N/A,#N/A,FALSE,"95FW"}</definedName>
    <definedName name="용품스케쥴" localSheetId="3" hidden="1">{#N/A,#N/A,FALSE,"95FW"}</definedName>
    <definedName name="용품스케쥴" localSheetId="1" hidden="1">{#N/A,#N/A,FALSE,"95FW"}</definedName>
    <definedName name="용품스케쥴" hidden="1">{#N/A,#N/A,FALSE,"95FW"}</definedName>
    <definedName name="우라" localSheetId="5" hidden="1">{"'Sheet1'!$A$1:$D$15"}</definedName>
    <definedName name="우라" localSheetId="4" hidden="1">{"'Sheet1'!$A$1:$D$15"}</definedName>
    <definedName name="우라" localSheetId="3" hidden="1">{"'Sheet1'!$A$1:$D$15"}</definedName>
    <definedName name="우라" localSheetId="1" hidden="1">{"'Sheet1'!$A$1:$D$15"}</definedName>
    <definedName name="우라" hidden="1">{"'Sheet1'!$A$1:$D$15"}</definedName>
    <definedName name="우리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localSheetId="5" hidden="1">{#N/A,#N/A,TRUE,"Y생산";#N/A,#N/A,TRUE,"Y판매";#N/A,#N/A,TRUE,"Y총물량";#N/A,#N/A,TRUE,"Y능력";#N/A,#N/A,TRUE,"YKD"}</definedName>
    <definedName name="우리나라" localSheetId="4" hidden="1">{#N/A,#N/A,TRUE,"Y생산";#N/A,#N/A,TRUE,"Y판매";#N/A,#N/A,TRUE,"Y총물량";#N/A,#N/A,TRUE,"Y능력";#N/A,#N/A,TRUE,"YKD"}</definedName>
    <definedName name="우리나라" localSheetId="3" hidden="1">{#N/A,#N/A,TRUE,"Y생산";#N/A,#N/A,TRUE,"Y판매";#N/A,#N/A,TRUE,"Y총물량";#N/A,#N/A,TRUE,"Y능력";#N/A,#N/A,TRUE,"YKD"}</definedName>
    <definedName name="우리나라" localSheetId="1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별은" localSheetId="5">#REF!</definedName>
    <definedName name="우리별은" localSheetId="4">#REF!</definedName>
    <definedName name="우리별은" localSheetId="3">#REF!</definedName>
    <definedName name="우리별은" localSheetId="1">#REF!</definedName>
    <definedName name="우리별은">#REF!</definedName>
    <definedName name="우오수공" localSheetId="5" hidden="1">{#N/A,#N/A,FALSE,"기안지";#N/A,#N/A,FALSE,"통신지"}</definedName>
    <definedName name="우오수공" localSheetId="4" hidden="1">{#N/A,#N/A,FALSE,"기안지";#N/A,#N/A,FALSE,"통신지"}</definedName>
    <definedName name="우오수공" localSheetId="3" hidden="1">{#N/A,#N/A,FALSE,"기안지";#N/A,#N/A,FALSE,"통신지"}</definedName>
    <definedName name="우오수공" localSheetId="1" hidden="1">{#N/A,#N/A,FALSE,"기안지";#N/A,#N/A,FALSE,"통신지"}</definedName>
    <definedName name="우오수공" hidden="1">{#N/A,#N/A,FALSE,"기안지";#N/A,#N/A,FALSE,"통신지"}</definedName>
    <definedName name="우진기타불량" localSheetId="5">#REF!</definedName>
    <definedName name="우진기타불량" localSheetId="4">#REF!</definedName>
    <definedName name="우진기타불량" localSheetId="3">#REF!</definedName>
    <definedName name="우진기타불량" localSheetId="1">#REF!</definedName>
    <definedName name="우진기타불량">#REF!</definedName>
    <definedName name="우진기획" localSheetId="5">#REF!</definedName>
    <definedName name="우진기획" localSheetId="4">#REF!</definedName>
    <definedName name="우진기획" localSheetId="3">#REF!</definedName>
    <definedName name="우진기획" localSheetId="1">#REF!</definedName>
    <definedName name="우진기획">#REF!</definedName>
    <definedName name="우진기획량" localSheetId="5">#REF!</definedName>
    <definedName name="우진기획량" localSheetId="4">#REF!</definedName>
    <definedName name="우진기획량" localSheetId="3">#REF!</definedName>
    <definedName name="우진기획량" localSheetId="1">#REF!</definedName>
    <definedName name="우진기획량">#REF!</definedName>
    <definedName name="우진요척량" localSheetId="5">#REF!</definedName>
    <definedName name="우진요척량" localSheetId="4">#REF!</definedName>
    <definedName name="우진요척량" localSheetId="3">#REF!</definedName>
    <definedName name="우진요척량" localSheetId="1">#REF!</definedName>
    <definedName name="우진요척량">#REF!</definedName>
    <definedName name="우진원불" localSheetId="5">#REF!</definedName>
    <definedName name="우진원불" localSheetId="4">#REF!</definedName>
    <definedName name="우진원불" localSheetId="3">#REF!</definedName>
    <definedName name="우진원불" localSheetId="1">#REF!</definedName>
    <definedName name="우진원불">#REF!</definedName>
    <definedName name="우진정품입고" localSheetId="5">#REF!</definedName>
    <definedName name="우진정품입고" localSheetId="4">#REF!</definedName>
    <definedName name="우진정품입고" localSheetId="3">#REF!</definedName>
    <definedName name="우진정품입고" localSheetId="1">#REF!</definedName>
    <definedName name="우진정품입고">#REF!</definedName>
    <definedName name="우진취불" localSheetId="5">#REF!</definedName>
    <definedName name="우진취불" localSheetId="4">#REF!</definedName>
    <definedName name="우진취불" localSheetId="3">#REF!</definedName>
    <definedName name="우진취불" localSheetId="1">#REF!</definedName>
    <definedName name="우진취불">#REF!</definedName>
    <definedName name="운반비" localSheetId="5">#REF!</definedName>
    <definedName name="운반비" localSheetId="4">#REF!</definedName>
    <definedName name="운반비" localSheetId="3">#REF!</definedName>
    <definedName name="운반비" localSheetId="1">#REF!</definedName>
    <definedName name="운반비">#REF!</definedName>
    <definedName name="운송" localSheetId="5">#REF!</definedName>
    <definedName name="운송" localSheetId="4">#REF!</definedName>
    <definedName name="운송" localSheetId="3">#REF!</definedName>
    <definedName name="운송" localSheetId="1">#REF!</definedName>
    <definedName name="운송">#REF!</definedName>
    <definedName name="운송ㅁ" localSheetId="5">#REF!</definedName>
    <definedName name="운송ㅁ" localSheetId="4">#REF!</definedName>
    <definedName name="운송ㅁ" localSheetId="3">#REF!</definedName>
    <definedName name="운송ㅁ" localSheetId="1">#REF!</definedName>
    <definedName name="운송ㅁ">#REF!</definedName>
    <definedName name="운송명세" localSheetId="5">#REF!</definedName>
    <definedName name="운송명세" localSheetId="4">#REF!</definedName>
    <definedName name="운송명세" localSheetId="3">#REF!</definedName>
    <definedName name="운송명세" localSheetId="1">#REF!</definedName>
    <definedName name="운송명세">#REF!</definedName>
    <definedName name="운영계획" localSheetId="5" hidden="1">{#N/A,#N/A,FALSE,"SILO현황";#N/A,#N/A,FALSE,"타업체";#N/A,#N/A,FALSE,"생산능력"}</definedName>
    <definedName name="운영계획" localSheetId="4" hidden="1">{#N/A,#N/A,FALSE,"SILO현황";#N/A,#N/A,FALSE,"타업체";#N/A,#N/A,FALSE,"생산능력"}</definedName>
    <definedName name="운영계획" localSheetId="3" hidden="1">{#N/A,#N/A,FALSE,"SILO현황";#N/A,#N/A,FALSE,"타업체";#N/A,#N/A,FALSE,"생산능력"}</definedName>
    <definedName name="운영계획" localSheetId="1" hidden="1">{#N/A,#N/A,FALSE,"SILO현황";#N/A,#N/A,FALSE,"타업체";#N/A,#N/A,FALSE,"생산능력"}</definedName>
    <definedName name="운영계획" hidden="1">{#N/A,#N/A,FALSE,"SILO현황";#N/A,#N/A,FALSE,"타업체";#N/A,#N/A,FALSE,"생산능력"}</definedName>
    <definedName name="운영비">20690</definedName>
    <definedName name="운영팀2" localSheetId="5" hidden="1">{#N/A,#N/A,TRUE,"Y생산";#N/A,#N/A,TRUE,"Y판매";#N/A,#N/A,TRUE,"Y총물량";#N/A,#N/A,TRUE,"Y능력";#N/A,#N/A,TRUE,"YKD"}</definedName>
    <definedName name="운영팀2" localSheetId="4" hidden="1">{#N/A,#N/A,TRUE,"Y생산";#N/A,#N/A,TRUE,"Y판매";#N/A,#N/A,TRUE,"Y총물량";#N/A,#N/A,TRUE,"Y능력";#N/A,#N/A,TRUE,"YKD"}</definedName>
    <definedName name="운영팀2" localSheetId="3" hidden="1">{#N/A,#N/A,TRUE,"Y생산";#N/A,#N/A,TRUE,"Y판매";#N/A,#N/A,TRUE,"Y총물량";#N/A,#N/A,TRUE,"Y능력";#N/A,#N/A,TRUE,"YKD"}</definedName>
    <definedName name="운영팀2" localSheetId="1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localSheetId="5" hidden="1">{#N/A,#N/A,TRUE,"Y생산";#N/A,#N/A,TRUE,"Y판매";#N/A,#N/A,TRUE,"Y총물량";#N/A,#N/A,TRUE,"Y능력";#N/A,#N/A,TRUE,"YKD"}</definedName>
    <definedName name="운영팀2_1" localSheetId="4" hidden="1">{#N/A,#N/A,TRUE,"Y생산";#N/A,#N/A,TRUE,"Y판매";#N/A,#N/A,TRUE,"Y총물량";#N/A,#N/A,TRUE,"Y능력";#N/A,#N/A,TRUE,"YKD"}</definedName>
    <definedName name="운영팀2_1" localSheetId="3" hidden="1">{#N/A,#N/A,TRUE,"Y생산";#N/A,#N/A,TRUE,"Y판매";#N/A,#N/A,TRUE,"Y총물량";#N/A,#N/A,TRUE,"Y능력";#N/A,#N/A,TRUE,"YKD"}</definedName>
    <definedName name="운영팀2_1" localSheetId="1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localSheetId="5" hidden="1">{#N/A,#N/A,TRUE,"Y생산";#N/A,#N/A,TRUE,"Y판매";#N/A,#N/A,TRUE,"Y총물량";#N/A,#N/A,TRUE,"Y능력";#N/A,#N/A,TRUE,"YKD"}</definedName>
    <definedName name="원" localSheetId="4" hidden="1">{#N/A,#N/A,TRUE,"Y생산";#N/A,#N/A,TRUE,"Y판매";#N/A,#N/A,TRUE,"Y총물량";#N/A,#N/A,TRUE,"Y능력";#N/A,#N/A,TRUE,"YKD"}</definedName>
    <definedName name="원" localSheetId="3" hidden="1">{#N/A,#N/A,TRUE,"Y생산";#N/A,#N/A,TRUE,"Y판매";#N/A,#N/A,TRUE,"Y총물량";#N/A,#N/A,TRUE,"Y능력";#N/A,#N/A,TRUE,"YKD"}</definedName>
    <definedName name="원" localSheetId="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localSheetId="5" hidden="1">{#N/A,#N/A,FALSE,"1.CRITERIA";#N/A,#N/A,FALSE,"2.IS";#N/A,#N/A,FALSE,"3.BS";#N/A,#N/A,FALSE,"4.PER PL";#N/A,#N/A,FALSE,"5.INVESTMENT";#N/A,#N/A,FALSE,"6.공문";#N/A,#N/A,FALSE,"7.netinvest"}</definedName>
    <definedName name="원가" localSheetId="4" hidden="1">{#N/A,#N/A,FALSE,"1.CRITERIA";#N/A,#N/A,FALSE,"2.IS";#N/A,#N/A,FALSE,"3.BS";#N/A,#N/A,FALSE,"4.PER PL";#N/A,#N/A,FALSE,"5.INVESTMENT";#N/A,#N/A,FALSE,"6.공문";#N/A,#N/A,FALSE,"7.netinvest"}</definedName>
    <definedName name="원가" localSheetId="3" hidden="1">{#N/A,#N/A,FALSE,"1.CRITERIA";#N/A,#N/A,FALSE,"2.IS";#N/A,#N/A,FALSE,"3.BS";#N/A,#N/A,FALSE,"4.PER PL";#N/A,#N/A,FALSE,"5.INVESTMENT";#N/A,#N/A,FALSE,"6.공문";#N/A,#N/A,FALSE,"7.netinvest"}</definedName>
    <definedName name="원가" localSheetId="1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 localSheetId="5">#REF!</definedName>
    <definedName name="원가개선" localSheetId="4">#REF!</definedName>
    <definedName name="원가개선" localSheetId="3">#REF!</definedName>
    <definedName name="원가개선" localSheetId="1">#REF!</definedName>
    <definedName name="원가개선">#REF!</definedName>
    <definedName name="원가분석" localSheetId="5" hidden="1">{#N/A,#N/A,FALSE,"1.CRITERIA";#N/A,#N/A,FALSE,"2.IS";#N/A,#N/A,FALSE,"3.BS";#N/A,#N/A,FALSE,"4.PER PL";#N/A,#N/A,FALSE,"5.INVESTMENT";#N/A,#N/A,FALSE,"6.공문";#N/A,#N/A,FALSE,"7.netinvest"}</definedName>
    <definedName name="원가분석" localSheetId="4" hidden="1">{#N/A,#N/A,FALSE,"1.CRITERIA";#N/A,#N/A,FALSE,"2.IS";#N/A,#N/A,FALSE,"3.BS";#N/A,#N/A,FALSE,"4.PER PL";#N/A,#N/A,FALSE,"5.INVESTMENT";#N/A,#N/A,FALSE,"6.공문";#N/A,#N/A,FALSE,"7.netinvest"}</definedName>
    <definedName name="원가분석" localSheetId="3" hidden="1">{#N/A,#N/A,FALSE,"1.CRITERIA";#N/A,#N/A,FALSE,"2.IS";#N/A,#N/A,FALSE,"3.BS";#N/A,#N/A,FALSE,"4.PER PL";#N/A,#N/A,FALSE,"5.INVESTMENT";#N/A,#N/A,FALSE,"6.공문";#N/A,#N/A,FALSE,"7.netinvest"}</definedName>
    <definedName name="원가분석" localSheetId="1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localSheetId="5" hidden="1">{#N/A,#N/A,TRUE,"Y생산";#N/A,#N/A,TRUE,"Y판매";#N/A,#N/A,TRUE,"Y총물량";#N/A,#N/A,TRUE,"Y능력";#N/A,#N/A,TRUE,"YKD"}</definedName>
    <definedName name="원단" localSheetId="4" hidden="1">{#N/A,#N/A,TRUE,"Y생산";#N/A,#N/A,TRUE,"Y판매";#N/A,#N/A,TRUE,"Y총물량";#N/A,#N/A,TRUE,"Y능력";#N/A,#N/A,TRUE,"YKD"}</definedName>
    <definedName name="원단" localSheetId="3" hidden="1">{#N/A,#N/A,TRUE,"Y생산";#N/A,#N/A,TRUE,"Y판매";#N/A,#N/A,TRUE,"Y총물량";#N/A,#N/A,TRUE,"Y능력";#N/A,#N/A,TRUE,"YKD"}</definedName>
    <definedName name="원단" localSheetId="1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단위" localSheetId="5">#REF!</definedName>
    <definedName name="원단위" localSheetId="4">#REF!</definedName>
    <definedName name="원단위" localSheetId="3">#REF!</definedName>
    <definedName name="원단위" localSheetId="1">#REF!</definedName>
    <definedName name="원단위">#REF!</definedName>
    <definedName name="원본" localSheetId="3">#REF!</definedName>
    <definedName name="원본" localSheetId="1">#REF!</definedName>
    <definedName name="원본">#REF!</definedName>
    <definedName name="원본2" localSheetId="3" hidden="1">#REF!</definedName>
    <definedName name="원본2" localSheetId="1" hidden="1">#REF!</definedName>
    <definedName name="원본2" hidden="1">#REF!</definedName>
    <definedName name="원우" localSheetId="3">OFFSET(#REF!,0,0,COUNTA(#REF!)-1,1)</definedName>
    <definedName name="원우" localSheetId="1">OFFSET(#REF!,0,0,COUNTA(#REF!)-1,1)</definedName>
    <definedName name="원우">OFFSET(#REF!,0,0,COUNTA(#REF!)-1,1)</definedName>
    <definedName name="원재료장성" localSheetId="5">#REF!</definedName>
    <definedName name="원재료장성" localSheetId="4">#REF!</definedName>
    <definedName name="원재료장성" localSheetId="3">#REF!</definedName>
    <definedName name="원재료장성" localSheetId="1">#REF!</definedName>
    <definedName name="원재료장성">#REF!</definedName>
    <definedName name="원천납부8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localSheetId="5">#REF!</definedName>
    <definedName name="월" localSheetId="4">#REF!</definedName>
    <definedName name="월" localSheetId="3">#REF!</definedName>
    <definedName name="월" localSheetId="1">#REF!</definedName>
    <definedName name="월">#REF!</definedName>
    <definedName name="월례" localSheetId="5" hidden="1">{"'호선별현황(방식)'!$K$22:$P$22","'호선별현황(방식)'!$K$22:$P$22"}</definedName>
    <definedName name="월례" localSheetId="4" hidden="1">{"'호선별현황(방식)'!$K$22:$P$22","'호선별현황(방식)'!$K$22:$P$22"}</definedName>
    <definedName name="월례" localSheetId="3" hidden="1">{"'호선별현황(방식)'!$K$22:$P$22","'호선별현황(방식)'!$K$22:$P$22"}</definedName>
    <definedName name="월례" localSheetId="1" hidden="1">{"'호선별현황(방식)'!$K$22:$P$22","'호선별현황(방식)'!$K$22:$P$22"}</definedName>
    <definedName name="월례" hidden="1">{"'호선별현황(방식)'!$K$22:$P$22","'호선별현황(방식)'!$K$22:$P$22"}</definedName>
    <definedName name="월말" localSheetId="5" hidden="1">{#N/A,#N/A,FALSE,"1.CRITERIA";#N/A,#N/A,FALSE,"2.IS";#N/A,#N/A,FALSE,"3.BS";#N/A,#N/A,FALSE,"4.PER PL";#N/A,#N/A,FALSE,"5.INVESTMENT";#N/A,#N/A,FALSE,"6.공문";#N/A,#N/A,FALSE,"7.netinvest"}</definedName>
    <definedName name="월말" localSheetId="4" hidden="1">{#N/A,#N/A,FALSE,"1.CRITERIA";#N/A,#N/A,FALSE,"2.IS";#N/A,#N/A,FALSE,"3.BS";#N/A,#N/A,FALSE,"4.PER PL";#N/A,#N/A,FALSE,"5.INVESTMENT";#N/A,#N/A,FALSE,"6.공문";#N/A,#N/A,FALSE,"7.netinvest"}</definedName>
    <definedName name="월말" localSheetId="3" hidden="1">{#N/A,#N/A,FALSE,"1.CRITERIA";#N/A,#N/A,FALSE,"2.IS";#N/A,#N/A,FALSE,"3.BS";#N/A,#N/A,FALSE,"4.PER PL";#N/A,#N/A,FALSE,"5.INVESTMENT";#N/A,#N/A,FALSE,"6.공문";#N/A,#N/A,FALSE,"7.netinvest"}</definedName>
    <definedName name="월말" localSheetId="1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5" hidden="1">{#N/A,#N/A,FALSE,"1.CRITERIA";#N/A,#N/A,FALSE,"2.IS";#N/A,#N/A,FALSE,"3.BS";#N/A,#N/A,FALSE,"4.PER PL";#N/A,#N/A,FALSE,"5.INVESTMENT";#N/A,#N/A,FALSE,"6.공문";#N/A,#N/A,FALSE,"7.netinvest"}</definedName>
    <definedName name="월별" localSheetId="4" hidden="1">{#N/A,#N/A,FALSE,"1.CRITERIA";#N/A,#N/A,FALSE,"2.IS";#N/A,#N/A,FALSE,"3.BS";#N/A,#N/A,FALSE,"4.PER PL";#N/A,#N/A,FALSE,"5.INVESTMENT";#N/A,#N/A,FALSE,"6.공문";#N/A,#N/A,FALSE,"7.netinvest"}</definedName>
    <definedName name="월별" localSheetId="3" hidden="1">{#N/A,#N/A,FALSE,"1.CRITERIA";#N/A,#N/A,FALSE,"2.IS";#N/A,#N/A,FALSE,"3.BS";#N/A,#N/A,FALSE,"4.PER PL";#N/A,#N/A,FALSE,"5.INVESTMENT";#N/A,#N/A,FALSE,"6.공문";#N/A,#N/A,FALSE,"7.netinvest"}</definedName>
    <definedName name="월별" localSheetId="1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 localSheetId="5">#REF!</definedName>
    <definedName name="월별매출" localSheetId="4">#REF!</definedName>
    <definedName name="월별매출" localSheetId="3">#REF!</definedName>
    <definedName name="월별매출" localSheetId="1">#REF!</definedName>
    <definedName name="월별매출">#REF!</definedName>
    <definedName name="월별보전비" localSheetId="3">#REF!</definedName>
    <definedName name="월별보전비" localSheetId="1">#REF!</definedName>
    <definedName name="월별보전비">#REF!</definedName>
    <definedName name="월별분배" localSheetId="5">#REF!</definedName>
    <definedName name="월별분배" localSheetId="4">#REF!</definedName>
    <definedName name="월별분배" localSheetId="3">#REF!</definedName>
    <definedName name="월별분배" localSheetId="1">#REF!</definedName>
    <definedName name="월별분배">#REF!</definedName>
    <definedName name="월별영업" localSheetId="5">#REF!</definedName>
    <definedName name="월별영업" localSheetId="4">#REF!</definedName>
    <definedName name="월별영업" localSheetId="3">#REF!</definedName>
    <definedName name="월별영업" localSheetId="1">#REF!</definedName>
    <definedName name="월별영업">#REF!</definedName>
    <definedName name="월별영업비용" localSheetId="5" hidden="1">{#N/A,#N/A,FALSE,"1.CRITERIA";#N/A,#N/A,FALSE,"2.IS";#N/A,#N/A,FALSE,"3.BS";#N/A,#N/A,FALSE,"4.PER PL";#N/A,#N/A,FALSE,"5.INVESTMENT";#N/A,#N/A,FALSE,"6.공문";#N/A,#N/A,FALSE,"7.netinvest"}</definedName>
    <definedName name="월별영업비용" localSheetId="4" hidden="1">{#N/A,#N/A,FALSE,"1.CRITERIA";#N/A,#N/A,FALSE,"2.IS";#N/A,#N/A,FALSE,"3.BS";#N/A,#N/A,FALSE,"4.PER PL";#N/A,#N/A,FALSE,"5.INVESTMENT";#N/A,#N/A,FALSE,"6.공문";#N/A,#N/A,FALSE,"7.netinvest"}</definedName>
    <definedName name="월별영업비용" localSheetId="3" hidden="1">{#N/A,#N/A,FALSE,"1.CRITERIA";#N/A,#N/A,FALSE,"2.IS";#N/A,#N/A,FALSE,"3.BS";#N/A,#N/A,FALSE,"4.PER PL";#N/A,#N/A,FALSE,"5.INVESTMENT";#N/A,#N/A,FALSE,"6.공문";#N/A,#N/A,FALSE,"7.netinvest"}</definedName>
    <definedName name="월별영업비용" localSheetId="1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localSheetId="5" hidden="1">{#N/A,#N/A,FALSE,"95FW"}</definedName>
    <definedName name="월별출고계획" localSheetId="4" hidden="1">{#N/A,#N/A,FALSE,"95FW"}</definedName>
    <definedName name="월별출고계획" localSheetId="3" hidden="1">{#N/A,#N/A,FALSE,"95FW"}</definedName>
    <definedName name="월별출고계획" localSheetId="1" hidden="1">{#N/A,#N/A,FALSE,"95FW"}</definedName>
    <definedName name="월별출고계획" hidden="1">{#N/A,#N/A,FALSE,"95FW"}</definedName>
    <definedName name="월시간" localSheetId="5">#REF!</definedName>
    <definedName name="월시간" localSheetId="4">#REF!</definedName>
    <definedName name="월시간" localSheetId="3">#REF!</definedName>
    <definedName name="월시간" localSheetId="1">#REF!</definedName>
    <definedName name="월시간">#REF!</definedName>
    <definedName name="위치" localSheetId="3">#REF!</definedName>
    <definedName name="위치" localSheetId="1">#REF!</definedName>
    <definedName name="위치">#REF!</definedName>
    <definedName name="유가" localSheetId="5" hidden="1">{#N/A,#N/A,FALSE,"BS";#N/A,#N/A,FALSE,"PL";#N/A,#N/A,FALSE,"처분";#N/A,#N/A,FALSE,"현금";#N/A,#N/A,FALSE,"매출";#N/A,#N/A,FALSE,"원가";#N/A,#N/A,FALSE,"경영"}</definedName>
    <definedName name="유가" localSheetId="4" hidden="1">{#N/A,#N/A,FALSE,"BS";#N/A,#N/A,FALSE,"PL";#N/A,#N/A,FALSE,"처분";#N/A,#N/A,FALSE,"현금";#N/A,#N/A,FALSE,"매출";#N/A,#N/A,FALSE,"원가";#N/A,#N/A,FALSE,"경영"}</definedName>
    <definedName name="유가" localSheetId="3" hidden="1">{#N/A,#N/A,FALSE,"BS";#N/A,#N/A,FALSE,"PL";#N/A,#N/A,FALSE,"처분";#N/A,#N/A,FALSE,"현금";#N/A,#N/A,FALSE,"매출";#N/A,#N/A,FALSE,"원가";#N/A,#N/A,FALSE,"경영"}</definedName>
    <definedName name="유가" localSheetId="1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5" hidden="1">{#N/A,#N/A,FALSE,"Aging Summary";#N/A,#N/A,FALSE,"Ratio Analysis";#N/A,#N/A,FALSE,"Test 120 Day Accts";#N/A,#N/A,FALSE,"Tickmarks"}</definedName>
    <definedName name="유가증권" localSheetId="4" hidden="1">{#N/A,#N/A,FALSE,"Aging Summary";#N/A,#N/A,FALSE,"Ratio Analysis";#N/A,#N/A,FALSE,"Test 120 Day Accts";#N/A,#N/A,FALSE,"Tickmarks"}</definedName>
    <definedName name="유가증권" localSheetId="3" hidden="1">{#N/A,#N/A,FALSE,"Aging Summary";#N/A,#N/A,FALSE,"Ratio Analysis";#N/A,#N/A,FALSE,"Test 120 Day Accts";#N/A,#N/A,FALSE,"Tickmarks"}</definedName>
    <definedName name="유가증권" localSheetId="1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test" localSheetId="5" hidden="1">{#N/A,#N/A,FALSE,"Aging Summary";#N/A,#N/A,FALSE,"Ratio Analysis";#N/A,#N/A,FALSE,"Test 120 Day Accts";#N/A,#N/A,FALSE,"Tickmarks"}</definedName>
    <definedName name="유가증권평가test" localSheetId="4" hidden="1">{#N/A,#N/A,FALSE,"Aging Summary";#N/A,#N/A,FALSE,"Ratio Analysis";#N/A,#N/A,FALSE,"Test 120 Day Accts";#N/A,#N/A,FALSE,"Tickmarks"}</definedName>
    <definedName name="유가증권평가test" localSheetId="3" hidden="1">{#N/A,#N/A,FALSE,"Aging Summary";#N/A,#N/A,FALSE,"Ratio Analysis";#N/A,#N/A,FALSE,"Test 120 Day Accts";#N/A,#N/A,FALSE,"Tickmarks"}</definedName>
    <definedName name="유가증권평가test" localSheetId="1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localSheetId="5" hidden="1">{#N/A,#N/A,FALSE,"3가";#N/A,#N/A,FALSE,"3나";#N/A,#N/A,FALSE,"3다"}</definedName>
    <definedName name="유니트" localSheetId="4" hidden="1">{#N/A,#N/A,FALSE,"3가";#N/A,#N/A,FALSE,"3나";#N/A,#N/A,FALSE,"3다"}</definedName>
    <definedName name="유니트" localSheetId="3" hidden="1">{#N/A,#N/A,FALSE,"3가";#N/A,#N/A,FALSE,"3나";#N/A,#N/A,FALSE,"3다"}</definedName>
    <definedName name="유니트" localSheetId="1" hidden="1">{#N/A,#N/A,FALSE,"3가";#N/A,#N/A,FALSE,"3나";#N/A,#N/A,FALSE,"3다"}</definedName>
    <definedName name="유니트" hidden="1">{#N/A,#N/A,FALSE,"3가";#N/A,#N/A,FALSE,"3나";#N/A,#N/A,FALSE,"3다"}</definedName>
    <definedName name="유동성사채" localSheetId="5">#REF!</definedName>
    <definedName name="유동성사채" localSheetId="4">#REF!</definedName>
    <definedName name="유동성사채" localSheetId="3">#REF!</definedName>
    <definedName name="유동성사채" localSheetId="1">#REF!</definedName>
    <definedName name="유동성사채">#REF!</definedName>
    <definedName name="유동성장기부채" localSheetId="3">#REF!</definedName>
    <definedName name="유동성장기부채" localSheetId="1">#REF!</definedName>
    <definedName name="유동성장기부채">#REF!</definedName>
    <definedName name="유럽" localSheetId="5">#REF!</definedName>
    <definedName name="유럽" localSheetId="4">#REF!</definedName>
    <definedName name="유럽" localSheetId="3">#REF!</definedName>
    <definedName name="유럽" localSheetId="1">#REF!</definedName>
    <definedName name="유럽">#REF!</definedName>
    <definedName name="유로환율" localSheetId="3">#REF!</definedName>
    <definedName name="유로환율" localSheetId="1">#REF!</definedName>
    <definedName name="유로환율">#REF!</definedName>
    <definedName name="유사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localSheetId="5" hidden="1">{#N/A,#N/A,FALSE,"1.CRITERIA";#N/A,#N/A,FALSE,"2.IS";#N/A,#N/A,FALSE,"3.BS";#N/A,#N/A,FALSE,"4.PER PL";#N/A,#N/A,FALSE,"5.INVESTMENT";#N/A,#N/A,FALSE,"6.공문";#N/A,#N/A,FALSE,"7.netinvest"}</definedName>
    <definedName name="유이" localSheetId="4" hidden="1">{#N/A,#N/A,FALSE,"1.CRITERIA";#N/A,#N/A,FALSE,"2.IS";#N/A,#N/A,FALSE,"3.BS";#N/A,#N/A,FALSE,"4.PER PL";#N/A,#N/A,FALSE,"5.INVESTMENT";#N/A,#N/A,FALSE,"6.공문";#N/A,#N/A,FALSE,"7.netinvest"}</definedName>
    <definedName name="유이" localSheetId="3" hidden="1">{#N/A,#N/A,FALSE,"1.CRITERIA";#N/A,#N/A,FALSE,"2.IS";#N/A,#N/A,FALSE,"3.BS";#N/A,#N/A,FALSE,"4.PER PL";#N/A,#N/A,FALSE,"5.INVESTMENT";#N/A,#N/A,FALSE,"6.공문";#N/A,#N/A,FALSE,"7.netinvest"}</definedName>
    <definedName name="유이" localSheetId="1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 localSheetId="5">#REF!</definedName>
    <definedName name="유진종합" localSheetId="4">#REF!</definedName>
    <definedName name="유진종합" localSheetId="3">#REF!</definedName>
    <definedName name="유진종합" localSheetId="1">#REF!</definedName>
    <definedName name="유진종합">#REF!</definedName>
    <definedName name="유통" localSheetId="3">#REF!</definedName>
    <definedName name="유통" localSheetId="1">#REF!</definedName>
    <definedName name="유통">#REF!</definedName>
    <definedName name="유형근" hidden="1">"AS2DocumentEdit"</definedName>
    <definedName name="유형자산" localSheetId="5">#REF!</definedName>
    <definedName name="유형자산" localSheetId="4">#REF!</definedName>
    <definedName name="유형자산" localSheetId="3">#REF!</definedName>
    <definedName name="유형자산" localSheetId="1">#REF!</definedName>
    <definedName name="유형자산">#REF!</definedName>
    <definedName name="유형자산tot" localSheetId="5" hidden="1">{#N/A,#N/A,FALSE,"Aging Summary";#N/A,#N/A,FALSE,"Ratio Analysis";#N/A,#N/A,FALSE,"Test 120 Day Accts";#N/A,#N/A,FALSE,"Tickmarks"}</definedName>
    <definedName name="유형자산tot" localSheetId="4" hidden="1">{#N/A,#N/A,FALSE,"Aging Summary";#N/A,#N/A,FALSE,"Ratio Analysis";#N/A,#N/A,FALSE,"Test 120 Day Accts";#N/A,#N/A,FALSE,"Tickmarks"}</definedName>
    <definedName name="유형자산tot" localSheetId="3" hidden="1">{#N/A,#N/A,FALSE,"Aging Summary";#N/A,#N/A,FALSE,"Ratio Analysis";#N/A,#N/A,FALSE,"Test 120 Day Accts";#N/A,#N/A,FALSE,"Tickmarks"}</definedName>
    <definedName name="유형자산tot" localSheetId="1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 localSheetId="5">#REF!</definedName>
    <definedName name="육" localSheetId="4">#REF!</definedName>
    <definedName name="육" localSheetId="3">#REF!</definedName>
    <definedName name="육" localSheetId="1">#REF!</definedName>
    <definedName name="육">#REF!</definedName>
    <definedName name="윤" localSheetId="3" hidden="1">#REF!</definedName>
    <definedName name="윤" localSheetId="1" hidden="1">#REF!</definedName>
    <definedName name="윤" hidden="1">#REF!</definedName>
    <definedName name="윤ㅁ" hidden="1">#N/A</definedName>
    <definedName name="윤종현윤종현" localSheetId="5">#REF!</definedName>
    <definedName name="윤종현윤종현" localSheetId="4">#REF!</definedName>
    <definedName name="윤종현윤종현" localSheetId="3">#REF!</definedName>
    <definedName name="윤종현윤종현" localSheetId="1">#REF!</definedName>
    <definedName name="윤종현윤종현">#REF!</definedName>
    <definedName name="은행_data" localSheetId="3">#REF!</definedName>
    <definedName name="은행_data" localSheetId="1">#REF!</definedName>
    <definedName name="은행_data">#REF!</definedName>
    <definedName name="은행명" localSheetId="3">#REF!</definedName>
    <definedName name="은행명" localSheetId="1">#REF!</definedName>
    <definedName name="은행명">#REF!</definedName>
    <definedName name="음악합계" localSheetId="3">#REF!</definedName>
    <definedName name="음악합계" localSheetId="1">#REF!</definedName>
    <definedName name="음악합계">#REF!</definedName>
    <definedName name="의결권" localSheetId="3" hidden="1">#REF!</definedName>
    <definedName name="의결권" localSheetId="1" hidden="1">#REF!</definedName>
    <definedName name="의결권" hidden="1">#REF!</definedName>
    <definedName name="의뢰" localSheetId="3">#REF!</definedName>
    <definedName name="의뢰" localSheetId="1">#REF!</definedName>
    <definedName name="의뢰">#REF!</definedName>
    <definedName name="의류" localSheetId="3">#REF!</definedName>
    <definedName name="의류" localSheetId="1">#REF!</definedName>
    <definedName name="의류">#REF!</definedName>
    <definedName name="의장" localSheetId="3">#REF!</definedName>
    <definedName name="의장" localSheetId="1">#REF!</definedName>
    <definedName name="의장">#REF!</definedName>
    <definedName name="이" localSheetId="3">#REF!</definedName>
    <definedName name="이" localSheetId="1">#REF!</definedName>
    <definedName name="이">#REF!</definedName>
    <definedName name="이고수">#N/A</definedName>
    <definedName name="이동" localSheetId="5" hidden="1">{#N/A,#N/A,FALSE,"채산3501.XLS";#N/A,#N/A,FALSE,"신조수A.XLS";#N/A,#N/A,FALSE,"신조수b.XLS";#N/A,#N/A,FALSE,"채산3502.XLS";#N/A,#N/A,FALSE,"신조원리.XLS";#N/A,#N/A,FALSE,"신조감가.XLS"}</definedName>
    <definedName name="이동" localSheetId="4" hidden="1">{#N/A,#N/A,FALSE,"채산3501.XLS";#N/A,#N/A,FALSE,"신조수A.XLS";#N/A,#N/A,FALSE,"신조수b.XLS";#N/A,#N/A,FALSE,"채산3502.XLS";#N/A,#N/A,FALSE,"신조원리.XLS";#N/A,#N/A,FALSE,"신조감가.XLS"}</definedName>
    <definedName name="이동" localSheetId="3" hidden="1">{#N/A,#N/A,FALSE,"채산3501.XLS";#N/A,#N/A,FALSE,"신조수A.XLS";#N/A,#N/A,FALSE,"신조수b.XLS";#N/A,#N/A,FALSE,"채산3502.XLS";#N/A,#N/A,FALSE,"신조원리.XLS";#N/A,#N/A,FALSE,"신조감가.XLS"}</definedName>
    <definedName name="이동" localSheetId="1" hidden="1">{#N/A,#N/A,FALSE,"채산3501.XLS";#N/A,#N/A,FALSE,"신조수A.XLS";#N/A,#N/A,FALSE,"신조수b.XLS";#N/A,#N/A,FALSE,"채산3502.XLS";#N/A,#N/A,FALSE,"신조원리.XLS";#N/A,#N/A,FALSE,"신조감가.XLS"}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 localSheetId="5">#REF!</definedName>
    <definedName name="이론량1" localSheetId="4">#REF!</definedName>
    <definedName name="이론량1" localSheetId="3">#REF!</definedName>
    <definedName name="이론량1" localSheetId="1">#REF!</definedName>
    <definedName name="이론량1">#REF!</definedName>
    <definedName name="이론량2" localSheetId="3">#REF!</definedName>
    <definedName name="이론량2" localSheetId="1">#REF!</definedName>
    <definedName name="이론량2">#REF!</definedName>
    <definedName name="이론초출" localSheetId="3">#REF!</definedName>
    <definedName name="이론초출" localSheetId="1">#REF!</definedName>
    <definedName name="이론초출">#REF!</definedName>
    <definedName name="이름" localSheetId="5" hidden="1">{#N/A,#N/A,TRUE,"Y생산";#N/A,#N/A,TRUE,"Y판매";#N/A,#N/A,TRUE,"Y총물량";#N/A,#N/A,TRUE,"Y능력";#N/A,#N/A,TRUE,"YKD"}</definedName>
    <definedName name="이름" localSheetId="4" hidden="1">{#N/A,#N/A,TRUE,"Y생산";#N/A,#N/A,TRUE,"Y판매";#N/A,#N/A,TRUE,"Y총물량";#N/A,#N/A,TRUE,"Y능력";#N/A,#N/A,TRUE,"YKD"}</definedName>
    <definedName name="이름" localSheetId="3" hidden="1">{#N/A,#N/A,TRUE,"Y생산";#N/A,#N/A,TRUE,"Y판매";#N/A,#N/A,TRUE,"Y총물량";#N/A,#N/A,TRUE,"Y능력";#N/A,#N/A,TRUE,"YKD"}</definedName>
    <definedName name="이름" localSheetId="1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2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localSheetId="5" hidden="1">{#N/A,#N/A,FALSE,"95FW"}</definedName>
    <definedName name="이름모야" localSheetId="4" hidden="1">{#N/A,#N/A,FALSE,"95FW"}</definedName>
    <definedName name="이름모야" localSheetId="3" hidden="1">{#N/A,#N/A,FALSE,"95FW"}</definedName>
    <definedName name="이름모야" localSheetId="1" hidden="1">{#N/A,#N/A,FALSE,"95FW"}</definedName>
    <definedName name="이름모야" hidden="1">{#N/A,#N/A,FALSE,"95FW"}</definedName>
    <definedName name="이름이" localSheetId="5">#REF!</definedName>
    <definedName name="이름이" localSheetId="4">#REF!</definedName>
    <definedName name="이름이" localSheetId="3">#REF!</definedName>
    <definedName name="이름이" localSheetId="1">#REF!</definedName>
    <definedName name="이름이">#REF!</definedName>
    <definedName name="이름충돌\" localSheetId="5" hidden="1">{#N/A,#N/A,TRUE,"Y생산";#N/A,#N/A,TRUE,"Y판매";#N/A,#N/A,TRUE,"Y총물량";#N/A,#N/A,TRUE,"Y능력";#N/A,#N/A,TRUE,"YKD"}</definedName>
    <definedName name="이름충돌\" localSheetId="4" hidden="1">{#N/A,#N/A,TRUE,"Y생산";#N/A,#N/A,TRUE,"Y판매";#N/A,#N/A,TRUE,"Y총물량";#N/A,#N/A,TRUE,"Y능력";#N/A,#N/A,TRUE,"YKD"}</definedName>
    <definedName name="이름충돌\" localSheetId="3" hidden="1">{#N/A,#N/A,TRUE,"Y생산";#N/A,#N/A,TRUE,"Y판매";#N/A,#N/A,TRUE,"Y총물량";#N/A,#N/A,TRUE,"Y능력";#N/A,#N/A,TRUE,"YKD"}</definedName>
    <definedName name="이름충돌\" localSheetId="1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매출" localSheetId="5">#REF!</definedName>
    <definedName name="이매출" localSheetId="4">#REF!</definedName>
    <definedName name="이매출" localSheetId="3">#REF!</definedName>
    <definedName name="이매출" localSheetId="1">#REF!</definedName>
    <definedName name="이매출">#REF!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 localSheetId="5">#REF!</definedName>
    <definedName name="이상" localSheetId="4">#REF!</definedName>
    <definedName name="이상" localSheetId="3">#REF!</definedName>
    <definedName name="이상" localSheetId="1">#REF!</definedName>
    <definedName name="이상">#REF!</definedName>
    <definedName name="이승훈" hidden="1">#N/A</definedName>
    <definedName name="이연자산" localSheetId="5">#REF!</definedName>
    <definedName name="이연자산" localSheetId="4">#REF!</definedName>
    <definedName name="이연자산" localSheetId="3">#REF!</definedName>
    <definedName name="이연자산" localSheetId="1">#REF!</definedName>
    <definedName name="이연자산">#REF!</definedName>
    <definedName name="이이" localSheetId="5" hidden="1">{#N/A,#N/A,TRUE,"Y생산";#N/A,#N/A,TRUE,"Y판매";#N/A,#N/A,TRUE,"Y총물량";#N/A,#N/A,TRUE,"Y능력";#N/A,#N/A,TRUE,"YKD"}</definedName>
    <definedName name="이이" localSheetId="4" hidden="1">{#N/A,#N/A,TRUE,"Y생산";#N/A,#N/A,TRUE,"Y판매";#N/A,#N/A,TRUE,"Y총물량";#N/A,#N/A,TRUE,"Y능력";#N/A,#N/A,TRUE,"YKD"}</definedName>
    <definedName name="이이" localSheetId="3" hidden="1">{#N/A,#N/A,TRUE,"Y생산";#N/A,#N/A,TRUE,"Y판매";#N/A,#N/A,TRUE,"Y총물량";#N/A,#N/A,TRUE,"Y능력";#N/A,#N/A,TRUE,"YKD"}</definedName>
    <definedName name="이이" localSheetId="1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_1" localSheetId="5" hidden="1">{#N/A,#N/A,TRUE,"Y생산";#N/A,#N/A,TRUE,"Y판매";#N/A,#N/A,TRUE,"Y총물량";#N/A,#N/A,TRUE,"Y능력";#N/A,#N/A,TRUE,"YKD"}</definedName>
    <definedName name="이이_1" localSheetId="4" hidden="1">{#N/A,#N/A,TRUE,"Y생산";#N/A,#N/A,TRUE,"Y판매";#N/A,#N/A,TRUE,"Y총물량";#N/A,#N/A,TRUE,"Y능력";#N/A,#N/A,TRUE,"YKD"}</definedName>
    <definedName name="이이_1" localSheetId="3" hidden="1">{#N/A,#N/A,TRUE,"Y생산";#N/A,#N/A,TRUE,"Y판매";#N/A,#N/A,TRUE,"Y총물량";#N/A,#N/A,TRUE,"Y능력";#N/A,#N/A,TRUE,"YKD"}</definedName>
    <definedName name="이이_1" localSheetId="1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 localSheetId="5">#REF!</definedName>
    <definedName name="이이름" localSheetId="4">#REF!</definedName>
    <definedName name="이이름" localSheetId="3">#REF!</definedName>
    <definedName name="이이름" localSheetId="1">#REF!</definedName>
    <definedName name="이이름">#REF!</definedName>
    <definedName name="이이자" localSheetId="3">#REF!</definedName>
    <definedName name="이이자" localSheetId="1">#REF!</definedName>
    <definedName name="이이자">#REF!</definedName>
    <definedName name="이익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 localSheetId="5">#REF!</definedName>
    <definedName name="이익잉영금" localSheetId="4">#REF!</definedName>
    <definedName name="이익잉영금" localSheetId="3">#REF!</definedName>
    <definedName name="이익잉영금" localSheetId="1">#REF!</definedName>
    <definedName name="이익잉영금">#REF!</definedName>
    <definedName name="이인원" localSheetId="3">#REF!</definedName>
    <definedName name="이인원" localSheetId="1">#REF!</definedName>
    <definedName name="이인원">#REF!</definedName>
    <definedName name="이자비용" localSheetId="3">#REF!</definedName>
    <definedName name="이자비용" localSheetId="1">#REF!</definedName>
    <definedName name="이자비용">#REF!</definedName>
    <definedName name="이종화" localSheetId="3">#REF!</definedName>
    <definedName name="이종화" localSheetId="1">#REF!</definedName>
    <definedName name="이종화">#REF!</definedName>
    <definedName name="이천일년" localSheetId="3">#REF!</definedName>
    <definedName name="이천일년" localSheetId="1">#REF!</definedName>
    <definedName name="이천일년">#REF!</definedName>
    <definedName name="이철호" localSheetId="5" hidden="1">{#N/A,#N/A,FALSE,"Aging Summary";#N/A,#N/A,FALSE,"Ratio Analysis";#N/A,#N/A,FALSE,"Test 120 Day Accts";#N/A,#N/A,FALSE,"Tickmarks"}</definedName>
    <definedName name="이철호" localSheetId="4" hidden="1">{#N/A,#N/A,FALSE,"Aging Summary";#N/A,#N/A,FALSE,"Ratio Analysis";#N/A,#N/A,FALSE,"Test 120 Day Accts";#N/A,#N/A,FALSE,"Tickmarks"}</definedName>
    <definedName name="이철호" localSheetId="3" hidden="1">{#N/A,#N/A,FALSE,"Aging Summary";#N/A,#N/A,FALSE,"Ratio Analysis";#N/A,#N/A,FALSE,"Test 120 Day Accts";#N/A,#N/A,FALSE,"Tickmarks"}</definedName>
    <definedName name="이철호" localSheetId="1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이호" localSheetId="5">#REF!</definedName>
    <definedName name="이호" localSheetId="4">#REF!</definedName>
    <definedName name="이호" localSheetId="3">#REF!</definedName>
    <definedName name="이호" localSheetId="1">#REF!</definedName>
    <definedName name="이호">#REF!</definedName>
    <definedName name="이화감가" localSheetId="3">#REF!</definedName>
    <definedName name="이화감가" localSheetId="1">#REF!</definedName>
    <definedName name="이화감가">#REF!</definedName>
    <definedName name="이화매출" localSheetId="3">#REF!</definedName>
    <definedName name="이화매출" localSheetId="1">#REF!</definedName>
    <definedName name="이화매출">#REF!</definedName>
    <definedName name="이화인원" localSheetId="3">#REF!</definedName>
    <definedName name="이화인원" localSheetId="1">#REF!</definedName>
    <definedName name="이화인원">#REF!</definedName>
    <definedName name="익산" localSheetId="3">#REF!</definedName>
    <definedName name="익산" localSheetId="1">#REF!</definedName>
    <definedName name="익산">#REF!</definedName>
    <definedName name="익월업무계획" localSheetId="3">#REF!</definedName>
    <definedName name="익월업무계획" localSheetId="1">#REF!</definedName>
    <definedName name="익월업무계획">#REF!</definedName>
    <definedName name="인감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 localSheetId="5">#REF!</definedName>
    <definedName name="인건비" localSheetId="4">#REF!</definedName>
    <definedName name="인건비" localSheetId="3">#REF!</definedName>
    <definedName name="인건비" localSheetId="1">#REF!</definedName>
    <definedName name="인건비">#REF!</definedName>
    <definedName name="인건비현황" localSheetId="5" hidden="1">{#N/A,#N/A,FALSE,"BS";#N/A,#N/A,FALSE,"PL";#N/A,#N/A,FALSE,"처분";#N/A,#N/A,FALSE,"현금";#N/A,#N/A,FALSE,"매출";#N/A,#N/A,FALSE,"원가";#N/A,#N/A,FALSE,"경영"}</definedName>
    <definedName name="인건비현황" localSheetId="4" hidden="1">{#N/A,#N/A,FALSE,"BS";#N/A,#N/A,FALSE,"PL";#N/A,#N/A,FALSE,"처분";#N/A,#N/A,FALSE,"현금";#N/A,#N/A,FALSE,"매출";#N/A,#N/A,FALSE,"원가";#N/A,#N/A,FALSE,"경영"}</definedName>
    <definedName name="인건비현황" localSheetId="3" hidden="1">{#N/A,#N/A,FALSE,"BS";#N/A,#N/A,FALSE,"PL";#N/A,#N/A,FALSE,"처분";#N/A,#N/A,FALSE,"현금";#N/A,#N/A,FALSE,"매출";#N/A,#N/A,FALSE,"원가";#N/A,#N/A,FALSE,"경영"}</definedName>
    <definedName name="인건비현황" localSheetId="1" hidden="1">{#N/A,#N/A,FALSE,"BS";#N/A,#N/A,FALSE,"PL";#N/A,#N/A,FALSE,"처분";#N/A,#N/A,FALSE,"현금";#N/A,#N/A,FALSE,"매출";#N/A,#N/A,FALSE,"원가";#N/A,#N/A,FALSE,"경영"}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5">BlankMacro1</definedName>
    <definedName name="인사" localSheetId="4">BlankMacro1</definedName>
    <definedName name="인사" localSheetId="3">BlankMacro1</definedName>
    <definedName name="인사" localSheetId="2">BlankMacro1</definedName>
    <definedName name="인사" localSheetId="1">BlankMacro1</definedName>
    <definedName name="인사" localSheetId="0">BlankMacro1</definedName>
    <definedName name="인사">BlankMacro1</definedName>
    <definedName name="인상률안분" localSheetId="5">#REF!</definedName>
    <definedName name="인상률안분" localSheetId="4">#REF!</definedName>
    <definedName name="인상률안분" localSheetId="3">#REF!</definedName>
    <definedName name="인상률안분" localSheetId="1">#REF!</definedName>
    <definedName name="인상률안분">#REF!</definedName>
    <definedName name="인쇄01" localSheetId="3">#REF!</definedName>
    <definedName name="인쇄01" localSheetId="1">#REF!</definedName>
    <definedName name="인쇄01">#REF!</definedName>
    <definedName name="인쇄제목" localSheetId="3">#REF!</definedName>
    <definedName name="인쇄제목" localSheetId="1">#REF!</definedName>
    <definedName name="인쇄제목">#REF!</definedName>
    <definedName name="인원10월" localSheetId="3">#REF!</definedName>
    <definedName name="인원10월" localSheetId="1">#REF!</definedName>
    <definedName name="인원10월">#REF!</definedName>
    <definedName name="인원11월" localSheetId="3">#REF!</definedName>
    <definedName name="인원11월" localSheetId="1">#REF!</definedName>
    <definedName name="인원11월">#REF!</definedName>
    <definedName name="인원12월" localSheetId="3">#REF!</definedName>
    <definedName name="인원12월" localSheetId="1">#REF!</definedName>
    <definedName name="인원12월">#REF!</definedName>
    <definedName name="인원3월" localSheetId="3">#REF!</definedName>
    <definedName name="인원3월" localSheetId="1">#REF!</definedName>
    <definedName name="인원3월">#REF!</definedName>
    <definedName name="인원4월" localSheetId="3">#REF!</definedName>
    <definedName name="인원4월" localSheetId="1">#REF!</definedName>
    <definedName name="인원4월">#REF!</definedName>
    <definedName name="인원5월" localSheetId="3">#REF!</definedName>
    <definedName name="인원5월" localSheetId="1">#REF!</definedName>
    <definedName name="인원5월">#REF!</definedName>
    <definedName name="인원6월" localSheetId="3">#REF!</definedName>
    <definedName name="인원6월" localSheetId="1">#REF!</definedName>
    <definedName name="인원6월">#REF!</definedName>
    <definedName name="인원7월" localSheetId="3">#REF!</definedName>
    <definedName name="인원7월" localSheetId="1">#REF!</definedName>
    <definedName name="인원7월">#REF!</definedName>
    <definedName name="인원8월" localSheetId="3">#REF!</definedName>
    <definedName name="인원8월" localSheetId="1">#REF!</definedName>
    <definedName name="인원8월">#REF!</definedName>
    <definedName name="인원9월" localSheetId="3">#REF!</definedName>
    <definedName name="인원9월" localSheetId="1">#REF!</definedName>
    <definedName name="인원9월">#REF!</definedName>
    <definedName name="인원세부" localSheetId="5" hidden="1">{#N/A,#N/A,TRUE,"Y생산";#N/A,#N/A,TRUE,"Y판매";#N/A,#N/A,TRUE,"Y총물량";#N/A,#N/A,TRUE,"Y능력";#N/A,#N/A,TRUE,"YKD"}</definedName>
    <definedName name="인원세부" localSheetId="4" hidden="1">{#N/A,#N/A,TRUE,"Y생산";#N/A,#N/A,TRUE,"Y판매";#N/A,#N/A,TRUE,"Y총물량";#N/A,#N/A,TRUE,"Y능력";#N/A,#N/A,TRUE,"YKD"}</definedName>
    <definedName name="인원세부" localSheetId="3" hidden="1">{#N/A,#N/A,TRUE,"Y생산";#N/A,#N/A,TRUE,"Y판매";#N/A,#N/A,TRUE,"Y총물량";#N/A,#N/A,TRUE,"Y능력";#N/A,#N/A,TRUE,"YKD"}</definedName>
    <definedName name="인원세부" localSheetId="1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정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localSheetId="5" hidden="1">{#N/A,#N/A,TRUE,"Y생산";#N/A,#N/A,TRUE,"Y판매";#N/A,#N/A,TRUE,"Y총물량";#N/A,#N/A,TRUE,"Y능력";#N/A,#N/A,TRUE,"YKD"}</definedName>
    <definedName name="인테리어팀" localSheetId="4" hidden="1">{#N/A,#N/A,TRUE,"Y생산";#N/A,#N/A,TRUE,"Y판매";#N/A,#N/A,TRUE,"Y총물량";#N/A,#N/A,TRUE,"Y능력";#N/A,#N/A,TRUE,"YKD"}</definedName>
    <definedName name="인테리어팀" localSheetId="3" hidden="1">{#N/A,#N/A,TRUE,"Y생산";#N/A,#N/A,TRUE,"Y판매";#N/A,#N/A,TRUE,"Y총물량";#N/A,#N/A,TRUE,"Y능력";#N/A,#N/A,TRUE,"YKD"}</definedName>
    <definedName name="인테리어팀" localSheetId="1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인테리어팀_1" localSheetId="5" hidden="1">{#N/A,#N/A,TRUE,"Y생산";#N/A,#N/A,TRUE,"Y판매";#N/A,#N/A,TRUE,"Y총물량";#N/A,#N/A,TRUE,"Y능력";#N/A,#N/A,TRUE,"YKD"}</definedName>
    <definedName name="인테리어팀_1" localSheetId="4" hidden="1">{#N/A,#N/A,TRUE,"Y생산";#N/A,#N/A,TRUE,"Y판매";#N/A,#N/A,TRUE,"Y총물량";#N/A,#N/A,TRUE,"Y능력";#N/A,#N/A,TRUE,"YKD"}</definedName>
    <definedName name="인테리어팀_1" localSheetId="3" hidden="1">{#N/A,#N/A,TRUE,"Y생산";#N/A,#N/A,TRUE,"Y판매";#N/A,#N/A,TRUE,"Y총물량";#N/A,#N/A,TRUE,"Y능력";#N/A,#N/A,TRUE,"YKD"}</definedName>
    <definedName name="인테리어팀_1" localSheetId="1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 localSheetId="5">#REF!</definedName>
    <definedName name="일" localSheetId="4">#REF!</definedName>
    <definedName name="일" localSheetId="3">#REF!</definedName>
    <definedName name="일" localSheetId="1">#REF!</definedName>
    <definedName name="일">#REF!</definedName>
    <definedName name="일동" localSheetId="5" hidden="1">{#N/A,#N/A,TRUE,"Y생산";#N/A,#N/A,TRUE,"Y판매";#N/A,#N/A,TRUE,"Y총물량";#N/A,#N/A,TRUE,"Y능력";#N/A,#N/A,TRUE,"YKD"}</definedName>
    <definedName name="일동" localSheetId="4" hidden="1">{#N/A,#N/A,TRUE,"Y생산";#N/A,#N/A,TRUE,"Y판매";#N/A,#N/A,TRUE,"Y총물량";#N/A,#N/A,TRUE,"Y능력";#N/A,#N/A,TRUE,"YKD"}</definedName>
    <definedName name="일동" localSheetId="3" hidden="1">{#N/A,#N/A,TRUE,"Y생산";#N/A,#N/A,TRUE,"Y판매";#N/A,#N/A,TRUE,"Y총물량";#N/A,#N/A,TRUE,"Y능력";#N/A,#N/A,TRUE,"YKD"}</definedName>
    <definedName name="일동" localSheetId="1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등국민" localSheetId="5">#REF!</definedName>
    <definedName name="일등국민" localSheetId="4">#REF!</definedName>
    <definedName name="일등국민" localSheetId="3">#REF!</definedName>
    <definedName name="일등국민" localSheetId="1">#REF!</definedName>
    <definedName name="일등국민">#REF!</definedName>
    <definedName name="一般管理" localSheetId="5" hidden="1">{"'買掛金'!$J$6"}</definedName>
    <definedName name="一般管理" localSheetId="4" hidden="1">{"'買掛金'!$J$6"}</definedName>
    <definedName name="一般管理" localSheetId="3" hidden="1">{"'買掛金'!$J$6"}</definedName>
    <definedName name="一般管理" localSheetId="1" hidden="1">{"'買掛金'!$J$6"}</definedName>
    <definedName name="一般管理" hidden="1">{"'買掛金'!$J$6"}</definedName>
    <definedName name="일반시급" localSheetId="3">#REF!</definedName>
    <definedName name="일반시급" localSheetId="1">#REF!</definedName>
    <definedName name="일반시급">#REF!</definedName>
    <definedName name="일산100" localSheetId="3">#REF!</definedName>
    <definedName name="일산100" localSheetId="1">#REF!</definedName>
    <definedName name="일산100">#REF!</definedName>
    <definedName name="일상보고" localSheetId="5">#REF!</definedName>
    <definedName name="일상보고" localSheetId="4">#REF!</definedName>
    <definedName name="일상보고" localSheetId="3">#REF!</definedName>
    <definedName name="일상보고" localSheetId="1">#REF!</definedName>
    <definedName name="일상보고">#REF!</definedName>
    <definedName name="일용직여" localSheetId="3" hidden="1">#REF!</definedName>
    <definedName name="일용직여" localSheetId="1" hidden="1">#REF!</definedName>
    <definedName name="일용직여" hidden="1">#REF!</definedName>
    <definedName name="일월급여" localSheetId="3">#REF!</definedName>
    <definedName name="일월급여" localSheetId="1">#REF!</definedName>
    <definedName name="일월급여">#REF!</definedName>
    <definedName name="일자">"Edit Box 13"</definedName>
    <definedName name="일정" localSheetId="5" hidden="1">{#N/A,#N/A,TRUE,"Y생산";#N/A,#N/A,TRUE,"Y판매";#N/A,#N/A,TRUE,"Y총물량";#N/A,#N/A,TRUE,"Y능력";#N/A,#N/A,TRUE,"YKD"}</definedName>
    <definedName name="일정" localSheetId="4" hidden="1">{#N/A,#N/A,TRUE,"Y생산";#N/A,#N/A,TRUE,"Y판매";#N/A,#N/A,TRUE,"Y총물량";#N/A,#N/A,TRUE,"Y능력";#N/A,#N/A,TRUE,"YKD"}</definedName>
    <definedName name="일정" localSheetId="3" hidden="1">{#N/A,#N/A,TRUE,"Y생산";#N/A,#N/A,TRUE,"Y판매";#N/A,#N/A,TRUE,"Y총물량";#N/A,#N/A,TRUE,"Y능력";#N/A,#N/A,TRUE,"YKD"}</definedName>
    <definedName name="일정" localSheetId="1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정계획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 localSheetId="5">#REF!</definedName>
    <definedName name="임금인상" localSheetId="4">#REF!</definedName>
    <definedName name="임금인상" localSheetId="3">#REF!</definedName>
    <definedName name="임금인상" localSheetId="1">#REF!</definedName>
    <definedName name="임금인상">#REF!</definedName>
    <definedName name="임대07년" localSheetId="3">#REF!</definedName>
    <definedName name="임대07년" localSheetId="1">#REF!</definedName>
    <definedName name="임대07년">#REF!</definedName>
    <definedName name="임대07년1" localSheetId="3">#REF!</definedName>
    <definedName name="임대07년1" localSheetId="1">#REF!</definedName>
    <definedName name="임대07년1">#REF!</definedName>
    <definedName name="임대08년" localSheetId="3">#REF!</definedName>
    <definedName name="임대08년" localSheetId="1">#REF!</definedName>
    <definedName name="임대08년">#REF!</definedName>
    <definedName name="임대09년" localSheetId="3">#REF!</definedName>
    <definedName name="임대09년" localSheetId="1">#REF!</definedName>
    <definedName name="임대09년">#REF!</definedName>
    <definedName name="임ㅅ1" hidden="1">0</definedName>
    <definedName name="임시" localSheetId="3">#REF!</definedName>
    <definedName name="임시" localSheetId="1">#REF!</definedName>
    <definedName name="임시">#REF!</definedName>
    <definedName name="임원회의" localSheetId="3">#REF!</definedName>
    <definedName name="임원회의" localSheetId="1">#REF!</definedName>
    <definedName name="임원회의">#REF!</definedName>
    <definedName name="임원회의20" localSheetId="3">#REF!</definedName>
    <definedName name="임원회의20" localSheetId="1">#REF!</definedName>
    <definedName name="임원회의20">#REF!</definedName>
    <definedName name="임차보증금" localSheetId="3">#REF!</definedName>
    <definedName name="임차보증금" localSheetId="1">#REF!</definedName>
    <definedName name="임차보증금">#REF!</definedName>
    <definedName name="입고1" localSheetId="3">#REF!</definedName>
    <definedName name="입고1" localSheetId="1">#REF!</definedName>
    <definedName name="입고1">#REF!</definedName>
    <definedName name="입고2" localSheetId="3">#REF!</definedName>
    <definedName name="입고2" localSheetId="1">#REF!</definedName>
    <definedName name="입고2">#REF!</definedName>
    <definedName name="입고3" localSheetId="3">#REF!</definedName>
    <definedName name="입고3" localSheetId="1">#REF!</definedName>
    <definedName name="입고3">#REF!</definedName>
    <definedName name="입고4" localSheetId="3">#REF!</definedName>
    <definedName name="입고4" localSheetId="1">#REF!</definedName>
    <definedName name="입고4">#REF!</definedName>
    <definedName name="입고5" localSheetId="3">#REF!</definedName>
    <definedName name="입고5" localSheetId="1">#REF!</definedName>
    <definedName name="입고5">#REF!</definedName>
    <definedName name="입사" localSheetId="3">#REF!</definedName>
    <definedName name="입사" localSheetId="1">#REF!</definedName>
    <definedName name="입사">#REF!</definedName>
    <definedName name="입사일" localSheetId="3">#REF!</definedName>
    <definedName name="입사일" localSheetId="1">#REF!</definedName>
    <definedName name="입사일">#REF!</definedName>
    <definedName name="잉여" localSheetId="5" hidden="1">{#N/A,#N/A,FALSE,"Aging Summary";#N/A,#N/A,FALSE,"Ratio Analysis";#N/A,#N/A,FALSE,"Test 120 Day Accts";#N/A,#N/A,FALSE,"Tickmarks"}</definedName>
    <definedName name="잉여" localSheetId="4" hidden="1">{#N/A,#N/A,FALSE,"Aging Summary";#N/A,#N/A,FALSE,"Ratio Analysis";#N/A,#N/A,FALSE,"Test 120 Day Accts";#N/A,#N/A,FALSE,"Tickmarks"}</definedName>
    <definedName name="잉여" localSheetId="3" hidden="1">{#N/A,#N/A,FALSE,"Aging Summary";#N/A,#N/A,FALSE,"Ratio Analysis";#N/A,#N/A,FALSE,"Test 120 Day Accts";#N/A,#N/A,FALSE,"Tickmarks"}</definedName>
    <definedName name="잉여" localSheetId="1" hidden="1">{#N/A,#N/A,FALSE,"Aging Summary";#N/A,#N/A,FALSE,"Ratio Analysis";#N/A,#N/A,FALSE,"Test 120 Day Accts";#N/A,#N/A,FALSE,"Tickmarks"}</definedName>
    <definedName name="잉여" hidden="1">{#N/A,#N/A,FALSE,"Aging Summary";#N/A,#N/A,FALSE,"Ratio Analysis";#N/A,#N/A,FALSE,"Test 120 Day Accts";#N/A,#N/A,FALSE,"Tickmarks"}</definedName>
    <definedName name="잉여금" localSheetId="5" hidden="1">{#N/A,#N/A,FALSE,"Aging Summary";#N/A,#N/A,FALSE,"Ratio Analysis";#N/A,#N/A,FALSE,"Test 120 Day Accts";#N/A,#N/A,FALSE,"Tickmarks"}</definedName>
    <definedName name="잉여금" localSheetId="4" hidden="1">{#N/A,#N/A,FALSE,"Aging Summary";#N/A,#N/A,FALSE,"Ratio Analysis";#N/A,#N/A,FALSE,"Test 120 Day Accts";#N/A,#N/A,FALSE,"Tickmarks"}</definedName>
    <definedName name="잉여금" localSheetId="3" hidden="1">{#N/A,#N/A,FALSE,"Aging Summary";#N/A,#N/A,FALSE,"Ratio Analysis";#N/A,#N/A,FALSE,"Test 120 Day Accts";#N/A,#N/A,FALSE,"Tickmarks"}</definedName>
    <definedName name="잉여금" localSheetId="1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localSheetId="5" hidden="1">{#N/A,#N/A,FALSE,"BS";#N/A,#N/A,FALSE,"PL";#N/A,#N/A,FALSE,"처분";#N/A,#N/A,FALSE,"현금";#N/A,#N/A,FALSE,"매출";#N/A,#N/A,FALSE,"원가";#N/A,#N/A,FALSE,"경영"}</definedName>
    <definedName name="잉여금처분" localSheetId="4" hidden="1">{#N/A,#N/A,FALSE,"BS";#N/A,#N/A,FALSE,"PL";#N/A,#N/A,FALSE,"처분";#N/A,#N/A,FALSE,"현금";#N/A,#N/A,FALSE,"매출";#N/A,#N/A,FALSE,"원가";#N/A,#N/A,FALSE,"경영"}</definedName>
    <definedName name="잉여금처분" localSheetId="3" hidden="1">{#N/A,#N/A,FALSE,"BS";#N/A,#N/A,FALSE,"PL";#N/A,#N/A,FALSE,"처분";#N/A,#N/A,FALSE,"현금";#N/A,#N/A,FALSE,"매출";#N/A,#N/A,FALSE,"원가";#N/A,#N/A,FALSE,"경영"}</definedName>
    <definedName name="잉여금처분" localSheetId="1" hidden="1">{#N/A,#N/A,FALSE,"BS";#N/A,#N/A,FALSE,"PL";#N/A,#N/A,FALSE,"처분";#N/A,#N/A,FALSE,"현금";#N/A,#N/A,FALSE,"매출";#N/A,#N/A,FALSE,"원가";#N/A,#N/A,FALSE,"경영"}</definedName>
    <definedName name="잉여금처분" hidden="1">{#N/A,#N/A,FALSE,"BS";#N/A,#N/A,FALSE,"PL";#N/A,#N/A,FALSE,"처분";#N/A,#N/A,FALSE,"현금";#N/A,#N/A,FALSE,"매출";#N/A,#N/A,FALSE,"원가";#N/A,#N/A,FALSE,"경영"}</definedName>
    <definedName name="ㅈ" localSheetId="5" hidden="1">{#N/A,#N/A,TRUE,"Y생산";#N/A,#N/A,TRUE,"Y판매";#N/A,#N/A,TRUE,"Y총물량";#N/A,#N/A,TRUE,"Y능력";#N/A,#N/A,TRUE,"YKD"}</definedName>
    <definedName name="ㅈ" localSheetId="4" hidden="1">{#N/A,#N/A,TRUE,"Y생산";#N/A,#N/A,TRUE,"Y판매";#N/A,#N/A,TRUE,"Y총물량";#N/A,#N/A,TRUE,"Y능력";#N/A,#N/A,TRUE,"YKD"}</definedName>
    <definedName name="ㅈ" localSheetId="3" hidden="1">{#N/A,#N/A,TRUE,"Y생산";#N/A,#N/A,TRUE,"Y판매";#N/A,#N/A,TRUE,"Y총물량";#N/A,#N/A,TRUE,"Y능력";#N/A,#N/A,TRUE,"YKD"}</definedName>
    <definedName name="ㅈ" localSheetId="1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121" localSheetId="5">#REF!</definedName>
    <definedName name="ㅈ121" localSheetId="4">#REF!</definedName>
    <definedName name="ㅈ121" localSheetId="3">#REF!</definedName>
    <definedName name="ㅈ121" localSheetId="1">#REF!</definedName>
    <definedName name="ㅈ121">#REF!</definedName>
    <definedName name="ㅈ123" localSheetId="3">#REF!</definedName>
    <definedName name="ㅈ123" localSheetId="1">#REF!</definedName>
    <definedName name="ㅈ123">#REF!</definedName>
    <definedName name="ㅈ159" localSheetId="3">#REF!</definedName>
    <definedName name="ㅈ159" localSheetId="1">#REF!</definedName>
    <definedName name="ㅈ159">#REF!</definedName>
    <definedName name="ㅈ1591" localSheetId="3">#REF!</definedName>
    <definedName name="ㅈ1591" localSheetId="1">#REF!</definedName>
    <definedName name="ㅈ1591">#REF!</definedName>
    <definedName name="ㅈㄷㄱ" localSheetId="5" hidden="1">#REF!</definedName>
    <definedName name="ㅈㄷㄱ" localSheetId="4" hidden="1">#REF!</definedName>
    <definedName name="ㅈㄷㄱ" localSheetId="3" hidden="1">#REF!</definedName>
    <definedName name="ㅈㄷㄱ" localSheetId="1" hidden="1">#REF!</definedName>
    <definedName name="ㅈㄷㄱ" hidden="1">#REF!</definedName>
    <definedName name="ㅈㄷㄱㄱ" localSheetId="5" hidden="1">{#N/A,#N/A,FALSE,"Aging Summary";#N/A,#N/A,FALSE,"Ratio Analysis";#N/A,#N/A,FALSE,"Test 120 Day Accts";#N/A,#N/A,FALSE,"Tickmarks"}</definedName>
    <definedName name="ㅈㄷㄱㄱ" localSheetId="4" hidden="1">{#N/A,#N/A,FALSE,"Aging Summary";#N/A,#N/A,FALSE,"Ratio Analysis";#N/A,#N/A,FALSE,"Test 120 Day Accts";#N/A,#N/A,FALSE,"Tickmarks"}</definedName>
    <definedName name="ㅈㄷㄱㄱ" localSheetId="3" hidden="1">{#N/A,#N/A,FALSE,"Aging Summary";#N/A,#N/A,FALSE,"Ratio Analysis";#N/A,#N/A,FALSE,"Test 120 Day Accts";#N/A,#N/A,FALSE,"Tickmarks"}</definedName>
    <definedName name="ㅈㄷㄱㄱ" localSheetId="1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localSheetId="5" hidden="1">#REF!</definedName>
    <definedName name="ㅈㄷㅈㄷㄱㄷ" localSheetId="4" hidden="1">#REF!</definedName>
    <definedName name="ㅈㄷㅈㄷㄱㄷ" localSheetId="3" hidden="1">#REF!</definedName>
    <definedName name="ㅈㄷㅈㄷㄱㄷ" localSheetId="1" hidden="1">#REF!</definedName>
    <definedName name="ㅈㄷㅈㄷㄱㄷ" hidden="1">#REF!</definedName>
    <definedName name="ㅈㅈ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4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3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localSheetId="5" hidden="1">{"'Sheet1'!$A$1:$H$36"}</definedName>
    <definedName name="ㅈㅈㅈㅈ" localSheetId="4" hidden="1">{"'Sheet1'!$A$1:$H$36"}</definedName>
    <definedName name="ㅈㅈㅈㅈ" localSheetId="3" hidden="1">{"'Sheet1'!$A$1:$H$36"}</definedName>
    <definedName name="ㅈㅈㅈㅈ" localSheetId="1" hidden="1">{"'Sheet1'!$A$1:$H$36"}</definedName>
    <definedName name="ㅈㅈㅈㅈ" hidden="1">{"'Sheet1'!$A$1:$H$36"}</definedName>
    <definedName name="ㅈㅈㅈㅈㅈ" localSheetId="5">#REF!</definedName>
    <definedName name="ㅈㅈㅈㅈㅈ" localSheetId="4">#REF!</definedName>
    <definedName name="ㅈㅈㅈㅈㅈ" localSheetId="3">#REF!</definedName>
    <definedName name="ㅈㅈㅈㅈㅈ" localSheetId="1">#REF!</definedName>
    <definedName name="ㅈㅈㅈㅈㅈ">#REF!</definedName>
    <definedName name="ㅈㅈㅈㅈㅈㅈㅈ" localSheetId="3">#REF!</definedName>
    <definedName name="ㅈㅈㅈㅈㅈㅈㅈ" localSheetId="1">#REF!</definedName>
    <definedName name="ㅈㅈㅈㅈㅈㅈㅈ">#REF!</definedName>
    <definedName name="ㅈㅈㅈㅈㅈㅈㅈㅈ" localSheetId="3">#REF!</definedName>
    <definedName name="ㅈㅈㅈㅈㅈㅈㅈㅈ" localSheetId="1">#REF!</definedName>
    <definedName name="ㅈㅈㅈㅈㅈㅈㅈㅈ">#REF!</definedName>
    <definedName name="ㅈㅈㅈㅈㅈㅈㅈㅈㅈ" localSheetId="3">#REF!</definedName>
    <definedName name="ㅈㅈㅈㅈㅈㅈㅈㅈㅈ" localSheetId="1">#REF!</definedName>
    <definedName name="ㅈㅈㅈㅈㅈㅈㅈㅈㅈ">#REF!</definedName>
    <definedName name="자" localSheetId="5">#REF!</definedName>
    <definedName name="자" localSheetId="4">#REF!</definedName>
    <definedName name="자" localSheetId="3">#REF!</definedName>
    <definedName name="자" localSheetId="1">#REF!</definedName>
    <definedName name="자">#REF!</definedName>
    <definedName name="자금대구" localSheetId="3">#REF!</definedName>
    <definedName name="자금대구" localSheetId="1">#REF!</definedName>
    <definedName name="자금대구">#REF!</definedName>
    <definedName name="자금집행실적" localSheetId="5" hidden="1">{"'Sheet1'!$A$1:$H$36"}</definedName>
    <definedName name="자금집행실적" localSheetId="4" hidden="1">{"'Sheet1'!$A$1:$H$36"}</definedName>
    <definedName name="자금집행실적" localSheetId="3" hidden="1">{"'Sheet1'!$A$1:$H$36"}</definedName>
    <definedName name="자금집행실적" localSheetId="1" hidden="1">{"'Sheet1'!$A$1:$H$36"}</definedName>
    <definedName name="자금집행실적" hidden="1">{"'Sheet1'!$A$1:$H$36"}</definedName>
    <definedName name="자금청구현황대구" localSheetId="3">#REF!</definedName>
    <definedName name="자금청구현황대구" localSheetId="1">#REF!</definedName>
    <definedName name="자금청구현황대구">#REF!</definedName>
    <definedName name="자녀양육" localSheetId="3">#REF!</definedName>
    <definedName name="자녀양육" localSheetId="1">#REF!</definedName>
    <definedName name="자녀양육">#REF!</definedName>
    <definedName name="자동차투자" localSheetId="3" hidden="1">#REF!</definedName>
    <definedName name="자동차투자" localSheetId="1" hidden="1">#REF!</definedName>
    <definedName name="자동차투자" hidden="1">#REF!</definedName>
    <definedName name="자랑" localSheetId="5">#REF!</definedName>
    <definedName name="자랑" localSheetId="4">#REF!</definedName>
    <definedName name="자랑" localSheetId="3">#REF!</definedName>
    <definedName name="자랑" localSheetId="1">#REF!</definedName>
    <definedName name="자랑">#REF!</definedName>
    <definedName name="자료" localSheetId="5" hidden="1">{#N/A,#N/A,FALSE,"95FW"}</definedName>
    <definedName name="자료" localSheetId="4" hidden="1">{#N/A,#N/A,FALSE,"95FW"}</definedName>
    <definedName name="자료" localSheetId="3" hidden="1">{#N/A,#N/A,FALSE,"95FW"}</definedName>
    <definedName name="자료" localSheetId="1" hidden="1">{#N/A,#N/A,FALSE,"95FW"}</definedName>
    <definedName name="자료" hidden="1">{#N/A,#N/A,FALSE,"95FW"}</definedName>
    <definedName name="자료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 localSheetId="5">#REF!</definedName>
    <definedName name="자매출" localSheetId="4">#REF!</definedName>
    <definedName name="자매출" localSheetId="3">#REF!</definedName>
    <definedName name="자매출" localSheetId="1">#REF!</definedName>
    <definedName name="자매출">#REF!</definedName>
    <definedName name="자본" localSheetId="5" hidden="1">{#N/A,#N/A,FALSE,"Aging Summary";#N/A,#N/A,FALSE,"Ratio Analysis";#N/A,#N/A,FALSE,"Test 120 Day Accts";#N/A,#N/A,FALSE,"Tickmarks"}</definedName>
    <definedName name="자본" localSheetId="4" hidden="1">{#N/A,#N/A,FALSE,"Aging Summary";#N/A,#N/A,FALSE,"Ratio Analysis";#N/A,#N/A,FALSE,"Test 120 Day Accts";#N/A,#N/A,FALSE,"Tickmarks"}</definedName>
    <definedName name="자본" localSheetId="3" hidden="1">{#N/A,#N/A,FALSE,"Aging Summary";#N/A,#N/A,FALSE,"Ratio Analysis";#N/A,#N/A,FALSE,"Test 120 Day Accts";#N/A,#N/A,FALSE,"Tickmarks"}</definedName>
    <definedName name="자본" localSheetId="1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5" hidden="1">{#N/A,#N/A,FALSE,"Aging Summary";#N/A,#N/A,FALSE,"Ratio Analysis";#N/A,#N/A,FALSE,"Test 120 Day Accts";#N/A,#N/A,FALSE,"Tickmarks"}</definedName>
    <definedName name="자본금" localSheetId="4" hidden="1">{#N/A,#N/A,FALSE,"Aging Summary";#N/A,#N/A,FALSE,"Ratio Analysis";#N/A,#N/A,FALSE,"Test 120 Day Accts";#N/A,#N/A,FALSE,"Tickmarks"}</definedName>
    <definedName name="자본금" localSheetId="3" hidden="1">{#N/A,#N/A,FALSE,"Aging Summary";#N/A,#N/A,FALSE,"Ratio Analysis";#N/A,#N/A,FALSE,"Test 120 Day Accts";#N/A,#N/A,FALSE,"Tickmarks"}</definedName>
    <definedName name="자본금" localSheetId="1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 localSheetId="5">#REF!</definedName>
    <definedName name="자본금과잉여금" localSheetId="4">#REF!</definedName>
    <definedName name="자본금과잉여금" localSheetId="3">#REF!</definedName>
    <definedName name="자본금과잉여금" localSheetId="1">#REF!</definedName>
    <definedName name="자본금과잉여금">#REF!</definedName>
    <definedName name="자본방" localSheetId="5" hidden="1">{#N/A,#N/A,FALSE,"Aging Summary";#N/A,#N/A,FALSE,"Ratio Analysis";#N/A,#N/A,FALSE,"Test 120 Day Accts";#N/A,#N/A,FALSE,"Tickmarks"}</definedName>
    <definedName name="자본방" localSheetId="4" hidden="1">{#N/A,#N/A,FALSE,"Aging Summary";#N/A,#N/A,FALSE,"Ratio Analysis";#N/A,#N/A,FALSE,"Test 120 Day Accts";#N/A,#N/A,FALSE,"Tickmarks"}</definedName>
    <definedName name="자본방" localSheetId="3" hidden="1">{#N/A,#N/A,FALSE,"Aging Summary";#N/A,#N/A,FALSE,"Ratio Analysis";#N/A,#N/A,FALSE,"Test 120 Day Accts";#N/A,#N/A,FALSE,"Tickmarks"}</definedName>
    <definedName name="자본방" localSheetId="1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산" localSheetId="5">#REF!</definedName>
    <definedName name="자산" localSheetId="4">#REF!</definedName>
    <definedName name="자산" localSheetId="3">#REF!</definedName>
    <definedName name="자산" localSheetId="1">#REF!</definedName>
    <definedName name="자산">#REF!</definedName>
    <definedName name="자산_가치_상승률" localSheetId="3">#REF!</definedName>
    <definedName name="자산_가치_상승률" localSheetId="1">#REF!</definedName>
    <definedName name="자산_가치_상승률">#REF!</definedName>
    <definedName name="자산건전성" localSheetId="3">#REF!</definedName>
    <definedName name="자산건전성" localSheetId="1">#REF!</definedName>
    <definedName name="자산건전성">#REF!</definedName>
    <definedName name="자이자" localSheetId="3">#REF!</definedName>
    <definedName name="자이자" localSheetId="1">#REF!</definedName>
    <definedName name="자이자">#REF!</definedName>
    <definedName name="자인원" localSheetId="3">#REF!</definedName>
    <definedName name="자인원" localSheetId="1">#REF!</definedName>
    <definedName name="자인원">#REF!</definedName>
    <definedName name="자재기준" localSheetId="5" hidden="1">{#N/A,#N/A,TRUE,"Y생산";#N/A,#N/A,TRUE,"Y판매";#N/A,#N/A,TRUE,"Y총물량";#N/A,#N/A,TRUE,"Y능력";#N/A,#N/A,TRUE,"YKD"}</definedName>
    <definedName name="자재기준" localSheetId="4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localSheetId="1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취소" localSheetId="5">#REF!</definedName>
    <definedName name="자체취소" localSheetId="4">#REF!</definedName>
    <definedName name="자체취소" localSheetId="3">#REF!</definedName>
    <definedName name="자체취소" localSheetId="1">#REF!</definedName>
    <definedName name="자체취소">#REF!</definedName>
    <definedName name="작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localSheetId="5" hidden="1">{#N/A,#N/A,FALSE,"BS";#N/A,#N/A,FALSE,"PL";#N/A,#N/A,FALSE,"처분";#N/A,#N/A,FALSE,"현금";#N/A,#N/A,FALSE,"매출";#N/A,#N/A,FALSE,"원가";#N/A,#N/A,FALSE,"경영"}</definedName>
    <definedName name="작성조서" localSheetId="4" hidden="1">{#N/A,#N/A,FALSE,"BS";#N/A,#N/A,FALSE,"PL";#N/A,#N/A,FALSE,"처분";#N/A,#N/A,FALSE,"현금";#N/A,#N/A,FALSE,"매출";#N/A,#N/A,FALSE,"원가";#N/A,#N/A,FALSE,"경영"}</definedName>
    <definedName name="작성조서" localSheetId="3" hidden="1">{#N/A,#N/A,FALSE,"BS";#N/A,#N/A,FALSE,"PL";#N/A,#N/A,FALSE,"처분";#N/A,#N/A,FALSE,"현금";#N/A,#N/A,FALSE,"매출";#N/A,#N/A,FALSE,"원가";#N/A,#N/A,FALSE,"경영"}</definedName>
    <definedName name="작성조서" localSheetId="1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 localSheetId="5">#REF!</definedName>
    <definedName name="작업경로" localSheetId="4">#REF!</definedName>
    <definedName name="작업경로" localSheetId="3">#REF!</definedName>
    <definedName name="작업경로" localSheetId="1">#REF!</definedName>
    <definedName name="작업경로">#REF!</definedName>
    <definedName name="작업복">35000</definedName>
    <definedName name="작업일수" localSheetId="5">#REF!</definedName>
    <definedName name="작업일수" localSheetId="4">#REF!</definedName>
    <definedName name="작업일수" localSheetId="3">#REF!</definedName>
    <definedName name="작업일수" localSheetId="1">#REF!</definedName>
    <definedName name="작업일수">#REF!</definedName>
    <definedName name="잔존만기" localSheetId="3">#REF!</definedName>
    <definedName name="잔존만기" localSheetId="1">#REF!</definedName>
    <definedName name="잔존만기">#REF!</definedName>
    <definedName name="雑費" localSheetId="5" hidden="1">{"'買掛金'!$J$6"}</definedName>
    <definedName name="雑費" localSheetId="4" hidden="1">{"'買掛金'!$J$6"}</definedName>
    <definedName name="雑費" localSheetId="3" hidden="1">{"'買掛金'!$J$6"}</definedName>
    <definedName name="雑費" localSheetId="1" hidden="1">{"'買掛金'!$J$6"}</definedName>
    <definedName name="雑費" hidden="1">{"'買掛金'!$J$6"}</definedName>
    <definedName name="잡손실" localSheetId="5" hidden="1">{#N/A,#N/A,FALSE,"1.CRITERIA";#N/A,#N/A,FALSE,"2.IS";#N/A,#N/A,FALSE,"3.BS";#N/A,#N/A,FALSE,"4.PER PL";#N/A,#N/A,FALSE,"5.INVESTMENT";#N/A,#N/A,FALSE,"6.공문";#N/A,#N/A,FALSE,"7.netinvest"}</definedName>
    <definedName name="잡손실" localSheetId="4" hidden="1">{#N/A,#N/A,FALSE,"1.CRITERIA";#N/A,#N/A,FALSE,"2.IS";#N/A,#N/A,FALSE,"3.BS";#N/A,#N/A,FALSE,"4.PER PL";#N/A,#N/A,FALSE,"5.INVESTMENT";#N/A,#N/A,FALSE,"6.공문";#N/A,#N/A,FALSE,"7.netinvest"}</definedName>
    <definedName name="잡손실" localSheetId="3" hidden="1">{#N/A,#N/A,FALSE,"1.CRITERIA";#N/A,#N/A,FALSE,"2.IS";#N/A,#N/A,FALSE,"3.BS";#N/A,#N/A,FALSE,"4.PER PL";#N/A,#N/A,FALSE,"5.INVESTMENT";#N/A,#N/A,FALSE,"6.공문";#N/A,#N/A,FALSE,"7.netinvest"}</definedName>
    <definedName name="잡손실" localSheetId="1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5" hidden="1">{#N/A,#N/A,FALSE,"1.CRITERIA";#N/A,#N/A,FALSE,"2.IS";#N/A,#N/A,FALSE,"3.BS";#N/A,#N/A,FALSE,"4.PER PL";#N/A,#N/A,FALSE,"5.INVESTMENT";#N/A,#N/A,FALSE,"6.공문";#N/A,#N/A,FALSE,"7.netinvest"}</definedName>
    <definedName name="잡이익" localSheetId="4" hidden="1">{#N/A,#N/A,FALSE,"1.CRITERIA";#N/A,#N/A,FALSE,"2.IS";#N/A,#N/A,FALSE,"3.BS";#N/A,#N/A,FALSE,"4.PER PL";#N/A,#N/A,FALSE,"5.INVESTMENT";#N/A,#N/A,FALSE,"6.공문";#N/A,#N/A,FALSE,"7.netinvest"}</definedName>
    <definedName name="잡이익" localSheetId="3" hidden="1">{#N/A,#N/A,FALSE,"1.CRITERIA";#N/A,#N/A,FALSE,"2.IS";#N/A,#N/A,FALSE,"3.BS";#N/A,#N/A,FALSE,"4.PER PL";#N/A,#N/A,FALSE,"5.INVESTMENT";#N/A,#N/A,FALSE,"6.공문";#N/A,#N/A,FALSE,"7.netinvest"}</definedName>
    <definedName name="잡이익" localSheetId="1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 localSheetId="5">#REF!</definedName>
    <definedName name="장1" localSheetId="4">#REF!</definedName>
    <definedName name="장1" localSheetId="3">#REF!</definedName>
    <definedName name="장1" localSheetId="1">#REF!</definedName>
    <definedName name="장1">#REF!</definedName>
    <definedName name="장10" localSheetId="3">#REF!</definedName>
    <definedName name="장10" localSheetId="1">#REF!</definedName>
    <definedName name="장10">#REF!</definedName>
    <definedName name="장11" localSheetId="3">#REF!</definedName>
    <definedName name="장11" localSheetId="1">#REF!</definedName>
    <definedName name="장11">#REF!</definedName>
    <definedName name="장12" localSheetId="3">#REF!</definedName>
    <definedName name="장12" localSheetId="1">#REF!</definedName>
    <definedName name="장12">#REF!</definedName>
    <definedName name="장2" localSheetId="3">#REF!</definedName>
    <definedName name="장2" localSheetId="1">#REF!</definedName>
    <definedName name="장2">#REF!</definedName>
    <definedName name="장3" localSheetId="3">#REF!</definedName>
    <definedName name="장3" localSheetId="1">#REF!</definedName>
    <definedName name="장3">#REF!</definedName>
    <definedName name="장4" localSheetId="3">#REF!</definedName>
    <definedName name="장4" localSheetId="1">#REF!</definedName>
    <definedName name="장4">#REF!</definedName>
    <definedName name="장5" localSheetId="3">#REF!</definedName>
    <definedName name="장5" localSheetId="1">#REF!</definedName>
    <definedName name="장5">#REF!</definedName>
    <definedName name="장6" localSheetId="3">#REF!</definedName>
    <definedName name="장6" localSheetId="1">#REF!</definedName>
    <definedName name="장6">#REF!</definedName>
    <definedName name="장7" localSheetId="3">#REF!</definedName>
    <definedName name="장7" localSheetId="1">#REF!</definedName>
    <definedName name="장7">#REF!</definedName>
    <definedName name="장8" localSheetId="3">#REF!</definedName>
    <definedName name="장8" localSheetId="1">#REF!</definedName>
    <definedName name="장8">#REF!</definedName>
    <definedName name="장9" localSheetId="3">#REF!</definedName>
    <definedName name="장9" localSheetId="1">#REF!</definedName>
    <definedName name="장9">#REF!</definedName>
    <definedName name="장기" localSheetId="5" hidden="1">{#N/A,#N/A,TRUE,"Y생산";#N/A,#N/A,TRUE,"Y판매";#N/A,#N/A,TRUE,"Y총물량";#N/A,#N/A,TRUE,"Y능력";#N/A,#N/A,TRUE,"YKD"}</definedName>
    <definedName name="장기" localSheetId="4" hidden="1">{#N/A,#N/A,TRUE,"Y생산";#N/A,#N/A,TRUE,"Y판매";#N/A,#N/A,TRUE,"Y총물량";#N/A,#N/A,TRUE,"Y능력";#N/A,#N/A,TRUE,"YKD"}</definedName>
    <definedName name="장기" localSheetId="3" hidden="1">{#N/A,#N/A,TRUE,"Y생산";#N/A,#N/A,TRUE,"Y판매";#N/A,#N/A,TRUE,"Y총물량";#N/A,#N/A,TRUE,"Y능력";#N/A,#N/A,TRUE,"YKD"}</definedName>
    <definedName name="장기" localSheetId="1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_1" localSheetId="5" hidden="1">{#N/A,#N/A,TRUE,"Y생산";#N/A,#N/A,TRUE,"Y판매";#N/A,#N/A,TRUE,"Y총물량";#N/A,#N/A,TRUE,"Y능력";#N/A,#N/A,TRUE,"YKD"}</definedName>
    <definedName name="장기_1" localSheetId="4" hidden="1">{#N/A,#N/A,TRUE,"Y생산";#N/A,#N/A,TRUE,"Y판매";#N/A,#N/A,TRUE,"Y총물량";#N/A,#N/A,TRUE,"Y능력";#N/A,#N/A,TRUE,"YKD"}</definedName>
    <definedName name="장기_1" localSheetId="3" hidden="1">{#N/A,#N/A,TRUE,"Y생산";#N/A,#N/A,TRUE,"Y판매";#N/A,#N/A,TRUE,"Y총물량";#N/A,#N/A,TRUE,"Y능력";#N/A,#N/A,TRUE,"YKD"}</definedName>
    <definedName name="장기_1" localSheetId="1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 localSheetId="5">#REF!</definedName>
    <definedName name="장기선급비용" localSheetId="4">#REF!</definedName>
    <definedName name="장기선급비용" localSheetId="3">#REF!</definedName>
    <definedName name="장기선급비용" localSheetId="1">#REF!</definedName>
    <definedName name="장기선급비용">#REF!</definedName>
    <definedName name="장기차입" localSheetId="3">#REF!</definedName>
    <definedName name="장기차입" localSheetId="1">#REF!</definedName>
    <definedName name="장기차입">#REF!</definedName>
    <definedName name="장기투자.94.BB" localSheetId="3">#REF!</definedName>
    <definedName name="장기투자.94.BB" localSheetId="1">#REF!</definedName>
    <definedName name="장기투자.94.BB">#REF!</definedName>
    <definedName name="長島" localSheetId="5" hidden="1">{"'買掛金'!$J$6"}</definedName>
    <definedName name="長島" localSheetId="4" hidden="1">{"'買掛金'!$J$6"}</definedName>
    <definedName name="長島" localSheetId="3" hidden="1">{"'買掛金'!$J$6"}</definedName>
    <definedName name="長島" localSheetId="1" hidden="1">{"'買掛金'!$J$6"}</definedName>
    <definedName name="長島" hidden="1">{"'買掛金'!$J$6"}</definedName>
    <definedName name="장부가액" localSheetId="3">#REF!</definedName>
    <definedName name="장부가액" localSheetId="1">#REF!</definedName>
    <definedName name="장부가액">#REF!</definedName>
    <definedName name="장부가액합계" localSheetId="3">#REF!</definedName>
    <definedName name="장부가액합계" localSheetId="1">#REF!</definedName>
    <definedName name="장부가액합계">#REF!</definedName>
    <definedName name="장비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 localSheetId="5">#REF!</definedName>
    <definedName name="장비합계" localSheetId="4">#REF!</definedName>
    <definedName name="장비합계" localSheetId="3">#REF!</definedName>
    <definedName name="장비합계" localSheetId="1">#REF!</definedName>
    <definedName name="장비합계">#REF!</definedName>
    <definedName name="장선비용" localSheetId="3">#REF!</definedName>
    <definedName name="장선비용" localSheetId="1">#REF!</definedName>
    <definedName name="장선비용">#REF!</definedName>
    <definedName name="장성_2010" localSheetId="3">#REF!</definedName>
    <definedName name="장성_2010" localSheetId="1">#REF!</definedName>
    <definedName name="장성_2010">#REF!</definedName>
    <definedName name="장소사용료합계" localSheetId="5">#REF!</definedName>
    <definedName name="장소사용료합계" localSheetId="4">#REF!</definedName>
    <definedName name="장소사용료합계" localSheetId="3">#REF!</definedName>
    <definedName name="장소사용료합계" localSheetId="1">#REF!</definedName>
    <definedName name="장소사용료합계">#REF!</definedName>
    <definedName name="장애인10월" localSheetId="3">#REF!</definedName>
    <definedName name="장애인10월" localSheetId="1">#REF!</definedName>
    <definedName name="장애인10월">#REF!</definedName>
    <definedName name="장애인11월" localSheetId="3">#REF!</definedName>
    <definedName name="장애인11월" localSheetId="1">#REF!</definedName>
    <definedName name="장애인11월">#REF!</definedName>
    <definedName name="장애인12월" localSheetId="3">#REF!</definedName>
    <definedName name="장애인12월" localSheetId="1">#REF!</definedName>
    <definedName name="장애인12월">#REF!</definedName>
    <definedName name="장애인3월" localSheetId="3">#REF!</definedName>
    <definedName name="장애인3월" localSheetId="1">#REF!</definedName>
    <definedName name="장애인3월">#REF!</definedName>
    <definedName name="장애인4월" localSheetId="3">#REF!</definedName>
    <definedName name="장애인4월" localSheetId="1">#REF!</definedName>
    <definedName name="장애인4월">#REF!</definedName>
    <definedName name="장애인5월" localSheetId="3">#REF!</definedName>
    <definedName name="장애인5월" localSheetId="1">#REF!</definedName>
    <definedName name="장애인5월">#REF!</definedName>
    <definedName name="장애인6월" localSheetId="3">#REF!</definedName>
    <definedName name="장애인6월" localSheetId="1">#REF!</definedName>
    <definedName name="장애인6월">#REF!</definedName>
    <definedName name="장애인7월" localSheetId="3">#REF!</definedName>
    <definedName name="장애인7월" localSheetId="1">#REF!</definedName>
    <definedName name="장애인7월">#REF!</definedName>
    <definedName name="장애인8월" localSheetId="3">#REF!</definedName>
    <definedName name="장애인8월" localSheetId="1">#REF!</definedName>
    <definedName name="장애인8월">#REF!</definedName>
    <definedName name="장애인9월" localSheetId="3">#REF!</definedName>
    <definedName name="장애인9월" localSheetId="1">#REF!</definedName>
    <definedName name="장애인9월">#REF!</definedName>
    <definedName name="재고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 localSheetId="5">#REF!</definedName>
    <definedName name="재고1" localSheetId="4">#REF!</definedName>
    <definedName name="재고1" localSheetId="3">#REF!</definedName>
    <definedName name="재고1" localSheetId="1">#REF!</definedName>
    <definedName name="재고1">#REF!</definedName>
    <definedName name="재고2" localSheetId="3">#REF!</definedName>
    <definedName name="재고2" localSheetId="1">#REF!</definedName>
    <definedName name="재고2">#REF!</definedName>
    <definedName name="재고자산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localSheetId="5" hidden="1">#REF!</definedName>
    <definedName name="재무" localSheetId="4" hidden="1">#REF!</definedName>
    <definedName name="재무" localSheetId="3" hidden="1">#REF!</definedName>
    <definedName name="재무" localSheetId="1" hidden="1">#REF!</definedName>
    <definedName name="재무" hidden="1">#REF!</definedName>
    <definedName name="재무제표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 localSheetId="5">#REF!</definedName>
    <definedName name="저장품" localSheetId="4">#REF!</definedName>
    <definedName name="저장품" localSheetId="3">#REF!</definedName>
    <definedName name="저장품" localSheetId="1">#REF!</definedName>
    <definedName name="저장품">#REF!</definedName>
    <definedName name="저쩌구" localSheetId="3">#REF!</definedName>
    <definedName name="저쩌구" localSheetId="1">#REF!</definedName>
    <definedName name="저쩌구">#REF!</definedName>
    <definedName name="적용전체" localSheetId="3">#REF!</definedName>
    <definedName name="적용전체" localSheetId="1">#REF!</definedName>
    <definedName name="적용전체">#REF!</definedName>
    <definedName name="적용현황" localSheetId="5">#REF!</definedName>
    <definedName name="적용현황" localSheetId="4">#REF!</definedName>
    <definedName name="적용현황" localSheetId="3">#REF!</definedName>
    <definedName name="적용현황" localSheetId="1">#REF!</definedName>
    <definedName name="적용현황">#REF!</definedName>
    <definedName name="전기">#N/A</definedName>
    <definedName name="전년" localSheetId="5" hidden="1">#REF!</definedName>
    <definedName name="전년" localSheetId="4" hidden="1">#REF!</definedName>
    <definedName name="전년" localSheetId="3" hidden="1">#REF!</definedName>
    <definedName name="전년" localSheetId="1" hidden="1">#REF!</definedName>
    <definedName name="전년" hidden="1">#REF!</definedName>
    <definedName name="전산장비" localSheetId="5" hidden="1">{"'Sheet1'!$A$1:$H$36"}</definedName>
    <definedName name="전산장비" localSheetId="4" hidden="1">{"'Sheet1'!$A$1:$H$36"}</definedName>
    <definedName name="전산장비" localSheetId="3" hidden="1">{"'Sheet1'!$A$1:$H$36"}</definedName>
    <definedName name="전산장비" localSheetId="1" hidden="1">{"'Sheet1'!$A$1:$H$36"}</definedName>
    <definedName name="전산장비" hidden="1">{"'Sheet1'!$A$1:$H$36"}</definedName>
    <definedName name="전신전화" localSheetId="3">#REF!</definedName>
    <definedName name="전신전화" localSheetId="1">#REF!</definedName>
    <definedName name="전신전화">#REF!</definedName>
    <definedName name="전월요금1" localSheetId="5">ROUND(사용량1*(전월일수-#REF!+1)/전월일수,0)*사용요금10</definedName>
    <definedName name="전월요금1" localSheetId="4">ROUND(사용량1*(전월일수-#REF!+1)/전월일수,0)*사용요금10</definedName>
    <definedName name="전월요금1" localSheetId="3">ROUND(Inven_after!사용량1*(전월일수-#REF!+1)/전월일수,0)*사용요금10</definedName>
    <definedName name="전월요금1" localSheetId="1">ROUND(PL_after!사용량1*(전월일수-#REF!+1)/전월일수,0)*사용요금10</definedName>
    <definedName name="전월요금1">ROUND(사용량1*(전월일수-#REF!+1)/전월일수,0)*사용요금10</definedName>
    <definedName name="전월요금2" localSheetId="5">ROUND(사용량2*(전월일수-#REF!+1)/전월일수,0)*사용요금20</definedName>
    <definedName name="전월요금2" localSheetId="4">ROUND(사용량2*(전월일수-#REF!+1)/전월일수,0)*사용요금20</definedName>
    <definedName name="전월요금2" localSheetId="3">ROUND(Inven_after!사용량2*(전월일수-#REF!+1)/전월일수,0)*사용요금20</definedName>
    <definedName name="전월요금2" localSheetId="1">ROUND(PL_after!사용량2*(전월일수-#REF!+1)/전월일수,0)*사용요금20</definedName>
    <definedName name="전월요금2">ROUND(사용량2*(전월일수-#REF!+1)/전월일수,0)*사용요금20</definedName>
    <definedName name="전월일수">#N/A</definedName>
    <definedName name="전입액" localSheetId="5">#REF!</definedName>
    <definedName name="전입액" localSheetId="4">#REF!</definedName>
    <definedName name="전입액" localSheetId="3">#REF!</definedName>
    <definedName name="전입액" localSheetId="1">#REF!</definedName>
    <definedName name="전입액">#REF!</definedName>
    <definedName name="전장" localSheetId="3">#REF!</definedName>
    <definedName name="전장" localSheetId="1">#REF!</definedName>
    <definedName name="전장">#REF!</definedName>
    <definedName name="전장su" localSheetId="3">#REF!</definedName>
    <definedName name="전장su" localSheetId="1">#REF!</definedName>
    <definedName name="전장su">#REF!</definedName>
    <definedName name="전제2" localSheetId="3" hidden="1">#REF!</definedName>
    <definedName name="전제2" localSheetId="1" hidden="1">#REF!</definedName>
    <definedName name="전제2" hidden="1">#REF!</definedName>
    <definedName name="전차종" localSheetId="5" hidden="1">{#N/A,#N/A,FALSE,"표지";#N/A,#N/A,FALSE,"전제";#N/A,#N/A,FALSE,"대당";#N/A,#N/A,FALSE,"가공비";#N/A,#N/A,FALSE,"재료비";#N/A,#N/A,FALSE,"손익"}</definedName>
    <definedName name="전차종" localSheetId="4" hidden="1">{#N/A,#N/A,FALSE,"표지";#N/A,#N/A,FALSE,"전제";#N/A,#N/A,FALSE,"대당";#N/A,#N/A,FALSE,"가공비";#N/A,#N/A,FALSE,"재료비";#N/A,#N/A,FALSE,"손익"}</definedName>
    <definedName name="전차종" localSheetId="3" hidden="1">{#N/A,#N/A,FALSE,"표지";#N/A,#N/A,FALSE,"전제";#N/A,#N/A,FALSE,"대당";#N/A,#N/A,FALSE,"가공비";#N/A,#N/A,FALSE,"재료비";#N/A,#N/A,FALSE,"손익"}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24" localSheetId="5">#REF!</definedName>
    <definedName name="전체24" localSheetId="4">#REF!</definedName>
    <definedName name="전체24" localSheetId="3">#REF!</definedName>
    <definedName name="전체24" localSheetId="1">#REF!</definedName>
    <definedName name="전체24">#REF!</definedName>
    <definedName name="전체예산" localSheetId="5">#REF!</definedName>
    <definedName name="전체예산" localSheetId="4">#REF!</definedName>
    <definedName name="전체예산" localSheetId="3">#REF!</definedName>
    <definedName name="전체예산" localSheetId="1">#REF!</definedName>
    <definedName name="전체예산">#REF!</definedName>
    <definedName name="전체제작회수" localSheetId="5">#REF!</definedName>
    <definedName name="전체제작회수" localSheetId="4">#REF!</definedName>
    <definedName name="전체제작회수" localSheetId="3">#REF!</definedName>
    <definedName name="전체제작회수" localSheetId="1">#REF!</definedName>
    <definedName name="전체제작회수">#REF!</definedName>
    <definedName name="전표" localSheetId="3">#REF!</definedName>
    <definedName name="전표" localSheetId="1">#REF!</definedName>
    <definedName name="전표">#REF!</definedName>
    <definedName name="전표입력" localSheetId="3">#REF!</definedName>
    <definedName name="전표입력" localSheetId="1">#REF!</definedName>
    <definedName name="전표입력">#REF!</definedName>
    <definedName name="절감" localSheetId="5">#REF!</definedName>
    <definedName name="절감" localSheetId="4">#REF!</definedName>
    <definedName name="절감" localSheetId="3">#REF!</definedName>
    <definedName name="절감" localSheetId="1">#REF!</definedName>
    <definedName name="절감">#REF!</definedName>
    <definedName name="絶費" localSheetId="5" hidden="1">{"'買掛金'!$J$6"}</definedName>
    <definedName name="絶費" localSheetId="4" hidden="1">{"'買掛金'!$J$6"}</definedName>
    <definedName name="絶費" localSheetId="3" hidden="1">{"'買掛金'!$J$6"}</definedName>
    <definedName name="絶費" localSheetId="1" hidden="1">{"'買掛金'!$J$6"}</definedName>
    <definedName name="絶費" hidden="1">{"'買掛金'!$J$6"}</definedName>
    <definedName name="점소">#N/A</definedName>
    <definedName name="접대비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 localSheetId="5">#REF!</definedName>
    <definedName name="접대비집계" localSheetId="4">#REF!</definedName>
    <definedName name="접대비집계" localSheetId="3">#REF!</definedName>
    <definedName name="접대비집계" localSheetId="1">#REF!</definedName>
    <definedName name="접대비집계">#REF!</definedName>
    <definedName name="정" localSheetId="5" hidden="1">{#N/A,#N/A,FALSE,"Aging Summary";#N/A,#N/A,FALSE,"Ratio Analysis";#N/A,#N/A,FALSE,"Test 120 Day Accts";#N/A,#N/A,FALSE,"Tickmarks"}</definedName>
    <definedName name="정" localSheetId="4" hidden="1">{#N/A,#N/A,FALSE,"Aging Summary";#N/A,#N/A,FALSE,"Ratio Analysis";#N/A,#N/A,FALSE,"Test 120 Day Accts";#N/A,#N/A,FALSE,"Tickmarks"}</definedName>
    <definedName name="정" localSheetId="3" hidden="1">{#N/A,#N/A,FALSE,"Aging Summary";#N/A,#N/A,FALSE,"Ratio Analysis";#N/A,#N/A,FALSE,"Test 120 Day Accts";#N/A,#N/A,FALSE,"Tickmarks"}</definedName>
    <definedName name="정" localSheetId="1" hidden="1">{#N/A,#N/A,FALSE,"Aging Summary";#N/A,#N/A,FALSE,"Ratio Analysis";#N/A,#N/A,FALSE,"Test 120 Day Accts";#N/A,#N/A,FALSE,"Tickmarks"}</definedName>
    <definedName name="정" hidden="1">{#N/A,#N/A,FALSE,"Aging Summary";#N/A,#N/A,FALSE,"Ratio Analysis";#N/A,#N/A,FALSE,"Test 120 Day Accts";#N/A,#N/A,FALSE,"Tickmarks"}</definedName>
    <definedName name="정렬분" localSheetId="5">#REF!</definedName>
    <definedName name="정렬분" localSheetId="4">#REF!</definedName>
    <definedName name="정렬분" localSheetId="3">#REF!</definedName>
    <definedName name="정렬분" localSheetId="1">#REF!</definedName>
    <definedName name="정렬분">#REF!</definedName>
    <definedName name="정리" localSheetId="5" hidden="1">{#N/A,#N/A,TRUE,"대 차 대 조 표"}</definedName>
    <definedName name="정리" localSheetId="4" hidden="1">{#N/A,#N/A,TRUE,"대 차 대 조 표"}</definedName>
    <definedName name="정리" localSheetId="3" hidden="1">{#N/A,#N/A,TRUE,"대 차 대 조 표"}</definedName>
    <definedName name="정리" localSheetId="1" hidden="1">{#N/A,#N/A,TRUE,"대 차 대 조 표"}</definedName>
    <definedName name="정리" hidden="1">{#N/A,#N/A,TRUE,"대 차 대 조 표"}</definedName>
    <definedName name="정리_1" localSheetId="5" hidden="1">{#N/A,#N/A,TRUE,"대 차 대 조 표"}</definedName>
    <definedName name="정리_1" localSheetId="4" hidden="1">{#N/A,#N/A,TRUE,"대 차 대 조 표"}</definedName>
    <definedName name="정리_1" localSheetId="3" hidden="1">{#N/A,#N/A,TRUE,"대 차 대 조 표"}</definedName>
    <definedName name="정리_1" localSheetId="1" hidden="1">{#N/A,#N/A,TRUE,"대 차 대 조 표"}</definedName>
    <definedName name="정리_1" hidden="1">{#N/A,#N/A,TRUE,"대 차 대 조 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5" hidden="1">{#N/A,#N/A,FALSE,"Aging Summary";#N/A,#N/A,FALSE,"Ratio Analysis";#N/A,#N/A,FALSE,"Test 120 Day Accts";#N/A,#N/A,FALSE,"Tickmarks"}</definedName>
    <definedName name="정산표" localSheetId="4" hidden="1">{#N/A,#N/A,FALSE,"Aging Summary";#N/A,#N/A,FALSE,"Ratio Analysis";#N/A,#N/A,FALSE,"Test 120 Day Accts";#N/A,#N/A,FALSE,"Tickmarks"}</definedName>
    <definedName name="정산표" localSheetId="3" hidden="1">{#N/A,#N/A,FALSE,"Aging Summary";#N/A,#N/A,FALSE,"Ratio Analysis";#N/A,#N/A,FALSE,"Test 120 Day Accts";#N/A,#N/A,FALSE,"Tickmarks"}</definedName>
    <definedName name="정산표" localSheetId="1" hidden="1">{#N/A,#N/A,FALSE,"Aging Summary";#N/A,#N/A,FALSE,"Ratio Analysis";#N/A,#N/A,FALSE,"Test 120 Day Accts";#N/A,#N/A,FALSE,"Tickmarks"}</definedName>
    <definedName name="정산표" hidden="1">{#N/A,#N/A,FALSE,"Aging Summary";#N/A,#N/A,FALSE,"Ratio Analysis";#N/A,#N/A,FALSE,"Test 120 Day Accts";#N/A,#N/A,FALSE,"Tickmarks"}</definedName>
    <definedName name="정상가격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localSheetId="5" hidden="1">{#N/A,#N/A,FALSE,"단축1";#N/A,#N/A,FALSE,"단축2";#N/A,#N/A,FALSE,"단축3";#N/A,#N/A,FALSE,"장축";#N/A,#N/A,FALSE,"4WD"}</definedName>
    <definedName name="정우성" localSheetId="4" hidden="1">{#N/A,#N/A,FALSE,"단축1";#N/A,#N/A,FALSE,"단축2";#N/A,#N/A,FALSE,"단축3";#N/A,#N/A,FALSE,"장축";#N/A,#N/A,FALSE,"4WD"}</definedName>
    <definedName name="정우성" localSheetId="3" hidden="1">{#N/A,#N/A,FALSE,"단축1";#N/A,#N/A,FALSE,"단축2";#N/A,#N/A,FALSE,"단축3";#N/A,#N/A,FALSE,"장축";#N/A,#N/A,FALSE,"4WD"}</definedName>
    <definedName name="정우성" localSheetId="1" hidden="1">{#N/A,#N/A,FALSE,"단축1";#N/A,#N/A,FALSE,"단축2";#N/A,#N/A,FALSE,"단축3";#N/A,#N/A,FALSE,"장축";#N/A,#N/A,FALSE,"4WD"}</definedName>
    <definedName name="정우성" hidden="1">{#N/A,#N/A,FALSE,"단축1";#N/A,#N/A,FALSE,"단축2";#N/A,#N/A,FALSE,"단축3";#N/A,#N/A,FALSE,"장축";#N/A,#N/A,FALSE,"4WD"}</definedName>
    <definedName name="정징" localSheetId="5" hidden="1">{#N/A,#N/A,TRUE,"Y생산";#N/A,#N/A,TRUE,"Y판매";#N/A,#N/A,TRUE,"Y총물량";#N/A,#N/A,TRUE,"Y능력";#N/A,#N/A,TRUE,"YKD"}</definedName>
    <definedName name="정징" localSheetId="4" hidden="1">{#N/A,#N/A,TRUE,"Y생산";#N/A,#N/A,TRUE,"Y판매";#N/A,#N/A,TRUE,"Y총물량";#N/A,#N/A,TRUE,"Y능력";#N/A,#N/A,TRUE,"YKD"}</definedName>
    <definedName name="정징" localSheetId="3" hidden="1">{#N/A,#N/A,TRUE,"Y생산";#N/A,#N/A,TRUE,"Y판매";#N/A,#N/A,TRUE,"Y총물량";#N/A,#N/A,TRUE,"Y능력";#N/A,#N/A,TRUE,"YKD"}</definedName>
    <definedName name="정징" localSheetId="1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정호" localSheetId="5">#REF!</definedName>
    <definedName name="정호" localSheetId="4">#REF!</definedName>
    <definedName name="정호" localSheetId="3">#REF!</definedName>
    <definedName name="정호" localSheetId="1">#REF!</definedName>
    <definedName name="정호">#REF!</definedName>
    <definedName name="제" localSheetId="3">#REF!</definedName>
    <definedName name="제" localSheetId="1">#REF!</definedName>
    <definedName name="제">#REF!</definedName>
    <definedName name="제1안" localSheetId="5" hidden="1">{#N/A,#N/A,TRUE,"매출진척-1";#N/A,#N/A,TRUE,"매출진척-2";#N/A,#N/A,TRUE,"제품실적";#N/A,#N/A,TRUE,"RAC";#N/A,#N/A,TRUE,"PAC ";#N/A,#N/A,TRUE,"재고현황";#N/A,#N/A,TRUE,"공지사항"}</definedName>
    <definedName name="제1안" localSheetId="4" hidden="1">{#N/A,#N/A,TRUE,"매출진척-1";#N/A,#N/A,TRUE,"매출진척-2";#N/A,#N/A,TRUE,"제품실적";#N/A,#N/A,TRUE,"RAC";#N/A,#N/A,TRUE,"PAC ";#N/A,#N/A,TRUE,"재고현황";#N/A,#N/A,TRUE,"공지사항"}</definedName>
    <definedName name="제1안" localSheetId="3" hidden="1">{#N/A,#N/A,TRUE,"매출진척-1";#N/A,#N/A,TRUE,"매출진척-2";#N/A,#N/A,TRUE,"제품실적";#N/A,#N/A,TRUE,"RAC";#N/A,#N/A,TRUE,"PAC ";#N/A,#N/A,TRUE,"재고현황";#N/A,#N/A,TRUE,"공지사항"}</definedName>
    <definedName name="제1안" localSheetId="1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localSheetId="5" hidden="1">#REF!</definedName>
    <definedName name="제동" localSheetId="4" hidden="1">#REF!</definedName>
    <definedName name="제동" localSheetId="3" hidden="1">#REF!</definedName>
    <definedName name="제동" localSheetId="1" hidden="1">#REF!</definedName>
    <definedName name="제동" hidden="1">#REF!</definedName>
    <definedName name="제동부하" localSheetId="5" hidden="1">#REF!</definedName>
    <definedName name="제동부하" localSheetId="4" hidden="1">#REF!</definedName>
    <definedName name="제동부하" localSheetId="3" hidden="1">#REF!</definedName>
    <definedName name="제동부하" localSheetId="1" hidden="1">#REF!</definedName>
    <definedName name="제동부하" hidden="1">#REF!</definedName>
    <definedName name="제동생산" localSheetId="5" hidden="1">#REF!</definedName>
    <definedName name="제동생산" localSheetId="4" hidden="1">#REF!</definedName>
    <definedName name="제동생산" localSheetId="3" hidden="1">#REF!</definedName>
    <definedName name="제동생산" localSheetId="1" hidden="1">#REF!</definedName>
    <definedName name="제동생산" hidden="1">#REF!</definedName>
    <definedName name="제목" localSheetId="3">#REF!</definedName>
    <definedName name="제목" localSheetId="1">#REF!</definedName>
    <definedName name="제목">#REF!</definedName>
    <definedName name="제목1" localSheetId="3">#REF!</definedName>
    <definedName name="제목1" localSheetId="1">#REF!</definedName>
    <definedName name="제목1">#REF!</definedName>
    <definedName name="제목2" localSheetId="5">#REF!</definedName>
    <definedName name="제목2" localSheetId="4">#REF!</definedName>
    <definedName name="제목2" localSheetId="3">#REF!</definedName>
    <definedName name="제목2" localSheetId="1">#REF!</definedName>
    <definedName name="제목2">#REF!</definedName>
    <definedName name="제목3" localSheetId="5">#REF!</definedName>
    <definedName name="제목3" localSheetId="4">#REF!</definedName>
    <definedName name="제목3" localSheetId="3">#REF!</definedName>
    <definedName name="제목3" localSheetId="1">#REF!</definedName>
    <definedName name="제목3">#REF!</definedName>
    <definedName name="제목4" localSheetId="3">#REF!</definedName>
    <definedName name="제목4" localSheetId="1">#REF!</definedName>
    <definedName name="제목4">#REF!</definedName>
    <definedName name="제일기획" localSheetId="5">#REF!</definedName>
    <definedName name="제일기획" localSheetId="4">#REF!</definedName>
    <definedName name="제일기획" localSheetId="3">#REF!</definedName>
    <definedName name="제일기획" localSheetId="1">#REF!</definedName>
    <definedName name="제일기획">#REF!</definedName>
    <definedName name="제일기획량" localSheetId="5">#REF!</definedName>
    <definedName name="제일기획량" localSheetId="4">#REF!</definedName>
    <definedName name="제일기획량" localSheetId="3">#REF!</definedName>
    <definedName name="제일기획량" localSheetId="1">#REF!</definedName>
    <definedName name="제일기획량">#REF!</definedName>
    <definedName name="제일요척량" localSheetId="5">#REF!</definedName>
    <definedName name="제일요척량" localSheetId="4">#REF!</definedName>
    <definedName name="제일요척량" localSheetId="3">#REF!</definedName>
    <definedName name="제일요척량" localSheetId="1">#REF!</definedName>
    <definedName name="제일요척량">#REF!</definedName>
    <definedName name="제일원불" localSheetId="5">#REF!</definedName>
    <definedName name="제일원불" localSheetId="4">#REF!</definedName>
    <definedName name="제일원불" localSheetId="3">#REF!</definedName>
    <definedName name="제일원불" localSheetId="1">#REF!</definedName>
    <definedName name="제일원불">#REF!</definedName>
    <definedName name="제일정품입고" localSheetId="5">#REF!</definedName>
    <definedName name="제일정품입고" localSheetId="4">#REF!</definedName>
    <definedName name="제일정품입고" localSheetId="3">#REF!</definedName>
    <definedName name="제일정품입고" localSheetId="1">#REF!</definedName>
    <definedName name="제일정품입고">#REF!</definedName>
    <definedName name="제일취불" localSheetId="5">#REF!</definedName>
    <definedName name="제일취불" localSheetId="4">#REF!</definedName>
    <definedName name="제일취불" localSheetId="3">#REF!</definedName>
    <definedName name="제일취불" localSheetId="1">#REF!</definedName>
    <definedName name="제일취불">#REF!</definedName>
    <definedName name="제작납품합계" localSheetId="3">#REF!</definedName>
    <definedName name="제작납품합계" localSheetId="1">#REF!</definedName>
    <definedName name="제작납품합계">#REF!</definedName>
    <definedName name="제작사명" localSheetId="5">#REF!</definedName>
    <definedName name="제작사명" localSheetId="4">#REF!</definedName>
    <definedName name="제작사명" localSheetId="3">#REF!</definedName>
    <definedName name="제작사명" localSheetId="1">#REF!</definedName>
    <definedName name="제작사명">#REF!</definedName>
    <definedName name="제작운영비합계" localSheetId="5">#REF!</definedName>
    <definedName name="제작운영비합계" localSheetId="4">#REF!</definedName>
    <definedName name="제작운영비합계" localSheetId="3">#REF!</definedName>
    <definedName name="제작운영비합계" localSheetId="1">#REF!</definedName>
    <definedName name="제작운영비합계">#REF!</definedName>
    <definedName name="제작지원합계" localSheetId="3">#REF!</definedName>
    <definedName name="제작지원합계" localSheetId="1">#REF!</definedName>
    <definedName name="제작지원합계">#REF!</definedName>
    <definedName name="제조" localSheetId="5" hidden="1">{#N/A,#N/A,FALSE,"1.CRITERIA";#N/A,#N/A,FALSE,"2.IS";#N/A,#N/A,FALSE,"3.BS";#N/A,#N/A,FALSE,"4.PER PL";#N/A,#N/A,FALSE,"5.INVESTMENT";#N/A,#N/A,FALSE,"6.공문";#N/A,#N/A,FALSE,"7.netinvest"}</definedName>
    <definedName name="제조" localSheetId="4" hidden="1">{#N/A,#N/A,FALSE,"1.CRITERIA";#N/A,#N/A,FALSE,"2.IS";#N/A,#N/A,FALSE,"3.BS";#N/A,#N/A,FALSE,"4.PER PL";#N/A,#N/A,FALSE,"5.INVESTMENT";#N/A,#N/A,FALSE,"6.공문";#N/A,#N/A,FALSE,"7.netinvest"}</definedName>
    <definedName name="제조" localSheetId="3" hidden="1">{#N/A,#N/A,FALSE,"1.CRITERIA";#N/A,#N/A,FALSE,"2.IS";#N/A,#N/A,FALSE,"3.BS";#N/A,#N/A,FALSE,"4.PER PL";#N/A,#N/A,FALSE,"5.INVESTMENT";#N/A,#N/A,FALSE,"6.공문";#N/A,#N/A,FALSE,"7.netinvest"}</definedName>
    <definedName name="제조" localSheetId="1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 localSheetId="5">#REF!</definedName>
    <definedName name="제조경비" localSheetId="4">#REF!</definedName>
    <definedName name="제조경비" localSheetId="3">#REF!</definedName>
    <definedName name="제조경비" localSheetId="1">#REF!</definedName>
    <definedName name="제조경비">#REF!</definedName>
    <definedName name="제주추가종합수정안" localSheetId="5" hidden="1">{#N/A,#N/A,FALSE,"3가";#N/A,#N/A,FALSE,"3나";#N/A,#N/A,FALSE,"3다"}</definedName>
    <definedName name="제주추가종합수정안" localSheetId="4" hidden="1">{#N/A,#N/A,FALSE,"3가";#N/A,#N/A,FALSE,"3나";#N/A,#N/A,FALSE,"3다"}</definedName>
    <definedName name="제주추가종합수정안" localSheetId="3" hidden="1">{#N/A,#N/A,FALSE,"3가";#N/A,#N/A,FALSE,"3나";#N/A,#N/A,FALSE,"3다"}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제출일" localSheetId="5">#REF!</definedName>
    <definedName name="제출일" localSheetId="4">#REF!</definedName>
    <definedName name="제출일" localSheetId="3">#REF!</definedName>
    <definedName name="제출일" localSheetId="1">#REF!</definedName>
    <definedName name="제출일">#REF!</definedName>
    <definedName name="제품명" localSheetId="5">#REF!</definedName>
    <definedName name="제품명" localSheetId="4">#REF!</definedName>
    <definedName name="제품명" localSheetId="3">#REF!</definedName>
    <definedName name="제품명" localSheetId="1">#REF!</definedName>
    <definedName name="제품명">#REF!</definedName>
    <definedName name="제품생산량" localSheetId="3">#REF!</definedName>
    <definedName name="제품생산량" localSheetId="1">#REF!</definedName>
    <definedName name="제품생산량">#REF!</definedName>
    <definedName name="제품시화" localSheetId="3">#REF!</definedName>
    <definedName name="제품시화" localSheetId="1">#REF!</definedName>
    <definedName name="제품시화">#REF!</definedName>
    <definedName name="조" localSheetId="5" hidden="1">{#N/A,#N/A,FALSE,"1.CRITERIA";#N/A,#N/A,FALSE,"2.IS";#N/A,#N/A,FALSE,"3.BS";#N/A,#N/A,FALSE,"4.PER PL";#N/A,#N/A,FALSE,"5.INVESTMENT";#N/A,#N/A,FALSE,"6.공문";#N/A,#N/A,FALSE,"7.netinvest"}</definedName>
    <definedName name="조" localSheetId="4" hidden="1">{#N/A,#N/A,FALSE,"1.CRITERIA";#N/A,#N/A,FALSE,"2.IS";#N/A,#N/A,FALSE,"3.BS";#N/A,#N/A,FALSE,"4.PER PL";#N/A,#N/A,FALSE,"5.INVESTMENT";#N/A,#N/A,FALSE,"6.공문";#N/A,#N/A,FALSE,"7.netinvest"}</definedName>
    <definedName name="조" localSheetId="3" hidden="1">{#N/A,#N/A,FALSE,"1.CRITERIA";#N/A,#N/A,FALSE,"2.IS";#N/A,#N/A,FALSE,"3.BS";#N/A,#N/A,FALSE,"4.PER PL";#N/A,#N/A,FALSE,"5.INVESTMENT";#N/A,#N/A,FALSE,"6.공문";#N/A,#N/A,FALSE,"7.netinvest"}</definedName>
    <definedName name="조" localSheetId="1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 localSheetId="5">#REF!</definedName>
    <definedName name="조건" localSheetId="4">#REF!</definedName>
    <definedName name="조건" localSheetId="3">#REF!</definedName>
    <definedName name="조건" localSheetId="1">#REF!</definedName>
    <definedName name="조건">#REF!</definedName>
    <definedName name="조건부" localSheetId="3">#REF!</definedName>
    <definedName name="조건부" localSheetId="1">#REF!</definedName>
    <definedName name="조건부">#REF!</definedName>
    <definedName name="조립" localSheetId="5" hidden="1">{#N/A,#N/A,FALSE,"단축1";#N/A,#N/A,FALSE,"단축2";#N/A,#N/A,FALSE,"단축3";#N/A,#N/A,FALSE,"장축";#N/A,#N/A,FALSE,"4WD"}</definedName>
    <definedName name="조립" localSheetId="4" hidden="1">{#N/A,#N/A,FALSE,"단축1";#N/A,#N/A,FALSE,"단축2";#N/A,#N/A,FALSE,"단축3";#N/A,#N/A,FALSE,"장축";#N/A,#N/A,FALSE,"4WD"}</definedName>
    <definedName name="조립" localSheetId="3" hidden="1">{#N/A,#N/A,FALSE,"단축1";#N/A,#N/A,FALSE,"단축2";#N/A,#N/A,FALSE,"단축3";#N/A,#N/A,FALSE,"장축";#N/A,#N/A,FALSE,"4WD"}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명합계" localSheetId="5">#REF!</definedName>
    <definedName name="조명합계" localSheetId="4">#REF!</definedName>
    <definedName name="조명합계" localSheetId="3">#REF!</definedName>
    <definedName name="조명합계" localSheetId="1">#REF!</definedName>
    <definedName name="조명합계">#REF!</definedName>
    <definedName name="조정" localSheetId="3" hidden="1">#REF!</definedName>
    <definedName name="조정" localSheetId="1" hidden="1">#REF!</definedName>
    <definedName name="조정" hidden="1">#REF!</definedName>
    <definedName name="조정1" localSheetId="3">#REF!</definedName>
    <definedName name="조정1" localSheetId="1">#REF!</definedName>
    <definedName name="조정1">#REF!</definedName>
    <definedName name="조정2" localSheetId="3">#REF!</definedName>
    <definedName name="조정2" localSheetId="1">#REF!</definedName>
    <definedName name="조정2">#REF!</definedName>
    <definedName name="조치" localSheetId="5" hidden="1">{#N/A,#N/A,FALSE,"단축1";#N/A,#N/A,FALSE,"단축2";#N/A,#N/A,FALSE,"단축3";#N/A,#N/A,FALSE,"장축";#N/A,#N/A,FALSE,"4WD"}</definedName>
    <definedName name="조치" localSheetId="4" hidden="1">{#N/A,#N/A,FALSE,"단축1";#N/A,#N/A,FALSE,"단축2";#N/A,#N/A,FALSE,"단축3";#N/A,#N/A,FALSE,"장축";#N/A,#N/A,FALSE,"4WD"}</definedName>
    <definedName name="조치" localSheetId="3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조향" localSheetId="5">#REF!</definedName>
    <definedName name="조향" localSheetId="4">#REF!</definedName>
    <definedName name="조향" localSheetId="3">#REF!</definedName>
    <definedName name="조향" localSheetId="1">#REF!</definedName>
    <definedName name="조향">#REF!</definedName>
    <definedName name="조향생산" localSheetId="5" hidden="1">#REF!</definedName>
    <definedName name="조향생산" localSheetId="4" hidden="1">#REF!</definedName>
    <definedName name="조향생산" localSheetId="3" hidden="1">#REF!</definedName>
    <definedName name="조향생산" localSheetId="1" hidden="1">#REF!</definedName>
    <definedName name="조향생산" hidden="1">#REF!</definedName>
    <definedName name="조회서번호" localSheetId="3">#REF!</definedName>
    <definedName name="조회서번호" localSheetId="1">#REF!</definedName>
    <definedName name="조회서번호">#REF!</definedName>
    <definedName name="조회액" localSheetId="3">#REF!</definedName>
    <definedName name="조회액" localSheetId="1">#REF!</definedName>
    <definedName name="조회액">#REF!</definedName>
    <definedName name="조회주화면" localSheetId="5">#REF!</definedName>
    <definedName name="조회주화면" localSheetId="4">#REF!</definedName>
    <definedName name="조회주화면" localSheetId="3">#REF!</definedName>
    <definedName name="조회주화면" localSheetId="1">#REF!</definedName>
    <definedName name="조회주화면">#REF!</definedName>
    <definedName name="종원">#N/A</definedName>
    <definedName name="종합" localSheetId="5">#REF!</definedName>
    <definedName name="종합" localSheetId="4">#REF!</definedName>
    <definedName name="종합" localSheetId="3">#REF!</definedName>
    <definedName name="종합" localSheetId="1">#REF!</definedName>
    <definedName name="종합">#REF!</definedName>
    <definedName name="종합2" localSheetId="5">#REF!</definedName>
    <definedName name="종합2" localSheetId="4">#REF!</definedName>
    <definedName name="종합2" localSheetId="3">#REF!</definedName>
    <definedName name="종합2" localSheetId="1">#REF!</definedName>
    <definedName name="종합2">#REF!</definedName>
    <definedName name="종합추이" localSheetId="5">#REF!</definedName>
    <definedName name="종합추이" localSheetId="4">#REF!</definedName>
    <definedName name="종합추이" localSheetId="3">#REF!</definedName>
    <definedName name="종합추이" localSheetId="1">#REF!</definedName>
    <definedName name="종합추이">#REF!</definedName>
    <definedName name="종합표" localSheetId="5">#REF!</definedName>
    <definedName name="종합표" localSheetId="4">#REF!</definedName>
    <definedName name="종합표" localSheetId="3">#REF!</definedName>
    <definedName name="종합표" localSheetId="1">#REF!</definedName>
    <definedName name="종합표">#REF!</definedName>
    <definedName name="종합합산" localSheetId="5">#REF!</definedName>
    <definedName name="종합합산" localSheetId="4">#REF!</definedName>
    <definedName name="종합합산" localSheetId="3">#REF!</definedName>
    <definedName name="종합합산" localSheetId="1">#REF!</definedName>
    <definedName name="종합합산">#REF!</definedName>
    <definedName name="종합합산세" localSheetId="3">#REF!</definedName>
    <definedName name="종합합산세" localSheetId="1">#REF!</definedName>
    <definedName name="종합합산세">#REF!</definedName>
    <definedName name="종합합산세율" localSheetId="3">#REF!</definedName>
    <definedName name="종합합산세율" localSheetId="1">#REF!</definedName>
    <definedName name="종합합산세율">#REF!</definedName>
    <definedName name="주" localSheetId="5">WEEKNUM(#REF!)-WEEKNUM(DATE(YEAR(#REF!),MONTH(#REF!),1))+1-IF(WEEKDAY(DATE(YEAR(#REF!),MONTH(#REF!),1))&gt;2,1,0)</definedName>
    <definedName name="주" localSheetId="4">WEEKNUM(#REF!)-WEEKNUM(DATE(YEAR(#REF!),MONTH(#REF!),1))+1-IF(WEEKDAY(DATE(YEAR(#REF!),MONTH(#REF!),1))&gt;2,1,0)</definedName>
    <definedName name="주" localSheetId="3">WEEKNUM(#REF!)-WEEKNUM(DATE(YEAR(#REF!),MONTH(#REF!),1))+1-IF(WEEKDAY(DATE(YEAR(#REF!),MONTH(#REF!),1))&gt;2,1,0)</definedName>
    <definedName name="주" localSheetId="1">WEEKNUM(#REF!)-WEEKNUM(DATE(YEAR(#REF!),MONTH(#REF!),1))+1-IF(WEEKDAY(DATE(YEAR(#REF!),MONTH(#REF!),1))&gt;2,1,0)</definedName>
    <definedName name="주">WEEKNUM(#REF!)-WEEKNUM(DATE(YEAR(#REF!),MONTH(#REF!),1))+1-IF(WEEKDAY(DATE(YEAR(#REF!),MONTH(#REF!),1))&gt;2,1,0)</definedName>
    <definedName name="주민" localSheetId="3">#REF!</definedName>
    <definedName name="주민" localSheetId="1">#REF!</definedName>
    <definedName name="주민">#REF!</definedName>
    <definedName name="주민세" localSheetId="3">#REF!</definedName>
    <definedName name="주민세" localSheetId="1">#REF!</definedName>
    <definedName name="주민세">#REF!</definedName>
    <definedName name="주부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 localSheetId="5">#REF!</definedName>
    <definedName name="주부사원" localSheetId="4">#REF!</definedName>
    <definedName name="주부사원" localSheetId="3">#REF!</definedName>
    <definedName name="주부사원" localSheetId="1">#REF!</definedName>
    <definedName name="주부사원">#REF!</definedName>
    <definedName name="주부신수익권증서_400" localSheetId="3">#REF!</definedName>
    <definedName name="주부신수익권증서_400" localSheetId="1">#REF!</definedName>
    <definedName name="주부신수익권증서_400">#REF!</definedName>
    <definedName name="주소" localSheetId="3">#REF!</definedName>
    <definedName name="주소" localSheetId="1">#REF!</definedName>
    <definedName name="주소">#REF!</definedName>
    <definedName name="주소범위" localSheetId="5">#REF!</definedName>
    <definedName name="주소범위" localSheetId="4">#REF!</definedName>
    <definedName name="주소범위" localSheetId="3">#REF!</definedName>
    <definedName name="주소범위" localSheetId="1">#REF!</definedName>
    <definedName name="주소범위">#REF!</definedName>
    <definedName name="주소범위2" localSheetId="5">#REF!</definedName>
    <definedName name="주소범위2" localSheetId="4">#REF!</definedName>
    <definedName name="주소범위2" localSheetId="3">#REF!</definedName>
    <definedName name="주소범위2" localSheetId="1">#REF!</definedName>
    <definedName name="주소범위2">#REF!</definedName>
    <definedName name="주요" localSheetId="5" hidden="1">{#N/A,#N/A,TRUE,"Y생산";#N/A,#N/A,TRUE,"Y판매";#N/A,#N/A,TRUE,"Y총물량";#N/A,#N/A,TRUE,"Y능력";#N/A,#N/A,TRUE,"YKD"}</definedName>
    <definedName name="주요" localSheetId="4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localSheetId="1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계정차이내역12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 localSheetId="5">#REF!</definedName>
    <definedName name="주요업무1" localSheetId="4">#REF!</definedName>
    <definedName name="주요업무1" localSheetId="3">#REF!</definedName>
    <definedName name="주요업무1" localSheetId="1">#REF!</definedName>
    <definedName name="주요업무1">#REF!</definedName>
    <definedName name="주요업무2" localSheetId="5" hidden="1">{#N/A,#N/A,TRUE,"Y생산";#N/A,#N/A,TRUE,"Y판매";#N/A,#N/A,TRUE,"Y총물량";#N/A,#N/A,TRUE,"Y능력";#N/A,#N/A,TRUE,"YKD"}</definedName>
    <definedName name="주요업무2" localSheetId="4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localSheetId="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5" hidden="1">{#N/A,#N/A,TRUE,"Y생산";#N/A,#N/A,TRUE,"Y판매";#N/A,#N/A,TRUE,"Y총물량";#N/A,#N/A,TRUE,"Y능력";#N/A,#N/A,TRUE,"YKD"}</definedName>
    <definedName name="주요업무3" localSheetId="4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 localSheetId="5">#REF!</definedName>
    <definedName name="주요업무실적" localSheetId="4">#REF!</definedName>
    <definedName name="주요업무실적" localSheetId="3">#REF!</definedName>
    <definedName name="주요업무실적" localSheetId="1">#REF!</definedName>
    <definedName name="주요업무실적">#REF!</definedName>
    <definedName name="주요진행현황" localSheetId="5">#REF!</definedName>
    <definedName name="주요진행현황" localSheetId="4">#REF!</definedName>
    <definedName name="주요진행현황" localSheetId="3">#REF!</definedName>
    <definedName name="주요진행현황" localSheetId="1">#REF!</definedName>
    <definedName name="주요진행현황">#REF!</definedName>
    <definedName name="주임종" localSheetId="3">#REF!</definedName>
    <definedName name="주임종" localSheetId="1">#REF!</definedName>
    <definedName name="주임종">#REF!</definedName>
    <definedName name="주재원" localSheetId="3" hidden="1">#REF!</definedName>
    <definedName name="주재원" localSheetId="1" hidden="1">#REF!</definedName>
    <definedName name="주재원" hidden="1">#REF!</definedName>
    <definedName name="주종단체" localSheetId="3">#REF!</definedName>
    <definedName name="주종단체" localSheetId="1">#REF!</definedName>
    <definedName name="주종단체">#REF!</definedName>
    <definedName name="주주" localSheetId="5" hidden="1">{#N/A,#N/A,FALSE,"Aging Summary";#N/A,#N/A,FALSE,"Ratio Analysis";#N/A,#N/A,FALSE,"Test 120 Day Accts";#N/A,#N/A,FALSE,"Tickmarks"}</definedName>
    <definedName name="주주" localSheetId="4" hidden="1">{#N/A,#N/A,FALSE,"Aging Summary";#N/A,#N/A,FALSE,"Ratio Analysis";#N/A,#N/A,FALSE,"Test 120 Day Accts";#N/A,#N/A,FALSE,"Tickmarks"}</definedName>
    <definedName name="주주" localSheetId="3" hidden="1">{#N/A,#N/A,FALSE,"Aging Summary";#N/A,#N/A,FALSE,"Ratio Analysis";#N/A,#N/A,FALSE,"Test 120 Day Accts";#N/A,#N/A,FALSE,"Tickmarks"}</definedName>
    <definedName name="주주" localSheetId="1" hidden="1">{#N/A,#N/A,FALSE,"Aging Summary";#N/A,#N/A,FALSE,"Ratio Analysis";#N/A,#N/A,FALSE,"Test 120 Day Accts";#N/A,#N/A,FALSE,"Tickmarks"}</definedName>
    <definedName name="주주" hidden="1">{#N/A,#N/A,FALSE,"Aging Summary";#N/A,#N/A,FALSE,"Ratio Analysis";#N/A,#N/A,FALSE,"Test 120 Day Accts";#N/A,#N/A,FALSE,"Tickmarks"}</definedName>
    <definedName name="주택매출" localSheetId="5">#REF!</definedName>
    <definedName name="주택매출" localSheetId="4">#REF!</definedName>
    <definedName name="주택매출" localSheetId="3">#REF!</definedName>
    <definedName name="주택매출" localSheetId="1">#REF!</definedName>
    <definedName name="주택매출">#REF!</definedName>
    <definedName name="주택원가" localSheetId="3">#REF!</definedName>
    <definedName name="주택원가" localSheetId="1">#REF!</definedName>
    <definedName name="주택원가">#REF!</definedName>
    <definedName name="주택최종" localSheetId="3">#REF!</definedName>
    <definedName name="주택최종" localSheetId="1">#REF!</definedName>
    <definedName name="주택최종">#REF!</definedName>
    <definedName name="준" localSheetId="5" hidden="1">{#N/A,#N/A,FALSE,"Aging Summary";#N/A,#N/A,FALSE,"Ratio Analysis";#N/A,#N/A,FALSE,"Test 120 Day Accts";#N/A,#N/A,FALSE,"Tickmarks"}</definedName>
    <definedName name="준" localSheetId="4" hidden="1">{#N/A,#N/A,FALSE,"Aging Summary";#N/A,#N/A,FALSE,"Ratio Analysis";#N/A,#N/A,FALSE,"Test 120 Day Accts";#N/A,#N/A,FALSE,"Tickmarks"}</definedName>
    <definedName name="준" localSheetId="3" hidden="1">{#N/A,#N/A,FALSE,"Aging Summary";#N/A,#N/A,FALSE,"Ratio Analysis";#N/A,#N/A,FALSE,"Test 120 Day Accts";#N/A,#N/A,FALSE,"Tickmarks"}</definedName>
    <definedName name="준" localSheetId="1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중" localSheetId="5">#REF!,#REF!,#REF!,#REF!,#REF!,#REF!,#REF!,#REF!,#REF!,#REF!</definedName>
    <definedName name="중" localSheetId="4">#REF!,#REF!,#REF!,#REF!,#REF!,#REF!,#REF!,#REF!,#REF!,#REF!</definedName>
    <definedName name="중" localSheetId="3">#REF!,#REF!,#REF!,#REF!,#REF!,#REF!,#REF!,#REF!,#REF!,#REF!</definedName>
    <definedName name="중" localSheetId="1">#REF!,#REF!,#REF!,#REF!,#REF!,#REF!,#REF!,#REF!,#REF!,#REF!</definedName>
    <definedName name="중">#REF!,#REF!,#REF!,#REF!,#REF!,#REF!,#REF!,#REF!,#REF!,#REF!</definedName>
    <definedName name="중간예납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5" hidden="1">{#N/A,#N/A,FALSE,"BS";#N/A,#N/A,FALSE,"PL";#N/A,#N/A,FALSE,"처분";#N/A,#N/A,FALSE,"현금";#N/A,#N/A,FALSE,"매출";#N/A,#N/A,FALSE,"원가";#N/A,#N/A,FALSE,"경영"}</definedName>
    <definedName name="중간요약" localSheetId="4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localSheetId="5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4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3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5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4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3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localSheetId="5" hidden="1">{#N/A,#N/A,FALSE,"3가";#N/A,#N/A,FALSE,"3나";#N/A,#N/A,FALSE,"3다"}</definedName>
    <definedName name="중기예산" localSheetId="4" hidden="1">{#N/A,#N/A,FALSE,"3가";#N/A,#N/A,FALSE,"3나";#N/A,#N/A,FALSE,"3다"}</definedName>
    <definedName name="중기예산" localSheetId="3" hidden="1">{#N/A,#N/A,FALSE,"3가";#N/A,#N/A,FALSE,"3나";#N/A,#N/A,FALSE,"3다"}</definedName>
    <definedName name="중기예산" localSheetId="1" hidden="1">{#N/A,#N/A,FALSE,"3가";#N/A,#N/A,FALSE,"3나";#N/A,#N/A,FALSE,"3다"}</definedName>
    <definedName name="중기예산" hidden="1">{#N/A,#N/A,FALSE,"3가";#N/A,#N/A,FALSE,"3나";#N/A,#N/A,FALSE,"3다"}</definedName>
    <definedName name="중소기업" localSheetId="5">#REF!</definedName>
    <definedName name="중소기업" localSheetId="4">#REF!</definedName>
    <definedName name="중소기업" localSheetId="3">#REF!</definedName>
    <definedName name="중소기업" localSheetId="1">#REF!</definedName>
    <definedName name="중소기업">#REF!</definedName>
    <definedName name="중앙" localSheetId="3" hidden="1">#REF!</definedName>
    <definedName name="중앙" localSheetId="1" hidden="1">#REF!</definedName>
    <definedName name="중앙" hidden="1">#REF!</definedName>
    <definedName name="중점업무" localSheetId="5" hidden="1">{"'호선별현황(방식)'!$K$22:$P$22","'호선별현황(방식)'!$K$22:$P$22"}</definedName>
    <definedName name="중점업무" localSheetId="4" hidden="1">{"'호선별현황(방식)'!$K$22:$P$22","'호선별현황(방식)'!$K$22:$P$22"}</definedName>
    <definedName name="중점업무" localSheetId="3" hidden="1">{"'호선별현황(방식)'!$K$22:$P$22","'호선별현황(방식)'!$K$22:$P$22"}</definedName>
    <definedName name="중점업무" localSheetId="1" hidden="1">{"'호선별현황(방식)'!$K$22:$P$22","'호선별현황(방식)'!$K$22:$P$22"}</definedName>
    <definedName name="중점업무" hidden="1">{"'호선별현황(방식)'!$K$22:$P$22","'호선별현황(방식)'!$K$22:$P$22"}</definedName>
    <definedName name="중점업무계획" localSheetId="5" hidden="1">{"'호선별현황(방식)'!$K$22:$P$22","'호선별현황(방식)'!$K$22:$P$22"}</definedName>
    <definedName name="중점업무계획" localSheetId="4" hidden="1">{"'호선별현황(방식)'!$K$22:$P$22","'호선별현황(방식)'!$K$22:$P$22"}</definedName>
    <definedName name="중점업무계획" localSheetId="3" hidden="1">{"'호선별현황(방식)'!$K$22:$P$22","'호선별현황(방식)'!$K$22:$P$22"}</definedName>
    <definedName name="중점업무계획" localSheetId="1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localSheetId="5" hidden="1">{#N/A,#N/A,TRUE,"일정"}</definedName>
    <definedName name="중점추진" localSheetId="4" hidden="1">{#N/A,#N/A,TRUE,"일정"}</definedName>
    <definedName name="중점추진" localSheetId="3" hidden="1">{#N/A,#N/A,TRUE,"일정"}</definedName>
    <definedName name="중점추진" localSheetId="1" hidden="1">{#N/A,#N/A,TRUE,"일정"}</definedName>
    <definedName name="중점추진" hidden="1">{#N/A,#N/A,TRUE,"일정"}</definedName>
    <definedName name="중지" localSheetId="5">#REF!</definedName>
    <definedName name="중지" localSheetId="4">#REF!</definedName>
    <definedName name="중지" localSheetId="3">#REF!</definedName>
    <definedName name="중지" localSheetId="1">#REF!</definedName>
    <definedName name="중지">#REF!</definedName>
    <definedName name="중지1" localSheetId="3">#REF!</definedName>
    <definedName name="중지1" localSheetId="1">#REF!</definedName>
    <definedName name="중지1">#REF!</definedName>
    <definedName name="중지2" localSheetId="3">#REF!</definedName>
    <definedName name="중지2" localSheetId="1">#REF!</definedName>
    <definedName name="중지2">#REF!</definedName>
    <definedName name="중표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localSheetId="5" hidden="1">{#N/A,#N/A,FALSE,"표지";#N/A,#N/A,FALSE,"전제";#N/A,#N/A,FALSE,"손익-자 (2)";#N/A,#N/A,FALSE,"손익-자";#N/A,#N/A,FALSE,"손익-마 (2)";#N/A,#N/A,FALSE,"손익-마";#N/A,#N/A,FALSE,"총손최종"}</definedName>
    <definedName name="쥬2" localSheetId="4" hidden="1">{#N/A,#N/A,FALSE,"표지";#N/A,#N/A,FALSE,"전제";#N/A,#N/A,FALSE,"손익-자 (2)";#N/A,#N/A,FALSE,"손익-자";#N/A,#N/A,FALSE,"손익-마 (2)";#N/A,#N/A,FALSE,"손익-마";#N/A,#N/A,FALSE,"총손최종"}</definedName>
    <definedName name="쥬2" localSheetId="3" hidden="1">{#N/A,#N/A,FALSE,"표지";#N/A,#N/A,FALSE,"전제";#N/A,#N/A,FALSE,"손익-자 (2)";#N/A,#N/A,FALSE,"손익-자";#N/A,#N/A,FALSE,"손익-마 (2)";#N/A,#N/A,FALSE,"손익-마";#N/A,#N/A,FALSE,"총손최종"}</definedName>
    <definedName name="쥬2" localSheetId="1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 localSheetId="5">#REF!</definedName>
    <definedName name="즉조팀" localSheetId="4">#REF!</definedName>
    <definedName name="즉조팀" localSheetId="3">#REF!</definedName>
    <definedName name="즉조팀" localSheetId="1">#REF!</definedName>
    <definedName name="즉조팀">#REF!</definedName>
    <definedName name="지급액" localSheetId="3">#REF!</definedName>
    <definedName name="지급액" localSheetId="1">#REF!</definedName>
    <definedName name="지급액">#REF!</definedName>
    <definedName name="지급어음" localSheetId="3">#REF!</definedName>
    <definedName name="지급어음" localSheetId="1">#REF!</definedName>
    <definedName name="지급어음">#REF!</definedName>
    <definedName name="지급이자외_△8" localSheetId="3">#REF!</definedName>
    <definedName name="지급이자외_△8" localSheetId="1">#REF!</definedName>
    <definedName name="지급이자외_△8">#REF!</definedName>
    <definedName name="지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localSheetId="5" hidden="1">{"'買掛金'!$J$6"}</definedName>
    <definedName name="支払" localSheetId="4" hidden="1">{"'買掛金'!$J$6"}</definedName>
    <definedName name="支払" localSheetId="3" hidden="1">{"'買掛金'!$J$6"}</definedName>
    <definedName name="支払" localSheetId="1" hidden="1">{"'買掛金'!$J$6"}</definedName>
    <definedName name="支払" hidden="1">{"'買掛金'!$J$6"}</definedName>
    <definedName name="支払手形" localSheetId="5" hidden="1">{"'買掛金'!$J$6"}</definedName>
    <definedName name="支払手形" localSheetId="4" hidden="1">{"'買掛金'!$J$6"}</definedName>
    <definedName name="支払手形" localSheetId="3" hidden="1">{"'買掛金'!$J$6"}</definedName>
    <definedName name="支払手形" localSheetId="1" hidden="1">{"'買掛金'!$J$6"}</definedName>
    <definedName name="支払手形" hidden="1">{"'買掛金'!$J$6"}</definedName>
    <definedName name="지수지" localSheetId="5" hidden="1">{#N/A,#N/A,FALSE,"포장단가"}</definedName>
    <definedName name="지수지" localSheetId="4" hidden="1">{#N/A,#N/A,FALSE,"포장단가"}</definedName>
    <definedName name="지수지" localSheetId="3" hidden="1">{#N/A,#N/A,FALSE,"포장단가"}</definedName>
    <definedName name="지수지" localSheetId="1" hidden="1">{#N/A,#N/A,FALSE,"포장단가"}</definedName>
    <definedName name="지수지" hidden="1">{#N/A,#N/A,FALSE,"포장단가"}</definedName>
    <definedName name="지역" localSheetId="5">#REF!</definedName>
    <definedName name="지역" localSheetId="4">#REF!</definedName>
    <definedName name="지역" localSheetId="3">#REF!</definedName>
    <definedName name="지역" localSheetId="1">#REF!</definedName>
    <definedName name="지역">#REF!</definedName>
    <definedName name="지원동" localSheetId="5" hidden="1">{#N/A,#N/A,TRUE,"대 차 대 조 표"}</definedName>
    <definedName name="지원동" localSheetId="4" hidden="1">{#N/A,#N/A,TRUE,"대 차 대 조 표"}</definedName>
    <definedName name="지원동" localSheetId="3" hidden="1">{#N/A,#N/A,TRUE,"대 차 대 조 표"}</definedName>
    <definedName name="지원동" localSheetId="1" hidden="1">{#N/A,#N/A,TRUE,"대 차 대 조 표"}</definedName>
    <definedName name="지원동" hidden="1">{#N/A,#N/A,TRUE,"대 차 대 조 표"}</definedName>
    <definedName name="지원동_1" localSheetId="5" hidden="1">{#N/A,#N/A,TRUE,"대 차 대 조 표"}</definedName>
    <definedName name="지원동_1" localSheetId="4" hidden="1">{#N/A,#N/A,TRUE,"대 차 대 조 표"}</definedName>
    <definedName name="지원동_1" localSheetId="3" hidden="1">{#N/A,#N/A,TRUE,"대 차 대 조 표"}</definedName>
    <definedName name="지원동_1" localSheetId="1" hidden="1">{#N/A,#N/A,TRUE,"대 차 대 조 표"}</definedName>
    <definedName name="지원동_1" hidden="1">{#N/A,#N/A,TRUE,"대 차 대 조 표"}</definedName>
    <definedName name="지절1" localSheetId="5">#REF!</definedName>
    <definedName name="지절1" localSheetId="4">#REF!</definedName>
    <definedName name="지절1" localSheetId="3">#REF!</definedName>
    <definedName name="지절1" localSheetId="1">#REF!</definedName>
    <definedName name="지절1">#REF!</definedName>
    <definedName name="지절2" localSheetId="3">#REF!</definedName>
    <definedName name="지절2" localSheetId="1">#REF!</definedName>
    <definedName name="지절2">#REF!</definedName>
    <definedName name="지점_data" localSheetId="3">#REF!</definedName>
    <definedName name="지점_data" localSheetId="1">#REF!</definedName>
    <definedName name="지점_data">#REF!</definedName>
    <definedName name="지점명" localSheetId="3">#REF!</definedName>
    <definedName name="지점명" localSheetId="1">#REF!</definedName>
    <definedName name="지점명">#REF!</definedName>
    <definedName name="지종" localSheetId="3">#REF!</definedName>
    <definedName name="지종" localSheetId="1">#REF!</definedName>
    <definedName name="지종">#REF!</definedName>
    <definedName name="지태면" localSheetId="5" hidden="1">{#N/A,#N/A,TRUE,"Y생산";#N/A,#N/A,TRUE,"Y판매";#N/A,#N/A,TRUE,"Y총물량";#N/A,#N/A,TRUE,"Y능력";#N/A,#N/A,TRUE,"YKD"}</definedName>
    <definedName name="지태면" localSheetId="4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localSheetId="1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위" localSheetId="5">#REF!</definedName>
    <definedName name="직위" localSheetId="4">#REF!</definedName>
    <definedName name="직위" localSheetId="3">#REF!</definedName>
    <definedName name="직위" localSheetId="1">#REF!</definedName>
    <definedName name="직위">#REF!</definedName>
    <definedName name="진" localSheetId="5" hidden="1">{#N/A,#N/A,FALSE,"3가";#N/A,#N/A,FALSE,"3나";#N/A,#N/A,FALSE,"3다"}</definedName>
    <definedName name="진" localSheetId="4" hidden="1">{#N/A,#N/A,FALSE,"3가";#N/A,#N/A,FALSE,"3나";#N/A,#N/A,FALSE,"3다"}</definedName>
    <definedName name="진" localSheetId="3" hidden="1">{#N/A,#N/A,FALSE,"3가";#N/A,#N/A,FALSE,"3나";#N/A,#N/A,FALSE,"3다"}</definedName>
    <definedName name="진" localSheetId="1" hidden="1">{#N/A,#N/A,FALSE,"3가";#N/A,#N/A,FALSE,"3나";#N/A,#N/A,FALSE,"3다"}</definedName>
    <definedName name="진" hidden="1">{#N/A,#N/A,FALSE,"3가";#N/A,#N/A,FALSE,"3나";#N/A,#N/A,FALSE,"3다"}</definedName>
    <definedName name="진성기획" localSheetId="5">#REF!</definedName>
    <definedName name="진성기획" localSheetId="4">#REF!</definedName>
    <definedName name="진성기획" localSheetId="3">#REF!</definedName>
    <definedName name="진성기획" localSheetId="1">#REF!</definedName>
    <definedName name="진성기획">#REF!</definedName>
    <definedName name="진성기획량" localSheetId="5">#REF!</definedName>
    <definedName name="진성기획량" localSheetId="4">#REF!</definedName>
    <definedName name="진성기획량" localSheetId="3">#REF!</definedName>
    <definedName name="진성기획량" localSheetId="1">#REF!</definedName>
    <definedName name="진성기획량">#REF!</definedName>
    <definedName name="진성요척량" localSheetId="5">#REF!</definedName>
    <definedName name="진성요척량" localSheetId="4">#REF!</definedName>
    <definedName name="진성요척량" localSheetId="3">#REF!</definedName>
    <definedName name="진성요척량" localSheetId="1">#REF!</definedName>
    <definedName name="진성요척량">#REF!</definedName>
    <definedName name="진성원불" localSheetId="5">#REF!</definedName>
    <definedName name="진성원불" localSheetId="4">#REF!</definedName>
    <definedName name="진성원불" localSheetId="3">#REF!</definedName>
    <definedName name="진성원불" localSheetId="1">#REF!</definedName>
    <definedName name="진성원불">#REF!</definedName>
    <definedName name="진성정품입고" localSheetId="5">#REF!</definedName>
    <definedName name="진성정품입고" localSheetId="4">#REF!</definedName>
    <definedName name="진성정품입고" localSheetId="3">#REF!</definedName>
    <definedName name="진성정품입고" localSheetId="1">#REF!</definedName>
    <definedName name="진성정품입고">#REF!</definedName>
    <definedName name="진성취불" localSheetId="5">#REF!</definedName>
    <definedName name="진성취불" localSheetId="4">#REF!</definedName>
    <definedName name="진성취불" localSheetId="3">#REF!</definedName>
    <definedName name="진성취불" localSheetId="1">#REF!</definedName>
    <definedName name="진성취불">#REF!</definedName>
    <definedName name="진지" localSheetId="5" hidden="1">{"'호선별현황(방식)'!$K$22:$P$22","'호선별현황(방식)'!$K$22:$P$22"}</definedName>
    <definedName name="진지" localSheetId="4" hidden="1">{"'호선별현황(방식)'!$K$22:$P$22","'호선별현황(방식)'!$K$22:$P$22"}</definedName>
    <definedName name="진지" localSheetId="3" hidden="1">{"'호선별현황(방식)'!$K$22:$P$22","'호선별현황(방식)'!$K$22:$P$22"}</definedName>
    <definedName name="진지" localSheetId="1" hidden="1">{"'호선별현황(방식)'!$K$22:$P$22","'호선별현황(방식)'!$K$22:$P$22"}</definedName>
    <definedName name="진지" hidden="1">{"'호선별현황(방식)'!$K$22:$P$22","'호선별현황(방식)'!$K$22:$P$22"}</definedName>
    <definedName name="진짜살림" localSheetId="5">#REF!</definedName>
    <definedName name="진짜살림" localSheetId="4">#REF!</definedName>
    <definedName name="진짜살림" localSheetId="3">#REF!</definedName>
    <definedName name="진짜살림" localSheetId="1">#REF!</definedName>
    <definedName name="진짜살림">#REF!</definedName>
    <definedName name="진짜현금작성조서" localSheetId="5" hidden="1">{#N/A,#N/A,FALSE,"BS";#N/A,#N/A,FALSE,"PL";#N/A,#N/A,FALSE,"처분";#N/A,#N/A,FALSE,"현금";#N/A,#N/A,FALSE,"매출";#N/A,#N/A,FALSE,"원가";#N/A,#N/A,FALSE,"경영"}</definedName>
    <definedName name="진짜현금작성조서" localSheetId="4" hidden="1">{#N/A,#N/A,FALSE,"BS";#N/A,#N/A,FALSE,"PL";#N/A,#N/A,FALSE,"처분";#N/A,#N/A,FALSE,"현금";#N/A,#N/A,FALSE,"매출";#N/A,#N/A,FALSE,"원가";#N/A,#N/A,FALSE,"경영"}</definedName>
    <definedName name="진짜현금작성조서" localSheetId="3" hidden="1">{#N/A,#N/A,FALSE,"BS";#N/A,#N/A,FALSE,"PL";#N/A,#N/A,FALSE,"처분";#N/A,#N/A,FALSE,"현금";#N/A,#N/A,FALSE,"매출";#N/A,#N/A,FALSE,"원가";#N/A,#N/A,FALSE,"경영"}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localSheetId="5" hidden="1">{#N/A,#N/A,FALSE,"95FW"}</definedName>
    <definedName name="진행보고" localSheetId="4" hidden="1">{#N/A,#N/A,FALSE,"95FW"}</definedName>
    <definedName name="진행보고" localSheetId="3" hidden="1">{#N/A,#N/A,FALSE,"95FW"}</definedName>
    <definedName name="진행보고" localSheetId="1" hidden="1">{#N/A,#N/A,FALSE,"95FW"}</definedName>
    <definedName name="진행보고" hidden="1">{#N/A,#N/A,FALSE,"95FW"}</definedName>
    <definedName name="진행비합계" localSheetId="5">#REF!</definedName>
    <definedName name="진행비합계" localSheetId="4">#REF!</definedName>
    <definedName name="진행비합계" localSheetId="3">#REF!</definedName>
    <definedName name="진행비합계" localSheetId="1">#REF!</definedName>
    <definedName name="진행비합계">#REF!</definedName>
    <definedName name="집기" localSheetId="3">#REF!</definedName>
    <definedName name="집기" localSheetId="1">#REF!</definedName>
    <definedName name="집기">#REF!</definedName>
    <definedName name="집기2" localSheetId="3">#REF!</definedName>
    <definedName name="집기2" localSheetId="1">#REF!</definedName>
    <definedName name="집기2">#REF!</definedName>
    <definedName name="집기비품" hidden="1">#N/A</definedName>
    <definedName name="집기비품ㅈ" localSheetId="5">#REF!</definedName>
    <definedName name="집기비품ㅈ" localSheetId="4">#REF!</definedName>
    <definedName name="집기비품ㅈ" localSheetId="3">#REF!</definedName>
    <definedName name="집기비품ㅈ" localSheetId="1">#REF!</definedName>
    <definedName name="집기비품ㅈ">#REF!</definedName>
    <definedName name="집행실적200211" localSheetId="5" hidden="1">{"'Sheet1'!$A$1:$H$36"}</definedName>
    <definedName name="집행실적200211" localSheetId="4" hidden="1">{"'Sheet1'!$A$1:$H$36"}</definedName>
    <definedName name="집행실적200211" localSheetId="3" hidden="1">{"'Sheet1'!$A$1:$H$36"}</definedName>
    <definedName name="집행실적200211" localSheetId="1" hidden="1">{"'Sheet1'!$A$1:$H$36"}</definedName>
    <definedName name="집행실적200211" hidden="1">{"'Sheet1'!$A$1:$H$36"}</definedName>
    <definedName name="ㅉ" localSheetId="5" hidden="1">{#N/A,#N/A,TRUE,"Y생산";#N/A,#N/A,TRUE,"Y판매";#N/A,#N/A,TRUE,"Y총물량";#N/A,#N/A,TRUE,"Y능력";#N/A,#N/A,TRUE,"YKD"}</definedName>
    <definedName name="ㅉ" localSheetId="4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localSheetId="1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쨔" localSheetId="5" hidden="1">{#N/A,#N/A,FALSE,"95FW"}</definedName>
    <definedName name="쨔" localSheetId="4" hidden="1">{#N/A,#N/A,FALSE,"95FW"}</definedName>
    <definedName name="쨔" localSheetId="3" hidden="1">{#N/A,#N/A,FALSE,"95FW"}</definedName>
    <definedName name="쨔" localSheetId="1" hidden="1">{#N/A,#N/A,FALSE,"95FW"}</definedName>
    <definedName name="쨔" hidden="1">{#N/A,#N/A,FALSE,"95FW"}</definedName>
    <definedName name="ㅊ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 localSheetId="5">#REF!</definedName>
    <definedName name="ㅊ160" localSheetId="4">#REF!</definedName>
    <definedName name="ㅊ160" localSheetId="3">#REF!</definedName>
    <definedName name="ㅊ160" localSheetId="1">#REF!</definedName>
    <definedName name="ㅊ160">#REF!</definedName>
    <definedName name="ㅊㅊ" localSheetId="5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4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3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localSheetId="5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4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3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5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4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3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 localSheetId="5">#REF!</definedName>
    <definedName name="ㅊㅊㅊㅊㅊㅊㅊㅊㅊㅊㅊㅊㅊㅊㅊㅊㅊ" localSheetId="4">#REF!</definedName>
    <definedName name="ㅊㅊㅊㅊㅊㅊㅊㅊㅊㅊㅊㅊㅊㅊㅊㅊㅊ" localSheetId="3">#REF!</definedName>
    <definedName name="ㅊㅊㅊㅊㅊㅊㅊㅊㅊㅊㅊㅊㅊㅊㅊㅊㅊ" localSheetId="1">#REF!</definedName>
    <definedName name="ㅊㅊㅊㅊㅊㅊㅊㅊㅊㅊㅊㅊㅊㅊㅊㅊㅊ">#REF!</definedName>
    <definedName name="ㅊㅌㅊㅊ" localSheetId="3">#REF!</definedName>
    <definedName name="ㅊㅌㅊㅊ" localSheetId="1">#REF!</definedName>
    <definedName name="ㅊㅌㅊㅊ">#REF!</definedName>
    <definedName name="ㅊㅍㅌㅍ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localSheetId="5" hidden="1">{#N/A,#N/A,FALSE,"1.CRITERIA";#N/A,#N/A,FALSE,"2.IS";#N/A,#N/A,FALSE,"3.BS";#N/A,#N/A,FALSE,"4.PER PL";#N/A,#N/A,FALSE,"5.INVESTMENT";#N/A,#N/A,FALSE,"6.공문";#N/A,#N/A,FALSE,"7.netinvest"}</definedName>
    <definedName name="차" localSheetId="4" hidden="1">{#N/A,#N/A,FALSE,"1.CRITERIA";#N/A,#N/A,FALSE,"2.IS";#N/A,#N/A,FALSE,"3.BS";#N/A,#N/A,FALSE,"4.PER PL";#N/A,#N/A,FALSE,"5.INVESTMENT";#N/A,#N/A,FALSE,"6.공문";#N/A,#N/A,FALSE,"7.netinvest"}</definedName>
    <definedName name="차" localSheetId="3" hidden="1">{#N/A,#N/A,FALSE,"1.CRITERIA";#N/A,#N/A,FALSE,"2.IS";#N/A,#N/A,FALSE,"3.BS";#N/A,#N/A,FALSE,"4.PER PL";#N/A,#N/A,FALSE,"5.INVESTMENT";#N/A,#N/A,FALSE,"6.공문";#N/A,#N/A,FALSE,"7.netinvest"}</definedName>
    <definedName name="차" localSheetId="1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 localSheetId="5">#REF!</definedName>
    <definedName name="차량" localSheetId="4">#REF!</definedName>
    <definedName name="차량" localSheetId="3">#REF!</definedName>
    <definedName name="차량" localSheetId="1">#REF!</definedName>
    <definedName name="차량">#REF!</definedName>
    <definedName name="차량2" localSheetId="3">#REF!</definedName>
    <definedName name="차량2" localSheetId="1">#REF!</definedName>
    <definedName name="차량2">#REF!</definedName>
    <definedName name="차량운반구" hidden="1">#N/A</definedName>
    <definedName name="차량운반구2" localSheetId="5">#REF!</definedName>
    <definedName name="차량운반구2" localSheetId="4">#REF!</definedName>
    <definedName name="차량운반구2" localSheetId="3">#REF!</definedName>
    <definedName name="차량운반구2" localSheetId="1">#REF!</definedName>
    <definedName name="차량운반구2">#REF!</definedName>
    <definedName name="차량합계" localSheetId="5">#REF!</definedName>
    <definedName name="차량합계" localSheetId="4">#REF!</definedName>
    <definedName name="차량합계" localSheetId="3">#REF!</definedName>
    <definedName name="차량합계" localSheetId="1">#REF!</definedName>
    <definedName name="차량합계">#REF!</definedName>
    <definedName name="차변" localSheetId="3">#REF!</definedName>
    <definedName name="차변" localSheetId="1">#REF!</definedName>
    <definedName name="차변">#REF!</definedName>
    <definedName name="차이조정분" localSheetId="5" hidden="1">{"'Sheet1'!$A$1:$D$15"}</definedName>
    <definedName name="차이조정분" localSheetId="4" hidden="1">{"'Sheet1'!$A$1:$D$15"}</definedName>
    <definedName name="차이조정분" localSheetId="3" hidden="1">{"'Sheet1'!$A$1:$D$15"}</definedName>
    <definedName name="차이조정분" localSheetId="1" hidden="1">{"'Sheet1'!$A$1:$D$15"}</definedName>
    <definedName name="차이조정분" hidden="1">{"'Sheet1'!$A$1:$D$15"}</definedName>
    <definedName name="차입금" localSheetId="5" hidden="1">{#N/A,#N/A,FALSE,"채산3501.XLS";#N/A,#N/A,FALSE,"신조수A.XLS";#N/A,#N/A,FALSE,"신조수b.XLS";#N/A,#N/A,FALSE,"채산3502.XLS";#N/A,#N/A,FALSE,"신조원리.XLS";#N/A,#N/A,FALSE,"신조감가.XLS"}</definedName>
    <definedName name="차입금" localSheetId="4" hidden="1">{#N/A,#N/A,FALSE,"채산3501.XLS";#N/A,#N/A,FALSE,"신조수A.XLS";#N/A,#N/A,FALSE,"신조수b.XLS";#N/A,#N/A,FALSE,"채산3502.XLS";#N/A,#N/A,FALSE,"신조원리.XLS";#N/A,#N/A,FALSE,"신조감가.XLS"}</definedName>
    <definedName name="차입금" localSheetId="3" hidden="1">{#N/A,#N/A,FALSE,"채산3501.XLS";#N/A,#N/A,FALSE,"신조수A.XLS";#N/A,#N/A,FALSE,"신조수b.XLS";#N/A,#N/A,FALSE,"채산3502.XLS";#N/A,#N/A,FALSE,"신조원리.XLS";#N/A,#N/A,FALSE,"신조감가.XLS"}</definedName>
    <definedName name="차입금" localSheetId="1" hidden="1">{#N/A,#N/A,FALSE,"채산3501.XLS";#N/A,#N/A,FALSE,"신조수A.XLS";#N/A,#N/A,FALSE,"신조수b.XLS";#N/A,#N/A,FALSE,"채산3502.XLS";#N/A,#N/A,FALSE,"신조원리.XLS";#N/A,#N/A,FALSE,"신조감가.XLS"}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localSheetId="5" hidden="1">{"'買掛金'!$J$6"}</definedName>
    <definedName name="差入保証金" localSheetId="4" hidden="1">{"'買掛金'!$J$6"}</definedName>
    <definedName name="差入保証金" localSheetId="3" hidden="1">{"'買掛金'!$J$6"}</definedName>
    <definedName name="差入保証金" localSheetId="1" hidden="1">{"'買掛金'!$J$6"}</definedName>
    <definedName name="差入保証金" hidden="1">{"'買掛金'!$J$6"}</definedName>
    <definedName name="차재영" localSheetId="3">#REF!</definedName>
    <definedName name="차재영" localSheetId="1">#REF!</definedName>
    <definedName name="차재영">#REF!</definedName>
    <definedName name="차종" localSheetId="5" hidden="1">{#N/A,#N/A,FALSE,"신규dep";#N/A,#N/A,FALSE,"신규dep-금형상각후";#N/A,#N/A,FALSE,"신규dep-연구비상각후";#N/A,#N/A,FALSE,"신규dep-기계,공구상각후"}</definedName>
    <definedName name="차종" localSheetId="4" hidden="1">{#N/A,#N/A,FALSE,"신규dep";#N/A,#N/A,FALSE,"신규dep-금형상각후";#N/A,#N/A,FALSE,"신규dep-연구비상각후";#N/A,#N/A,FALSE,"신규dep-기계,공구상각후"}</definedName>
    <definedName name="차종" localSheetId="3" hidden="1">{#N/A,#N/A,FALSE,"신규dep";#N/A,#N/A,FALSE,"신규dep-금형상각후";#N/A,#N/A,FALSE,"신규dep-연구비상각후";#N/A,#N/A,FALSE,"신규dep-기계,공구상각후"}</definedName>
    <definedName name="차종" localSheetId="1" hidden="1">{#N/A,#N/A,FALSE,"신규dep";#N/A,#N/A,FALSE,"신규dep-금형상각후";#N/A,#N/A,FALSE,"신규dep-연구비상각후";#N/A,#N/A,FALSE,"신규dep-기계,공구상각후"}</definedName>
    <definedName name="차종" hidden="1">{#N/A,#N/A,FALSE,"신규dep";#N/A,#N/A,FALSE,"신규dep-금형상각후";#N/A,#N/A,FALSE,"신규dep-연구비상각후";#N/A,#N/A,FALSE,"신규dep-기계,공구상각후"}</definedName>
    <definedName name="차종별" localSheetId="5" hidden="1">{#N/A,#N/A,TRUE,"Y생산";#N/A,#N/A,TRUE,"Y판매";#N/A,#N/A,TRUE,"Y총물량";#N/A,#N/A,TRUE,"Y능력";#N/A,#N/A,TRUE,"YKD"}</definedName>
    <definedName name="차종별" localSheetId="4" hidden="1">{#N/A,#N/A,TRUE,"Y생산";#N/A,#N/A,TRUE,"Y판매";#N/A,#N/A,TRUE,"Y총물량";#N/A,#N/A,TRUE,"Y능력";#N/A,#N/A,TRUE,"YKD"}</definedName>
    <definedName name="차종별" localSheetId="3" hidden="1">{#N/A,#N/A,TRUE,"Y생산";#N/A,#N/A,TRUE,"Y판매";#N/A,#N/A,TRUE,"Y총물량";#N/A,#N/A,TRUE,"Y능력";#N/A,#N/A,TRUE,"YKD"}</definedName>
    <definedName name="차종별" localSheetId="1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2" localSheetId="5">#REF!</definedName>
    <definedName name="차체2" localSheetId="4">#REF!</definedName>
    <definedName name="차체2" localSheetId="3">#REF!</definedName>
    <definedName name="차체2" localSheetId="1">#REF!</definedName>
    <definedName name="차체2">#REF!</definedName>
    <definedName name="차체공정" localSheetId="3">#REF!</definedName>
    <definedName name="차체공정" localSheetId="1">#REF!</definedName>
    <definedName name="차체공정">#REF!</definedName>
    <definedName name="차트범위" localSheetId="5">#REF!,#REF!,#REF!,#REF!,#REF!</definedName>
    <definedName name="차트범위" localSheetId="4">#REF!,#REF!,#REF!,#REF!,#REF!</definedName>
    <definedName name="차트범위" localSheetId="3">#REF!,#REF!,#REF!,#REF!,#REF!</definedName>
    <definedName name="차트범위" localSheetId="1">#REF!,#REF!,#REF!,#REF!,#REF!</definedName>
    <definedName name="차트범위">#REF!,#REF!,#REF!,#REF!,#REF!</definedName>
    <definedName name="참고1장" localSheetId="5" hidden="1">{#N/A,#N/A,FALSE,"단축1";#N/A,#N/A,FALSE,"단축2";#N/A,#N/A,FALSE,"단축3";#N/A,#N/A,FALSE,"장축";#N/A,#N/A,FALSE,"4WD"}</definedName>
    <definedName name="참고1장" localSheetId="4" hidden="1">{#N/A,#N/A,FALSE,"단축1";#N/A,#N/A,FALSE,"단축2";#N/A,#N/A,FALSE,"단축3";#N/A,#N/A,FALSE,"장축";#N/A,#N/A,FALSE,"4WD"}</definedName>
    <definedName name="참고1장" localSheetId="3" hidden="1">{#N/A,#N/A,FALSE,"단축1";#N/A,#N/A,FALSE,"단축2";#N/A,#N/A,FALSE,"단축3";#N/A,#N/A,FALSE,"장축";#N/A,#N/A,FALSE,"4WD"}</definedName>
    <definedName name="참고1장" localSheetId="1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2" localSheetId="5" hidden="1">#REF!</definedName>
    <definedName name="참고2" localSheetId="4" hidden="1">#REF!</definedName>
    <definedName name="참고2" localSheetId="3" hidden="1">#REF!</definedName>
    <definedName name="참고2" localSheetId="1" hidden="1">#REF!</definedName>
    <definedName name="참고2" hidden="1">#REF!</definedName>
    <definedName name="참조" localSheetId="3">#REF!</definedName>
    <definedName name="참조" localSheetId="1">#REF!</definedName>
    <definedName name="참조">#REF!</definedName>
    <definedName name="참조1" localSheetId="3">#REF!</definedName>
    <definedName name="참조1" localSheetId="1">#REF!</definedName>
    <definedName name="참조1">#REF!</definedName>
    <definedName name="창고" localSheetId="3">#REF!</definedName>
    <definedName name="창고" localSheetId="1">#REF!</definedName>
    <definedName name="창고">#REF!</definedName>
    <definedName name="채권sort" localSheetId="3">#REF!</definedName>
    <definedName name="채권sort" localSheetId="1">#REF!</definedName>
    <definedName name="채권sort">#REF!</definedName>
    <definedName name="채권계정과목" localSheetId="3">#REF!</definedName>
    <definedName name="채권계정과목" localSheetId="1">#REF!</definedName>
    <definedName name="채권계정과목">#REF!</definedName>
    <definedName name="채권금액" localSheetId="3">#REF!</definedName>
    <definedName name="채권금액" localSheetId="1">#REF!</definedName>
    <definedName name="채권금액">#REF!</definedName>
    <definedName name="채권양수금" localSheetId="5" hidden="1">{"'호선별현황(방식)'!$K$22:$P$22","'호선별현황(방식)'!$K$22:$P$22"}</definedName>
    <definedName name="채권양수금" localSheetId="4" hidden="1">{"'호선별현황(방식)'!$K$22:$P$22","'호선별현황(방식)'!$K$22:$P$22"}</definedName>
    <definedName name="채권양수금" localSheetId="3" hidden="1">{"'호선별현황(방식)'!$K$22:$P$22","'호선별현황(방식)'!$K$22:$P$22"}</definedName>
    <definedName name="채권양수금" localSheetId="1" hidden="1">{"'호선별현황(방식)'!$K$22:$P$22","'호선별현황(방식)'!$K$22:$P$22"}</definedName>
    <definedName name="채권양수금" hidden="1">{"'호선별현황(방식)'!$K$22:$P$22","'호선별현황(방식)'!$K$22:$P$22"}</definedName>
    <definedName name="채권양수금11" localSheetId="5" hidden="1">{"'호선별현황(방식)'!$K$22:$P$22","'호선별현황(방식)'!$K$22:$P$22"}</definedName>
    <definedName name="채권양수금11" localSheetId="4" hidden="1">{"'호선별현황(방식)'!$K$22:$P$22","'호선별현황(방식)'!$K$22:$P$22"}</definedName>
    <definedName name="채권양수금11" localSheetId="3" hidden="1">{"'호선별현황(방식)'!$K$22:$P$22","'호선별현황(방식)'!$K$22:$P$22"}</definedName>
    <definedName name="채권양수금11" localSheetId="1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 localSheetId="5">#REF!</definedName>
    <definedName name="채무sort" localSheetId="4">#REF!</definedName>
    <definedName name="채무sort" localSheetId="3">#REF!</definedName>
    <definedName name="채무sort" localSheetId="1">#REF!</definedName>
    <definedName name="채무sort">#REF!</definedName>
    <definedName name="채무계정과목" localSheetId="3">#REF!</definedName>
    <definedName name="채무계정과목" localSheetId="1">#REF!</definedName>
    <definedName name="채무계정과목">#REF!</definedName>
    <definedName name="채무금액" localSheetId="3">#REF!</definedName>
    <definedName name="채무금액" localSheetId="1">#REF!</definedName>
    <definedName name="채무금액">#REF!</definedName>
    <definedName name="채무제목" localSheetId="3">#REF!</definedName>
    <definedName name="채무제목" localSheetId="1">#REF!</definedName>
    <definedName name="채무제목">#REF!</definedName>
    <definedName name="처음">#N/A</definedName>
    <definedName name="처음2">#N/A</definedName>
    <definedName name="처음3">#N/A</definedName>
    <definedName name="처ㅗㅠ허" localSheetId="5" hidden="1">#REF!</definedName>
    <definedName name="처ㅗㅠ허" localSheetId="4" hidden="1">#REF!</definedName>
    <definedName name="처ㅗㅠ허" localSheetId="3" hidden="1">#REF!</definedName>
    <definedName name="처ㅗㅠ허" localSheetId="1" hidden="1">#REF!</definedName>
    <definedName name="처ㅗㅠ허" hidden="1">#REF!</definedName>
    <definedName name="천" localSheetId="3">IF(INT(RIGHT(#REF!,4)/1000)=0,"",CHOOSE(INT(RIGHT(#REF!,4)/1000),"일","이","삼","사","오","육","칠","팔","구")&amp;"천")</definedName>
    <definedName name="천" localSheetId="1">IF(INT(RIGHT(#REF!,4)/1000)=0,"",CHOOSE(INT(RIGHT(#REF!,4)/1000),"일","이","삼","사","오","육","칠","팔","구")&amp;"천")</definedName>
    <definedName name="천">IF(INT(RIGHT(#REF!,4)/1000)=0,"",CHOOSE(INT(RIGHT(#REF!,4)/1000),"일","이","삼","사","오","육","칠","팔","구")&amp;"천")</definedName>
    <definedName name="천만" localSheetId="3">IF(INT(RIGHT(#REF!,8)/10000000)=0,"",CHOOSE(INT(RIGHT(#REF!,8)/10000000),"일","이","삼","사","오","육","칠","팔","구")&amp;"천")</definedName>
    <definedName name="천만" localSheetId="1">IF(INT(RIGHT(#REF!,8)/10000000)=0,"",CHOOSE(INT(RIGHT(#REF!,8)/10000000),"일","이","삼","사","오","육","칠","팔","구")&amp;"천")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 localSheetId="3">#REF!</definedName>
    <definedName name="첨부0" localSheetId="1">#REF!</definedName>
    <definedName name="첨부0">#REF!</definedName>
    <definedName name="첨부1" localSheetId="3">#REF!</definedName>
    <definedName name="첨부1" localSheetId="1">#REF!</definedName>
    <definedName name="첨부1">#REF!</definedName>
    <definedName name="첨부2" localSheetId="3">#REF!</definedName>
    <definedName name="첨부2" localSheetId="1">#REF!</definedName>
    <definedName name="첨부2">#REF!</definedName>
    <definedName name="첨첨11" localSheetId="3">#REF!</definedName>
    <definedName name="첨첨11" localSheetId="1">#REF!</definedName>
    <definedName name="첨첨11">#REF!</definedName>
    <definedName name="청구서인쇄영역" localSheetId="3">#REF!</definedName>
    <definedName name="청구서인쇄영역" localSheetId="1">#REF!</definedName>
    <definedName name="청구서인쇄영역">#REF!</definedName>
    <definedName name="청소1" localSheetId="3">#REF!</definedName>
    <definedName name="청소1" localSheetId="1">#REF!</definedName>
    <definedName name="청소1">#REF!</definedName>
    <definedName name="체육관" localSheetId="5" hidden="1">{#N/A,#N/A,TRUE,"대 차 대 조 표"}</definedName>
    <definedName name="체육관" localSheetId="4" hidden="1">{#N/A,#N/A,TRUE,"대 차 대 조 표"}</definedName>
    <definedName name="체육관" localSheetId="3" hidden="1">{#N/A,#N/A,TRUE,"대 차 대 조 표"}</definedName>
    <definedName name="체육관" localSheetId="1" hidden="1">{#N/A,#N/A,TRUE,"대 차 대 조 표"}</definedName>
    <definedName name="체육관" hidden="1">{#N/A,#N/A,TRUE,"대 차 대 조 표"}</definedName>
    <definedName name="체육관_1" localSheetId="5" hidden="1">{#N/A,#N/A,TRUE,"대 차 대 조 표"}</definedName>
    <definedName name="체육관_1" localSheetId="4" hidden="1">{#N/A,#N/A,TRUE,"대 차 대 조 표"}</definedName>
    <definedName name="체육관_1" localSheetId="3" hidden="1">{#N/A,#N/A,TRUE,"대 차 대 조 표"}</definedName>
    <definedName name="체육관_1" localSheetId="1" hidden="1">{#N/A,#N/A,TRUE,"대 차 대 조 표"}</definedName>
    <definedName name="체육관_1" hidden="1">{#N/A,#N/A,TRUE,"대 차 대 조 표"}</definedName>
    <definedName name="초출량1" localSheetId="5">#REF!</definedName>
    <definedName name="초출량1" localSheetId="4">#REF!</definedName>
    <definedName name="초출량1" localSheetId="3">#REF!</definedName>
    <definedName name="초출량1" localSheetId="1">#REF!</definedName>
    <definedName name="초출량1">#REF!</definedName>
    <definedName name="초출량2" localSheetId="3">#REF!</definedName>
    <definedName name="초출량2" localSheetId="1">#REF!</definedName>
    <definedName name="초출량2">#REF!</definedName>
    <definedName name="총경비" localSheetId="3">#REF!</definedName>
    <definedName name="총경비" localSheetId="1">#REF!</definedName>
    <definedName name="총경비">#REF!</definedName>
    <definedName name="총괄" localSheetId="5" hidden="1">{#N/A,#N/A,TRUE,"1호 과표세액";#N/A,#N/A,TRUE,"6호 첨부(익)";#N/A,#N/A,TRUE,"6-3호 퇴충";#N/A,#N/A,TRUE,"PL";#N/A,#N/A,TRUE,"BS";#N/A,#N/A,TRUE,"RE";#N/A,#N/A,TRUE,"표지"}</definedName>
    <definedName name="총괄" localSheetId="4" hidden="1">{#N/A,#N/A,TRUE,"1호 과표세액";#N/A,#N/A,TRUE,"6호 첨부(익)";#N/A,#N/A,TRUE,"6-3호 퇴충";#N/A,#N/A,TRUE,"PL";#N/A,#N/A,TRUE,"BS";#N/A,#N/A,TRUE,"RE";#N/A,#N/A,TRUE,"표지"}</definedName>
    <definedName name="총괄" localSheetId="3" hidden="1">{#N/A,#N/A,TRUE,"1호 과표세액";#N/A,#N/A,TRUE,"6호 첨부(익)";#N/A,#N/A,TRUE,"6-3호 퇴충";#N/A,#N/A,TRUE,"PL";#N/A,#N/A,TRUE,"BS";#N/A,#N/A,TRUE,"RE";#N/A,#N/A,TRUE,"표지"}</definedName>
    <definedName name="총괄" localSheetId="1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localSheetId="5" hidden="1">{#N/A,#N/A,FALSE,"3가";#N/A,#N/A,FALSE,"3나";#N/A,#N/A,FALSE,"3다"}</definedName>
    <definedName name="총괄11" localSheetId="4" hidden="1">{#N/A,#N/A,FALSE,"3가";#N/A,#N/A,FALSE,"3나";#N/A,#N/A,FALSE,"3다"}</definedName>
    <definedName name="총괄11" localSheetId="3" hidden="1">{#N/A,#N/A,FALSE,"3가";#N/A,#N/A,FALSE,"3나";#N/A,#N/A,FALSE,"3다"}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총괄2" localSheetId="5">#REF!</definedName>
    <definedName name="총괄2" localSheetId="4">#REF!</definedName>
    <definedName name="총괄2" localSheetId="3">#REF!</definedName>
    <definedName name="총괄2" localSheetId="1">#REF!</definedName>
    <definedName name="총괄2">#REF!</definedName>
    <definedName name="총괄표" localSheetId="3">#REF!</definedName>
    <definedName name="총괄표" localSheetId="1">#REF!</definedName>
    <definedName name="총괄표">#REF!</definedName>
    <definedName name="총괄표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localSheetId="5" hidden="1">{#N/A,#N/A,TRUE,"Y생산";#N/A,#N/A,TRUE,"Y판매";#N/A,#N/A,TRUE,"Y총물량";#N/A,#N/A,TRUE,"Y능력";#N/A,#N/A,TRUE,"YKD"}</definedName>
    <definedName name="총무팀총무팀" localSheetId="4" hidden="1">{#N/A,#N/A,TRUE,"Y생산";#N/A,#N/A,TRUE,"Y판매";#N/A,#N/A,TRUE,"Y총물량";#N/A,#N/A,TRUE,"Y능력";#N/A,#N/A,TRUE,"YKD"}</definedName>
    <definedName name="총무팀총무팀" localSheetId="3" hidden="1">{#N/A,#N/A,TRUE,"Y생산";#N/A,#N/A,TRUE,"Y판매";#N/A,#N/A,TRUE,"Y총물량";#N/A,#N/A,TRUE,"Y능력";#N/A,#N/A,TRUE,"YKD"}</definedName>
    <definedName name="총무팀총무팀" localSheetId="1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총시간" localSheetId="5">#REF!</definedName>
    <definedName name="총시간" localSheetId="4">#REF!</definedName>
    <definedName name="총시간" localSheetId="3">#REF!</definedName>
    <definedName name="총시간" localSheetId="1">#REF!</definedName>
    <definedName name="총시간">#REF!</definedName>
    <definedName name="총시간1" localSheetId="3">#REF!</definedName>
    <definedName name="총시간1" localSheetId="1">#REF!</definedName>
    <definedName name="총시간1">#REF!</definedName>
    <definedName name="총시간2" localSheetId="3">#REF!</definedName>
    <definedName name="총시간2" localSheetId="1">#REF!</definedName>
    <definedName name="총시간2">#REF!</definedName>
    <definedName name="총인" localSheetId="3">#REF!</definedName>
    <definedName name="총인" localSheetId="1">#REF!</definedName>
    <definedName name="총인">#REF!</definedName>
    <definedName name="총점" localSheetId="3">#REF!</definedName>
    <definedName name="총점" localSheetId="1">#REF!</definedName>
    <definedName name="총점">#REF!</definedName>
    <definedName name="총합" localSheetId="3">#REF!</definedName>
    <definedName name="총합" localSheetId="1">#REF!</definedName>
    <definedName name="총합">#REF!</definedName>
    <definedName name="촤" localSheetId="5" hidden="1">{#N/A,#N/A,FALSE,"1.CRITERIA";#N/A,#N/A,FALSE,"2.IS";#N/A,#N/A,FALSE,"3.BS";#N/A,#N/A,FALSE,"4.PER PL";#N/A,#N/A,FALSE,"5.INVESTMENT";#N/A,#N/A,FALSE,"6.공문";#N/A,#N/A,FALSE,"7.netinvest"}</definedName>
    <definedName name="촤" localSheetId="4" hidden="1">{#N/A,#N/A,FALSE,"1.CRITERIA";#N/A,#N/A,FALSE,"2.IS";#N/A,#N/A,FALSE,"3.BS";#N/A,#N/A,FALSE,"4.PER PL";#N/A,#N/A,FALSE,"5.INVESTMENT";#N/A,#N/A,FALSE,"6.공문";#N/A,#N/A,FALSE,"7.netinvest"}</definedName>
    <definedName name="촤" localSheetId="3" hidden="1">{#N/A,#N/A,FALSE,"1.CRITERIA";#N/A,#N/A,FALSE,"2.IS";#N/A,#N/A,FALSE,"3.BS";#N/A,#N/A,FALSE,"4.PER PL";#N/A,#N/A,FALSE,"5.INVESTMENT";#N/A,#N/A,FALSE,"6.공문";#N/A,#N/A,FALSE,"7.netinvest"}</definedName>
    <definedName name="촤" localSheetId="1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 localSheetId="5">#REF!</definedName>
    <definedName name="촬영합계" localSheetId="4">#REF!</definedName>
    <definedName name="촬영합계" localSheetId="3">#REF!</definedName>
    <definedName name="촬영합계" localSheetId="1">#REF!</definedName>
    <definedName name="촬영합계">#REF!</definedName>
    <definedName name="최영" localSheetId="5" hidden="1">{#N/A,#N/A,FALSE,"정공"}</definedName>
    <definedName name="최영" localSheetId="4" hidden="1">{#N/A,#N/A,FALSE,"정공"}</definedName>
    <definedName name="최영" localSheetId="3" hidden="1">{#N/A,#N/A,FALSE,"정공"}</definedName>
    <definedName name="최영" localSheetId="1" hidden="1">{#N/A,#N/A,FALSE,"정공"}</definedName>
    <definedName name="최영" hidden="1">{#N/A,#N/A,FALSE,"정공"}</definedName>
    <definedName name="최저한세" localSheetId="5">#REF!</definedName>
    <definedName name="최저한세" localSheetId="4">#REF!</definedName>
    <definedName name="최저한세" localSheetId="3">#REF!</definedName>
    <definedName name="최저한세" localSheetId="1">#REF!</definedName>
    <definedName name="최저한세">#REF!</definedName>
    <definedName name="최종" localSheetId="5" hidden="1">{#N/A,#N/A,FALSE,"표지";#N/A,#N/A,FALSE,"전제";#N/A,#N/A,FALSE,"손익-자 (2)";#N/A,#N/A,FALSE,"손익-자";#N/A,#N/A,FALSE,"손익-마 (2)";#N/A,#N/A,FALSE,"손익-마";#N/A,#N/A,FALSE,"총손최종"}</definedName>
    <definedName name="최종" localSheetId="4" hidden="1">{#N/A,#N/A,FALSE,"표지";#N/A,#N/A,FALSE,"전제";#N/A,#N/A,FALSE,"손익-자 (2)";#N/A,#N/A,FALSE,"손익-자";#N/A,#N/A,FALSE,"손익-마 (2)";#N/A,#N/A,FALSE,"손익-마";#N/A,#N/A,FALSE,"총손최종"}</definedName>
    <definedName name="최종" localSheetId="3" hidden="1">{#N/A,#N/A,FALSE,"표지";#N/A,#N/A,FALSE,"전제";#N/A,#N/A,FALSE,"손익-자 (2)";#N/A,#N/A,FALSE,"손익-자";#N/A,#N/A,FALSE,"손익-마 (2)";#N/A,#N/A,FALSE,"손익-마";#N/A,#N/A,FALSE,"총손최종"}</definedName>
    <definedName name="최종" localSheetId="1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 localSheetId="5">#REF!</definedName>
    <definedName name="추계합계" localSheetId="4">#REF!</definedName>
    <definedName name="추계합계" localSheetId="3">#REF!</definedName>
    <definedName name="추계합계" localSheetId="1">#REF!</definedName>
    <definedName name="추계합계">#REF!</definedName>
    <definedName name="추정현황" localSheetId="5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4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3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1" hidden="1">{#N/A,#N/A,FALSE,"채산3501.XLS";#N/A,#N/A,FALSE,"신조수A.XLS";#N/A,#N/A,FALSE,"신조수b.XLS";#N/A,#N/A,FALSE,"채산3502.XLS";#N/A,#N/A,FALSE,"신조원리.XLS";#N/A,#N/A,FALSE,"신조감가.XLS"}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localSheetId="5" hidden="1">{"'호선별현황(방식)'!$K$22:$P$22","'호선별현황(방식)'!$K$22:$P$22"}</definedName>
    <definedName name="축구장" localSheetId="4" hidden="1">{"'호선별현황(방식)'!$K$22:$P$22","'호선별현황(방식)'!$K$22:$P$22"}</definedName>
    <definedName name="축구장" localSheetId="3" hidden="1">{"'호선별현황(방식)'!$K$22:$P$22","'호선별현황(방식)'!$K$22:$P$22"}</definedName>
    <definedName name="축구장" localSheetId="1" hidden="1">{"'호선별현황(방식)'!$K$22:$P$22","'호선별현황(방식)'!$K$22:$P$22"}</definedName>
    <definedName name="축구장" hidden="1">{"'호선별현황(방식)'!$K$22:$P$22","'호선별현황(방식)'!$K$22:$P$22"}</definedName>
    <definedName name="출납" localSheetId="5">#REF!</definedName>
    <definedName name="출납" localSheetId="4">#REF!</definedName>
    <definedName name="출납" localSheetId="3">#REF!</definedName>
    <definedName name="출납" localSheetId="1">#REF!</definedName>
    <definedName name="출납">#REF!</definedName>
    <definedName name="출력" localSheetId="3">#REF!</definedName>
    <definedName name="출력" localSheetId="1">#REF!</definedName>
    <definedName name="출력">#REF!</definedName>
    <definedName name="출연료합계" localSheetId="5">#REF!</definedName>
    <definedName name="출연료합계" localSheetId="4">#REF!</definedName>
    <definedName name="출연료합계" localSheetId="3">#REF!</definedName>
    <definedName name="출연료합계" localSheetId="1">#REF!</definedName>
    <definedName name="출연료합계">#REF!</definedName>
    <definedName name="출장비합계" localSheetId="5">#REF!</definedName>
    <definedName name="출장비합계" localSheetId="4">#REF!</definedName>
    <definedName name="출장비합계" localSheetId="3">#REF!</definedName>
    <definedName name="출장비합계" localSheetId="1">#REF!</definedName>
    <definedName name="출장비합계">#REF!</definedName>
    <definedName name="출하" localSheetId="5">#REF!</definedName>
    <definedName name="출하" localSheetId="4">#REF!</definedName>
    <definedName name="출하" localSheetId="3">#REF!</definedName>
    <definedName name="출하" localSheetId="1">#REF!</definedName>
    <definedName name="출하">#REF!</definedName>
    <definedName name="충당금" localSheetId="5">#REF!</definedName>
    <definedName name="충당금" localSheetId="4">#REF!</definedName>
    <definedName name="충당금" localSheetId="3">#REF!</definedName>
    <definedName name="충당금" localSheetId="1">#REF!</definedName>
    <definedName name="충당금">#REF!</definedName>
    <definedName name="취득일" localSheetId="3">#REF!</definedName>
    <definedName name="취득일" localSheetId="1">#REF!</definedName>
    <definedName name="취득일">#REF!</definedName>
    <definedName name="취소" localSheetId="5">#REF!</definedName>
    <definedName name="취소" localSheetId="4">#REF!</definedName>
    <definedName name="취소" localSheetId="3">#REF!</definedName>
    <definedName name="취소" localSheetId="1">#REF!</definedName>
    <definedName name="취소">#REF!</definedName>
    <definedName name="층별" localSheetId="5">#REF!</definedName>
    <definedName name="층별" localSheetId="4">#REF!</definedName>
    <definedName name="층별" localSheetId="3">#REF!</definedName>
    <definedName name="층별" localSheetId="1">#REF!</definedName>
    <definedName name="층별">#REF!</definedName>
    <definedName name="층별임대" localSheetId="3">#REF!</definedName>
    <definedName name="층별임대" localSheetId="1">#REF!</definedName>
    <definedName name="층별임대">#REF!</definedName>
    <definedName name="층별효용" localSheetId="3">#REF!</definedName>
    <definedName name="층별효용" localSheetId="1">#REF!</definedName>
    <definedName name="층별효용">#REF!</definedName>
    <definedName name="층수" localSheetId="3">#REF!</definedName>
    <definedName name="층수" localSheetId="1">#REF!</definedName>
    <definedName name="층수">#REF!</definedName>
    <definedName name="칠" localSheetId="3">#REF!</definedName>
    <definedName name="칠" localSheetId="1">#REF!</definedName>
    <definedName name="칠">#REF!</definedName>
    <definedName name="ㅋ" localSheetId="5" hidden="1">{#N/A,#N/A,FALSE,"BS";#N/A,#N/A,FALSE,"PL";#N/A,#N/A,FALSE,"처분";#N/A,#N/A,FALSE,"현금";#N/A,#N/A,FALSE,"매출";#N/A,#N/A,FALSE,"원가";#N/A,#N/A,FALSE,"경영"}</definedName>
    <definedName name="ㅋ" localSheetId="4" hidden="1">{#N/A,#N/A,FALSE,"BS";#N/A,#N/A,FALSE,"PL";#N/A,#N/A,FALSE,"처분";#N/A,#N/A,FALSE,"현금";#N/A,#N/A,FALSE,"매출";#N/A,#N/A,FALSE,"원가";#N/A,#N/A,FALSE,"경영"}</definedName>
    <definedName name="ㅋ" localSheetId="3" hidden="1">{#N/A,#N/A,FALSE,"BS";#N/A,#N/A,FALSE,"PL";#N/A,#N/A,FALSE,"처분";#N/A,#N/A,FALSE,"현금";#N/A,#N/A,FALSE,"매출";#N/A,#N/A,FALSE,"원가";#N/A,#N/A,FALSE,"경영"}</definedName>
    <definedName name="ㅋ" localSheetId="1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" localSheetId="5" hidden="1">{#N/A,#N/A,TRUE,"Y생산";#N/A,#N/A,TRUE,"Y판매";#N/A,#N/A,TRUE,"Y총물량";#N/A,#N/A,TRUE,"Y능력";#N/A,#N/A,TRUE,"YKD"}</definedName>
    <definedName name="ㅋㅋ" localSheetId="4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localSheetId="1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localSheetId="5" hidden="1">{#N/A,#N/A,FALSE,"Aging Summary";#N/A,#N/A,FALSE,"Ratio Analysis";#N/A,#N/A,FALSE,"Test 120 Day Accts";#N/A,#N/A,FALSE,"Tickmarks"}</definedName>
    <definedName name="ㅋㅋㅋㅋ" localSheetId="4" hidden="1">{#N/A,#N/A,FALSE,"Aging Summary";#N/A,#N/A,FALSE,"Ratio Analysis";#N/A,#N/A,FALSE,"Test 120 Day Accts";#N/A,#N/A,FALSE,"Tickmarks"}</definedName>
    <definedName name="ㅋㅋㅋㅋ" localSheetId="3" hidden="1">{#N/A,#N/A,FALSE,"Aging Summary";#N/A,#N/A,FALSE,"Ratio Analysis";#N/A,#N/A,FALSE,"Test 120 Day Accts";#N/A,#N/A,FALSE,"Tickmarks"}</definedName>
    <definedName name="ㅋㅋㅋㅋ" localSheetId="1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_1" localSheetId="5" hidden="1">{#N/A,#N/A,TRUE,"대 차 대 조 표"}</definedName>
    <definedName name="ㅋㅋㅋㅋ_1" localSheetId="4" hidden="1">{#N/A,#N/A,TRUE,"대 차 대 조 표"}</definedName>
    <definedName name="ㅋㅋㅋㅋ_1" localSheetId="3" hidden="1">{#N/A,#N/A,TRUE,"대 차 대 조 표"}</definedName>
    <definedName name="ㅋㅋㅋㅋ_1" localSheetId="1" hidden="1">{#N/A,#N/A,TRUE,"대 차 대 조 표"}</definedName>
    <definedName name="ㅋㅋㅋㅋ_1" hidden="1">{#N/A,#N/A,TRUE,"대 차 대 조 표"}</definedName>
    <definedName name="ㅋㅋㅋㅋㅋ" localSheetId="5">#REF!</definedName>
    <definedName name="ㅋㅋㅋㅋㅋ" localSheetId="4">#REF!</definedName>
    <definedName name="ㅋㅋㅋㅋㅋ" localSheetId="3">#REF!</definedName>
    <definedName name="ㅋㅋㅋㅋㅋ" localSheetId="1">#REF!</definedName>
    <definedName name="ㅋㅋㅋㅋㅋ">#REF!</definedName>
    <definedName name="카러" localSheetId="5" hidden="1">{#N/A,#N/A,FALSE,"1.CRITERIA";#N/A,#N/A,FALSE,"2.IS";#N/A,#N/A,FALSE,"3.BS";#N/A,#N/A,FALSE,"4.PER PL";#N/A,#N/A,FALSE,"5.INVESTMENT";#N/A,#N/A,FALSE,"6.공문";#N/A,#N/A,FALSE,"7.netinvest"}</definedName>
    <definedName name="카러" localSheetId="4" hidden="1">{#N/A,#N/A,FALSE,"1.CRITERIA";#N/A,#N/A,FALSE,"2.IS";#N/A,#N/A,FALSE,"3.BS";#N/A,#N/A,FALSE,"4.PER PL";#N/A,#N/A,FALSE,"5.INVESTMENT";#N/A,#N/A,FALSE,"6.공문";#N/A,#N/A,FALSE,"7.netinvest"}</definedName>
    <definedName name="카러" localSheetId="3" hidden="1">{#N/A,#N/A,FALSE,"1.CRITERIA";#N/A,#N/A,FALSE,"2.IS";#N/A,#N/A,FALSE,"3.BS";#N/A,#N/A,FALSE,"4.PER PL";#N/A,#N/A,FALSE,"5.INVESTMENT";#N/A,#N/A,FALSE,"6.공문";#N/A,#N/A,FALSE,"7.netinvest"}</definedName>
    <definedName name="카러" localSheetId="1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localSheetId="5" hidden="1">{#N/A,#N/A,FALSE,"단축1";#N/A,#N/A,FALSE,"단축2";#N/A,#N/A,FALSE,"단축3";#N/A,#N/A,FALSE,"장축";#N/A,#N/A,FALSE,"4WD"}</definedName>
    <definedName name="카메라" localSheetId="4" hidden="1">{#N/A,#N/A,FALSE,"단축1";#N/A,#N/A,FALSE,"단축2";#N/A,#N/A,FALSE,"단축3";#N/A,#N/A,FALSE,"장축";#N/A,#N/A,FALSE,"4WD"}</definedName>
    <definedName name="카메라" localSheetId="3" hidden="1">{#N/A,#N/A,FALSE,"단축1";#N/A,#N/A,FALSE,"단축2";#N/A,#N/A,FALSE,"단축3";#N/A,#N/A,FALSE,"장축";#N/A,#N/A,FALSE,"4WD"}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캐파" localSheetId="5" hidden="1">#REF!</definedName>
    <definedName name="캐파" localSheetId="4" hidden="1">#REF!</definedName>
    <definedName name="캐파" localSheetId="3" hidden="1">#REF!</definedName>
    <definedName name="캐파" localSheetId="1" hidden="1">#REF!</definedName>
    <definedName name="캐파" hidden="1">#REF!</definedName>
    <definedName name="커머" localSheetId="5" hidden="1">{#N/A,#N/A,FALSE,"1.CRITERIA";#N/A,#N/A,FALSE,"2.IS";#N/A,#N/A,FALSE,"3.BS";#N/A,#N/A,FALSE,"4.PER PL";#N/A,#N/A,FALSE,"5.INVESTMENT";#N/A,#N/A,FALSE,"6.공문";#N/A,#N/A,FALSE,"7.netinvest"}</definedName>
    <definedName name="커머" localSheetId="4" hidden="1">{#N/A,#N/A,FALSE,"1.CRITERIA";#N/A,#N/A,FALSE,"2.IS";#N/A,#N/A,FALSE,"3.BS";#N/A,#N/A,FALSE,"4.PER PL";#N/A,#N/A,FALSE,"5.INVESTMENT";#N/A,#N/A,FALSE,"6.공문";#N/A,#N/A,FALSE,"7.netinvest"}</definedName>
    <definedName name="커머" localSheetId="3" hidden="1">{#N/A,#N/A,FALSE,"1.CRITERIA";#N/A,#N/A,FALSE,"2.IS";#N/A,#N/A,FALSE,"3.BS";#N/A,#N/A,FALSE,"4.PER PL";#N/A,#N/A,FALSE,"5.INVESTMENT";#N/A,#N/A,FALSE,"6.공문";#N/A,#N/A,FALSE,"7.netinvest"}</definedName>
    <definedName name="커머" localSheetId="1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localSheetId="5" hidden="1">{#N/A,#N/A,FALSE,"1.CRITERIA";#N/A,#N/A,FALSE,"2.IS";#N/A,#N/A,FALSE,"3.BS";#N/A,#N/A,FALSE,"4.PER PL";#N/A,#N/A,FALSE,"5.INVESTMENT";#N/A,#N/A,FALSE,"6.공문";#N/A,#N/A,FALSE,"7.netinvest"}</definedName>
    <definedName name="컼커" localSheetId="4" hidden="1">{#N/A,#N/A,FALSE,"1.CRITERIA";#N/A,#N/A,FALSE,"2.IS";#N/A,#N/A,FALSE,"3.BS";#N/A,#N/A,FALSE,"4.PER PL";#N/A,#N/A,FALSE,"5.INVESTMENT";#N/A,#N/A,FALSE,"6.공문";#N/A,#N/A,FALSE,"7.netinvest"}</definedName>
    <definedName name="컼커" localSheetId="3" hidden="1">{#N/A,#N/A,FALSE,"1.CRITERIA";#N/A,#N/A,FALSE,"2.IS";#N/A,#N/A,FALSE,"3.BS";#N/A,#N/A,FALSE,"4.PER PL";#N/A,#N/A,FALSE,"5.INVESTMENT";#N/A,#N/A,FALSE,"6.공문";#N/A,#N/A,FALSE,"7.netinvest"}</definedName>
    <definedName name="컼커" localSheetId="1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5" hidden="1">{#N/A,#N/A,FALSE,"1.CRITERIA";#N/A,#N/A,FALSE,"2.IS";#N/A,#N/A,FALSE,"3.BS";#N/A,#N/A,FALSE,"4.PER PL";#N/A,#N/A,FALSE,"5.INVESTMENT";#N/A,#N/A,FALSE,"6.공문";#N/A,#N/A,FALSE,"7.netinvest"}</definedName>
    <definedName name="코" localSheetId="4" hidden="1">{#N/A,#N/A,FALSE,"1.CRITERIA";#N/A,#N/A,FALSE,"2.IS";#N/A,#N/A,FALSE,"3.BS";#N/A,#N/A,FALSE,"4.PER PL";#N/A,#N/A,FALSE,"5.INVESTMENT";#N/A,#N/A,FALSE,"6.공문";#N/A,#N/A,FALSE,"7.netinvest"}</definedName>
    <definedName name="코" localSheetId="3" hidden="1">{#N/A,#N/A,FALSE,"1.CRITERIA";#N/A,#N/A,FALSE,"2.IS";#N/A,#N/A,FALSE,"3.BS";#N/A,#N/A,FALSE,"4.PER PL";#N/A,#N/A,FALSE,"5.INVESTMENT";#N/A,#N/A,FALSE,"6.공문";#N/A,#N/A,FALSE,"7.netinvest"}</definedName>
    <definedName name="코" localSheetId="1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 localSheetId="5">#REF!</definedName>
    <definedName name="코스트센타" localSheetId="4">#REF!</definedName>
    <definedName name="코스트센타" localSheetId="3">#REF!</definedName>
    <definedName name="코스트센타" localSheetId="1">#REF!</definedName>
    <definedName name="코스트센타">#REF!</definedName>
    <definedName name="콘도비용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 localSheetId="5">#REF!</definedName>
    <definedName name="콩코드" localSheetId="4">#REF!</definedName>
    <definedName name="콩코드" localSheetId="3">#REF!</definedName>
    <definedName name="콩코드" localSheetId="1">#REF!</definedName>
    <definedName name="콩코드">#REF!</definedName>
    <definedName name="키" localSheetId="5" hidden="1">{#N/A,#N/A,FALSE,"1.CRITERIA";#N/A,#N/A,FALSE,"2.IS";#N/A,#N/A,FALSE,"3.BS";#N/A,#N/A,FALSE,"4.PER PL";#N/A,#N/A,FALSE,"5.INVESTMENT";#N/A,#N/A,FALSE,"6.공문";#N/A,#N/A,FALSE,"7.netinvest"}</definedName>
    <definedName name="키" localSheetId="4" hidden="1">{#N/A,#N/A,FALSE,"1.CRITERIA";#N/A,#N/A,FALSE,"2.IS";#N/A,#N/A,FALSE,"3.BS";#N/A,#N/A,FALSE,"4.PER PL";#N/A,#N/A,FALSE,"5.INVESTMENT";#N/A,#N/A,FALSE,"6.공문";#N/A,#N/A,FALSE,"7.netinvest"}</definedName>
    <definedName name="키" localSheetId="3" hidden="1">{#N/A,#N/A,FALSE,"1.CRITERIA";#N/A,#N/A,FALSE,"2.IS";#N/A,#N/A,FALSE,"3.BS";#N/A,#N/A,FALSE,"4.PER PL";#N/A,#N/A,FALSE,"5.INVESTMENT";#N/A,#N/A,FALSE,"6.공문";#N/A,#N/A,FALSE,"7.netinvest"}</definedName>
    <definedName name="키" localSheetId="1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5" hidden="1">{#N/A,#N/A,FALSE,"단축1";#N/A,#N/A,FALSE,"단축2";#N/A,#N/A,FALSE,"단축3";#N/A,#N/A,FALSE,"장축";#N/A,#N/A,FALSE,"4WD"}</definedName>
    <definedName name="ㅌ" localSheetId="4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5" hidden="1">{#N/A,#N/A,FALSE,"단축1";#N/A,#N/A,FALSE,"단축2";#N/A,#N/A,FALSE,"단축3";#N/A,#N/A,FALSE,"장축";#N/A,#N/A,FALSE,"4WD"}</definedName>
    <definedName name="ㅌㄴㅇ" localSheetId="4" hidden="1">{#N/A,#N/A,FALSE,"단축1";#N/A,#N/A,FALSE,"단축2";#N/A,#N/A,FALSE,"단축3";#N/A,#N/A,FALSE,"장축";#N/A,#N/A,FALSE,"4WD"}</definedName>
    <definedName name="ㅌㄴㅇ" localSheetId="3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localSheetId="5" hidden="1">{#N/A,#N/A,FALSE,"Aging Summary";#N/A,#N/A,FALSE,"Ratio Analysis";#N/A,#N/A,FALSE,"Test 120 Day Accts";#N/A,#N/A,FALSE,"Tickmarks"}</definedName>
    <definedName name="ㅌㄹㅇㄴㄻㅇㄹ" localSheetId="4" hidden="1">{#N/A,#N/A,FALSE,"Aging Summary";#N/A,#N/A,FALSE,"Ratio Analysis";#N/A,#N/A,FALSE,"Test 120 Day Accts";#N/A,#N/A,FALSE,"Tickmarks"}</definedName>
    <definedName name="ㅌㄹㅇㄴㄻㅇㄹ" localSheetId="3" hidden="1">{#N/A,#N/A,FALSE,"Aging Summary";#N/A,#N/A,FALSE,"Ratio Analysis";#N/A,#N/A,FALSE,"Test 120 Day Accts";#N/A,#N/A,FALSE,"Tickmarks"}</definedName>
    <definedName name="ㅌㄹㅇㄴㄻㅇㄹ" localSheetId="1" hidden="1">{#N/A,#N/A,FALSE,"Aging Summary";#N/A,#N/A,FALSE,"Ratio Analysis";#N/A,#N/A,FALSE,"Test 120 Day Accts";#N/A,#N/A,FALSE,"Tickmarks"}</definedName>
    <definedName name="ㅌㄹㅇㄴㄻㅇㄹ" hidden="1">{#N/A,#N/A,FALSE,"Aging Summary";#N/A,#N/A,FALSE,"Ratio Analysis";#N/A,#N/A,FALSE,"Test 120 Day Accts";#N/A,#N/A,FALSE,"Tickmarks"}</definedName>
    <definedName name="ㅌㅇㅍㅊㅍㅎ" localSheetId="5" hidden="1">{#N/A,#N/A,FALSE,"96 3월물량표";#N/A,#N/A,FALSE,"96 4월물량표";#N/A,#N/A,FALSE,"96 5월물량표"}</definedName>
    <definedName name="ㅌㅇㅍㅊㅍㅎ" localSheetId="4" hidden="1">{#N/A,#N/A,FALSE,"96 3월물량표";#N/A,#N/A,FALSE,"96 4월물량표";#N/A,#N/A,FALSE,"96 5월물량표"}</definedName>
    <definedName name="ㅌㅇㅍㅊㅍㅎ" localSheetId="3" hidden="1">{#N/A,#N/A,FALSE,"96 3월물량표";#N/A,#N/A,FALSE,"96 4월물량표";#N/A,#N/A,FALSE,"96 5월물량표"}</definedName>
    <definedName name="ㅌㅇㅍㅊㅍㅎ" localSheetId="1" hidden="1">{#N/A,#N/A,FALSE,"96 3월물량표";#N/A,#N/A,FALSE,"96 4월물량표";#N/A,#N/A,FALSE,"96 5월물량표"}</definedName>
    <definedName name="ㅌㅇㅍㅊㅍㅎ" hidden="1">{#N/A,#N/A,FALSE,"96 3월물량표";#N/A,#N/A,FALSE,"96 4월물량표";#N/A,#N/A,FALSE,"96 5월물량표"}</definedName>
    <definedName name="ㅌㅌㅌ" localSheetId="5" hidden="1">{#N/A,#N/A,TRUE,"일정"}</definedName>
    <definedName name="ㅌㅌㅌ" localSheetId="4" hidden="1">{#N/A,#N/A,TRUE,"일정"}</definedName>
    <definedName name="ㅌㅌㅌ" localSheetId="3" hidden="1">{#N/A,#N/A,TRUE,"일정"}</definedName>
    <definedName name="ㅌㅌㅌ" localSheetId="1" hidden="1">{#N/A,#N/A,TRUE,"일정"}</definedName>
    <definedName name="ㅌㅌㅌ" hidden="1">{#N/A,#N/A,TRUE,"일정"}</definedName>
    <definedName name="타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 localSheetId="5">#REF!</definedName>
    <definedName name="타계정" localSheetId="4">#REF!</definedName>
    <definedName name="타계정" localSheetId="3">#REF!</definedName>
    <definedName name="타계정" localSheetId="1">#REF!</definedName>
    <definedName name="타계정">#REF!</definedName>
    <definedName name="타입평" localSheetId="3">#REF!</definedName>
    <definedName name="타입평" localSheetId="1">#REF!</definedName>
    <definedName name="타입평">#REF!</definedName>
    <definedName name="타타타" localSheetId="5" hidden="1">{"'Sheet1'!$A$1:$H$36"}</definedName>
    <definedName name="타타타" localSheetId="4" hidden="1">{"'Sheet1'!$A$1:$H$36"}</definedName>
    <definedName name="타타타" localSheetId="3" hidden="1">{"'Sheet1'!$A$1:$H$36"}</definedName>
    <definedName name="타타타" localSheetId="1" hidden="1">{"'Sheet1'!$A$1:$H$36"}</definedName>
    <definedName name="타타타" hidden="1">{"'Sheet1'!$A$1:$H$36"}</definedName>
    <definedName name="태산" localSheetId="5">#REF!</definedName>
    <definedName name="태산" localSheetId="4">#REF!</definedName>
    <definedName name="태산" localSheetId="3">#REF!</definedName>
    <definedName name="태산" localSheetId="1">#REF!</definedName>
    <definedName name="태산">#REF!</definedName>
    <definedName name="택시" localSheetId="3">#REF!</definedName>
    <definedName name="택시" localSheetId="1">#REF!</definedName>
    <definedName name="택시">#REF!</definedName>
    <definedName name="테넌트" localSheetId="5" hidden="1">{#N/A,#N/A,TRUE,"Y생산";#N/A,#N/A,TRUE,"Y판매";#N/A,#N/A,TRUE,"Y총물량";#N/A,#N/A,TRUE,"Y능력";#N/A,#N/A,TRUE,"YKD"}</definedName>
    <definedName name="테넌트" localSheetId="4" hidden="1">{#N/A,#N/A,TRUE,"Y생산";#N/A,#N/A,TRUE,"Y판매";#N/A,#N/A,TRUE,"Y총물량";#N/A,#N/A,TRUE,"Y능력";#N/A,#N/A,TRUE,"YKD"}</definedName>
    <definedName name="테넌트" localSheetId="3" hidden="1">{#N/A,#N/A,TRUE,"Y생산";#N/A,#N/A,TRUE,"Y판매";#N/A,#N/A,TRUE,"Y총물량";#N/A,#N/A,TRUE,"Y능력";#N/A,#N/A,TRUE,"YKD"}</definedName>
    <definedName name="테넌트" localSheetId="1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_1" localSheetId="5" hidden="1">{#N/A,#N/A,TRUE,"Y생산";#N/A,#N/A,TRUE,"Y판매";#N/A,#N/A,TRUE,"Y총물량";#N/A,#N/A,TRUE,"Y능력";#N/A,#N/A,TRUE,"YKD"}</definedName>
    <definedName name="테넌트_1" localSheetId="4" hidden="1">{#N/A,#N/A,TRUE,"Y생산";#N/A,#N/A,TRUE,"Y판매";#N/A,#N/A,TRUE,"Y총물량";#N/A,#N/A,TRUE,"Y능력";#N/A,#N/A,TRUE,"YKD"}</definedName>
    <definedName name="테넌트_1" localSheetId="3" hidden="1">{#N/A,#N/A,TRUE,"Y생산";#N/A,#N/A,TRUE,"Y판매";#N/A,#N/A,TRUE,"Y총물량";#N/A,#N/A,TRUE,"Y능력";#N/A,#N/A,TRUE,"YKD"}</definedName>
    <definedName name="테넌트_1" localSheetId="1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localSheetId="5" hidden="1">{#N/A,#N/A,TRUE,"Y생산";#N/A,#N/A,TRUE,"Y판매";#N/A,#N/A,TRUE,"Y총물량";#N/A,#N/A,TRUE,"Y능력";#N/A,#N/A,TRUE,"YKD"}</definedName>
    <definedName name="테넌트팀" localSheetId="4" hidden="1">{#N/A,#N/A,TRUE,"Y생산";#N/A,#N/A,TRUE,"Y판매";#N/A,#N/A,TRUE,"Y총물량";#N/A,#N/A,TRUE,"Y능력";#N/A,#N/A,TRUE,"YKD"}</definedName>
    <definedName name="테넌트팀" localSheetId="3" hidden="1">{#N/A,#N/A,TRUE,"Y생산";#N/A,#N/A,TRUE,"Y판매";#N/A,#N/A,TRUE,"Y총물량";#N/A,#N/A,TRUE,"Y능력";#N/A,#N/A,TRUE,"YKD"}</definedName>
    <definedName name="테넌트팀" localSheetId="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localSheetId="5" hidden="1">{#N/A,#N/A,TRUE,"Y생산";#N/A,#N/A,TRUE,"Y판매";#N/A,#N/A,TRUE,"Y총물량";#N/A,#N/A,TRUE,"Y능력";#N/A,#N/A,TRUE,"YKD"}</definedName>
    <definedName name="테넌트팀_1" localSheetId="4" hidden="1">{#N/A,#N/A,TRUE,"Y생산";#N/A,#N/A,TRUE,"Y판매";#N/A,#N/A,TRUE,"Y총물량";#N/A,#N/A,TRUE,"Y능력";#N/A,#N/A,TRUE,"YKD"}</definedName>
    <definedName name="테넌트팀_1" localSheetId="3" hidden="1">{#N/A,#N/A,TRUE,"Y생산";#N/A,#N/A,TRUE,"Y판매";#N/A,#N/A,TRUE,"Y총물량";#N/A,#N/A,TRUE,"Y능력";#N/A,#N/A,TRUE,"YKD"}</definedName>
    <definedName name="테넌트팀_1" localSheetId="1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5">BlankMacro1</definedName>
    <definedName name="템플리트모듈1" localSheetId="4">BlankMacro1</definedName>
    <definedName name="템플리트모듈1" localSheetId="3">BlankMacro1</definedName>
    <definedName name="템플리트모듈1" localSheetId="2">BlankMacro1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5">BlankMacro1</definedName>
    <definedName name="템플리트모듈2" localSheetId="4">BlankMacro1</definedName>
    <definedName name="템플리트모듈2" localSheetId="3">BlankMacro1</definedName>
    <definedName name="템플리트모듈2" localSheetId="2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5">BlankMacro1</definedName>
    <definedName name="템플리트모듈3" localSheetId="4">BlankMacro1</definedName>
    <definedName name="템플리트모듈3" localSheetId="3">BlankMacro1</definedName>
    <definedName name="템플리트모듈3" localSheetId="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5">BlankMacro1</definedName>
    <definedName name="템플리트모듈4" localSheetId="4">BlankMacro1</definedName>
    <definedName name="템플리트모듈4" localSheetId="3">BlankMacro1</definedName>
    <definedName name="템플리트모듈4" localSheetId="2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5">BlankMacro1</definedName>
    <definedName name="템플리트모듈5" localSheetId="4">BlankMacro1</definedName>
    <definedName name="템플리트모듈5" localSheetId="3">BlankMacro1</definedName>
    <definedName name="템플리트모듈5" localSheetId="2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5">BlankMacro1</definedName>
    <definedName name="템플리트모듈6" localSheetId="4">BlankMacro1</definedName>
    <definedName name="템플리트모듈6" localSheetId="3">BlankMacro1</definedName>
    <definedName name="템플리트모듈6" localSheetId="2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토공량" localSheetId="5" hidden="1">{#N/A,#N/A,FALSE,"기안지";#N/A,#N/A,FALSE,"통신지"}</definedName>
    <definedName name="토공량" localSheetId="4" hidden="1">{#N/A,#N/A,FALSE,"기안지";#N/A,#N/A,FALSE,"통신지"}</definedName>
    <definedName name="토공량" localSheetId="3" hidden="1">{#N/A,#N/A,FALSE,"기안지";#N/A,#N/A,FALSE,"통신지"}</definedName>
    <definedName name="토공량" localSheetId="1" hidden="1">{#N/A,#N/A,FALSE,"기안지";#N/A,#N/A,FALSE,"통신지"}</definedName>
    <definedName name="토공량" hidden="1">{#N/A,#N/A,FALSE,"기안지";#N/A,#N/A,FALSE,"통신지"}</definedName>
    <definedName name="통제권" localSheetId="5">#REF!</definedName>
    <definedName name="통제권" localSheetId="4">#REF!</definedName>
    <definedName name="통제권" localSheetId="3">#REF!</definedName>
    <definedName name="통제권" localSheetId="1">#REF!</definedName>
    <definedName name="통제권">#REF!</definedName>
    <definedName name="통제범위" localSheetId="3">#REF!</definedName>
    <definedName name="통제범위" localSheetId="1">#REF!</definedName>
    <definedName name="통제범위">#REF!</definedName>
    <definedName name="통합본관" localSheetId="3" hidden="1">#REF!</definedName>
    <definedName name="통합본관" localSheetId="1" hidden="1">#REF!</definedName>
    <definedName name="통합본관" hidden="1">#REF!</definedName>
    <definedName name="퇴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 localSheetId="5">#REF!</definedName>
    <definedName name="퇴1" localSheetId="4">#REF!</definedName>
    <definedName name="퇴1" localSheetId="3">#REF!</definedName>
    <definedName name="퇴1" localSheetId="1">#REF!</definedName>
    <definedName name="퇴1">#REF!</definedName>
    <definedName name="퇴10" localSheetId="3">#REF!</definedName>
    <definedName name="퇴10" localSheetId="1">#REF!</definedName>
    <definedName name="퇴10">#REF!</definedName>
    <definedName name="퇴11" localSheetId="3">#REF!</definedName>
    <definedName name="퇴11" localSheetId="1">#REF!</definedName>
    <definedName name="퇴11">#REF!</definedName>
    <definedName name="퇴12" localSheetId="3">#REF!</definedName>
    <definedName name="퇴12" localSheetId="1">#REF!</definedName>
    <definedName name="퇴12">#REF!</definedName>
    <definedName name="퇴2" localSheetId="3">#REF!</definedName>
    <definedName name="퇴2" localSheetId="1">#REF!</definedName>
    <definedName name="퇴2">#REF!</definedName>
    <definedName name="퇴3" localSheetId="3">#REF!</definedName>
    <definedName name="퇴3" localSheetId="1">#REF!</definedName>
    <definedName name="퇴3">#REF!</definedName>
    <definedName name="퇴4" localSheetId="3">#REF!</definedName>
    <definedName name="퇴4" localSheetId="1">#REF!</definedName>
    <definedName name="퇴4">#REF!</definedName>
    <definedName name="퇴5" localSheetId="3">#REF!</definedName>
    <definedName name="퇴5" localSheetId="1">#REF!</definedName>
    <definedName name="퇴5">#REF!</definedName>
    <definedName name="퇴6" localSheetId="3">#REF!</definedName>
    <definedName name="퇴6" localSheetId="1">#REF!</definedName>
    <definedName name="퇴6">#REF!</definedName>
    <definedName name="퇴7" localSheetId="3">#REF!</definedName>
    <definedName name="퇴7" localSheetId="1">#REF!</definedName>
    <definedName name="퇴7">#REF!</definedName>
    <definedName name="퇴8" localSheetId="3">#REF!</definedName>
    <definedName name="퇴8" localSheetId="1">#REF!</definedName>
    <definedName name="퇴8">#REF!</definedName>
    <definedName name="퇴9" localSheetId="3">#REF!</definedName>
    <definedName name="퇴9" localSheetId="1">#REF!</definedName>
    <definedName name="퇴9">#REF!</definedName>
    <definedName name="퇴사" localSheetId="3">#REF!</definedName>
    <definedName name="퇴사" localSheetId="1">#REF!</definedName>
    <definedName name="퇴사">#REF!</definedName>
    <definedName name="퇴직" localSheetId="3">#REF!</definedName>
    <definedName name="퇴직" localSheetId="1">#REF!</definedName>
    <definedName name="퇴직">#REF!</definedName>
    <definedName name="퇴직10월" localSheetId="3">#REF!</definedName>
    <definedName name="퇴직10월" localSheetId="1">#REF!</definedName>
    <definedName name="퇴직10월">#REF!</definedName>
    <definedName name="퇴직11월" localSheetId="3">#REF!</definedName>
    <definedName name="퇴직11월" localSheetId="1">#REF!</definedName>
    <definedName name="퇴직11월">#REF!</definedName>
    <definedName name="퇴직12월" localSheetId="3">#REF!</definedName>
    <definedName name="퇴직12월" localSheetId="1">#REF!</definedName>
    <definedName name="퇴직12월">#REF!</definedName>
    <definedName name="퇴직3월" localSheetId="3">#REF!</definedName>
    <definedName name="퇴직3월" localSheetId="1">#REF!</definedName>
    <definedName name="퇴직3월">#REF!</definedName>
    <definedName name="퇴직4월" localSheetId="3">#REF!</definedName>
    <definedName name="퇴직4월" localSheetId="1">#REF!</definedName>
    <definedName name="퇴직4월">#REF!</definedName>
    <definedName name="퇴직5월" localSheetId="3">#REF!</definedName>
    <definedName name="퇴직5월" localSheetId="1">#REF!</definedName>
    <definedName name="퇴직5월">#REF!</definedName>
    <definedName name="퇴직6월" localSheetId="3">#REF!</definedName>
    <definedName name="퇴직6월" localSheetId="1">#REF!</definedName>
    <definedName name="퇴직6월">#REF!</definedName>
    <definedName name="퇴직7월" localSheetId="3">#REF!</definedName>
    <definedName name="퇴직7월" localSheetId="1">#REF!</definedName>
    <definedName name="퇴직7월">#REF!</definedName>
    <definedName name="퇴직8월" localSheetId="3">#REF!</definedName>
    <definedName name="퇴직8월" localSheetId="1">#REF!</definedName>
    <definedName name="퇴직8월">#REF!</definedName>
    <definedName name="퇴직9월" localSheetId="3">#REF!</definedName>
    <definedName name="퇴직9월" localSheetId="1">#REF!</definedName>
    <definedName name="퇴직9월">#REF!</definedName>
    <definedName name="퇴직보험" localSheetId="3">#REF!</definedName>
    <definedName name="퇴직보험" localSheetId="1">#REF!</definedName>
    <definedName name="퇴직보험">#REF!</definedName>
    <definedName name="퇴직보험료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 localSheetId="5">#REF!</definedName>
    <definedName name="퇴충" localSheetId="4">#REF!</definedName>
    <definedName name="퇴충" localSheetId="3">#REF!</definedName>
    <definedName name="퇴충" localSheetId="1">#REF!</definedName>
    <definedName name="퇴충">#REF!</definedName>
    <definedName name="퇴충명세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5" hidden="1">#REF!</definedName>
    <definedName name="투" localSheetId="4" hidden="1">#REF!</definedName>
    <definedName name="투" localSheetId="3" hidden="1">#REF!</definedName>
    <definedName name="투" localSheetId="1" hidden="1">#REF!</definedName>
    <definedName name="투" hidden="1">#REF!</definedName>
    <definedName name="투자" localSheetId="5" hidden="1">{#N/A,#N/A,FALSE,"단축1";#N/A,#N/A,FALSE,"단축2";#N/A,#N/A,FALSE,"단축3";#N/A,#N/A,FALSE,"장축";#N/A,#N/A,FALSE,"4WD"}</definedName>
    <definedName name="투자" localSheetId="4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localSheetId="1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CONC.182억" localSheetId="5" hidden="1">{#N/A,#N/A,FALSE,"단축1";#N/A,#N/A,FALSE,"단축2";#N/A,#N/A,FALSE,"단축3";#N/A,#N/A,FALSE,"장축";#N/A,#N/A,FALSE,"4WD"}</definedName>
    <definedName name="투자CONC.182억" localSheetId="4" hidden="1">{#N/A,#N/A,FALSE,"단축1";#N/A,#N/A,FALSE,"단축2";#N/A,#N/A,FALSE,"단축3";#N/A,#N/A,FALSE,"장축";#N/A,#N/A,FALSE,"4WD"}</definedName>
    <definedName name="투자CONC.182억" localSheetId="3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 localSheetId="5">#REF!</definedName>
    <definedName name="투자부동산" localSheetId="4">#REF!</definedName>
    <definedName name="투자부동산" localSheetId="3">#REF!</definedName>
    <definedName name="투자부동산" localSheetId="1">#REF!</definedName>
    <definedName name="투자부동산">#REF!</definedName>
    <definedName name="투자비" localSheetId="3">#REF!</definedName>
    <definedName name="투자비" localSheetId="1">#REF!</definedName>
    <definedName name="투자비">#REF!</definedName>
    <definedName name="투자비비교" localSheetId="5" hidden="1">{#N/A,#N/A,FALSE,"단축1";#N/A,#N/A,FALSE,"단축2";#N/A,#N/A,FALSE,"단축3";#N/A,#N/A,FALSE,"장축";#N/A,#N/A,FALSE,"4WD"}</definedName>
    <definedName name="투자비비교" localSheetId="4" hidden="1">{#N/A,#N/A,FALSE,"단축1";#N/A,#N/A,FALSE,"단축2";#N/A,#N/A,FALSE,"단축3";#N/A,#N/A,FALSE,"장축";#N/A,#N/A,FALSE,"4WD"}</definedName>
    <definedName name="투자비비교" localSheetId="3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자산" localSheetId="5">#REF!</definedName>
    <definedName name="투자자산" localSheetId="4">#REF!</definedName>
    <definedName name="투자자산" localSheetId="3">#REF!</definedName>
    <definedName name="투자자산" localSheetId="1">#REF!</definedName>
    <definedName name="투자자산">#REF!</definedName>
    <definedName name="투자자자본금" localSheetId="3">#REF!</definedName>
    <definedName name="투자자자본금" localSheetId="1">#REF!</definedName>
    <definedName name="투자자자본금">#REF!</definedName>
    <definedName name="투자지출CAS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 localSheetId="5">#REF!</definedName>
    <definedName name="트럭p" localSheetId="4">#REF!</definedName>
    <definedName name="트럭p" localSheetId="3">#REF!</definedName>
    <definedName name="트럭p" localSheetId="1">#REF!</definedName>
    <definedName name="트럭p">#REF!</definedName>
    <definedName name="트럭proj" localSheetId="5">#REF!</definedName>
    <definedName name="트럭proj" localSheetId="4">#REF!</definedName>
    <definedName name="트럭proj" localSheetId="3">#REF!</definedName>
    <definedName name="트럭proj" localSheetId="1">#REF!</definedName>
    <definedName name="트럭proj">#REF!</definedName>
    <definedName name="특선인원" localSheetId="3">#REF!</definedName>
    <definedName name="특선인원" localSheetId="1">#REF!</definedName>
    <definedName name="특선인원">#REF!</definedName>
    <definedName name="특정" localSheetId="5" hidden="1">{#N/A,#N/A,FALSE,"1.CRITERIA";#N/A,#N/A,FALSE,"2.IS";#N/A,#N/A,FALSE,"3.BS";#N/A,#N/A,FALSE,"4.PER PL";#N/A,#N/A,FALSE,"5.INVESTMENT";#N/A,#N/A,FALSE,"6.공문";#N/A,#N/A,FALSE,"7.netinvest"}</definedName>
    <definedName name="특정" localSheetId="4" hidden="1">{#N/A,#N/A,FALSE,"1.CRITERIA";#N/A,#N/A,FALSE,"2.IS";#N/A,#N/A,FALSE,"3.BS";#N/A,#N/A,FALSE,"4.PER PL";#N/A,#N/A,FALSE,"5.INVESTMENT";#N/A,#N/A,FALSE,"6.공문";#N/A,#N/A,FALSE,"7.netinvest"}</definedName>
    <definedName name="특정" localSheetId="3" hidden="1">{#N/A,#N/A,FALSE,"1.CRITERIA";#N/A,#N/A,FALSE,"2.IS";#N/A,#N/A,FALSE,"3.BS";#N/A,#N/A,FALSE,"4.PER PL";#N/A,#N/A,FALSE,"5.INVESTMENT";#N/A,#N/A,FALSE,"6.공문";#N/A,#N/A,FALSE,"7.netinvest"}</definedName>
    <definedName name="특정" localSheetId="1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 localSheetId="5">#REF!</definedName>
    <definedName name="특정현금" localSheetId="4">#REF!</definedName>
    <definedName name="특정현금" localSheetId="3">#REF!</definedName>
    <definedName name="특정현금" localSheetId="1">#REF!</definedName>
    <definedName name="특정현금">#REF!</definedName>
    <definedName name="틀없애기" localSheetId="5">#REF!</definedName>
    <definedName name="틀없애기" localSheetId="4">#REF!</definedName>
    <definedName name="틀없애기" localSheetId="3">#REF!</definedName>
    <definedName name="틀없애기" localSheetId="1">#REF!</definedName>
    <definedName name="틀없애기">#REF!</definedName>
    <definedName name="팀별" localSheetId="3">#REF!</definedName>
    <definedName name="팀별" localSheetId="1">#REF!</definedName>
    <definedName name="팀별">#REF!</definedName>
    <definedName name="ㅍ" localSheetId="5" hidden="1">{#N/A,#N/A,FALSE,"표지";#N/A,#N/A,FALSE,"전제";#N/A,#N/A,FALSE,"대당";#N/A,#N/A,FALSE,"가공비";#N/A,#N/A,FALSE,"재료비";#N/A,#N/A,FALSE,"손익"}</definedName>
    <definedName name="ㅍ" localSheetId="4" hidden="1">{#N/A,#N/A,FALSE,"표지";#N/A,#N/A,FALSE,"전제";#N/A,#N/A,FALSE,"대당";#N/A,#N/A,FALSE,"가공비";#N/A,#N/A,FALSE,"재료비";#N/A,#N/A,FALSE,"손익"}</definedName>
    <definedName name="ㅍ" localSheetId="3" hidden="1">{#N/A,#N/A,FALSE,"표지";#N/A,#N/A,FALSE,"전제";#N/A,#N/A,FALSE,"대당";#N/A,#N/A,FALSE,"가공비";#N/A,#N/A,FALSE,"재료비";#N/A,#N/A,FALSE,"손익"}</definedName>
    <definedName name="ㅍ" localSheetId="1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ㅍ르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localSheetId="5" hidden="1">{#N/A,#N/A,FALSE,"단축1";#N/A,#N/A,FALSE,"단축2";#N/A,#N/A,FALSE,"단축3";#N/A,#N/A,FALSE,"장축";#N/A,#N/A,FALSE,"4WD"}</definedName>
    <definedName name="ㅍㅍ" localSheetId="4" hidden="1">{#N/A,#N/A,FALSE,"단축1";#N/A,#N/A,FALSE,"단축2";#N/A,#N/A,FALSE,"단축3";#N/A,#N/A,FALSE,"장축";#N/A,#N/A,FALSE,"4WD"}</definedName>
    <definedName name="ㅍㅍ" localSheetId="3" hidden="1">{#N/A,#N/A,FALSE,"단축1";#N/A,#N/A,FALSE,"단축2";#N/A,#N/A,FALSE,"단축3";#N/A,#N/A,FALSE,"장축";#N/A,#N/A,FALSE,"4WD"}</definedName>
    <definedName name="ㅍㅍ" localSheetId="1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ㅍㅍㅍㅍㅍ" localSheetId="5">#REF!</definedName>
    <definedName name="ㅍㅍㅍㅍㅍ" localSheetId="4">#REF!</definedName>
    <definedName name="ㅍㅍㅍㅍㅍ" localSheetId="3">#REF!</definedName>
    <definedName name="ㅍㅍㅍㅍㅍ" localSheetId="1">#REF!</definedName>
    <definedName name="ㅍㅍㅍㅍㅍ">#REF!</definedName>
    <definedName name="ㅍㅍㅍㅍㅍㅍㅍㅍ" localSheetId="3">#REF!</definedName>
    <definedName name="ㅍㅍㅍㅍㅍㅍㅍㅍ" localSheetId="1">#REF!</definedName>
    <definedName name="ㅍㅍㅍㅍㅍㅍㅍㅍ">#REF!</definedName>
    <definedName name="ㅍㅍㅍㅍㅍㅍㅍㅍㅍㅍㅍㅍㅍㅍㅍㅍㅍㅍ" localSheetId="3">#REF!</definedName>
    <definedName name="ㅍㅍㅍㅍㅍㅍㅍㅍㅍㅍㅍㅍㅍㅍㅍㅍㅍㅍ" localSheetId="1">#REF!</definedName>
    <definedName name="ㅍㅍㅍㅍㅍㅍㅍㅍㅍㅍㅍㅍㅍㅍㅍㅍㅍㅍ">#REF!</definedName>
    <definedName name="ㅍㅍㅍㅍㅍㅍㅍㅍㅍㅍㅍㅍㅍㅍㅍㅍㅍㅍㅍㅍㅍㅍㅍㅍㅍㅍㅍ" localSheetId="3">#REF!</definedName>
    <definedName name="ㅍㅍㅍㅍㅍㅍㅍㅍㅍㅍㅍㅍㅍㅍㅍㅍㅍㅍㅍㅍㅍㅍㅍㅍㅍㅍㅍ" localSheetId="1">#REF!</definedName>
    <definedName name="ㅍㅍㅍㅍㅍㅍㅍㅍㅍㅍㅍㅍㅍㅍㅍㅍㅍㅍㅍㅍㅍㅍㅍㅍㅍㅍㅍ">#REF!</definedName>
    <definedName name="파" localSheetId="5" hidden="1">{#N/A,#N/A,FALSE,"1.CRITERIA";#N/A,#N/A,FALSE,"2.IS";#N/A,#N/A,FALSE,"3.BS";#N/A,#N/A,FALSE,"4.PER PL";#N/A,#N/A,FALSE,"5.INVESTMENT";#N/A,#N/A,FALSE,"6.공문";#N/A,#N/A,FALSE,"7.netinvest"}</definedName>
    <definedName name="파" localSheetId="4" hidden="1">{#N/A,#N/A,FALSE,"1.CRITERIA";#N/A,#N/A,FALSE,"2.IS";#N/A,#N/A,FALSE,"3.BS";#N/A,#N/A,FALSE,"4.PER PL";#N/A,#N/A,FALSE,"5.INVESTMENT";#N/A,#N/A,FALSE,"6.공문";#N/A,#N/A,FALSE,"7.netinvest"}</definedName>
    <definedName name="파" localSheetId="3" hidden="1">{#N/A,#N/A,FALSE,"1.CRITERIA";#N/A,#N/A,FALSE,"2.IS";#N/A,#N/A,FALSE,"3.BS";#N/A,#N/A,FALSE,"4.PER PL";#N/A,#N/A,FALSE,"5.INVESTMENT";#N/A,#N/A,FALSE,"6.공문";#N/A,#N/A,FALSE,"7.netinvest"}</definedName>
    <definedName name="파" localSheetId="1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localSheetId="5" hidden="1">{#N/A,#N/A,FALSE,"1.CRITERIA";#N/A,#N/A,FALSE,"2.IS";#N/A,#N/A,FALSE,"3.BS";#N/A,#N/A,FALSE,"4.PER PL";#N/A,#N/A,FALSE,"5.INVESTMENT";#N/A,#N/A,FALSE,"6.공문";#N/A,#N/A,FALSE,"7.netinvest"}</definedName>
    <definedName name="파아라" localSheetId="4" hidden="1">{#N/A,#N/A,FALSE,"1.CRITERIA";#N/A,#N/A,FALSE,"2.IS";#N/A,#N/A,FALSE,"3.BS";#N/A,#N/A,FALSE,"4.PER PL";#N/A,#N/A,FALSE,"5.INVESTMENT";#N/A,#N/A,FALSE,"6.공문";#N/A,#N/A,FALSE,"7.netinvest"}</definedName>
    <definedName name="파아라" localSheetId="3" hidden="1">{#N/A,#N/A,FALSE,"1.CRITERIA";#N/A,#N/A,FALSE,"2.IS";#N/A,#N/A,FALSE,"3.BS";#N/A,#N/A,FALSE,"4.PER PL";#N/A,#N/A,FALSE,"5.INVESTMENT";#N/A,#N/A,FALSE,"6.공문";#N/A,#N/A,FALSE,"7.netinvest"}</definedName>
    <definedName name="파아라" localSheetId="1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5" hidden="1">{#N/A,#N/A,FALSE,"1.CRITERIA";#N/A,#N/A,FALSE,"2.IS";#N/A,#N/A,FALSE,"3.BS";#N/A,#N/A,FALSE,"4.PER PL";#N/A,#N/A,FALSE,"5.INVESTMENT";#N/A,#N/A,FALSE,"6.공문";#N/A,#N/A,FALSE,"7.netinvest"}</definedName>
    <definedName name="파하" localSheetId="4" hidden="1">{#N/A,#N/A,FALSE,"1.CRITERIA";#N/A,#N/A,FALSE,"2.IS";#N/A,#N/A,FALSE,"3.BS";#N/A,#N/A,FALSE,"4.PER PL";#N/A,#N/A,FALSE,"5.INVESTMENT";#N/A,#N/A,FALSE,"6.공문";#N/A,#N/A,FALSE,"7.netinvest"}</definedName>
    <definedName name="파하" localSheetId="3" hidden="1">{#N/A,#N/A,FALSE,"1.CRITERIA";#N/A,#N/A,FALSE,"2.IS";#N/A,#N/A,FALSE,"3.BS";#N/A,#N/A,FALSE,"4.PER PL";#N/A,#N/A,FALSE,"5.INVESTMENT";#N/A,#N/A,FALSE,"6.공문";#N/A,#N/A,FALSE,"7.netinvest"}</definedName>
    <definedName name="파하" localSheetId="1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 localSheetId="5">#REF!</definedName>
    <definedName name="판" localSheetId="4">#REF!</definedName>
    <definedName name="판" localSheetId="3">#REF!</definedName>
    <definedName name="판" localSheetId="1">#REF!</definedName>
    <definedName name="판">#REF!</definedName>
    <definedName name="판고" localSheetId="5">#REF!</definedName>
    <definedName name="판고" localSheetId="4">#REF!</definedName>
    <definedName name="판고" localSheetId="3">#REF!</definedName>
    <definedName name="판고" localSheetId="1">#REF!</definedName>
    <definedName name="판고">#REF!</definedName>
    <definedName name="판관비" localSheetId="5" hidden="1">#REF!</definedName>
    <definedName name="판관비" localSheetId="4" hidden="1">#REF!</definedName>
    <definedName name="판관비" localSheetId="3" hidden="1">#REF!</definedName>
    <definedName name="판관비" localSheetId="1" hidden="1">#REF!</definedName>
    <definedName name="판관비" hidden="1">#REF!</definedName>
    <definedName name="판관비tot" localSheetId="5" hidden="1">{#N/A,#N/A,FALSE,"Aging Summary";#N/A,#N/A,FALSE,"Ratio Analysis";#N/A,#N/A,FALSE,"Test 120 Day Accts";#N/A,#N/A,FALSE,"Tickmarks"}</definedName>
    <definedName name="판관비tot" localSheetId="4" hidden="1">{#N/A,#N/A,FALSE,"Aging Summary";#N/A,#N/A,FALSE,"Ratio Analysis";#N/A,#N/A,FALSE,"Test 120 Day Accts";#N/A,#N/A,FALSE,"Tickmarks"}</definedName>
    <definedName name="판관비tot" localSheetId="3" hidden="1">{#N/A,#N/A,FALSE,"Aging Summary";#N/A,#N/A,FALSE,"Ratio Analysis";#N/A,#N/A,FALSE,"Test 120 Day Accts";#N/A,#N/A,FALSE,"Tickmarks"}</definedName>
    <definedName name="판관비tot" localSheetId="1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넬조립부" localSheetId="5" hidden="1">{"'호선별현황(방식)'!$K$22:$P$22","'호선별현황(방식)'!$K$22:$P$22"}</definedName>
    <definedName name="판넬조립부" localSheetId="4" hidden="1">{"'호선별현황(방식)'!$K$22:$P$22","'호선별현황(방식)'!$K$22:$P$22"}</definedName>
    <definedName name="판넬조립부" localSheetId="3" hidden="1">{"'호선별현황(방식)'!$K$22:$P$22","'호선별현황(방식)'!$K$22:$P$22"}</definedName>
    <definedName name="판넬조립부" localSheetId="1" hidden="1">{"'호선별현황(방식)'!$K$22:$P$22","'호선별현황(방식)'!$K$22:$P$22"}</definedName>
    <definedName name="판넬조립부" hidden="1">{"'호선별현황(방식)'!$K$22:$P$22","'호선별현황(방식)'!$K$22:$P$22"}</definedName>
    <definedName name="판매량" localSheetId="5">#REF!</definedName>
    <definedName name="판매량" localSheetId="4">#REF!</definedName>
    <definedName name="판매량" localSheetId="3">#REF!</definedName>
    <definedName name="판매량" localSheetId="1">#REF!</definedName>
    <definedName name="판매량">#REF!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 localSheetId="5">#REF!</definedName>
    <definedName name="판매비" localSheetId="4">#REF!</definedName>
    <definedName name="판매비" localSheetId="3">#REF!</definedName>
    <definedName name="판매비" localSheetId="1">#REF!</definedName>
    <definedName name="판매비">#REF!</definedName>
    <definedName name="판매액" localSheetId="3">#REF!</definedName>
    <definedName name="판매액" localSheetId="1">#REF!</definedName>
    <definedName name="판매액">#REF!</definedName>
    <definedName name="판매출고단가" localSheetId="3">#REF!</definedName>
    <definedName name="판매출고단가" localSheetId="1">#REF!</definedName>
    <definedName name="판매출고단가">#REF!</definedName>
    <definedName name="판변" localSheetId="5">#REF!</definedName>
    <definedName name="판변" localSheetId="4">#REF!</definedName>
    <definedName name="판변" localSheetId="3">#REF!</definedName>
    <definedName name="판변" localSheetId="1">#REF!</definedName>
    <definedName name="판변">#REF!</definedName>
    <definedName name="판인" localSheetId="5">#REF!</definedName>
    <definedName name="판인" localSheetId="4">#REF!</definedName>
    <definedName name="판인" localSheetId="3">#REF!</definedName>
    <definedName name="판인" localSheetId="1">#REF!</definedName>
    <definedName name="판인">#REF!</definedName>
    <definedName name="판직고" localSheetId="5">#REF!</definedName>
    <definedName name="판직고" localSheetId="4">#REF!</definedName>
    <definedName name="판직고" localSheetId="3">#REF!</definedName>
    <definedName name="판직고" localSheetId="1">#REF!</definedName>
    <definedName name="판직고">#REF!</definedName>
    <definedName name="판직변" localSheetId="5">#REF!</definedName>
    <definedName name="판직변" localSheetId="4">#REF!</definedName>
    <definedName name="판직변" localSheetId="3">#REF!</definedName>
    <definedName name="판직변" localSheetId="1">#REF!</definedName>
    <definedName name="판직변">#REF!</definedName>
    <definedName name="판촉지원적립금" localSheetId="5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4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3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localSheetId="5" hidden="1">{#N/A,#N/A,FALSE,"1.CRITERIA";#N/A,#N/A,FALSE,"2.IS";#N/A,#N/A,FALSE,"3.BS";#N/A,#N/A,FALSE,"4.PER PL";#N/A,#N/A,FALSE,"5.INVESTMENT";#N/A,#N/A,FALSE,"6.공문";#N/A,#N/A,FALSE,"7.netinvest"}</definedName>
    <definedName name="퍄" localSheetId="4" hidden="1">{#N/A,#N/A,FALSE,"1.CRITERIA";#N/A,#N/A,FALSE,"2.IS";#N/A,#N/A,FALSE,"3.BS";#N/A,#N/A,FALSE,"4.PER PL";#N/A,#N/A,FALSE,"5.INVESTMENT";#N/A,#N/A,FALSE,"6.공문";#N/A,#N/A,FALSE,"7.netinvest"}</definedName>
    <definedName name="퍄" localSheetId="3" hidden="1">{#N/A,#N/A,FALSE,"1.CRITERIA";#N/A,#N/A,FALSE,"2.IS";#N/A,#N/A,FALSE,"3.BS";#N/A,#N/A,FALSE,"4.PER PL";#N/A,#N/A,FALSE,"5.INVESTMENT";#N/A,#N/A,FALSE,"6.공문";#N/A,#N/A,FALSE,"7.netinvest"}</definedName>
    <definedName name="퍄" localSheetId="1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5" hidden="1">{#N/A,#N/A,FALSE,"1.CRITERIA";#N/A,#N/A,FALSE,"2.IS";#N/A,#N/A,FALSE,"3.BS";#N/A,#N/A,FALSE,"4.PER PL";#N/A,#N/A,FALSE,"5.INVESTMENT";#N/A,#N/A,FALSE,"6.공문";#N/A,#N/A,FALSE,"7.netinvest"}</definedName>
    <definedName name="페" localSheetId="4" hidden="1">{#N/A,#N/A,FALSE,"1.CRITERIA";#N/A,#N/A,FALSE,"2.IS";#N/A,#N/A,FALSE,"3.BS";#N/A,#N/A,FALSE,"4.PER PL";#N/A,#N/A,FALSE,"5.INVESTMENT";#N/A,#N/A,FALSE,"6.공문";#N/A,#N/A,FALSE,"7.netinvest"}</definedName>
    <definedName name="페" localSheetId="3" hidden="1">{#N/A,#N/A,FALSE,"1.CRITERIA";#N/A,#N/A,FALSE,"2.IS";#N/A,#N/A,FALSE,"3.BS";#N/A,#N/A,FALSE,"4.PER PL";#N/A,#N/A,FALSE,"5.INVESTMENT";#N/A,#N/A,FALSE,"6.공문";#N/A,#N/A,FALSE,"7.netinvest"}</definedName>
    <definedName name="페" localSheetId="1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localSheetId="5" hidden="1">{#N/A,#N/A,TRUE,"일정"}</definedName>
    <definedName name="펜다" localSheetId="4" hidden="1">{#N/A,#N/A,TRUE,"일정"}</definedName>
    <definedName name="펜다" localSheetId="3" hidden="1">{#N/A,#N/A,TRUE,"일정"}</definedName>
    <definedName name="펜다" localSheetId="1" hidden="1">{#N/A,#N/A,TRUE,"일정"}</definedName>
    <definedName name="펜다" hidden="1">{#N/A,#N/A,TRUE,"일정"}</definedName>
    <definedName name="펴" localSheetId="5" hidden="1">{#N/A,#N/A,FALSE,"1.CRITERIA";#N/A,#N/A,FALSE,"2.IS";#N/A,#N/A,FALSE,"3.BS";#N/A,#N/A,FALSE,"4.PER PL";#N/A,#N/A,FALSE,"5.INVESTMENT";#N/A,#N/A,FALSE,"6.공문";#N/A,#N/A,FALSE,"7.netinvest"}</definedName>
    <definedName name="펴" localSheetId="4" hidden="1">{#N/A,#N/A,FALSE,"1.CRITERIA";#N/A,#N/A,FALSE,"2.IS";#N/A,#N/A,FALSE,"3.BS";#N/A,#N/A,FALSE,"4.PER PL";#N/A,#N/A,FALSE,"5.INVESTMENT";#N/A,#N/A,FALSE,"6.공문";#N/A,#N/A,FALSE,"7.netinvest"}</definedName>
    <definedName name="펴" localSheetId="3" hidden="1">{#N/A,#N/A,FALSE,"1.CRITERIA";#N/A,#N/A,FALSE,"2.IS";#N/A,#N/A,FALSE,"3.BS";#N/A,#N/A,FALSE,"4.PER PL";#N/A,#N/A,FALSE,"5.INVESTMENT";#N/A,#N/A,FALSE,"6.공문";#N/A,#N/A,FALSE,"7.netinvest"}</definedName>
    <definedName name="펴" localSheetId="1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 localSheetId="5">#REF!</definedName>
    <definedName name="평" localSheetId="4">#REF!</definedName>
    <definedName name="평" localSheetId="3">#REF!</definedName>
    <definedName name="평" localSheetId="1">#REF!</definedName>
    <definedName name="평">#REF!</definedName>
    <definedName name="평균" localSheetId="3">#REF!</definedName>
    <definedName name="평균" localSheetId="1">#REF!</definedName>
    <definedName name="평균">#REF!</definedName>
    <definedName name="평균값" localSheetId="5" hidden="1">{#N/A,#N/A,FALSE,"95FW"}</definedName>
    <definedName name="평균값" localSheetId="4" hidden="1">{#N/A,#N/A,FALSE,"95FW"}</definedName>
    <definedName name="평균값" localSheetId="3" hidden="1">{#N/A,#N/A,FALSE,"95FW"}</definedName>
    <definedName name="평균값" localSheetId="1" hidden="1">{#N/A,#N/A,FALSE,"95FW"}</definedName>
    <definedName name="평균값" hidden="1">{#N/A,#N/A,FALSE,"95FW"}</definedName>
    <definedName name="평균이자율" localSheetId="5" hidden="1">#REF!</definedName>
    <definedName name="평균이자율" localSheetId="4" hidden="1">#REF!</definedName>
    <definedName name="평균이자율" localSheetId="3" hidden="1">#REF!</definedName>
    <definedName name="평균이자율" localSheetId="1" hidden="1">#REF!</definedName>
    <definedName name="평균이자율" hidden="1">#REF!</definedName>
    <definedName name="평형구분" localSheetId="3">#REF!</definedName>
    <definedName name="평형구분" localSheetId="1">#REF!</definedName>
    <definedName name="평형구분">#REF!</definedName>
    <definedName name="폐기" localSheetId="5" hidden="1">#REF!</definedName>
    <definedName name="폐기" localSheetId="4" hidden="1">#REF!</definedName>
    <definedName name="폐기" localSheetId="3" hidden="1">#REF!</definedName>
    <definedName name="폐기" localSheetId="1" hidden="1">#REF!</definedName>
    <definedName name="폐기" hidden="1">#REF!</definedName>
    <definedName name="포" localSheetId="5" hidden="1">{#N/A,#N/A,FALSE,"1.CRITERIA";#N/A,#N/A,FALSE,"2.IS";#N/A,#N/A,FALSE,"3.BS";#N/A,#N/A,FALSE,"4.PER PL";#N/A,#N/A,FALSE,"5.INVESTMENT";#N/A,#N/A,FALSE,"6.공문";#N/A,#N/A,FALSE,"7.netinvest"}</definedName>
    <definedName name="포" localSheetId="4" hidden="1">{#N/A,#N/A,FALSE,"1.CRITERIA";#N/A,#N/A,FALSE,"2.IS";#N/A,#N/A,FALSE,"3.BS";#N/A,#N/A,FALSE,"4.PER PL";#N/A,#N/A,FALSE,"5.INVESTMENT";#N/A,#N/A,FALSE,"6.공문";#N/A,#N/A,FALSE,"7.netinvest"}</definedName>
    <definedName name="포" localSheetId="3" hidden="1">{#N/A,#N/A,FALSE,"1.CRITERIA";#N/A,#N/A,FALSE,"2.IS";#N/A,#N/A,FALSE,"3.BS";#N/A,#N/A,FALSE,"4.PER PL";#N/A,#N/A,FALSE,"5.INVESTMENT";#N/A,#N/A,FALSE,"6.공문";#N/A,#N/A,FALSE,"7.netinvest"}</definedName>
    <definedName name="포" localSheetId="1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localSheetId="5" hidden="1">{#N/A,#N/A,TRUE,"대 차 대 조 표"}</definedName>
    <definedName name="포스코" localSheetId="4" hidden="1">{#N/A,#N/A,TRUE,"대 차 대 조 표"}</definedName>
    <definedName name="포스코" localSheetId="3" hidden="1">{#N/A,#N/A,TRUE,"대 차 대 조 표"}</definedName>
    <definedName name="포스코" localSheetId="1" hidden="1">{#N/A,#N/A,TRUE,"대 차 대 조 표"}</definedName>
    <definedName name="포스코" hidden="1">{#N/A,#N/A,TRUE,"대 차 대 조 표"}</definedName>
    <definedName name="포스코_1" localSheetId="5" hidden="1">{#N/A,#N/A,TRUE,"대 차 대 조 표"}</definedName>
    <definedName name="포스코_1" localSheetId="4" hidden="1">{#N/A,#N/A,TRUE,"대 차 대 조 표"}</definedName>
    <definedName name="포스코_1" localSheetId="3" hidden="1">{#N/A,#N/A,TRUE,"대 차 대 조 표"}</definedName>
    <definedName name="포스코_1" localSheetId="1" hidden="1">{#N/A,#N/A,TRUE,"대 차 대 조 표"}</definedName>
    <definedName name="포스코_1" hidden="1">{#N/A,#N/A,TRUE,"대 차 대 조 표"}</definedName>
    <definedName name="표" localSheetId="5">#REF!</definedName>
    <definedName name="표" localSheetId="4">#REF!</definedName>
    <definedName name="표" localSheetId="3">#REF!</definedName>
    <definedName name="표" localSheetId="1">#REF!</definedName>
    <definedName name="표">#REF!</definedName>
    <definedName name="표지" localSheetId="5" hidden="1">{"'호선별현황(방식)'!$K$22:$P$22","'호선별현황(방식)'!$K$22:$P$22"}</definedName>
    <definedName name="표지" localSheetId="4" hidden="1">{"'호선별현황(방식)'!$K$22:$P$22","'호선별현황(방식)'!$K$22:$P$22"}</definedName>
    <definedName name="표지" localSheetId="3" hidden="1">{"'호선별현황(방식)'!$K$22:$P$22","'호선별현황(방식)'!$K$22:$P$22"}</definedName>
    <definedName name="표지" localSheetId="1" hidden="1">{"'호선별현황(방식)'!$K$22:$P$22","'호선별현황(방식)'!$K$22:$P$22"}</definedName>
    <definedName name="표지" hidden="1">{"'호선별현황(방식)'!$K$22:$P$22","'호선별현황(방식)'!$K$22:$P$22"}</definedName>
    <definedName name="표지_1" localSheetId="5" hidden="1">{#N/A,#N/A,FALSE,"동부"}</definedName>
    <definedName name="표지_1" localSheetId="4" hidden="1">{#N/A,#N/A,FALSE,"동부"}</definedName>
    <definedName name="표지_1" localSheetId="3" hidden="1">{#N/A,#N/A,FALSE,"동부"}</definedName>
    <definedName name="표지_1" localSheetId="1" hidden="1">{#N/A,#N/A,FALSE,"동부"}</definedName>
    <definedName name="표지_1" hidden="1">{#N/A,#N/A,FALSE,"동부"}</definedName>
    <definedName name="표지1" localSheetId="5">#REF!</definedName>
    <definedName name="표지1" localSheetId="4">#REF!</definedName>
    <definedName name="표지1" localSheetId="3">#REF!</definedName>
    <definedName name="표지1" localSheetId="1">#REF!</definedName>
    <definedName name="표지1">#REF!</definedName>
    <definedName name="푸하하하" localSheetId="5">#REF!</definedName>
    <definedName name="푸하하하" localSheetId="4">#REF!</definedName>
    <definedName name="푸하하하" localSheetId="3">#REF!</definedName>
    <definedName name="푸하하하" localSheetId="1">#REF!</definedName>
    <definedName name="푸하하하">#REF!</definedName>
    <definedName name="품" localSheetId="5">#REF!</definedName>
    <definedName name="품" localSheetId="4">#REF!</definedName>
    <definedName name="품" localSheetId="3">#REF!</definedName>
    <definedName name="품" localSheetId="1">#REF!</definedName>
    <definedName name="품">#REF!</definedName>
    <definedName name="품명" localSheetId="3">#REF!</definedName>
    <definedName name="품명" localSheetId="1">#REF!</definedName>
    <definedName name="품명">#REF!</definedName>
    <definedName name="품질생산합격" localSheetId="5" hidden="1">{#N/A,#N/A,TRUE,"Y생산";#N/A,#N/A,TRUE,"Y판매";#N/A,#N/A,TRUE,"Y총물량";#N/A,#N/A,TRUE,"Y능력";#N/A,#N/A,TRUE,"YKD"}</definedName>
    <definedName name="품질생산합격" localSheetId="4" hidden="1">{#N/A,#N/A,TRUE,"Y생산";#N/A,#N/A,TRUE,"Y판매";#N/A,#N/A,TRUE,"Y총물량";#N/A,#N/A,TRUE,"Y능력";#N/A,#N/A,TRUE,"YKD"}</definedName>
    <definedName name="품질생산합격" localSheetId="3" hidden="1">{#N/A,#N/A,TRUE,"Y생산";#N/A,#N/A,TRUE,"Y판매";#N/A,#N/A,TRUE,"Y총물량";#N/A,#N/A,TRUE,"Y능력";#N/A,#N/A,TRUE,"YKD"}</definedName>
    <definedName name="품질생산합격" localSheetId="1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 localSheetId="5">#REF!</definedName>
    <definedName name="프린트" localSheetId="4">#REF!</definedName>
    <definedName name="프린트" localSheetId="3">#REF!</definedName>
    <definedName name="프린트" localSheetId="1">#REF!</definedName>
    <definedName name="프린트">#REF!</definedName>
    <definedName name="피크치" localSheetId="5">#REF!</definedName>
    <definedName name="피크치" localSheetId="4">#REF!</definedName>
    <definedName name="피크치" localSheetId="3">#REF!</definedName>
    <definedName name="피크치" localSheetId="1">#REF!</definedName>
    <definedName name="피크치">#REF!</definedName>
    <definedName name="피크치1">#N/A</definedName>
    <definedName name="피크치2">#N/A</definedName>
    <definedName name="ㅎ" localSheetId="5" hidden="1">{#N/A,#N/A,FALSE,"단축1";#N/A,#N/A,FALSE,"단축2";#N/A,#N/A,FALSE,"단축3";#N/A,#N/A,FALSE,"장축";#N/A,#N/A,FALSE,"4WD"}</definedName>
    <definedName name="ㅎ" localSheetId="4" hidden="1">{#N/A,#N/A,FALSE,"단축1";#N/A,#N/A,FALSE,"단축2";#N/A,#N/A,FALSE,"단축3";#N/A,#N/A,FALSE,"장축";#N/A,#N/A,FALSE,"4WD"}</definedName>
    <definedName name="ㅎ" localSheetId="3" hidden="1">{#N/A,#N/A,FALSE,"단축1";#N/A,#N/A,FALSE,"단축2";#N/A,#N/A,FALSE,"단축3";#N/A,#N/A,FALSE,"장축";#N/A,#N/A,FALSE,"4WD"}</definedName>
    <definedName name="ㅎ" localSheetId="1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5" hidden="1">{#N/A,#N/A,TRUE,"Y생산";#N/A,#N/A,TRUE,"Y판매";#N/A,#N/A,TRUE,"Y총물량";#N/A,#N/A,TRUE,"Y능력";#N/A,#N/A,TRUE,"YKD"}</definedName>
    <definedName name="ㅎ라" localSheetId="4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localSheetId="1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ㅂㅈㄷ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localSheetId="5" hidden="1">{#N/A,#N/A,FALSE,"Aging Summary";#N/A,#N/A,FALSE,"Ratio Analysis";#N/A,#N/A,FALSE,"Test 120 Day Accts";#N/A,#N/A,FALSE,"Tickmarks"}</definedName>
    <definedName name="ㅎㅇ" localSheetId="4" hidden="1">{#N/A,#N/A,FALSE,"Aging Summary";#N/A,#N/A,FALSE,"Ratio Analysis";#N/A,#N/A,FALSE,"Test 120 Day Accts";#N/A,#N/A,FALSE,"Tickmarks"}</definedName>
    <definedName name="ㅎㅇ" localSheetId="3" hidden="1">{#N/A,#N/A,FALSE,"Aging Summary";#N/A,#N/A,FALSE,"Ratio Analysis";#N/A,#N/A,FALSE,"Test 120 Day Accts";#N/A,#N/A,FALSE,"Tickmarks"}</definedName>
    <definedName name="ㅎㅇ" localSheetId="1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ㅁ" localSheetId="5" hidden="1">{#N/A,#N/A,FALSE,"95FW"}</definedName>
    <definedName name="ㅎㅇㅁ" localSheetId="4" hidden="1">{#N/A,#N/A,FALSE,"95FW"}</definedName>
    <definedName name="ㅎㅇㅁ" localSheetId="3" hidden="1">{#N/A,#N/A,FALSE,"95FW"}</definedName>
    <definedName name="ㅎㅇㅁ" localSheetId="1" hidden="1">{#N/A,#N/A,FALSE,"95FW"}</definedName>
    <definedName name="ㅎㅇㅁ" hidden="1">{#N/A,#N/A,FALSE,"95FW"}</definedName>
    <definedName name="ㅎㅎ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5" hidden="1">{#N/A,#N/A,FALSE,"3가";#N/A,#N/A,FALSE,"3나";#N/A,#N/A,FALSE,"3다"}</definedName>
    <definedName name="ㅎㅎㅎ" localSheetId="4" hidden="1">{#N/A,#N/A,FALSE,"3가";#N/A,#N/A,FALSE,"3나";#N/A,#N/A,FALSE,"3다"}</definedName>
    <definedName name="ㅎㅎㅎ" localSheetId="3" hidden="1">{#N/A,#N/A,FALSE,"3가";#N/A,#N/A,FALSE,"3나";#N/A,#N/A,FALSE,"3다"}</definedName>
    <definedName name="ㅎㅎㅎ" localSheetId="1" hidden="1">{#N/A,#N/A,FALSE,"3가";#N/A,#N/A,FALSE,"3나";#N/A,#N/A,FALSE,"3다"}</definedName>
    <definedName name="ㅎㅎㅎ" hidden="1">{#N/A,#N/A,FALSE,"3가";#N/A,#N/A,FALSE,"3나";#N/A,#N/A,FALSE,"3다"}</definedName>
    <definedName name="ㅎㅎㅎㅎ" localSheetId="5">#REF!</definedName>
    <definedName name="ㅎㅎㅎㅎ" localSheetId="4">#REF!</definedName>
    <definedName name="ㅎㅎㅎㅎ" localSheetId="3">#REF!</definedName>
    <definedName name="ㅎㅎㅎㅎ" localSheetId="1">#REF!</definedName>
    <definedName name="ㅎㅎㅎㅎ">#REF!</definedName>
    <definedName name="ㅎㅎㅎㅎㅎㅎ" localSheetId="5">#REF!</definedName>
    <definedName name="ㅎㅎㅎㅎㅎㅎ" localSheetId="4">#REF!</definedName>
    <definedName name="ㅎㅎㅎㅎㅎㅎ" localSheetId="3">#REF!</definedName>
    <definedName name="ㅎㅎㅎㅎㅎㅎ" localSheetId="1">#REF!</definedName>
    <definedName name="ㅎㅎㅎㅎㅎㅎ">#REF!</definedName>
    <definedName name="하" localSheetId="5">#REF!</definedName>
    <definedName name="하" localSheetId="4">#REF!</definedName>
    <definedName name="하" localSheetId="3">#REF!</definedName>
    <definedName name="하" localSheetId="1">#REF!</definedName>
    <definedName name="하">#REF!</definedName>
    <definedName name="하수암거" localSheetId="5" hidden="1">{#N/A,#N/A,FALSE,"포장단가"}</definedName>
    <definedName name="하수암거" localSheetId="4" hidden="1">{#N/A,#N/A,FALSE,"포장단가"}</definedName>
    <definedName name="하수암거" localSheetId="3" hidden="1">{#N/A,#N/A,FALSE,"포장단가"}</definedName>
    <definedName name="하수암거" localSheetId="1" hidden="1">{#N/A,#N/A,FALSE,"포장단가"}</definedName>
    <definedName name="하수암거" hidden="1">{#N/A,#N/A,FALSE,"포장단가"}</definedName>
    <definedName name="하수암거2" localSheetId="5" hidden="1">{#N/A,#N/A,FALSE,"포장단가"}</definedName>
    <definedName name="하수암거2" localSheetId="4" hidden="1">{#N/A,#N/A,FALSE,"포장단가"}</definedName>
    <definedName name="하수암거2" localSheetId="3" hidden="1">{#N/A,#N/A,FALSE,"포장단가"}</definedName>
    <definedName name="하수암거2" localSheetId="1" hidden="1">{#N/A,#N/A,FALSE,"포장단가"}</definedName>
    <definedName name="하수암거2" hidden="1">{#N/A,#N/A,FALSE,"포장단가"}</definedName>
    <definedName name="하역" localSheetId="5" hidden="1">{#N/A,#N/A,FALSE,"채산3501.XLS";#N/A,#N/A,FALSE,"신조수A.XLS";#N/A,#N/A,FALSE,"신조수b.XLS";#N/A,#N/A,FALSE,"채산3502.XLS";#N/A,#N/A,FALSE,"신조원리.XLS";#N/A,#N/A,FALSE,"신조감가.XLS"}</definedName>
    <definedName name="하역" localSheetId="4" hidden="1">{#N/A,#N/A,FALSE,"채산3501.XLS";#N/A,#N/A,FALSE,"신조수A.XLS";#N/A,#N/A,FALSE,"신조수b.XLS";#N/A,#N/A,FALSE,"채산3502.XLS";#N/A,#N/A,FALSE,"신조원리.XLS";#N/A,#N/A,FALSE,"신조감가.XLS"}</definedName>
    <definedName name="하역" localSheetId="3" hidden="1">{#N/A,#N/A,FALSE,"채산3501.XLS";#N/A,#N/A,FALSE,"신조수A.XLS";#N/A,#N/A,FALSE,"신조수b.XLS";#N/A,#N/A,FALSE,"채산3502.XLS";#N/A,#N/A,FALSE,"신조원리.XLS";#N/A,#N/A,FALSE,"신조감가.XLS"}</definedName>
    <definedName name="하역" localSheetId="1" hidden="1">{#N/A,#N/A,FALSE,"채산3501.XLS";#N/A,#N/A,FALSE,"신조수A.XLS";#N/A,#N/A,FALSE,"신조수b.XLS";#N/A,#N/A,FALSE,"채산3502.XLS";#N/A,#N/A,FALSE,"신조원리.XLS";#N/A,#N/A,FALSE,"신조감가.XLS"}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localSheetId="5" hidden="1">{#N/A,#N/A,FALSE,"채산3501.XLS";#N/A,#N/A,FALSE,"신조수A.XLS";#N/A,#N/A,FALSE,"신조수b.XLS";#N/A,#N/A,FALSE,"채산3502.XLS";#N/A,#N/A,FALSE,"신조원리.XLS";#N/A,#N/A,FALSE,"신조감가.XLS"}</definedName>
    <definedName name="하역2" localSheetId="4" hidden="1">{#N/A,#N/A,FALSE,"채산3501.XLS";#N/A,#N/A,FALSE,"신조수A.XLS";#N/A,#N/A,FALSE,"신조수b.XLS";#N/A,#N/A,FALSE,"채산3502.XLS";#N/A,#N/A,FALSE,"신조원리.XLS";#N/A,#N/A,FALSE,"신조감가.XLS"}</definedName>
    <definedName name="하역2" localSheetId="3" hidden="1">{#N/A,#N/A,FALSE,"채산3501.XLS";#N/A,#N/A,FALSE,"신조수A.XLS";#N/A,#N/A,FALSE,"신조수b.XLS";#N/A,#N/A,FALSE,"채산3502.XLS";#N/A,#N/A,FALSE,"신조원리.XLS";#N/A,#N/A,FALSE,"신조감가.XLS"}</definedName>
    <definedName name="하역2" localSheetId="1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localSheetId="5" hidden="1">{#N/A,#N/A,FALSE,"SILO현황";#N/A,#N/A,FALSE,"타업체";#N/A,#N/A,FALSE,"생산능력"}</definedName>
    <definedName name="하역영업" localSheetId="4" hidden="1">{#N/A,#N/A,FALSE,"SILO현황";#N/A,#N/A,FALSE,"타업체";#N/A,#N/A,FALSE,"생산능력"}</definedName>
    <definedName name="하역영업" localSheetId="3" hidden="1">{#N/A,#N/A,FALSE,"SILO현황";#N/A,#N/A,FALSE,"타업체";#N/A,#N/A,FALSE,"생산능력"}</definedName>
    <definedName name="하역영업" localSheetId="1" hidden="1">{#N/A,#N/A,FALSE,"SILO현황";#N/A,#N/A,FALSE,"타업체";#N/A,#N/A,FALSE,"생산능력"}</definedName>
    <definedName name="하역영업" hidden="1">{#N/A,#N/A,FALSE,"SILO현황";#N/A,#N/A,FALSE,"타업체";#N/A,#N/A,FALSE,"생산능력"}</definedName>
    <definedName name="하하" localSheetId="5">#REF!</definedName>
    <definedName name="하하" localSheetId="4">#REF!</definedName>
    <definedName name="하하" localSheetId="3">#REF!</definedName>
    <definedName name="하하" localSheetId="1">#REF!</definedName>
    <definedName name="하하">#REF!</definedName>
    <definedName name="하하1" localSheetId="3">#REF!</definedName>
    <definedName name="하하1" localSheetId="1">#REF!</definedName>
    <definedName name="하하1">#REF!</definedName>
    <definedName name="하하2" localSheetId="3">#REF!</definedName>
    <definedName name="하하2" localSheetId="1">#REF!</definedName>
    <definedName name="하하2">#REF!</definedName>
    <definedName name="하하3" localSheetId="3">#REF!</definedName>
    <definedName name="하하3" localSheetId="1">#REF!</definedName>
    <definedName name="하하3">#REF!</definedName>
    <definedName name="하하4" localSheetId="3">#REF!</definedName>
    <definedName name="하하4" localSheetId="1">#REF!</definedName>
    <definedName name="하하4">#REF!</definedName>
    <definedName name="학교" localSheetId="5" hidden="1">{"'호선별현황(방식)'!$K$22:$P$22","'호선별현황(방식)'!$K$22:$P$22"}</definedName>
    <definedName name="학교" localSheetId="4" hidden="1">{"'호선별현황(방식)'!$K$22:$P$22","'호선별현황(방식)'!$K$22:$P$22"}</definedName>
    <definedName name="학교" localSheetId="3" hidden="1">{"'호선별현황(방식)'!$K$22:$P$22","'호선별현황(방식)'!$K$22:$P$22"}</definedName>
    <definedName name="학교" localSheetId="1" hidden="1">{"'호선별현황(방식)'!$K$22:$P$22","'호선별현황(방식)'!$K$22:$P$22"}</definedName>
    <definedName name="학교" hidden="1">{"'호선별현황(방식)'!$K$22:$P$22","'호선별현황(방식)'!$K$22:$P$22"}</definedName>
    <definedName name="한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 localSheetId="5">#REF!</definedName>
    <definedName name="한솔" localSheetId="4">#REF!</definedName>
    <definedName name="한솔" localSheetId="3">#REF!</definedName>
    <definedName name="한솔" localSheetId="1">#REF!</definedName>
    <definedName name="한솔">#REF!</definedName>
    <definedName name="한영사전" localSheetId="5" hidden="1">{#N/A,#N/A,TRUE,"Y생산";#N/A,#N/A,TRUE,"Y판매";#N/A,#N/A,TRUE,"Y총물량";#N/A,#N/A,TRUE,"Y능력";#N/A,#N/A,TRUE,"YKD"}</definedName>
    <definedName name="한영사전" localSheetId="4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사전_1" localSheetId="5" hidden="1">{#N/A,#N/A,TRUE,"Y생산";#N/A,#N/A,TRUE,"Y판매";#N/A,#N/A,TRUE,"Y총물량";#N/A,#N/A,TRUE,"Y능력";#N/A,#N/A,TRUE,"YKD"}</definedName>
    <definedName name="한영사전_1" localSheetId="4" hidden="1">{#N/A,#N/A,TRUE,"Y생산";#N/A,#N/A,TRUE,"Y판매";#N/A,#N/A,TRUE,"Y총물량";#N/A,#N/A,TRUE,"Y능력";#N/A,#N/A,TRUE,"YKD"}</definedName>
    <definedName name="한영사전_1" localSheetId="3" hidden="1">{#N/A,#N/A,TRUE,"Y생산";#N/A,#N/A,TRUE,"Y판매";#N/A,#N/A,TRUE,"Y총물량";#N/A,#N/A,TRUE,"Y능력";#N/A,#N/A,TRUE,"YKD"}</definedName>
    <definedName name="한영사전_1" localSheetId="1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 localSheetId="5">#REF!</definedName>
    <definedName name="할인" localSheetId="4">#REF!</definedName>
    <definedName name="할인" localSheetId="3">#REF!</definedName>
    <definedName name="할인" localSheetId="1">#REF!</definedName>
    <definedName name="할인">#REF!</definedName>
    <definedName name="항주은태" localSheetId="5">#REF!</definedName>
    <definedName name="항주은태" localSheetId="4">#REF!</definedName>
    <definedName name="항주은태" localSheetId="3">#REF!</definedName>
    <definedName name="항주은태" localSheetId="1">#REF!</definedName>
    <definedName name="항주은태">#REF!</definedName>
    <definedName name="항차" localSheetId="3">#REF!</definedName>
    <definedName name="항차" localSheetId="1">#REF!</definedName>
    <definedName name="항차">#REF!</definedName>
    <definedName name="解_任_" localSheetId="5">#REF!</definedName>
    <definedName name="解_任_" localSheetId="4">#REF!</definedName>
    <definedName name="解_任_" localSheetId="3">#REF!</definedName>
    <definedName name="解_任_" localSheetId="1">#REF!</definedName>
    <definedName name="解_任_">#REF!</definedName>
    <definedName name="해무11" localSheetId="5" hidden="1">{#N/A,#N/A,FALSE,"SILO현황";#N/A,#N/A,FALSE,"타업체";#N/A,#N/A,FALSE,"생산능력"}</definedName>
    <definedName name="해무11" localSheetId="4" hidden="1">{#N/A,#N/A,FALSE,"SILO현황";#N/A,#N/A,FALSE,"타업체";#N/A,#N/A,FALSE,"생산능력"}</definedName>
    <definedName name="해무11" localSheetId="3" hidden="1">{#N/A,#N/A,FALSE,"SILO현황";#N/A,#N/A,FALSE,"타업체";#N/A,#N/A,FALSE,"생산능력"}</definedName>
    <definedName name="해무11" localSheetId="1" hidden="1">{#N/A,#N/A,FALSE,"SILO현황";#N/A,#N/A,FALSE,"타업체";#N/A,#N/A,FALSE,"생산능력"}</definedName>
    <definedName name="해무11" hidden="1">{#N/A,#N/A,FALSE,"SILO현황";#N/A,#N/A,FALSE,"타업체";#N/A,#N/A,FALSE,"생산능력"}</definedName>
    <definedName name="해무팀" localSheetId="5" hidden="1">{#N/A,#N/A,FALSE,"채산3501.XLS";#N/A,#N/A,FALSE,"신조수A.XLS";#N/A,#N/A,FALSE,"신조수b.XLS";#N/A,#N/A,FALSE,"채산3502.XLS";#N/A,#N/A,FALSE,"신조원리.XLS";#N/A,#N/A,FALSE,"신조감가.XLS"}</definedName>
    <definedName name="해무팀" localSheetId="4" hidden="1">{#N/A,#N/A,FALSE,"채산3501.XLS";#N/A,#N/A,FALSE,"신조수A.XLS";#N/A,#N/A,FALSE,"신조수b.XLS";#N/A,#N/A,FALSE,"채산3502.XLS";#N/A,#N/A,FALSE,"신조원리.XLS";#N/A,#N/A,FALSE,"신조감가.XLS"}</definedName>
    <definedName name="해무팀" localSheetId="3" hidden="1">{#N/A,#N/A,FALSE,"채산3501.XLS";#N/A,#N/A,FALSE,"신조수A.XLS";#N/A,#N/A,FALSE,"신조수b.XLS";#N/A,#N/A,FALSE,"채산3502.XLS";#N/A,#N/A,FALSE,"신조원리.XLS";#N/A,#N/A,FALSE,"신조감가.XLS"}</definedName>
    <definedName name="해무팀" localSheetId="1" hidden="1">{#N/A,#N/A,FALSE,"채산3501.XLS";#N/A,#N/A,FALSE,"신조수A.XLS";#N/A,#N/A,FALSE,"신조수b.XLS";#N/A,#N/A,FALSE,"채산3502.XLS";#N/A,#N/A,FALSE,"신조원리.XLS";#N/A,#N/A,FALSE,"신조감가.XLS"}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localSheetId="5" hidden="1">{"'7-2지역별'!$A$1:$R$44"}</definedName>
    <definedName name="해외생산1" localSheetId="4" hidden="1">{"'7-2지역별'!$A$1:$R$44"}</definedName>
    <definedName name="해외생산1" localSheetId="3" hidden="1">{"'7-2지역별'!$A$1:$R$44"}</definedName>
    <definedName name="해외생산1" localSheetId="1" hidden="1">{"'7-2지역별'!$A$1:$R$44"}</definedName>
    <definedName name="해외생산1" hidden="1">{"'7-2지역별'!$A$1:$R$44"}</definedName>
    <definedName name="해외특수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 localSheetId="5">#REF!</definedName>
    <definedName name="해외판권합계" localSheetId="4">#REF!</definedName>
    <definedName name="해외판권합계" localSheetId="3">#REF!</definedName>
    <definedName name="해외판권합계" localSheetId="1">#REF!</definedName>
    <definedName name="해외판권합계">#REF!</definedName>
    <definedName name="해한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localSheetId="5" hidden="1">{#N/A,#N/A,FALSE,"1.CRITERIA";#N/A,#N/A,FALSE,"2.IS";#N/A,#N/A,FALSE,"3.BS";#N/A,#N/A,FALSE,"4.PER PL";#N/A,#N/A,FALSE,"5.INVESTMENT";#N/A,#N/A,FALSE,"6.공문";#N/A,#N/A,FALSE,"7.netinvest"}</definedName>
    <definedName name="햐" localSheetId="4" hidden="1">{#N/A,#N/A,FALSE,"1.CRITERIA";#N/A,#N/A,FALSE,"2.IS";#N/A,#N/A,FALSE,"3.BS";#N/A,#N/A,FALSE,"4.PER PL";#N/A,#N/A,FALSE,"5.INVESTMENT";#N/A,#N/A,FALSE,"6.공문";#N/A,#N/A,FALSE,"7.netinvest"}</definedName>
    <definedName name="햐" localSheetId="3" hidden="1">{#N/A,#N/A,FALSE,"1.CRITERIA";#N/A,#N/A,FALSE,"2.IS";#N/A,#N/A,FALSE,"3.BS";#N/A,#N/A,FALSE,"4.PER PL";#N/A,#N/A,FALSE,"5.INVESTMENT";#N/A,#N/A,FALSE,"6.공문";#N/A,#N/A,FALSE,"7.netinvest"}</definedName>
    <definedName name="햐" localSheetId="1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localSheetId="5" hidden="1">{#N/A,#N/A,FALSE,"단축1";#N/A,#N/A,FALSE,"단축2";#N/A,#N/A,FALSE,"단축3";#N/A,#N/A,FALSE,"장축";#N/A,#N/A,FALSE,"4WD"}</definedName>
    <definedName name="향후계획1" localSheetId="4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쇼ㅏ" localSheetId="5" hidden="1">{#N/A,#N/A,TRUE,"Y생산";#N/A,#N/A,TRUE,"Y판매";#N/A,#N/A,TRUE,"Y총물량";#N/A,#N/A,TRUE,"Y능력";#N/A,#N/A,TRUE,"YKD"}</definedName>
    <definedName name="허쇼ㅏ" localSheetId="4" hidden="1">{#N/A,#N/A,TRUE,"Y생산";#N/A,#N/A,TRUE,"Y판매";#N/A,#N/A,TRUE,"Y총물량";#N/A,#N/A,TRUE,"Y능력";#N/A,#N/A,TRUE,"YKD"}</definedName>
    <definedName name="허쇼ㅏ" localSheetId="3" hidden="1">{#N/A,#N/A,TRUE,"Y생산";#N/A,#N/A,TRUE,"Y판매";#N/A,#N/A,TRUE,"Y총물량";#N/A,#N/A,TRUE,"Y능력";#N/A,#N/A,TRUE,"YKD"}</definedName>
    <definedName name="허쇼ㅏ" localSheetId="1" hidden="1">{#N/A,#N/A,TRUE,"Y생산";#N/A,#N/A,TRUE,"Y판매";#N/A,#N/A,TRUE,"Y총물량";#N/A,#N/A,TRUE,"Y능력";#N/A,#N/A,TRUE,"YKD"}</definedName>
    <definedName name="허쇼ㅏ" hidden="1">{#N/A,#N/A,TRUE,"Y생산";#N/A,#N/A,TRUE,"Y판매";#N/A,#N/A,TRUE,"Y총물량";#N/A,#N/A,TRUE,"Y능력";#N/A,#N/A,TRUE,"YKD"}</definedName>
    <definedName name="허ㅇㄻㄹ" localSheetId="5" hidden="1">{#N/A,#N/A,TRUE,"Y생산";#N/A,#N/A,TRUE,"Y판매";#N/A,#N/A,TRUE,"Y총물량";#N/A,#N/A,TRUE,"Y능력";#N/A,#N/A,TRUE,"YKD"}</definedName>
    <definedName name="허ㅇㄻㄹ" localSheetId="4" hidden="1">{#N/A,#N/A,TRUE,"Y생산";#N/A,#N/A,TRUE,"Y판매";#N/A,#N/A,TRUE,"Y총물량";#N/A,#N/A,TRUE,"Y능력";#N/A,#N/A,TRUE,"YKD"}</definedName>
    <definedName name="허ㅇㄻㄹ" localSheetId="3" hidden="1">{#N/A,#N/A,TRUE,"Y생산";#N/A,#N/A,TRUE,"Y판매";#N/A,#N/A,TRUE,"Y총물량";#N/A,#N/A,TRUE,"Y능력";#N/A,#N/A,TRUE,"YKD"}</definedName>
    <definedName name="허ㅇㄻㄹ" localSheetId="1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localSheetId="5" hidden="1">{#N/A,#N/A,FALSE,"단축1";#N/A,#N/A,FALSE,"단축2";#N/A,#N/A,FALSE,"단축3";#N/A,#N/A,FALSE,"장축";#N/A,#N/A,FALSE,"4WD"}</definedName>
    <definedName name="허ㅓ" localSheetId="4" hidden="1">{#N/A,#N/A,FALSE,"단축1";#N/A,#N/A,FALSE,"단축2";#N/A,#N/A,FALSE,"단축3";#N/A,#N/A,FALSE,"장축";#N/A,#N/A,FALSE,"4WD"}</definedName>
    <definedName name="허ㅓ" localSheetId="3" hidden="1">{#N/A,#N/A,FALSE,"단축1";#N/A,#N/A,FALSE,"단축2";#N/A,#N/A,FALSE,"단축3";#N/A,#N/A,FALSE,"장축";#N/A,#N/A,FALSE,"4WD"}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혀" localSheetId="5" hidden="1">{#N/A,#N/A,FALSE,"1.CRITERIA";#N/A,#N/A,FALSE,"2.IS";#N/A,#N/A,FALSE,"3.BS";#N/A,#N/A,FALSE,"4.PER PL";#N/A,#N/A,FALSE,"5.INVESTMENT";#N/A,#N/A,FALSE,"6.공문";#N/A,#N/A,FALSE,"7.netinvest"}</definedName>
    <definedName name="혀" localSheetId="4" hidden="1">{#N/A,#N/A,FALSE,"1.CRITERIA";#N/A,#N/A,FALSE,"2.IS";#N/A,#N/A,FALSE,"3.BS";#N/A,#N/A,FALSE,"4.PER PL";#N/A,#N/A,FALSE,"5.INVESTMENT";#N/A,#N/A,FALSE,"6.공문";#N/A,#N/A,FALSE,"7.netinvest"}</definedName>
    <definedName name="혀" localSheetId="3" hidden="1">{#N/A,#N/A,FALSE,"1.CRITERIA";#N/A,#N/A,FALSE,"2.IS";#N/A,#N/A,FALSE,"3.BS";#N/A,#N/A,FALSE,"4.PER PL";#N/A,#N/A,FALSE,"5.INVESTMENT";#N/A,#N/A,FALSE,"6.공문";#N/A,#N/A,FALSE,"7.netinvest"}</definedName>
    <definedName name="혀" localSheetId="1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 localSheetId="5">#REF!</definedName>
    <definedName name="현경" localSheetId="4">#REF!</definedName>
    <definedName name="현경" localSheetId="3">#REF!</definedName>
    <definedName name="현경" localSheetId="1">#REF!</definedName>
    <definedName name="현경">#REF!</definedName>
    <definedName name="현금" localSheetId="5" hidden="1">{#N/A,#N/A,FALSE,"Aging Summary";#N/A,#N/A,FALSE,"Ratio Analysis";#N/A,#N/A,FALSE,"Test 120 Day Accts";#N/A,#N/A,FALSE,"Tickmarks"}</definedName>
    <definedName name="현금" localSheetId="4" hidden="1">{#N/A,#N/A,FALSE,"Aging Summary";#N/A,#N/A,FALSE,"Ratio Analysis";#N/A,#N/A,FALSE,"Test 120 Day Accts";#N/A,#N/A,FALSE,"Tickmarks"}</definedName>
    <definedName name="현금" localSheetId="3" hidden="1">{#N/A,#N/A,FALSE,"Aging Summary";#N/A,#N/A,FALSE,"Ratio Analysis";#N/A,#N/A,FALSE,"Test 120 Day Accts";#N/A,#N/A,FALSE,"Tickmarks"}</definedName>
    <definedName name="현금" localSheetId="1" hidden="1">{#N/A,#N/A,FALSE,"Aging Summary";#N/A,#N/A,FALSE,"Ratio Analysis";#N/A,#N/A,FALSE,"Test 120 Day Accts";#N/A,#N/A,FALSE,"Tickmarks"}</definedName>
    <definedName name="현금" hidden="1">{#N/A,#N/A,FALSE,"Aging Summary";#N/A,#N/A,FALSE,"Ratio Analysis";#N/A,#N/A,FALSE,"Test 120 Day Accts";#N/A,#N/A,FALSE,"Tickmarks"}</definedName>
    <definedName name="현금거래_5300" localSheetId="5">#REF!</definedName>
    <definedName name="현금거래_5300" localSheetId="4">#REF!</definedName>
    <definedName name="현금거래_5300" localSheetId="3">#REF!</definedName>
    <definedName name="현금거래_5300" localSheetId="1">#REF!</definedName>
    <definedName name="현금거래_5300">#REF!</definedName>
    <definedName name="현금과예금" localSheetId="3">#REF!</definedName>
    <definedName name="현금과예금" localSheetId="1">#REF!</definedName>
    <definedName name="현금과예금">#REF!</definedName>
    <definedName name="현금등가물" localSheetId="5" hidden="1">{#N/A,#N/A,FALSE,"Aging Summary";#N/A,#N/A,FALSE,"Ratio Analysis";#N/A,#N/A,FALSE,"Test 120 Day Accts";#N/A,#N/A,FALSE,"Tickmarks"}</definedName>
    <definedName name="현금등가물" localSheetId="4" hidden="1">{#N/A,#N/A,FALSE,"Aging Summary";#N/A,#N/A,FALSE,"Ratio Analysis";#N/A,#N/A,FALSE,"Test 120 Day Accts";#N/A,#N/A,FALSE,"Tickmarks"}</definedName>
    <definedName name="현금등가물" localSheetId="3" hidden="1">{#N/A,#N/A,FALSE,"Aging Summary";#N/A,#N/A,FALSE,"Ratio Analysis";#N/A,#N/A,FALSE,"Test 120 Day Accts";#N/A,#N/A,FALSE,"Tickmarks"}</definedName>
    <definedName name="현금등가물" localSheetId="1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5" hidden="1">{#N/A,#N/A,FALSE,"Aging Summary";#N/A,#N/A,FALSE,"Ratio Analysis";#N/A,#N/A,FALSE,"Test 120 Day Accts";#N/A,#N/A,FALSE,"Tickmarks"}</definedName>
    <definedName name="현금등가물및단기" localSheetId="4" hidden="1">{#N/A,#N/A,FALSE,"Aging Summary";#N/A,#N/A,FALSE,"Ratio Analysis";#N/A,#N/A,FALSE,"Test 120 Day Accts";#N/A,#N/A,FALSE,"Tickmarks"}</definedName>
    <definedName name="현금등가물및단기" localSheetId="3" hidden="1">{#N/A,#N/A,FALSE,"Aging Summary";#N/A,#N/A,FALSE,"Ratio Analysis";#N/A,#N/A,FALSE,"Test 120 Day Accts";#N/A,#N/A,FALSE,"Tickmarks"}</definedName>
    <definedName name="현금등가물및단기" localSheetId="1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 localSheetId="5">#REF!</definedName>
    <definedName name="현금수금율" localSheetId="4">#REF!</definedName>
    <definedName name="현금수금율" localSheetId="3">#REF!</definedName>
    <definedName name="현금수금율" localSheetId="1">#REF!</definedName>
    <definedName name="현금수금율">#REF!</definedName>
    <definedName name="현금출납장" localSheetId="3">#REF!</definedName>
    <definedName name="현금출납장" localSheetId="1">#REF!</definedName>
    <definedName name="현금출납장">#REF!</definedName>
    <definedName name="현금흐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localSheetId="5" hidden="1">{#N/A,#N/A,FALSE,"Aging Summary";#N/A,#N/A,FALSE,"Ratio Analysis";#N/A,#N/A,FALSE,"Test 120 Day Accts";#N/A,#N/A,FALSE,"Tickmarks"}</definedName>
    <definedName name="현금흐름표04" localSheetId="4" hidden="1">{#N/A,#N/A,FALSE,"Aging Summary";#N/A,#N/A,FALSE,"Ratio Analysis";#N/A,#N/A,FALSE,"Test 120 Day Accts";#N/A,#N/A,FALSE,"Tickmarks"}</definedName>
    <definedName name="현금흐름표04" localSheetId="3" hidden="1">{#N/A,#N/A,FALSE,"Aging Summary";#N/A,#N/A,FALSE,"Ratio Analysis";#N/A,#N/A,FALSE,"Test 120 Day Accts";#N/A,#N/A,FALSE,"Tickmarks"}</definedName>
    <definedName name="현금흐름표04" localSheetId="1" hidden="1">{#N/A,#N/A,FALSE,"Aging Summary";#N/A,#N/A,FALSE,"Ratio Analysis";#N/A,#N/A,FALSE,"Test 120 Day Accts";#N/A,#N/A,FALSE,"Tickmarks"}</definedName>
    <definedName name="현금흐름표04" hidden="1">{#N/A,#N/A,FALSE,"Aging Summary";#N/A,#N/A,FALSE,"Ratio Analysis";#N/A,#N/A,FALSE,"Test 120 Day Accts";#N/A,#N/A,FALSE,"Tickmarks"}</definedName>
    <definedName name="현금흐름표5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 localSheetId="5">#REF!</definedName>
    <definedName name="현대" localSheetId="4">#REF!</definedName>
    <definedName name="현대" localSheetId="3">#REF!</definedName>
    <definedName name="현대" localSheetId="1">#REF!</definedName>
    <definedName name="현대">#REF!</definedName>
    <definedName name="현대내자터미널" localSheetId="3">#REF!</definedName>
    <definedName name="현대내자터미널" localSheetId="1">#REF!</definedName>
    <definedName name="현대내자터미널">#REF!</definedName>
    <definedName name="現代綜合商事經由分" localSheetId="3">#REF!</definedName>
    <definedName name="現代綜合商事經由分" localSheetId="1">#REF!</definedName>
    <definedName name="現代綜合商事經由分">#REF!</definedName>
    <definedName name="현재" localSheetId="5" hidden="1">{"'Sheet1'!$A$1:$H$36"}</definedName>
    <definedName name="현재" localSheetId="4" hidden="1">{"'Sheet1'!$A$1:$H$36"}</definedName>
    <definedName name="현재" localSheetId="3" hidden="1">{"'Sheet1'!$A$1:$H$36"}</definedName>
    <definedName name="현재" localSheetId="1" hidden="1">{"'Sheet1'!$A$1:$H$36"}</definedName>
    <definedName name="현재" hidden="1">{"'Sheet1'!$A$1:$H$36"}</definedName>
    <definedName name="현재지출전체" localSheetId="5">#REF!</definedName>
    <definedName name="현재지출전체" localSheetId="4">#REF!</definedName>
    <definedName name="현재지출전체" localSheetId="3">#REF!</definedName>
    <definedName name="현재지출전체" localSheetId="1">#REF!</definedName>
    <definedName name="현재지출전체">#REF!</definedName>
    <definedName name="현호봉" localSheetId="3">#REF!</definedName>
    <definedName name="현호봉" localSheetId="1">#REF!</definedName>
    <definedName name="현호봉">#REF!</definedName>
    <definedName name="현황작성" localSheetId="5">#REF!</definedName>
    <definedName name="현황작성" localSheetId="4">#REF!</definedName>
    <definedName name="현황작성" localSheetId="3">#REF!</definedName>
    <definedName name="현황작성" localSheetId="1">#REF!</definedName>
    <definedName name="현황작성">#REF!</definedName>
    <definedName name="협전" localSheetId="3">#REF!</definedName>
    <definedName name="협전" localSheetId="1">#REF!</definedName>
    <definedName name="협전">#REF!</definedName>
    <definedName name="협조및조정사항" localSheetId="5" hidden="1">{"'호선별현황(방식)'!$K$22:$P$22","'호선별현황(방식)'!$K$22:$P$22"}</definedName>
    <definedName name="협조및조정사항" localSheetId="4" hidden="1">{"'호선별현황(방식)'!$K$22:$P$22","'호선별현황(방식)'!$K$22:$P$22"}</definedName>
    <definedName name="협조및조정사항" localSheetId="3" hidden="1">{"'호선별현황(방식)'!$K$22:$P$22","'호선별현황(방식)'!$K$22:$P$22"}</definedName>
    <definedName name="협조및조정사항" localSheetId="1" hidden="1">{"'호선별현황(방식)'!$K$22:$P$22","'호선별현황(방식)'!$K$22:$P$22"}</definedName>
    <definedName name="협조및조정사항" hidden="1">{"'호선별현황(방식)'!$K$22:$P$22","'호선별현황(방식)'!$K$22:$P$22"}</definedName>
    <definedName name="협조전" localSheetId="5">#REF!</definedName>
    <definedName name="협조전" localSheetId="4">#REF!</definedName>
    <definedName name="협조전" localSheetId="3">#REF!</definedName>
    <definedName name="협조전" localSheetId="1">#REF!</definedName>
    <definedName name="협조전">#REF!</definedName>
    <definedName name="호" localSheetId="5" hidden="1">#REF!</definedName>
    <definedName name="호" localSheetId="4" hidden="1">#REF!</definedName>
    <definedName name="호" localSheetId="3" hidden="1">#REF!</definedName>
    <definedName name="호" localSheetId="1" hidden="1">#REF!</definedName>
    <definedName name="호" hidden="1">#REF!</definedName>
    <definedName name="호남222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 localSheetId="5">#REF!</definedName>
    <definedName name="호별가격" localSheetId="4">#REF!</definedName>
    <definedName name="호별가격" localSheetId="3">#REF!</definedName>
    <definedName name="호별가격" localSheetId="1">#REF!</definedName>
    <definedName name="호별가격">#REF!</definedName>
    <definedName name="호별시가안분" localSheetId="3">#REF!</definedName>
    <definedName name="호별시가안분" localSheetId="1">#REF!</definedName>
    <definedName name="호별시가안분">#REF!</definedName>
    <definedName name="호봉표" localSheetId="3">#REF!</definedName>
    <definedName name="호봉표" localSheetId="1">#REF!</definedName>
    <definedName name="호봉표">#REF!</definedName>
    <definedName name="호봉표1" localSheetId="3">#REF!</definedName>
    <definedName name="호봉표1" localSheetId="1">#REF!</definedName>
    <definedName name="호봉표1">#REF!</definedName>
    <definedName name="호호" localSheetId="3">#REF!</definedName>
    <definedName name="호호" localSheetId="1">#REF!</definedName>
    <definedName name="호호">#REF!</definedName>
    <definedName name="호ㅓ쇼" localSheetId="5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localSheetId="5" hidden="1">{#N/A,#N/A,FALSE,"96 3월물량표";#N/A,#N/A,FALSE,"96 4월물량표";#N/A,#N/A,FALSE,"96 5월물량표"}</definedName>
    <definedName name="호ㅓㅏ" localSheetId="4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localSheetId="1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ㅗ" localSheetId="5">BlankMacro1</definedName>
    <definedName name="호ㅗ" localSheetId="4">BlankMacro1</definedName>
    <definedName name="호ㅗ" localSheetId="3">BlankMacro1</definedName>
    <definedName name="호ㅗ" localSheetId="2">BlankMacro1</definedName>
    <definedName name="호ㅗ" localSheetId="1">BlankMacro1</definedName>
    <definedName name="호ㅗ" localSheetId="0">BlankMacro1</definedName>
    <definedName name="호ㅗ">BlankMacro1</definedName>
    <definedName name="홍길동" localSheetId="5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4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3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1" hidden="1">{#N/A,#N/A,FALSE,"표지";#N/A,#N/A,FALSE,"전제";#N/A,#N/A,FALSE,"손익-자 (2)";#N/A,#N/A,FALSE,"손익-자";#N/A,#N/A,FALSE,"손익-마 (2)";#N/A,#N/A,FALSE,"손익-마";#N/A,#N/A,FALSE,"총손최종"}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 localSheetId="5">#REF!</definedName>
    <definedName name="홍보합계" localSheetId="4">#REF!</definedName>
    <definedName name="홍보합계" localSheetId="3">#REF!</definedName>
    <definedName name="홍보합계" localSheetId="1">#REF!</definedName>
    <definedName name="홍보합계">#REF!</definedName>
    <definedName name="화" localSheetId="3">#REF!</definedName>
    <definedName name="화" localSheetId="1">#REF!</definedName>
    <definedName name="화">#REF!</definedName>
    <definedName name="확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 localSheetId="5">#REF!</definedName>
    <definedName name="확정하여_보고할것." localSheetId="4">#REF!</definedName>
    <definedName name="확정하여_보고할것." localSheetId="3">#REF!</definedName>
    <definedName name="확정하여_보고할것." localSheetId="1">#REF!</definedName>
    <definedName name="확정하여_보고할것.">#REF!</definedName>
    <definedName name="환산률" localSheetId="3">#REF!</definedName>
    <definedName name="환산률" localSheetId="1">#REF!</definedName>
    <definedName name="환산률">#REF!</definedName>
    <definedName name="환율" localSheetId="5">#REF!</definedName>
    <definedName name="환율" localSheetId="4">#REF!</definedName>
    <definedName name="환율" localSheetId="3">#REF!</definedName>
    <definedName name="환율" localSheetId="1">#REF!</definedName>
    <definedName name="환율">#REF!</definedName>
    <definedName name="환율표" localSheetId="3">#REF!</definedName>
    <definedName name="환율표" localSheetId="1">#REF!</definedName>
    <definedName name="환율표">#REF!</definedName>
    <definedName name="환차손" localSheetId="5" hidden="1">{#N/A,#N/A,FALSE,"Aging Summary";#N/A,#N/A,FALSE,"Ratio Analysis";#N/A,#N/A,FALSE,"Test 120 Day Accts";#N/A,#N/A,FALSE,"Tickmarks"}</definedName>
    <definedName name="환차손" localSheetId="4" hidden="1">{#N/A,#N/A,FALSE,"Aging Summary";#N/A,#N/A,FALSE,"Ratio Analysis";#N/A,#N/A,FALSE,"Test 120 Day Accts";#N/A,#N/A,FALSE,"Tickmarks"}</definedName>
    <definedName name="환차손" localSheetId="3" hidden="1">{#N/A,#N/A,FALSE,"Aging Summary";#N/A,#N/A,FALSE,"Ratio Analysis";#N/A,#N/A,FALSE,"Test 120 Day Accts";#N/A,#N/A,FALSE,"Tickmarks"}</definedName>
    <definedName name="환차손" localSheetId="1" hidden="1">{#N/A,#N/A,FALSE,"Aging Summary";#N/A,#N/A,FALSE,"Ratio Analysis";#N/A,#N/A,FALSE,"Test 120 Day Accts";#N/A,#N/A,FALSE,"Tickmarks"}</definedName>
    <definedName name="환차손" hidden="1">{#N/A,#N/A,FALSE,"Aging Summary";#N/A,#N/A,FALSE,"Ratio Analysis";#N/A,#N/A,FALSE,"Test 120 Day Accts";#N/A,#N/A,FALSE,"Tickmarks"}</definedName>
    <definedName name="환차손익수정" localSheetId="5" hidden="1">{#N/A,#N/A,FALSE,"Aging Summary";#N/A,#N/A,FALSE,"Ratio Analysis";#N/A,#N/A,FALSE,"Test 120 Day Accts";#N/A,#N/A,FALSE,"Tickmarks"}</definedName>
    <definedName name="환차손익수정" localSheetId="4" hidden="1">{#N/A,#N/A,FALSE,"Aging Summary";#N/A,#N/A,FALSE,"Ratio Analysis";#N/A,#N/A,FALSE,"Test 120 Day Accts";#N/A,#N/A,FALSE,"Tickmarks"}</definedName>
    <definedName name="환차손익수정" localSheetId="3" hidden="1">{#N/A,#N/A,FALSE,"Aging Summary";#N/A,#N/A,FALSE,"Ratio Analysis";#N/A,#N/A,FALSE,"Test 120 Day Accts";#N/A,#N/A,FALSE,"Tickmarks"}</definedName>
    <definedName name="환차손익수정" localSheetId="1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 localSheetId="5">#REF!</definedName>
    <definedName name="환평가" localSheetId="4">#REF!</definedName>
    <definedName name="환평가" localSheetId="3">#REF!</definedName>
    <definedName name="환평가" localSheetId="1">#REF!</definedName>
    <definedName name="환평가">#REF!</definedName>
    <definedName name="회당예산" localSheetId="5">#REF!</definedName>
    <definedName name="회당예산" localSheetId="4">#REF!</definedName>
    <definedName name="회당예산" localSheetId="3">#REF!</definedName>
    <definedName name="회당예산" localSheetId="1">#REF!</definedName>
    <definedName name="회당예산">#REF!</definedName>
    <definedName name="회사명" localSheetId="3">#REF!</definedName>
    <definedName name="회사명" localSheetId="1">#REF!</definedName>
    <definedName name="회사명">#REF!</definedName>
    <definedName name="회사이름" localSheetId="5">#REF!</definedName>
    <definedName name="회사이름" localSheetId="4">#REF!</definedName>
    <definedName name="회사이름" localSheetId="3">#REF!</definedName>
    <definedName name="회사이름" localSheetId="1">#REF!</definedName>
    <definedName name="회사이름">#REF!</definedName>
    <definedName name="회원권" localSheetId="3">#REF!</definedName>
    <definedName name="회원권" localSheetId="1">#REF!</definedName>
    <definedName name="회원권">#REF!</definedName>
    <definedName name="회장" localSheetId="5">BlankMacro1</definedName>
    <definedName name="회장" localSheetId="4">BlankMacro1</definedName>
    <definedName name="회장" localSheetId="3">BlankMacro1</definedName>
    <definedName name="회장" localSheetId="2">BlankMacro1</definedName>
    <definedName name="회장" localSheetId="1">BlankMacro1</definedName>
    <definedName name="회장" localSheetId="0">BlankMacro1</definedName>
    <definedName name="회장">BlankMacro1</definedName>
    <definedName name="효" localSheetId="5" hidden="1">{#N/A,#N/A,FALSE,"1.CRITERIA";#N/A,#N/A,FALSE,"2.IS";#N/A,#N/A,FALSE,"3.BS";#N/A,#N/A,FALSE,"4.PER PL";#N/A,#N/A,FALSE,"5.INVESTMENT";#N/A,#N/A,FALSE,"6.공문";#N/A,#N/A,FALSE,"7.netinvest"}</definedName>
    <definedName name="효" localSheetId="4" hidden="1">{#N/A,#N/A,FALSE,"1.CRITERIA";#N/A,#N/A,FALSE,"2.IS";#N/A,#N/A,FALSE,"3.BS";#N/A,#N/A,FALSE,"4.PER PL";#N/A,#N/A,FALSE,"5.INVESTMENT";#N/A,#N/A,FALSE,"6.공문";#N/A,#N/A,FALSE,"7.netinvest"}</definedName>
    <definedName name="효" localSheetId="3" hidden="1">{#N/A,#N/A,FALSE,"1.CRITERIA";#N/A,#N/A,FALSE,"2.IS";#N/A,#N/A,FALSE,"3.BS";#N/A,#N/A,FALSE,"4.PER PL";#N/A,#N/A,FALSE,"5.INVESTMENT";#N/A,#N/A,FALSE,"6.공문";#N/A,#N/A,FALSE,"7.netinvest"}</definedName>
    <definedName name="효" localSheetId="1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localSheetId="5" hidden="1">{#N/A,#N/A,FALSE,"1.CRITERIA";#N/A,#N/A,FALSE,"2.IS";#N/A,#N/A,FALSE,"3.BS";#N/A,#N/A,FALSE,"4.PER PL";#N/A,#N/A,FALSE,"5.INVESTMENT";#N/A,#N/A,FALSE,"6.공문";#N/A,#N/A,FALSE,"7.netinvest"}</definedName>
    <definedName name="후" localSheetId="4" hidden="1">{#N/A,#N/A,FALSE,"1.CRITERIA";#N/A,#N/A,FALSE,"2.IS";#N/A,#N/A,FALSE,"3.BS";#N/A,#N/A,FALSE,"4.PER PL";#N/A,#N/A,FALSE,"5.INVESTMENT";#N/A,#N/A,FALSE,"6.공문";#N/A,#N/A,FALSE,"7.netinvest"}</definedName>
    <definedName name="후" localSheetId="3" hidden="1">{#N/A,#N/A,FALSE,"1.CRITERIA";#N/A,#N/A,FALSE,"2.IS";#N/A,#N/A,FALSE,"3.BS";#N/A,#N/A,FALSE,"4.PER PL";#N/A,#N/A,FALSE,"5.INVESTMENT";#N/A,#N/A,FALSE,"6.공문";#N/A,#N/A,FALSE,"7.netinvest"}</definedName>
    <definedName name="후" localSheetId="1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 localSheetId="5">#REF!</definedName>
    <definedName name="후반작업합계" localSheetId="4">#REF!</definedName>
    <definedName name="후반작업합계" localSheetId="3">#REF!</definedName>
    <definedName name="후반작업합계" localSheetId="1">#REF!</definedName>
    <definedName name="후반작업합계">#REF!</definedName>
    <definedName name="휴" localSheetId="5" hidden="1">{#N/A,#N/A,FALSE,"1.CRITERIA";#N/A,#N/A,FALSE,"2.IS";#N/A,#N/A,FALSE,"3.BS";#N/A,#N/A,FALSE,"4.PER PL";#N/A,#N/A,FALSE,"5.INVESTMENT";#N/A,#N/A,FALSE,"6.공문";#N/A,#N/A,FALSE,"7.netinvest"}</definedName>
    <definedName name="휴" localSheetId="4" hidden="1">{#N/A,#N/A,FALSE,"1.CRITERIA";#N/A,#N/A,FALSE,"2.IS";#N/A,#N/A,FALSE,"3.BS";#N/A,#N/A,FALSE,"4.PER PL";#N/A,#N/A,FALSE,"5.INVESTMENT";#N/A,#N/A,FALSE,"6.공문";#N/A,#N/A,FALSE,"7.netinvest"}</definedName>
    <definedName name="휴" localSheetId="3" hidden="1">{#N/A,#N/A,FALSE,"1.CRITERIA";#N/A,#N/A,FALSE,"2.IS";#N/A,#N/A,FALSE,"3.BS";#N/A,#N/A,FALSE,"4.PER PL";#N/A,#N/A,FALSE,"5.INVESTMENT";#N/A,#N/A,FALSE,"6.공문";#N/A,#N/A,FALSE,"7.netinvest"}</definedName>
    <definedName name="휴" localSheetId="1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 localSheetId="5">#REF!</definedName>
    <definedName name="휴일" localSheetId="4">#REF!</definedName>
    <definedName name="휴일" localSheetId="3">#REF!</definedName>
    <definedName name="휴일" localSheetId="1">#REF!</definedName>
    <definedName name="휴일">#REF!</definedName>
    <definedName name="휴ㅗㅗㅛ" localSheetId="5" hidden="1">{#VALUE!,#N/A,FALSE,0;#N/A,#N/A,FALSE,0;#N/A,#N/A,FALSE,0;#N/A,#N/A,FALSE,0;#N/A,#N/A,FALSE,0;#N/A,#N/A,FALSE,0;#N/A,#N/A,FALSE,0;#N/A,#N/A,FALSE,0;#N/A,#N/A,FALSE,0}</definedName>
    <definedName name="휴ㅗㅗㅛ" localSheetId="4" hidden="1">{#VALUE!,#N/A,FALSE,0;#N/A,#N/A,FALSE,0;#N/A,#N/A,FALSE,0;#N/A,#N/A,FALSE,0;#N/A,#N/A,FALSE,0;#N/A,#N/A,FALSE,0;#N/A,#N/A,FALSE,0;#N/A,#N/A,FALSE,0;#N/A,#N/A,FALSE,0}</definedName>
    <definedName name="휴ㅗㅗㅛ" localSheetId="3" hidden="1">{#VALUE!,#N/A,FALSE,0;#N/A,#N/A,FALSE,0;#N/A,#N/A,FALSE,0;#N/A,#N/A,FALSE,0;#N/A,#N/A,FALSE,0;#N/A,#N/A,FALSE,0;#N/A,#N/A,FALSE,0;#N/A,#N/A,FALSE,0;#N/A,#N/A,FALSE,0}</definedName>
    <definedName name="휴ㅗㅗㅛ" localSheetId="1" hidden="1">{#VALUE!,#N/A,FALSE,0;#N/A,#N/A,FALSE,0;#N/A,#N/A,FALSE,0;#N/A,#N/A,FALSE,0;#N/A,#N/A,FALSE,0;#N/A,#N/A,FALSE,0;#N/A,#N/A,FALSE,0;#N/A,#N/A,FALSE,0;#N/A,#N/A,FALSE,0}</definedName>
    <definedName name="휴ㅗㅗㅛ" hidden="1">{#VALUE!,#N/A,FALSE,0;#N/A,#N/A,FALSE,0;#N/A,#N/A,FALSE,0;#N/A,#N/A,FALSE,0;#N/A,#N/A,FALSE,0;#N/A,#N/A,FALSE,0;#N/A,#N/A,FALSE,0;#N/A,#N/A,FALSE,0;#N/A,#N/A,FALSE,0}</definedName>
    <definedName name="흄관" localSheetId="5" hidden="1">{#N/A,#N/A,FALSE,"기안지";#N/A,#N/A,FALSE,"통신지"}</definedName>
    <definedName name="흄관" localSheetId="4" hidden="1">{#N/A,#N/A,FALSE,"기안지";#N/A,#N/A,FALSE,"통신지"}</definedName>
    <definedName name="흄관" localSheetId="3" hidden="1">{#N/A,#N/A,FALSE,"기안지";#N/A,#N/A,FALSE,"통신지"}</definedName>
    <definedName name="흄관" localSheetId="1" hidden="1">{#N/A,#N/A,FALSE,"기안지";#N/A,#N/A,FALSE,"통신지"}</definedName>
    <definedName name="흄관" hidden="1">{#N/A,#N/A,FALSE,"기안지";#N/A,#N/A,FALSE,"통신지"}</definedName>
    <definedName name="흐" localSheetId="5" hidden="1">{#N/A,#N/A,FALSE,"1.CRITERIA";#N/A,#N/A,FALSE,"2.IS";#N/A,#N/A,FALSE,"3.BS";#N/A,#N/A,FALSE,"4.PER PL";#N/A,#N/A,FALSE,"5.INVESTMENT";#N/A,#N/A,FALSE,"6.공문";#N/A,#N/A,FALSE,"7.netinvest"}</definedName>
    <definedName name="흐" localSheetId="4" hidden="1">{#N/A,#N/A,FALSE,"1.CRITERIA";#N/A,#N/A,FALSE,"2.IS";#N/A,#N/A,FALSE,"3.BS";#N/A,#N/A,FALSE,"4.PER PL";#N/A,#N/A,FALSE,"5.INVESTMENT";#N/A,#N/A,FALSE,"6.공문";#N/A,#N/A,FALSE,"7.netinvest"}</definedName>
    <definedName name="흐" localSheetId="3" hidden="1">{#N/A,#N/A,FALSE,"1.CRITERIA";#N/A,#N/A,FALSE,"2.IS";#N/A,#N/A,FALSE,"3.BS";#N/A,#N/A,FALSE,"4.PER PL";#N/A,#N/A,FALSE,"5.INVESTMENT";#N/A,#N/A,FALSE,"6.공문";#N/A,#N/A,FALSE,"7.netinvest"}</definedName>
    <definedName name="흐" localSheetId="1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5">#REF!</definedName>
    <definedName name="흐름" localSheetId="4">#REF!</definedName>
    <definedName name="흐름" localSheetId="3">#REF!</definedName>
    <definedName name="흐름" localSheetId="1">#REF!</definedName>
    <definedName name="흐름">#REF!</definedName>
    <definedName name="흐흐" localSheetId="3">#REF!</definedName>
    <definedName name="흐흐" localSheetId="1">#REF!</definedName>
    <definedName name="흐흐">#REF!</definedName>
    <definedName name="희성" localSheetId="3">OFFSET(#REF!,0,0,COUNTA(#REF!)-1,1)</definedName>
    <definedName name="희성" localSheetId="1">OFFSET(#REF!,0,0,COUNTA(#REF!)-1,1)</definedName>
    <definedName name="희성">OFFSET(#REF!,0,0,COUNTA(#REF!)-1,1)</definedName>
    <definedName name="흵____R3_t" localSheetId="5">#REF!</definedName>
    <definedName name="흵____R3_t" localSheetId="4">#REF!</definedName>
    <definedName name="흵____R3_t" localSheetId="3">#REF!</definedName>
    <definedName name="흵____R3_t" localSheetId="1">#REF!</definedName>
    <definedName name="흵____R3_t">#REF!</definedName>
    <definedName name="히히" localSheetId="3">#REF!</definedName>
    <definedName name="히히" localSheetId="1">#REF!</definedName>
    <definedName name="히히">#REF!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 localSheetId="5">#REF!</definedName>
    <definedName name="ㅏ28" localSheetId="4">#REF!</definedName>
    <definedName name="ㅏ28" localSheetId="3">#REF!</definedName>
    <definedName name="ㅏ28" localSheetId="1">#REF!</definedName>
    <definedName name="ㅏ28">#REF!</definedName>
    <definedName name="ㅏㄴ알" localSheetId="5" hidden="1">{#N/A,#N/A,FALSE,"단축1";#N/A,#N/A,FALSE,"단축2";#N/A,#N/A,FALSE,"단축3";#N/A,#N/A,FALSE,"장축";#N/A,#N/A,FALSE,"4WD"}</definedName>
    <definedName name="ㅏㄴ알" localSheetId="4" hidden="1">{#N/A,#N/A,FALSE,"단축1";#N/A,#N/A,FALSE,"단축2";#N/A,#N/A,FALSE,"단축3";#N/A,#N/A,FALSE,"장축";#N/A,#N/A,FALSE,"4WD"}</definedName>
    <definedName name="ㅏㄴ알" localSheetId="3" hidden="1">{#N/A,#N/A,FALSE,"단축1";#N/A,#N/A,FALSE,"단축2";#N/A,#N/A,FALSE,"단축3";#N/A,#N/A,FALSE,"장축";#N/A,#N/A,FALSE,"4WD"}</definedName>
    <definedName name="ㅏㄴ알" localSheetId="1" hidden="1">{#N/A,#N/A,FALSE,"단축1";#N/A,#N/A,FALSE,"단축2";#N/A,#N/A,FALSE,"단축3";#N/A,#N/A,FALSE,"장축";#N/A,#N/A,FALSE,"4WD"}</definedName>
    <definedName name="ㅏㄴ알" hidden="1">{#N/A,#N/A,FALSE,"단축1";#N/A,#N/A,FALSE,"단축2";#N/A,#N/A,FALSE,"단축3";#N/A,#N/A,FALSE,"장축";#N/A,#N/A,FALSE,"4WD"}</definedName>
    <definedName name="ㅏ나앙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 localSheetId="5">#REF!</definedName>
    <definedName name="ㅏㅏ" localSheetId="4">#REF!</definedName>
    <definedName name="ㅏㅏ" localSheetId="3">#REF!</definedName>
    <definedName name="ㅏㅏ" localSheetId="1">#REF!</definedName>
    <definedName name="ㅏㅏ">#REF!</definedName>
    <definedName name="ㅏㅏㅏ" localSheetId="3">#REF!</definedName>
    <definedName name="ㅏㅏㅏ" localSheetId="1">#REF!</definedName>
    <definedName name="ㅏㅏㅏ">#REF!</definedName>
    <definedName name="ㅏㅐㅐ" localSheetId="3">#REF!</definedName>
    <definedName name="ㅏㅐㅐ" localSheetId="1">#REF!</definedName>
    <definedName name="ㅏㅐㅐ">#REF!</definedName>
    <definedName name="ㅏㅐㅐPri" localSheetId="3">#REF!</definedName>
    <definedName name="ㅏㅐㅐPri" localSheetId="1">#REF!</definedName>
    <definedName name="ㅏㅐㅐPri">#REF!</definedName>
    <definedName name="ㅏㅓ" localSheetId="5" hidden="1">{#N/A,#N/A,FALSE,"단축1";#N/A,#N/A,FALSE,"단축2";#N/A,#N/A,FALSE,"단축3";#N/A,#N/A,FALSE,"장축";#N/A,#N/A,FALSE,"4WD"}</definedName>
    <definedName name="ㅏㅓ" localSheetId="4" hidden="1">{#N/A,#N/A,FALSE,"단축1";#N/A,#N/A,FALSE,"단축2";#N/A,#N/A,FALSE,"단축3";#N/A,#N/A,FALSE,"장축";#N/A,#N/A,FALSE,"4WD"}</definedName>
    <definedName name="ㅏㅓ" localSheetId="3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ㅐ" localSheetId="5">#REF!</definedName>
    <definedName name="ㅐ" localSheetId="4">#REF!</definedName>
    <definedName name="ㅐ" localSheetId="3">#REF!</definedName>
    <definedName name="ㅐ" localSheetId="1">#REF!</definedName>
    <definedName name="ㅐ">#REF!</definedName>
    <definedName name="ㅐㅐ" localSheetId="3">#REF!</definedName>
    <definedName name="ㅐㅐ" localSheetId="1">#REF!</definedName>
    <definedName name="ㅐㅐ">#REF!</definedName>
    <definedName name="ㅐㅐㅐㅐㅐㅐㅐㅐㅐㅐㅐㅐㅐㅐㅐㅐㅐㅐㅐㅐㅐ" localSheetId="3">#REF!</definedName>
    <definedName name="ㅐㅐㅐㅐㅐㅐㅐㅐㅐㅐㅐㅐㅐㅐㅐㅐㅐㅐㅐㅐㅐ" localSheetId="1">#REF!</definedName>
    <definedName name="ㅐㅐㅐㅐㅐㅐㅐㅐㅐㅐㅐㅐㅐㅐㅐㅐㅐㅐㅐㅐㅐ">#REF!</definedName>
    <definedName name="ㅑ" localSheetId="5" hidden="1">{#N/A,#N/A,FALSE,"Aging Summary";#N/A,#N/A,FALSE,"Ratio Analysis";#N/A,#N/A,FALSE,"Test 120 Day Accts";#N/A,#N/A,FALSE,"Tickmarks"}</definedName>
    <definedName name="ㅑ" localSheetId="4" hidden="1">{#N/A,#N/A,FALSE,"Aging Summary";#N/A,#N/A,FALSE,"Ratio Analysis";#N/A,#N/A,FALSE,"Test 120 Day Accts";#N/A,#N/A,FALSE,"Tickmarks"}</definedName>
    <definedName name="ㅑ" localSheetId="3" hidden="1">{#N/A,#N/A,FALSE,"Aging Summary";#N/A,#N/A,FALSE,"Ratio Analysis";#N/A,#N/A,FALSE,"Test 120 Day Accts";#N/A,#N/A,FALSE,"Tickmarks"}</definedName>
    <definedName name="ㅑ" localSheetId="1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303" localSheetId="5">#REF!</definedName>
    <definedName name="ㅑ303" localSheetId="4">#REF!</definedName>
    <definedName name="ㅑ303" localSheetId="3">#REF!</definedName>
    <definedName name="ㅑ303" localSheetId="1">#REF!</definedName>
    <definedName name="ㅑ303">#REF!</definedName>
    <definedName name="ㅑ37" localSheetId="3">#REF!</definedName>
    <definedName name="ㅑ37" localSheetId="1">#REF!</definedName>
    <definedName name="ㅑ37">#REF!</definedName>
    <definedName name="ㅑ85" localSheetId="3">#REF!</definedName>
    <definedName name="ㅑ85" localSheetId="1">#REF!</definedName>
    <definedName name="ㅑ85">#REF!</definedName>
    <definedName name="ㅑㅑㅑ" localSheetId="3">#REF!</definedName>
    <definedName name="ㅑㅑㅑ" localSheetId="1">#REF!</definedName>
    <definedName name="ㅑㅑㅑ">#REF!</definedName>
    <definedName name="ㅑㅕㅐ" localSheetId="3">#REF!</definedName>
    <definedName name="ㅑㅕㅐ" localSheetId="1">#REF!</definedName>
    <definedName name="ㅑㅕㅐ">#REF!</definedName>
    <definedName name="ㅓ" localSheetId="5" hidden="1">{#N/A,#N/A,TRUE,"Y생산";#N/A,#N/A,TRUE,"Y판매";#N/A,#N/A,TRUE,"Y총물량";#N/A,#N/A,TRUE,"Y능력";#N/A,#N/A,TRUE,"YKD"}</definedName>
    <definedName name="ㅓ" localSheetId="4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localSheetId="1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ㄹ" localSheetId="5" hidden="1">{#N/A,#N/A,TRUE,"일정"}</definedName>
    <definedName name="ㅓㄹ" localSheetId="4" hidden="1">{#N/A,#N/A,TRUE,"일정"}</definedName>
    <definedName name="ㅓㄹ" localSheetId="3" hidden="1">{#N/A,#N/A,TRUE,"일정"}</definedName>
    <definedName name="ㅓㄹ" localSheetId="1" hidden="1">{#N/A,#N/A,TRUE,"일정"}</definedName>
    <definedName name="ㅓㄹ" hidden="1">{#N/A,#N/A,TRUE,"일정"}</definedName>
    <definedName name="ㅓㅏㅣㅑ" localSheetId="5" hidden="1">{#N/A,#N/A,FALSE,"Aging Summary";#N/A,#N/A,FALSE,"Ratio Analysis";#N/A,#N/A,FALSE,"Test 120 Day Accts";#N/A,#N/A,FALSE,"Tickmarks"}</definedName>
    <definedName name="ㅓㅏㅣㅑ" localSheetId="4" hidden="1">{#N/A,#N/A,FALSE,"Aging Summary";#N/A,#N/A,FALSE,"Ratio Analysis";#N/A,#N/A,FALSE,"Test 120 Day Accts";#N/A,#N/A,FALSE,"Tickmarks"}</definedName>
    <definedName name="ㅓㅏㅣㅑ" localSheetId="3" hidden="1">{#N/A,#N/A,FALSE,"Aging Summary";#N/A,#N/A,FALSE,"Ratio Analysis";#N/A,#N/A,FALSE,"Test 120 Day Accts";#N/A,#N/A,FALSE,"Tickmarks"}</definedName>
    <definedName name="ㅓㅏㅣㅑ" localSheetId="1" hidden="1">{#N/A,#N/A,FALSE,"Aging Summary";#N/A,#N/A,FALSE,"Ratio Analysis";#N/A,#N/A,FALSE,"Test 120 Day Accts";#N/A,#N/A,FALSE,"Tickmarks"}</definedName>
    <definedName name="ㅓㅏㅣㅑ" hidden="1">{#N/A,#N/A,FALSE,"Aging Summary";#N/A,#N/A,FALSE,"Ratio Analysis";#N/A,#N/A,FALSE,"Test 120 Day Accts";#N/A,#N/A,FALSE,"Tickmarks"}</definedName>
    <definedName name="ㅓㅓ" localSheetId="5">#REF!</definedName>
    <definedName name="ㅓㅓ" localSheetId="4">#REF!</definedName>
    <definedName name="ㅓㅓ" localSheetId="3">#REF!</definedName>
    <definedName name="ㅓㅓ" localSheetId="1">#REF!</definedName>
    <definedName name="ㅓㅓ">#REF!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localSheetId="5">#REF!</definedName>
    <definedName name="ㅓㅓㅓ" localSheetId="4">#REF!</definedName>
    <definedName name="ㅓㅓㅓ" localSheetId="3">#REF!</definedName>
    <definedName name="ㅓㅓㅓ" localSheetId="1">#REF!</definedName>
    <definedName name="ㅓㅓㅓ">#REF!</definedName>
    <definedName name="ㅓㅕㅓ" localSheetId="5">#REF!</definedName>
    <definedName name="ㅓㅕㅓ" localSheetId="4">#REF!</definedName>
    <definedName name="ㅓㅕㅓ" localSheetId="3">#REF!</definedName>
    <definedName name="ㅓㅕㅓ" localSheetId="1">#REF!</definedName>
    <definedName name="ㅓㅕㅓ">#REF!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localSheetId="5" hidden="1">#REF!</definedName>
    <definedName name="ㅓㅗㅓㅗㅓㅗ" localSheetId="4" hidden="1">#REF!</definedName>
    <definedName name="ㅓㅗㅓㅗㅓㅗ" localSheetId="3" hidden="1">#REF!</definedName>
    <definedName name="ㅓㅗㅓㅗㅓㅗ" localSheetId="1" hidden="1">#REF!</definedName>
    <definedName name="ㅓㅗㅓㅗㅓㅗ" hidden="1">#REF!</definedName>
    <definedName name="ㅓㅣㅏㅓㅣㅏ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localSheetId="5" hidden="1">{#N/A,#N/A,FALSE,"단축1";#N/A,#N/A,FALSE,"단축2";#N/A,#N/A,FALSE,"단축3";#N/A,#N/A,FALSE,"장축";#N/A,#N/A,FALSE,"4WD"}</definedName>
    <definedName name="ㅔ" localSheetId="4" hidden="1">{#N/A,#N/A,FALSE,"단축1";#N/A,#N/A,FALSE,"단축2";#N/A,#N/A,FALSE,"단축3";#N/A,#N/A,FALSE,"장축";#N/A,#N/A,FALSE,"4WD"}</definedName>
    <definedName name="ㅔ" localSheetId="3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246" localSheetId="5">#REF!</definedName>
    <definedName name="ㅔ246" localSheetId="4">#REF!</definedName>
    <definedName name="ㅔ246" localSheetId="3">#REF!</definedName>
    <definedName name="ㅔ246" localSheetId="1">#REF!</definedName>
    <definedName name="ㅔ246">#REF!</definedName>
    <definedName name="ㅔ320" localSheetId="3">#REF!</definedName>
    <definedName name="ㅔ320" localSheetId="1">#REF!</definedName>
    <definedName name="ㅔ320">#REF!</definedName>
    <definedName name="ㅔ61" localSheetId="3">#REF!</definedName>
    <definedName name="ㅔ61" localSheetId="1">#REF!</definedName>
    <definedName name="ㅔ61">#REF!</definedName>
    <definedName name="ㅔㅔ" localSheetId="3">#REF!</definedName>
    <definedName name="ㅔㅔ" localSheetId="1">#REF!</definedName>
    <definedName name="ㅔㅔ">#REF!</definedName>
    <definedName name="ㅔㅔㅔㅔㅔㅔ" localSheetId="3">#REF!</definedName>
    <definedName name="ㅔㅔㅔㅔㅔㅔ" localSheetId="1">#REF!</definedName>
    <definedName name="ㅔㅔㅔㅔㅔㅔ">#REF!</definedName>
    <definedName name="ㅕ" localSheetId="5" hidden="1">{#N/A,#N/A,FALSE,"BS";#N/A,#N/A,FALSE,"PL";#N/A,#N/A,FALSE,"처분";#N/A,#N/A,FALSE,"현금";#N/A,#N/A,FALSE,"매출";#N/A,#N/A,FALSE,"원가";#N/A,#N/A,FALSE,"경영"}</definedName>
    <definedName name="ㅕ" localSheetId="4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" localSheetId="5" hidden="1">#REF!</definedName>
    <definedName name="ㅕㅕ" localSheetId="4" hidden="1">#REF!</definedName>
    <definedName name="ㅕㅕ" localSheetId="3" hidden="1">#REF!</definedName>
    <definedName name="ㅕㅕ" localSheetId="1" hidden="1">#REF!</definedName>
    <definedName name="ㅕㅕ" hidden="1">#REF!</definedName>
    <definedName name="ㅗ" localSheetId="5" hidden="1">{#N/A,#N/A,FALSE,"단축1";#N/A,#N/A,FALSE,"단축2";#N/A,#N/A,FALSE,"단축3";#N/A,#N/A,FALSE,"장축";#N/A,#N/A,FALSE,"4WD"}</definedName>
    <definedName name="ㅗ" localSheetId="4" hidden="1">{#N/A,#N/A,FALSE,"단축1";#N/A,#N/A,FALSE,"단축2";#N/A,#N/A,FALSE,"단축3";#N/A,#N/A,FALSE,"장축";#N/A,#N/A,FALSE,"4WD"}</definedName>
    <definedName name="ㅗ" localSheetId="3" hidden="1">{#N/A,#N/A,FALSE,"단축1";#N/A,#N/A,FALSE,"단축2";#N/A,#N/A,FALSE,"단축3";#N/A,#N/A,FALSE,"장축";#N/A,#N/A,FALSE,"4WD"}</definedName>
    <definedName name="ㅗ" localSheetId="1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ㄱㄴㅇㅁ" localSheetId="5" hidden="1">{#N/A,#N/A,TRUE,"일정"}</definedName>
    <definedName name="ㅗㄱㄴㅇㅁ" localSheetId="4" hidden="1">{#N/A,#N/A,TRUE,"일정"}</definedName>
    <definedName name="ㅗㄱㄴㅇㅁ" localSheetId="3" hidden="1">{#N/A,#N/A,TRUE,"일정"}</definedName>
    <definedName name="ㅗㄱㄴㅇㅁ" localSheetId="1" hidden="1">{#N/A,#N/A,TRUE,"일정"}</definedName>
    <definedName name="ㅗㄱㄴㅇㅁ" hidden="1">{#N/A,#N/A,TRUE,"일정"}</definedName>
    <definedName name="ㅗㄹ호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5">BlankMacro1</definedName>
    <definedName name="ㅗㅇ" localSheetId="4">BlankMacro1</definedName>
    <definedName name="ㅗㅇ" localSheetId="3">BlankMacro1</definedName>
    <definedName name="ㅗㅇ" localSheetId="2">BlankMacro1</definedName>
    <definedName name="ㅗㅇ" localSheetId="1">BlankMacro1</definedName>
    <definedName name="ㅗㅇ" localSheetId="0">BlankMacro1</definedName>
    <definedName name="ㅗㅇ">BlankMacro1</definedName>
    <definedName name="ㅗㅎ" localSheetId="5" hidden="1">{#N/A,#N/A,TRUE,"Y생산";#N/A,#N/A,TRUE,"Y판매";#N/A,#N/A,TRUE,"Y총물량";#N/A,#N/A,TRUE,"Y능력";#N/A,#N/A,TRUE,"YKD"}</definedName>
    <definedName name="ㅗㅎ" localSheetId="4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localSheetId="1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ㅀ" localSheetId="5">#REF!</definedName>
    <definedName name="ㅗㅎㅀ" localSheetId="4">#REF!</definedName>
    <definedName name="ㅗㅎㅀ" localSheetId="3">#REF!</definedName>
    <definedName name="ㅗㅎㅀ" localSheetId="1">#REF!</definedName>
    <definedName name="ㅗㅎㅀ">#REF!</definedName>
    <definedName name="ㅗㅓㅛㅓㅕ" localSheetId="5">#REF!</definedName>
    <definedName name="ㅗㅓㅛㅓㅕ" localSheetId="4">#REF!</definedName>
    <definedName name="ㅗㅓㅛㅓㅕ" localSheetId="3">#REF!</definedName>
    <definedName name="ㅗㅓㅛㅓㅕ" localSheetId="1">#REF!</definedName>
    <definedName name="ㅗㅓㅛㅓㅕ">#REF!</definedName>
    <definedName name="ㅗㅗ" localSheetId="5" hidden="1">{#N/A,#N/A,FALSE,"단축1";#N/A,#N/A,FALSE,"단축2";#N/A,#N/A,FALSE,"단축3";#N/A,#N/A,FALSE,"장축";#N/A,#N/A,FALSE,"4WD"}</definedName>
    <definedName name="ㅗㅗ" localSheetId="4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localSheetId="1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5">BlankMacro1</definedName>
    <definedName name="ㅗㅗㅗ" localSheetId="4">BlankMacro1</definedName>
    <definedName name="ㅗㅗㅗ" localSheetId="3">BlankMacro1</definedName>
    <definedName name="ㅗㅗㅗ" localSheetId="2">BlankMacro1</definedName>
    <definedName name="ㅗㅗㅗ" localSheetId="1">BlankMacro1</definedName>
    <definedName name="ㅗㅗㅗ" localSheetId="0">BlankMacro1</definedName>
    <definedName name="ㅗㅗㅗ">BlankMacro1</definedName>
    <definedName name="ㅗㅗㅗㅗ" localSheetId="5">#REF!</definedName>
    <definedName name="ㅗㅗㅗㅗ" localSheetId="4">#REF!</definedName>
    <definedName name="ㅗㅗㅗㅗ" localSheetId="3">#REF!</definedName>
    <definedName name="ㅗㅗㅗㅗ" localSheetId="1">#REF!</definedName>
    <definedName name="ㅗㅗㅗㅗ">#REF!</definedName>
    <definedName name="ㅛ" localSheetId="5" hidden="1">{#N/A,#N/A,FALSE,"단축1";#N/A,#N/A,FALSE,"단축2";#N/A,#N/A,FALSE,"단축3";#N/A,#N/A,FALSE,"장축";#N/A,#N/A,FALSE,"4WD"}</definedName>
    <definedName name="ㅛ" localSheetId="4" hidden="1">{#N/A,#N/A,FALSE,"단축1";#N/A,#N/A,FALSE,"단축2";#N/A,#N/A,FALSE,"단축3";#N/A,#N/A,FALSE,"장축";#N/A,#N/A,FALSE,"4WD"}</definedName>
    <definedName name="ㅛ" localSheetId="3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ㅛㄱ됴ㄱㄷ죠ㅅㄱ됴ㅅㄱㄷ죡ㄷ죠" localSheetId="5" hidden="1">{#N/A,#N/A,TRUE,"일정"}</definedName>
    <definedName name="ㅛㄱ됴ㄱㄷ죠ㅅㄱ됴ㅅㄱㄷ죡ㄷ죠" localSheetId="4" hidden="1">{#N/A,#N/A,TRUE,"일정"}</definedName>
    <definedName name="ㅛㄱ됴ㄱㄷ죠ㅅㄱ됴ㅅㄱㄷ죡ㄷ죠" localSheetId="3" hidden="1">{#N/A,#N/A,TRUE,"일정"}</definedName>
    <definedName name="ㅛㄱ됴ㄱㄷ죠ㅅㄱ됴ㅅㄱㄷ죡ㄷ죠" localSheetId="1" hidden="1">{#N/A,#N/A,TRUE,"일정"}</definedName>
    <definedName name="ㅛㄱ됴ㄱㄷ죠ㅅㄱ됴ㅅㄱㄷ죡ㄷ죠" hidden="1">{#N/A,#N/A,TRUE,"일정"}</definedName>
    <definedName name="ㅛㅑㅛㅕㅑ7" localSheetId="5" hidden="1">{#N/A,#N/A,FALSE,"96 3월물량표";#N/A,#N/A,FALSE,"96 4월물량표";#N/A,#N/A,FALSE,"96 5월물량표"}</definedName>
    <definedName name="ㅛㅑㅛㅕㅑ7" localSheetId="4" hidden="1">{#N/A,#N/A,FALSE,"96 3월물량표";#N/A,#N/A,FALSE,"96 4월물량표";#N/A,#N/A,FALSE,"96 5월물량표"}</definedName>
    <definedName name="ㅛㅑㅛㅕㅑ7" localSheetId="3" hidden="1">{#N/A,#N/A,FALSE,"96 3월물량표";#N/A,#N/A,FALSE,"96 4월물량표";#N/A,#N/A,FALSE,"96 5월물량표"}</definedName>
    <definedName name="ㅛㅑㅛㅕㅑ7" localSheetId="1" hidden="1">{#N/A,#N/A,FALSE,"96 3월물량표";#N/A,#N/A,FALSE,"96 4월물량표";#N/A,#N/A,FALSE,"96 5월물량표"}</definedName>
    <definedName name="ㅛㅑㅛㅕㅑ7" hidden="1">{#N/A,#N/A,FALSE,"96 3월물량표";#N/A,#N/A,FALSE,"96 4월물량표";#N/A,#N/A,FALSE,"96 5월물량표"}</definedName>
    <definedName name="ㅛㅓ" localSheetId="5">#REF!</definedName>
    <definedName name="ㅛㅓ" localSheetId="4">#REF!</definedName>
    <definedName name="ㅛㅓ" localSheetId="3">#REF!</definedName>
    <definedName name="ㅛㅓ" localSheetId="1">#REF!</definedName>
    <definedName name="ㅛㅓ">#REF!</definedName>
    <definedName name="ㅛㅛ" localSheetId="3">#REF!</definedName>
    <definedName name="ㅛㅛ" localSheetId="1">#REF!</definedName>
    <definedName name="ㅛㅛ">#REF!</definedName>
    <definedName name="ㅛㅛㅛ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localSheetId="5">#REF!</definedName>
    <definedName name="ㅜ" localSheetId="4">#REF!</definedName>
    <definedName name="ㅜ" localSheetId="3">#REF!</definedName>
    <definedName name="ㅜ" localSheetId="1">#REF!</definedName>
    <definedName name="ㅜ">#REF!</definedName>
    <definedName name="ㅜㅛㅅㄱ누ㅛㅅㄱ누ㅛㅅㄴ구ㅛㅅㄱㄴ" localSheetId="5" hidden="1">{#N/A,#N/A,TRUE,"일정"}</definedName>
    <definedName name="ㅜㅛㅅㄱ누ㅛㅅㄱ누ㅛㅅㄴ구ㅛㅅㄱㄴ" localSheetId="4" hidden="1">{#N/A,#N/A,TRUE,"일정"}</definedName>
    <definedName name="ㅜㅛㅅㄱ누ㅛㅅㄱ누ㅛㅅㄴ구ㅛㅅㄱㄴ" localSheetId="3" hidden="1">{#N/A,#N/A,TRUE,"일정"}</definedName>
    <definedName name="ㅜㅛㅅㄱ누ㅛㅅㄱ누ㅛㅅㄴ구ㅛㅅㄱㄴ" localSheetId="1" hidden="1">{#N/A,#N/A,TRUE,"일정"}</definedName>
    <definedName name="ㅜㅛㅅㄱ누ㅛㅅㄱ누ㅛㅅㄴ구ㅛㅅㄱㄴ" hidden="1">{#N/A,#N/A,TRUE,"일정"}</definedName>
    <definedName name="ㅜㅜ" localSheetId="5">#REF!</definedName>
    <definedName name="ㅜㅜ" localSheetId="4">#REF!</definedName>
    <definedName name="ㅜㅜ" localSheetId="3">#REF!</definedName>
    <definedName name="ㅜㅜ" localSheetId="1">#REF!</definedName>
    <definedName name="ㅜㅜ">#REF!</definedName>
    <definedName name="ㅠ" localSheetId="5" hidden="1">{#N/A,#N/A,FALSE,"단축1";#N/A,#N/A,FALSE,"단축2";#N/A,#N/A,FALSE,"단축3";#N/A,#N/A,FALSE,"장축";#N/A,#N/A,FALSE,"4WD"}</definedName>
    <definedName name="ㅠ" localSheetId="4" hidden="1">{#N/A,#N/A,FALSE,"단축1";#N/A,#N/A,FALSE,"단축2";#N/A,#N/A,FALSE,"단축3";#N/A,#N/A,FALSE,"장축";#N/A,#N/A,FALSE,"4WD"}</definedName>
    <definedName name="ㅠ" localSheetId="3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125" localSheetId="5">#REF!</definedName>
    <definedName name="ㅠ125" localSheetId="4">#REF!</definedName>
    <definedName name="ㅠ125" localSheetId="3">#REF!</definedName>
    <definedName name="ㅠ125" localSheetId="1">#REF!</definedName>
    <definedName name="ㅠ125">#REF!</definedName>
    <definedName name="ㅠ328" localSheetId="3">#REF!</definedName>
    <definedName name="ㅠ328" localSheetId="1">#REF!</definedName>
    <definedName name="ㅠ328">#REF!</definedName>
    <definedName name="ㅠ48" localSheetId="3">#REF!</definedName>
    <definedName name="ㅠ48" localSheetId="1">#REF!</definedName>
    <definedName name="ㅠ48">#REF!</definedName>
    <definedName name="ㅠㅠ" localSheetId="3">#REF!</definedName>
    <definedName name="ㅠㅠ" localSheetId="1">#REF!</definedName>
    <definedName name="ㅠㅠ">#REF!</definedName>
    <definedName name="ㅠㅠㅠ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 localSheetId="5">#REF!</definedName>
    <definedName name="ㅠㅠㅠㄹ" localSheetId="4">#REF!</definedName>
    <definedName name="ㅠㅠㅠㄹ" localSheetId="3">#REF!</definedName>
    <definedName name="ㅠㅠㅠㄹ" localSheetId="1">#REF!</definedName>
    <definedName name="ㅠㅠㅠㄹ">#REF!</definedName>
    <definedName name="ㅠㅠㅠㅠ" localSheetId="3">#REF!</definedName>
    <definedName name="ㅠㅠㅠㅠ" localSheetId="1">#REF!</definedName>
    <definedName name="ㅠㅠㅠㅠ">#REF!</definedName>
    <definedName name="ㅠㅠㅠㅠㅠㅠㅠㅠㅠㅠㅠㅠㅠ" localSheetId="3">#REF!</definedName>
    <definedName name="ㅠㅠㅠㅠㅠㅠㅠㅠㅠㅠㅠㅠㅠ" localSheetId="1">#REF!</definedName>
    <definedName name="ㅠㅠㅠㅠㅠㅠㅠㅠㅠㅠㅠㅠㅠ">#REF!</definedName>
    <definedName name="ㅡ" localSheetId="5">#REF!</definedName>
    <definedName name="ㅡ" localSheetId="4">#REF!</definedName>
    <definedName name="ㅡ" localSheetId="3">#REF!</definedName>
    <definedName name="ㅡ" localSheetId="1">#REF!</definedName>
    <definedName name="ㅡ">#REF!</definedName>
    <definedName name="ㅡㅡ" localSheetId="5">#REF!</definedName>
    <definedName name="ㅡㅡ" localSheetId="4">#REF!</definedName>
    <definedName name="ㅡㅡ" localSheetId="3">#REF!</definedName>
    <definedName name="ㅡㅡ" localSheetId="1">#REF!</definedName>
    <definedName name="ㅡㅡ">#REF!</definedName>
    <definedName name="ㅡㅡㅡㅡㅡㅡㅡㅡㅡ" localSheetId="3">#REF!</definedName>
    <definedName name="ㅡㅡㅡㅡㅡㅡㅡㅡㅡ" localSheetId="1">#REF!</definedName>
    <definedName name="ㅡㅡㅡㅡㅡㅡㅡㅡㅡ">#REF!</definedName>
    <definedName name="ㅣ" localSheetId="5" hidden="1">{#N/A,#N/A,FALSE,"Aging Summary";#N/A,#N/A,FALSE,"Ratio Analysis";#N/A,#N/A,FALSE,"Test 120 Day Accts";#N/A,#N/A,FALSE,"Tickmarks"}</definedName>
    <definedName name="ㅣ" localSheetId="4" hidden="1">{#N/A,#N/A,FALSE,"Aging Summary";#N/A,#N/A,FALSE,"Ratio Analysis";#N/A,#N/A,FALSE,"Test 120 Day Accts";#N/A,#N/A,FALSE,"Tickmarks"}</definedName>
    <definedName name="ㅣ" localSheetId="3" hidden="1">{#N/A,#N/A,FALSE,"Aging Summary";#N/A,#N/A,FALSE,"Ratio Analysis";#N/A,#N/A,FALSE,"Test 120 Day Accts";#N/A,#N/A,FALSE,"Tickmarks"}</definedName>
    <definedName name="ㅣ" localSheetId="1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153" localSheetId="5">#REF!</definedName>
    <definedName name="ㅣ153" localSheetId="4">#REF!</definedName>
    <definedName name="ㅣ153" localSheetId="3">#REF!</definedName>
    <definedName name="ㅣ153" localSheetId="1">#REF!</definedName>
    <definedName name="ㅣ153">#REF!</definedName>
    <definedName name="ㅣ303" localSheetId="3">#REF!</definedName>
    <definedName name="ㅣ303" localSheetId="1">#REF!</definedName>
    <definedName name="ㅣ303">#REF!</definedName>
    <definedName name="ㅣ439" localSheetId="3">#REF!</definedName>
    <definedName name="ㅣ439" localSheetId="1">#REF!</definedName>
    <definedName name="ㅣ439">#REF!</definedName>
    <definedName name="ㅣ이">#N/A</definedName>
    <definedName name="ㅣㅏ" localSheetId="5" hidden="1">{#N/A,#N/A,FALSE,"단축1";#N/A,#N/A,FALSE,"단축2";#N/A,#N/A,FALSE,"단축3";#N/A,#N/A,FALSE,"장축";#N/A,#N/A,FALSE,"4WD"}</definedName>
    <definedName name="ㅣㅏ" localSheetId="4" hidden="1">{#N/A,#N/A,FALSE,"단축1";#N/A,#N/A,FALSE,"단축2";#N/A,#N/A,FALSE,"단축3";#N/A,#N/A,FALSE,"장축";#N/A,#N/A,FALSE,"4WD"}</definedName>
    <definedName name="ㅣㅏ" localSheetId="3" hidden="1">{#N/A,#N/A,FALSE,"단축1";#N/A,#N/A,FALSE,"단축2";#N/A,#N/A,FALSE,"단축3";#N/A,#N/A,FALSE,"장축";#N/A,#N/A,FALSE,"4WD"}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" localSheetId="5" hidden="1">{#N/A,#N/A,FALSE,"단축1";#N/A,#N/A,FALSE,"단축2";#N/A,#N/A,FALSE,"단축3";#N/A,#N/A,FALSE,"장축";#N/A,#N/A,FALSE,"4WD"}</definedName>
    <definedName name="ㅣㅣ" localSheetId="4" hidden="1">{#N/A,#N/A,FALSE,"단축1";#N/A,#N/A,FALSE,"단축2";#N/A,#N/A,FALSE,"단축3";#N/A,#N/A,FALSE,"장축";#N/A,#N/A,FALSE,"4WD"}</definedName>
    <definedName name="ㅣㅣ" localSheetId="3" hidden="1">{#N/A,#N/A,FALSE,"단축1";#N/A,#N/A,FALSE,"단축2";#N/A,#N/A,FALSE,"단축3";#N/A,#N/A,FALSE,"장축";#N/A,#N/A,FALSE,"4WD"}</definedName>
    <definedName name="ㅣㅣ" localSheetId="1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 localSheetId="5">#REF!</definedName>
    <definedName name="ㅣㅣㅣ" localSheetId="4">#REF!</definedName>
    <definedName name="ㅣㅣㅣ" localSheetId="3">#REF!</definedName>
    <definedName name="ㅣㅣㅣ" localSheetId="1">#REF!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5" i="3" l="1"/>
  <c r="R24" i="3"/>
  <c r="R23" i="3"/>
  <c r="R22" i="3"/>
  <c r="R21" i="3"/>
  <c r="R20" i="3"/>
  <c r="R19" i="3"/>
  <c r="R18" i="3"/>
  <c r="R17" i="3"/>
  <c r="P24" i="3"/>
  <c r="P23" i="3"/>
  <c r="P22" i="3"/>
  <c r="P21" i="3"/>
  <c r="P20" i="3"/>
  <c r="P19" i="3"/>
  <c r="P18" i="3"/>
  <c r="P17" i="3"/>
  <c r="Y25" i="7" l="1"/>
  <c r="C28" i="2"/>
  <c r="C6" i="2"/>
  <c r="O31" i="3"/>
  <c r="O32" i="3"/>
  <c r="O33" i="3"/>
  <c r="N33" i="3"/>
  <c r="M33" i="3"/>
  <c r="L33" i="3"/>
  <c r="K33" i="3"/>
  <c r="J33" i="3"/>
  <c r="I33" i="3"/>
  <c r="H33" i="3"/>
  <c r="G33" i="3"/>
  <c r="F33" i="3"/>
  <c r="E33" i="3"/>
  <c r="N32" i="3"/>
  <c r="M32" i="3"/>
  <c r="L32" i="3"/>
  <c r="K32" i="3"/>
  <c r="J32" i="3"/>
  <c r="I32" i="3"/>
  <c r="H32" i="3"/>
  <c r="G32" i="3"/>
  <c r="F32" i="3"/>
  <c r="E32" i="3"/>
  <c r="N31" i="3"/>
  <c r="M31" i="3"/>
  <c r="L31" i="3"/>
  <c r="K31" i="3"/>
  <c r="J31" i="3"/>
  <c r="I31" i="3"/>
  <c r="H31" i="3"/>
  <c r="G31" i="3"/>
  <c r="F31" i="3"/>
  <c r="E31" i="3"/>
  <c r="O30" i="3"/>
  <c r="N30" i="3"/>
  <c r="M30" i="3"/>
  <c r="L30" i="3"/>
  <c r="K30" i="3"/>
  <c r="J30" i="3"/>
  <c r="I30" i="3"/>
  <c r="H30" i="3"/>
  <c r="G30" i="3"/>
  <c r="F30" i="3"/>
  <c r="E30" i="3"/>
  <c r="N29" i="3"/>
  <c r="M29" i="3"/>
  <c r="L29" i="3"/>
  <c r="K29" i="3"/>
  <c r="J29" i="3"/>
  <c r="I29" i="3"/>
  <c r="H29" i="3"/>
  <c r="G29" i="3"/>
  <c r="F29" i="3"/>
  <c r="E29" i="3"/>
  <c r="O26" i="3"/>
  <c r="N26" i="3"/>
  <c r="M26" i="3"/>
  <c r="L26" i="3"/>
  <c r="K26" i="3"/>
  <c r="J26" i="3"/>
  <c r="I26" i="3"/>
  <c r="H26" i="3"/>
  <c r="G26" i="3"/>
  <c r="F26" i="3"/>
  <c r="E26" i="3"/>
  <c r="D33" i="3"/>
  <c r="D32" i="3"/>
  <c r="D31" i="3"/>
  <c r="D30" i="3"/>
  <c r="D29" i="3"/>
  <c r="D26" i="3"/>
  <c r="K39" i="4"/>
  <c r="K58" i="4"/>
  <c r="I6" i="7"/>
  <c r="I39" i="7" s="1"/>
  <c r="W41" i="7" s="1"/>
  <c r="Q6" i="7"/>
  <c r="R6" i="7"/>
  <c r="S6" i="7"/>
  <c r="T6" i="7"/>
  <c r="U6" i="7"/>
  <c r="V6" i="7"/>
  <c r="W6" i="7"/>
  <c r="X6" i="7"/>
  <c r="Y6" i="7"/>
  <c r="Z6" i="7"/>
  <c r="AA6" i="7"/>
  <c r="AB6" i="7"/>
  <c r="C7" i="7"/>
  <c r="D7" i="7"/>
  <c r="D6" i="7" s="1"/>
  <c r="E7" i="7"/>
  <c r="E6" i="7" s="1"/>
  <c r="F7" i="7"/>
  <c r="F6" i="7" s="1"/>
  <c r="G7" i="7"/>
  <c r="H7" i="7"/>
  <c r="H6" i="7" s="1"/>
  <c r="I7" i="7"/>
  <c r="J7" i="7"/>
  <c r="AC7" i="7"/>
  <c r="AC6" i="7" s="1"/>
  <c r="O8" i="7"/>
  <c r="AC8" i="7"/>
  <c r="J9" i="7"/>
  <c r="K9" i="7"/>
  <c r="K7" i="7" s="1"/>
  <c r="L9" i="7"/>
  <c r="L7" i="7" s="1"/>
  <c r="L6" i="7" s="1"/>
  <c r="M9" i="7"/>
  <c r="M7" i="7" s="1"/>
  <c r="M6" i="7" s="1"/>
  <c r="N9" i="7"/>
  <c r="N7" i="7" s="1"/>
  <c r="N6" i="7" s="1"/>
  <c r="O9" i="7"/>
  <c r="X9" i="7"/>
  <c r="AC9" i="7"/>
  <c r="J10" i="7"/>
  <c r="O10" i="7" s="1"/>
  <c r="AC10" i="7"/>
  <c r="C11" i="7"/>
  <c r="C6" i="7" s="1"/>
  <c r="D11" i="7"/>
  <c r="E11" i="7"/>
  <c r="F11" i="7"/>
  <c r="G11" i="7"/>
  <c r="H11" i="7"/>
  <c r="I11" i="7"/>
  <c r="J11" i="7"/>
  <c r="L11" i="7"/>
  <c r="M11" i="7"/>
  <c r="AC11" i="7"/>
  <c r="J12" i="7"/>
  <c r="K12" i="7"/>
  <c r="O12" i="7" s="1"/>
  <c r="L12" i="7"/>
  <c r="M12" i="7"/>
  <c r="N12" i="7"/>
  <c r="N11" i="7" s="1"/>
  <c r="Q12" i="7"/>
  <c r="R12" i="7"/>
  <c r="S12" i="7"/>
  <c r="T12" i="7"/>
  <c r="U12" i="7"/>
  <c r="V12" i="7"/>
  <c r="AC12" i="7" s="1"/>
  <c r="W12" i="7"/>
  <c r="X12" i="7"/>
  <c r="Y12" i="7"/>
  <c r="Z12" i="7"/>
  <c r="AA12" i="7"/>
  <c r="AB12" i="7"/>
  <c r="C13" i="7"/>
  <c r="O13" i="7" s="1"/>
  <c r="D13" i="7"/>
  <c r="E13" i="7"/>
  <c r="F13" i="7"/>
  <c r="G13" i="7"/>
  <c r="H13" i="7"/>
  <c r="I13" i="7"/>
  <c r="K13" i="7"/>
  <c r="L13" i="7"/>
  <c r="M13" i="7"/>
  <c r="N13" i="7"/>
  <c r="AC13" i="7"/>
  <c r="O14" i="7"/>
  <c r="AC14" i="7"/>
  <c r="J15" i="7"/>
  <c r="J13" i="7" s="1"/>
  <c r="J6" i="7" s="1"/>
  <c r="O15" i="7"/>
  <c r="AC15" i="7"/>
  <c r="C16" i="7"/>
  <c r="D16" i="7"/>
  <c r="E16" i="7"/>
  <c r="F16" i="7"/>
  <c r="G16" i="7"/>
  <c r="H16" i="7"/>
  <c r="I16" i="7"/>
  <c r="J16" i="7"/>
  <c r="K16" i="7"/>
  <c r="L16" i="7"/>
  <c r="M16" i="7"/>
  <c r="N16" i="7"/>
  <c r="Q16" i="7"/>
  <c r="R16" i="7"/>
  <c r="Z16" i="7"/>
  <c r="O17" i="7"/>
  <c r="Q17" i="7"/>
  <c r="R17" i="7"/>
  <c r="S17" i="7"/>
  <c r="S16" i="7" s="1"/>
  <c r="S39" i="7" s="1"/>
  <c r="T17" i="7"/>
  <c r="T16" i="7" s="1"/>
  <c r="T39" i="7" s="1"/>
  <c r="U17" i="7"/>
  <c r="U16" i="7" s="1"/>
  <c r="U39" i="7" s="1"/>
  <c r="V17" i="7"/>
  <c r="V16" i="7" s="1"/>
  <c r="V39" i="7" s="1"/>
  <c r="W17" i="7"/>
  <c r="Y17" i="7"/>
  <c r="Y16" i="7" s="1"/>
  <c r="Y39" i="7" s="1"/>
  <c r="Z17" i="7"/>
  <c r="AA17" i="7"/>
  <c r="AA16" i="7" s="1"/>
  <c r="AA39" i="7" s="1"/>
  <c r="AB17" i="7"/>
  <c r="AB16" i="7" s="1"/>
  <c r="AB39" i="7" s="1"/>
  <c r="O18" i="7"/>
  <c r="X18" i="7"/>
  <c r="X17" i="7" s="1"/>
  <c r="X16" i="7" s="1"/>
  <c r="X39" i="7" s="1"/>
  <c r="O19" i="7"/>
  <c r="X19" i="7"/>
  <c r="AC19" i="7"/>
  <c r="O20" i="7"/>
  <c r="AC20" i="7"/>
  <c r="O21" i="7"/>
  <c r="X21" i="7"/>
  <c r="AC21" i="7" s="1"/>
  <c r="O22" i="7"/>
  <c r="X22" i="7"/>
  <c r="AC22" i="7"/>
  <c r="O23" i="7"/>
  <c r="X23" i="7"/>
  <c r="AC23" i="7" s="1"/>
  <c r="X24" i="7"/>
  <c r="AC24" i="7" s="1"/>
  <c r="O25" i="7"/>
  <c r="X25" i="7"/>
  <c r="AC25" i="7"/>
  <c r="O26" i="7"/>
  <c r="X26" i="7"/>
  <c r="AC26" i="7" s="1"/>
  <c r="O27" i="7"/>
  <c r="X27" i="7"/>
  <c r="AC27" i="7"/>
  <c r="O28" i="7"/>
  <c r="X28" i="7"/>
  <c r="AC28" i="7"/>
  <c r="O29" i="7"/>
  <c r="X29" i="7"/>
  <c r="AC29" i="7" s="1"/>
  <c r="O30" i="7"/>
  <c r="AC30" i="7"/>
  <c r="O31" i="7"/>
  <c r="AC31" i="7"/>
  <c r="O32" i="7"/>
  <c r="AC32" i="7"/>
  <c r="O33" i="7"/>
  <c r="Q33" i="7"/>
  <c r="R33" i="7"/>
  <c r="S33" i="7"/>
  <c r="T33" i="7"/>
  <c r="U33" i="7"/>
  <c r="V33" i="7"/>
  <c r="AC33" i="7" s="1"/>
  <c r="W33" i="7"/>
  <c r="W16" i="7" s="1"/>
  <c r="W39" i="7" s="1"/>
  <c r="X33" i="7"/>
  <c r="Y33" i="7"/>
  <c r="Z33" i="7"/>
  <c r="AA33" i="7"/>
  <c r="AB33" i="7"/>
  <c r="O34" i="7"/>
  <c r="AC34" i="7"/>
  <c r="O35" i="7"/>
  <c r="AC35" i="7"/>
  <c r="O36" i="7"/>
  <c r="AC36" i="7"/>
  <c r="O37" i="7"/>
  <c r="AC37" i="7"/>
  <c r="O38" i="7"/>
  <c r="AC38" i="7"/>
  <c r="Q39" i="7"/>
  <c r="R39" i="7"/>
  <c r="Z39" i="7"/>
  <c r="O40" i="7"/>
  <c r="AC42" i="7"/>
  <c r="C43" i="7"/>
  <c r="O16" i="7" l="1"/>
  <c r="AC17" i="7"/>
  <c r="R40" i="7"/>
  <c r="D39" i="7"/>
  <c r="R41" i="7" s="1"/>
  <c r="N39" i="7"/>
  <c r="AB41" i="7" s="1"/>
  <c r="AB40" i="7"/>
  <c r="AC39" i="7"/>
  <c r="X40" i="7"/>
  <c r="J39" i="7"/>
  <c r="X41" i="7" s="1"/>
  <c r="AC16" i="7"/>
  <c r="AA40" i="7"/>
  <c r="M39" i="7"/>
  <c r="AA41" i="7" s="1"/>
  <c r="F39" i="7"/>
  <c r="T41" i="7" s="1"/>
  <c r="T40" i="7"/>
  <c r="C39" i="7"/>
  <c r="Q40" i="7"/>
  <c r="L39" i="7"/>
  <c r="Z41" i="7" s="1"/>
  <c r="Z40" i="7"/>
  <c r="V40" i="7"/>
  <c r="H39" i="7"/>
  <c r="V41" i="7" s="1"/>
  <c r="S40" i="7"/>
  <c r="E39" i="7"/>
  <c r="S41" i="7" s="1"/>
  <c r="K6" i="7"/>
  <c r="O7" i="7"/>
  <c r="G6" i="7"/>
  <c r="O43" i="7"/>
  <c r="AC18" i="7"/>
  <c r="K11" i="7"/>
  <c r="W40" i="7"/>
  <c r="O11" i="7"/>
  <c r="K39" i="7" l="1"/>
  <c r="Y41" i="7" s="1"/>
  <c r="Y40" i="7"/>
  <c r="O6" i="7"/>
  <c r="AC40" i="7" s="1"/>
  <c r="Q41" i="7"/>
  <c r="Q43" i="7" s="1"/>
  <c r="G39" i="7"/>
  <c r="U41" i="7" s="1"/>
  <c r="U40" i="7"/>
  <c r="O39" i="7" l="1"/>
  <c r="AC41" i="7" s="1"/>
  <c r="AC43" i="7" s="1"/>
  <c r="D43" i="7"/>
  <c r="R43" i="7"/>
  <c r="E43" i="7" l="1"/>
  <c r="S43" i="7"/>
  <c r="F43" i="7" l="1"/>
  <c r="T43" i="7"/>
  <c r="G43" i="7" l="1"/>
  <c r="U43" i="7"/>
  <c r="V43" i="7" l="1"/>
  <c r="H43" i="7"/>
  <c r="W43" i="7" l="1"/>
  <c r="I43" i="7"/>
  <c r="X43" i="7" l="1"/>
  <c r="J43" i="7"/>
  <c r="Y43" i="7" l="1"/>
  <c r="K43" i="7"/>
  <c r="Z43" i="7" l="1"/>
  <c r="L43" i="7"/>
  <c r="M43" i="7" l="1"/>
  <c r="AA43" i="7"/>
  <c r="AB43" i="7" l="1"/>
  <c r="N43" i="7"/>
  <c r="C43" i="6" l="1"/>
  <c r="AC42" i="6"/>
  <c r="V40" i="6"/>
  <c r="O40" i="6"/>
  <c r="AC38" i="6"/>
  <c r="O38" i="6"/>
  <c r="AC37" i="6"/>
  <c r="O37" i="6"/>
  <c r="AC36" i="6"/>
  <c r="O36" i="6"/>
  <c r="AC35" i="6"/>
  <c r="O35" i="6"/>
  <c r="AC34" i="6"/>
  <c r="O34" i="6"/>
  <c r="AB33" i="6"/>
  <c r="AA33" i="6"/>
  <c r="Z33" i="6"/>
  <c r="Y33" i="6"/>
  <c r="X33" i="6"/>
  <c r="W33" i="6"/>
  <c r="W16" i="6" s="1"/>
  <c r="W39" i="6" s="1"/>
  <c r="V33" i="6"/>
  <c r="U33" i="6"/>
  <c r="T33" i="6"/>
  <c r="S33" i="6"/>
  <c r="R33" i="6"/>
  <c r="Q33" i="6"/>
  <c r="O33" i="6"/>
  <c r="AC32" i="6"/>
  <c r="O32" i="6"/>
  <c r="AC31" i="6"/>
  <c r="O31" i="6"/>
  <c r="AC30" i="6"/>
  <c r="O30" i="6"/>
  <c r="Y29" i="6"/>
  <c r="X29" i="6"/>
  <c r="O29" i="6"/>
  <c r="X28" i="6"/>
  <c r="AC28" i="6" s="1"/>
  <c r="O28" i="6"/>
  <c r="AC27" i="6"/>
  <c r="X27" i="6"/>
  <c r="O27" i="6"/>
  <c r="X26" i="6"/>
  <c r="AC26" i="6" s="1"/>
  <c r="O26" i="6"/>
  <c r="X25" i="6"/>
  <c r="AC25" i="6" s="1"/>
  <c r="O25" i="6"/>
  <c r="X24" i="6"/>
  <c r="AC24" i="6" s="1"/>
  <c r="X23" i="6"/>
  <c r="AC23" i="6" s="1"/>
  <c r="O23" i="6"/>
  <c r="X22" i="6"/>
  <c r="AC22" i="6" s="1"/>
  <c r="O22" i="6"/>
  <c r="X21" i="6"/>
  <c r="AC21" i="6" s="1"/>
  <c r="O21" i="6"/>
  <c r="AC20" i="6"/>
  <c r="O20" i="6"/>
  <c r="X19" i="6"/>
  <c r="AC19" i="6" s="1"/>
  <c r="O19" i="6"/>
  <c r="AC18" i="6"/>
  <c r="X18" i="6"/>
  <c r="X17" i="6" s="1"/>
  <c r="X16" i="6" s="1"/>
  <c r="X39" i="6" s="1"/>
  <c r="O18" i="6"/>
  <c r="AB17" i="6"/>
  <c r="AB16" i="6" s="1"/>
  <c r="AB39" i="6" s="1"/>
  <c r="W17" i="6"/>
  <c r="V17" i="6"/>
  <c r="U17" i="6"/>
  <c r="U16" i="6" s="1"/>
  <c r="T17" i="6"/>
  <c r="T16" i="6" s="1"/>
  <c r="T39" i="6" s="1"/>
  <c r="S17" i="6"/>
  <c r="S16" i="6" s="1"/>
  <c r="S39" i="6" s="1"/>
  <c r="R17" i="6"/>
  <c r="R16" i="6" s="1"/>
  <c r="R39" i="6" s="1"/>
  <c r="Q17" i="6"/>
  <c r="K17" i="6"/>
  <c r="K16" i="6" s="1"/>
  <c r="V16" i="6"/>
  <c r="V39" i="6" s="1"/>
  <c r="O16" i="6"/>
  <c r="N16" i="6"/>
  <c r="M16" i="6"/>
  <c r="L16" i="6"/>
  <c r="J16" i="6"/>
  <c r="I16" i="6"/>
  <c r="H16" i="6"/>
  <c r="G16" i="6"/>
  <c r="F16" i="6"/>
  <c r="E16" i="6"/>
  <c r="D16" i="6"/>
  <c r="C16" i="6"/>
  <c r="AC15" i="6"/>
  <c r="J15" i="6"/>
  <c r="O15" i="6" s="1"/>
  <c r="AC14" i="6"/>
  <c r="O14" i="6"/>
  <c r="AC13" i="6"/>
  <c r="N13" i="6"/>
  <c r="M13" i="6"/>
  <c r="L13" i="6"/>
  <c r="K13" i="6"/>
  <c r="J13" i="6"/>
  <c r="I13" i="6"/>
  <c r="H13" i="6"/>
  <c r="G13" i="6"/>
  <c r="F13" i="6"/>
  <c r="E13" i="6"/>
  <c r="D13" i="6"/>
  <c r="C13" i="6"/>
  <c r="AB12" i="6"/>
  <c r="AA12" i="6"/>
  <c r="Z12" i="6"/>
  <c r="Y12" i="6"/>
  <c r="X12" i="6"/>
  <c r="W12" i="6"/>
  <c r="V12" i="6"/>
  <c r="U12" i="6"/>
  <c r="AC12" i="6" s="1"/>
  <c r="T12" i="6"/>
  <c r="S12" i="6"/>
  <c r="R12" i="6"/>
  <c r="Q12" i="6"/>
  <c r="N12" i="6"/>
  <c r="N11" i="6" s="1"/>
  <c r="M12" i="6"/>
  <c r="M11" i="6" s="1"/>
  <c r="L12" i="6"/>
  <c r="L11" i="6" s="1"/>
  <c r="K12" i="6"/>
  <c r="AA29" i="6" s="1"/>
  <c r="AA17" i="6" s="1"/>
  <c r="AA16" i="6" s="1"/>
  <c r="AA39" i="6" s="1"/>
  <c r="J12" i="6"/>
  <c r="AC11" i="6"/>
  <c r="I11" i="6"/>
  <c r="H11" i="6"/>
  <c r="G11" i="6"/>
  <c r="F11" i="6"/>
  <c r="E11" i="6"/>
  <c r="D11" i="6"/>
  <c r="C11" i="6"/>
  <c r="AC10" i="6"/>
  <c r="O10" i="6"/>
  <c r="J10" i="6"/>
  <c r="X9" i="6"/>
  <c r="AC9" i="6" s="1"/>
  <c r="N9" i="6"/>
  <c r="M9" i="6"/>
  <c r="L9" i="6"/>
  <c r="K9" i="6"/>
  <c r="J9" i="6"/>
  <c r="AC8" i="6"/>
  <c r="O8" i="6"/>
  <c r="AC7" i="6"/>
  <c r="AC6" i="6" s="1"/>
  <c r="N7" i="6"/>
  <c r="N6" i="6" s="1"/>
  <c r="N39" i="6" s="1"/>
  <c r="M7" i="6"/>
  <c r="L7" i="6"/>
  <c r="J7" i="6"/>
  <c r="I7" i="6"/>
  <c r="H7" i="6"/>
  <c r="G7" i="6"/>
  <c r="F7" i="6"/>
  <c r="F6" i="6" s="1"/>
  <c r="E7" i="6"/>
  <c r="E6" i="6" s="1"/>
  <c r="D7" i="6"/>
  <c r="C7" i="6"/>
  <c r="AB6" i="6"/>
  <c r="AA6" i="6"/>
  <c r="Z6" i="6"/>
  <c r="Y6" i="6"/>
  <c r="X6" i="6"/>
  <c r="W6" i="6"/>
  <c r="V6" i="6"/>
  <c r="U6" i="6"/>
  <c r="T6" i="6"/>
  <c r="S6" i="6"/>
  <c r="R6" i="6"/>
  <c r="Q6" i="6"/>
  <c r="I6" i="6"/>
  <c r="W40" i="6" s="1"/>
  <c r="H6" i="6"/>
  <c r="H39" i="6" s="1"/>
  <c r="V41" i="6" s="1"/>
  <c r="G6" i="6"/>
  <c r="G39" i="6" s="1"/>
  <c r="L6" i="6" l="1"/>
  <c r="K11" i="6"/>
  <c r="M6" i="6"/>
  <c r="F39" i="6"/>
  <c r="T41" i="6" s="1"/>
  <c r="T40" i="6"/>
  <c r="O43" i="6"/>
  <c r="L39" i="6"/>
  <c r="AB40" i="6"/>
  <c r="D6" i="6"/>
  <c r="AA40" i="6"/>
  <c r="M39" i="6"/>
  <c r="AA41" i="6" s="1"/>
  <c r="O12" i="6"/>
  <c r="U39" i="6"/>
  <c r="U41" i="6" s="1"/>
  <c r="K7" i="6"/>
  <c r="K6" i="6" s="1"/>
  <c r="O9" i="6"/>
  <c r="AB41" i="6"/>
  <c r="O13" i="6"/>
  <c r="Z29" i="6"/>
  <c r="Z17" i="6" s="1"/>
  <c r="Z16" i="6" s="1"/>
  <c r="Z39" i="6" s="1"/>
  <c r="I39" i="6"/>
  <c r="W41" i="6" s="1"/>
  <c r="O17" i="6"/>
  <c r="AC33" i="6"/>
  <c r="C6" i="6"/>
  <c r="S40" i="6"/>
  <c r="E39" i="6"/>
  <c r="S41" i="6" s="1"/>
  <c r="Q16" i="6"/>
  <c r="Y17" i="6"/>
  <c r="Y16" i="6" s="1"/>
  <c r="Y39" i="6" s="1"/>
  <c r="J11" i="6"/>
  <c r="J6" i="6" s="1"/>
  <c r="U40" i="6"/>
  <c r="Z41" i="6" l="1"/>
  <c r="AC29" i="6"/>
  <c r="Z40" i="6"/>
  <c r="R40" i="6"/>
  <c r="D39" i="6"/>
  <c r="R41" i="6" s="1"/>
  <c r="Q40" i="6"/>
  <c r="C39" i="6"/>
  <c r="O6" i="6"/>
  <c r="AC17" i="6"/>
  <c r="X40" i="6"/>
  <c r="J39" i="6"/>
  <c r="X41" i="6" s="1"/>
  <c r="O11" i="6"/>
  <c r="Y40" i="6"/>
  <c r="K39" i="6"/>
  <c r="Y41" i="6" s="1"/>
  <c r="Q39" i="6"/>
  <c r="AC39" i="6" s="1"/>
  <c r="AC16" i="6"/>
  <c r="O7" i="6"/>
  <c r="AC40" i="6" l="1"/>
  <c r="O39" i="6"/>
  <c r="AC41" i="6" s="1"/>
  <c r="AC43" i="6" s="1"/>
  <c r="Q41" i="6"/>
  <c r="Q43" i="6" s="1"/>
  <c r="R43" i="6" l="1"/>
  <c r="D43" i="6"/>
  <c r="S43" i="6" l="1"/>
  <c r="E43" i="6"/>
  <c r="F43" i="6" l="1"/>
  <c r="T43" i="6"/>
  <c r="G43" i="6" l="1"/>
  <c r="U43" i="6"/>
  <c r="H43" i="6" l="1"/>
  <c r="V43" i="6"/>
  <c r="I43" i="6" l="1"/>
  <c r="W43" i="6"/>
  <c r="J43" i="6" l="1"/>
  <c r="X43" i="6"/>
  <c r="Y43" i="6" l="1"/>
  <c r="K43" i="6"/>
  <c r="Z43" i="6" l="1"/>
  <c r="L43" i="6"/>
  <c r="AA43" i="6" l="1"/>
  <c r="M43" i="6"/>
  <c r="AB43" i="6" l="1"/>
  <c r="N43" i="6"/>
  <c r="E6" i="5" l="1"/>
  <c r="F6" i="5" s="1"/>
  <c r="G6" i="5" s="1"/>
  <c r="D7" i="5"/>
  <c r="D16" i="5"/>
  <c r="E16" i="5"/>
  <c r="F16" i="5"/>
  <c r="G16" i="5"/>
  <c r="H16" i="5"/>
  <c r="I16" i="5"/>
  <c r="J16" i="5"/>
  <c r="K16" i="5"/>
  <c r="L16" i="5"/>
  <c r="M16" i="5"/>
  <c r="N16" i="5"/>
  <c r="O16" i="5"/>
  <c r="D36" i="5"/>
  <c r="E9" i="5" s="1"/>
  <c r="E36" i="5" s="1"/>
  <c r="F9" i="5" s="1"/>
  <c r="F36" i="5" s="1"/>
  <c r="G9" i="5" s="1"/>
  <c r="G36" i="5" s="1"/>
  <c r="H9" i="5" s="1"/>
  <c r="H36" i="5" s="1"/>
  <c r="I9" i="5" s="1"/>
  <c r="I36" i="5" s="1"/>
  <c r="J9" i="5" s="1"/>
  <c r="J36" i="5" s="1"/>
  <c r="K9" i="5" s="1"/>
  <c r="K36" i="5" s="1"/>
  <c r="L9" i="5" s="1"/>
  <c r="L36" i="5" s="1"/>
  <c r="M9" i="5" s="1"/>
  <c r="M36" i="5" s="1"/>
  <c r="N9" i="5" s="1"/>
  <c r="N36" i="5" s="1"/>
  <c r="O9" i="5" s="1"/>
  <c r="O36" i="5" s="1"/>
  <c r="D37" i="5"/>
  <c r="E10" i="5" s="1"/>
  <c r="E37" i="5" s="1"/>
  <c r="F10" i="5" s="1"/>
  <c r="D38" i="5"/>
  <c r="E11" i="5" s="1"/>
  <c r="E38" i="5" s="1"/>
  <c r="F11" i="5" s="1"/>
  <c r="F38" i="5" s="1"/>
  <c r="G11" i="5" s="1"/>
  <c r="G38" i="5" s="1"/>
  <c r="H11" i="5" s="1"/>
  <c r="D39" i="5"/>
  <c r="E12" i="5" s="1"/>
  <c r="E39" i="5" s="1"/>
  <c r="F12" i="5" s="1"/>
  <c r="D40" i="5"/>
  <c r="E13" i="5" s="1"/>
  <c r="E40" i="5" s="1"/>
  <c r="F13" i="5" s="1"/>
  <c r="F40" i="5" s="1"/>
  <c r="G13" i="5" s="1"/>
  <c r="G40" i="5" s="1"/>
  <c r="H13" i="5" s="1"/>
  <c r="H40" i="5" s="1"/>
  <c r="I13" i="5" s="1"/>
  <c r="I40" i="5" s="1"/>
  <c r="J13" i="5" s="1"/>
  <c r="J40" i="5" s="1"/>
  <c r="K13" i="5" s="1"/>
  <c r="K40" i="5" s="1"/>
  <c r="L13" i="5" s="1"/>
  <c r="L40" i="5" s="1"/>
  <c r="M13" i="5" s="1"/>
  <c r="M40" i="5" s="1"/>
  <c r="N13" i="5" s="1"/>
  <c r="N40" i="5" s="1"/>
  <c r="O13" i="5" s="1"/>
  <c r="O40" i="5" s="1"/>
  <c r="D41" i="5"/>
  <c r="E14" i="5" s="1"/>
  <c r="E41" i="5" s="1"/>
  <c r="F14" i="5" s="1"/>
  <c r="D42" i="5"/>
  <c r="E15" i="5" s="1"/>
  <c r="E42" i="5" s="1"/>
  <c r="F15" i="5" s="1"/>
  <c r="F42" i="5" s="1"/>
  <c r="G15" i="5" s="1"/>
  <c r="G42" i="5" s="1"/>
  <c r="H15" i="5" s="1"/>
  <c r="H42" i="5" s="1"/>
  <c r="I15" i="5" s="1"/>
  <c r="I42" i="5" s="1"/>
  <c r="J15" i="5" s="1"/>
  <c r="J42" i="5" s="1"/>
  <c r="K15" i="5" s="1"/>
  <c r="K42" i="5" s="1"/>
  <c r="L15" i="5" s="1"/>
  <c r="L42" i="5" s="1"/>
  <c r="M15" i="5" s="1"/>
  <c r="M42" i="5" s="1"/>
  <c r="N15" i="5" s="1"/>
  <c r="N42" i="5" s="1"/>
  <c r="O15" i="5" s="1"/>
  <c r="O42" i="5" s="1"/>
  <c r="F37" i="5"/>
  <c r="G10" i="5" s="1"/>
  <c r="G37" i="5" s="1"/>
  <c r="H10" i="5" s="1"/>
  <c r="H37" i="5" s="1"/>
  <c r="I10" i="5" s="1"/>
  <c r="I37" i="5" s="1"/>
  <c r="J10" i="5" s="1"/>
  <c r="J37" i="5" s="1"/>
  <c r="K10" i="5" s="1"/>
  <c r="K37" i="5" s="1"/>
  <c r="L10" i="5" s="1"/>
  <c r="L37" i="5" s="1"/>
  <c r="M10" i="5" s="1"/>
  <c r="M37" i="5" s="1"/>
  <c r="N10" i="5" s="1"/>
  <c r="N37" i="5" s="1"/>
  <c r="O10" i="5" s="1"/>
  <c r="O37" i="5" s="1"/>
  <c r="E5" i="4"/>
  <c r="F5" i="4" s="1"/>
  <c r="G5" i="4" s="1"/>
  <c r="H5" i="4" s="1"/>
  <c r="I5" i="4" s="1"/>
  <c r="J5" i="4" s="1"/>
  <c r="K5" i="4" s="1"/>
  <c r="L5" i="4" s="1"/>
  <c r="M5" i="4" s="1"/>
  <c r="N5" i="4" s="1"/>
  <c r="O5" i="4" s="1"/>
  <c r="H6" i="4"/>
  <c r="I6" i="4"/>
  <c r="D6" i="4"/>
  <c r="E6" i="4"/>
  <c r="F6" i="4"/>
  <c r="I40" i="4"/>
  <c r="L7" i="4"/>
  <c r="L6" i="4" s="1"/>
  <c r="M7" i="4"/>
  <c r="M6" i="4" s="1"/>
  <c r="N7" i="4"/>
  <c r="N6" i="4" s="1"/>
  <c r="O7" i="4"/>
  <c r="P8" i="4"/>
  <c r="P10" i="4"/>
  <c r="P12" i="4"/>
  <c r="P13" i="4"/>
  <c r="P14" i="4"/>
  <c r="P15" i="4"/>
  <c r="I45" i="4"/>
  <c r="L16" i="4"/>
  <c r="M16" i="4"/>
  <c r="N16" i="4"/>
  <c r="O16" i="4"/>
  <c r="P17" i="4"/>
  <c r="P18" i="4"/>
  <c r="G22" i="4"/>
  <c r="H22" i="4"/>
  <c r="I22" i="4"/>
  <c r="N22" i="4"/>
  <c r="O22" i="4"/>
  <c r="D22" i="4"/>
  <c r="J22" i="4"/>
  <c r="K22" i="4"/>
  <c r="K46" i="4" s="1"/>
  <c r="L23" i="4"/>
  <c r="L22" i="4" s="1"/>
  <c r="M23" i="4"/>
  <c r="M22" i="4" s="1"/>
  <c r="N23" i="4"/>
  <c r="O23" i="4"/>
  <c r="P25" i="4"/>
  <c r="P26" i="4"/>
  <c r="P27" i="4"/>
  <c r="P28" i="4"/>
  <c r="P30" i="4"/>
  <c r="P31" i="4"/>
  <c r="F22" i="4"/>
  <c r="P32" i="4"/>
  <c r="P33" i="4"/>
  <c r="P37" i="4"/>
  <c r="P38" i="4"/>
  <c r="P39" i="4"/>
  <c r="D40" i="4"/>
  <c r="E40" i="4"/>
  <c r="F40" i="4"/>
  <c r="H40" i="4"/>
  <c r="M40" i="4"/>
  <c r="D41" i="4"/>
  <c r="J41" i="4"/>
  <c r="K41" i="4"/>
  <c r="L41" i="4"/>
  <c r="M41" i="4"/>
  <c r="N41" i="4"/>
  <c r="N46" i="4" s="1"/>
  <c r="N47" i="4" s="1"/>
  <c r="O41" i="4"/>
  <c r="F41" i="4"/>
  <c r="G41" i="4"/>
  <c r="H41" i="4"/>
  <c r="I41" i="4"/>
  <c r="I46" i="4" s="1"/>
  <c r="P43" i="4"/>
  <c r="P44" i="4"/>
  <c r="D45" i="4"/>
  <c r="K45" i="4"/>
  <c r="J46" i="4"/>
  <c r="D48" i="4"/>
  <c r="E48" i="4"/>
  <c r="F48" i="4"/>
  <c r="G48" i="4"/>
  <c r="H48" i="4"/>
  <c r="I48" i="4"/>
  <c r="J48" i="4"/>
  <c r="K48" i="4"/>
  <c r="L48" i="4"/>
  <c r="M48" i="4"/>
  <c r="N48" i="4"/>
  <c r="O48" i="4"/>
  <c r="P49" i="4"/>
  <c r="P50" i="4"/>
  <c r="P51" i="4"/>
  <c r="P52" i="4"/>
  <c r="P53" i="4"/>
  <c r="D56" i="4"/>
  <c r="E56" i="4"/>
  <c r="F56" i="4"/>
  <c r="G56" i="4"/>
  <c r="H56" i="4"/>
  <c r="I56" i="4"/>
  <c r="J56" i="4"/>
  <c r="K56" i="4"/>
  <c r="L56" i="4"/>
  <c r="M56" i="4"/>
  <c r="N56" i="4"/>
  <c r="O56" i="4"/>
  <c r="P57" i="4"/>
  <c r="P58" i="4"/>
  <c r="P59" i="4"/>
  <c r="P60" i="4"/>
  <c r="P61" i="4"/>
  <c r="P62" i="4"/>
  <c r="P63" i="4"/>
  <c r="P64" i="4"/>
  <c r="D67" i="4"/>
  <c r="F67" i="4"/>
  <c r="H67" i="4"/>
  <c r="J67" i="4"/>
  <c r="N67" i="4"/>
  <c r="O67" i="4"/>
  <c r="P68" i="4"/>
  <c r="C69" i="4"/>
  <c r="P69" i="4"/>
  <c r="P70" i="4"/>
  <c r="C71" i="4"/>
  <c r="P71" i="4"/>
  <c r="C72" i="4"/>
  <c r="P72" i="4"/>
  <c r="P73" i="4"/>
  <c r="P74" i="4"/>
  <c r="C75" i="4"/>
  <c r="G67" i="4"/>
  <c r="I67" i="4"/>
  <c r="K67" i="4"/>
  <c r="L67" i="4"/>
  <c r="M67" i="4"/>
  <c r="L45" i="4" l="1"/>
  <c r="N40" i="4"/>
  <c r="I25" i="5"/>
  <c r="O25" i="5"/>
  <c r="G25" i="5"/>
  <c r="P48" i="4"/>
  <c r="N54" i="4"/>
  <c r="N55" i="4" s="1"/>
  <c r="M54" i="4"/>
  <c r="M55" i="4" s="1"/>
  <c r="M25" i="5"/>
  <c r="E25" i="5"/>
  <c r="O46" i="4"/>
  <c r="M46" i="4"/>
  <c r="M47" i="4" s="1"/>
  <c r="F41" i="5"/>
  <c r="G14" i="5" s="1"/>
  <c r="G41" i="5" s="1"/>
  <c r="H14" i="5" s="1"/>
  <c r="H41" i="5" s="1"/>
  <c r="I14" i="5" s="1"/>
  <c r="I41" i="5" s="1"/>
  <c r="J14" i="5" s="1"/>
  <c r="J41" i="5" s="1"/>
  <c r="K14" i="5" s="1"/>
  <c r="K41" i="5" s="1"/>
  <c r="L14" i="5" s="1"/>
  <c r="L41" i="5" s="1"/>
  <c r="M14" i="5" s="1"/>
  <c r="M41" i="5" s="1"/>
  <c r="N14" i="5" s="1"/>
  <c r="N41" i="5" s="1"/>
  <c r="O14" i="5" s="1"/>
  <c r="O41" i="5" s="1"/>
  <c r="F39" i="5"/>
  <c r="G12" i="5" s="1"/>
  <c r="G39" i="5" s="1"/>
  <c r="H12" i="5" s="1"/>
  <c r="H39" i="5" s="1"/>
  <c r="I12" i="5" s="1"/>
  <c r="I39" i="5" s="1"/>
  <c r="J12" i="5" s="1"/>
  <c r="J39" i="5" s="1"/>
  <c r="K12" i="5" s="1"/>
  <c r="K39" i="5" s="1"/>
  <c r="L12" i="5" s="1"/>
  <c r="L39" i="5" s="1"/>
  <c r="M12" i="5" s="1"/>
  <c r="M39" i="5" s="1"/>
  <c r="N12" i="5" s="1"/>
  <c r="N39" i="5" s="1"/>
  <c r="O12" i="5" s="1"/>
  <c r="O39" i="5" s="1"/>
  <c r="H25" i="5"/>
  <c r="L40" i="4"/>
  <c r="K25" i="5"/>
  <c r="D35" i="5"/>
  <c r="D25" i="5"/>
  <c r="L25" i="5"/>
  <c r="N25" i="5"/>
  <c r="F25" i="5"/>
  <c r="J25" i="5"/>
  <c r="H38" i="5"/>
  <c r="I11" i="5" s="1"/>
  <c r="I38" i="5" s="1"/>
  <c r="J11" i="5" s="1"/>
  <c r="J38" i="5" s="1"/>
  <c r="K11" i="5" s="1"/>
  <c r="K38" i="5" s="1"/>
  <c r="L11" i="5" s="1"/>
  <c r="L38" i="5" s="1"/>
  <c r="M11" i="5" s="1"/>
  <c r="M38" i="5" s="1"/>
  <c r="N11" i="5" s="1"/>
  <c r="N38" i="5" s="1"/>
  <c r="O11" i="5" s="1"/>
  <c r="O38" i="5" s="1"/>
  <c r="H6" i="5"/>
  <c r="I54" i="4"/>
  <c r="I47" i="4"/>
  <c r="P42" i="4"/>
  <c r="P41" i="4" s="1"/>
  <c r="E41" i="4"/>
  <c r="F46" i="4"/>
  <c r="E22" i="4"/>
  <c r="E46" i="4" s="1"/>
  <c r="G46" i="4"/>
  <c r="P21" i="4"/>
  <c r="P19" i="4"/>
  <c r="K40" i="4"/>
  <c r="K6" i="4"/>
  <c r="P9" i="4"/>
  <c r="P29" i="4"/>
  <c r="L46" i="4"/>
  <c r="D46" i="4"/>
  <c r="P20" i="4"/>
  <c r="J45" i="4"/>
  <c r="J40" i="4"/>
  <c r="J6" i="4"/>
  <c r="P35" i="4"/>
  <c r="P16" i="4"/>
  <c r="G45" i="4"/>
  <c r="G6" i="4"/>
  <c r="G40" i="4"/>
  <c r="C70" i="4"/>
  <c r="P56" i="4"/>
  <c r="P24" i="4"/>
  <c r="J54" i="4"/>
  <c r="J47" i="4"/>
  <c r="C73" i="4"/>
  <c r="P36" i="4"/>
  <c r="O45" i="4"/>
  <c r="O6" i="4"/>
  <c r="O40" i="4"/>
  <c r="P75" i="4"/>
  <c r="P67" i="4" s="1"/>
  <c r="E67" i="4"/>
  <c r="K47" i="4"/>
  <c r="K54" i="4"/>
  <c r="C74" i="4"/>
  <c r="C68" i="4"/>
  <c r="P34" i="4"/>
  <c r="H46" i="4"/>
  <c r="P11" i="4"/>
  <c r="N45" i="4"/>
  <c r="F45" i="4"/>
  <c r="M45" i="4"/>
  <c r="E45" i="4"/>
  <c r="P7" i="4"/>
  <c r="P45" i="4" s="1"/>
  <c r="P23" i="4"/>
  <c r="P22" i="4" s="1"/>
  <c r="H45" i="4"/>
  <c r="O54" i="4" l="1"/>
  <c r="O47" i="4"/>
  <c r="M65" i="4"/>
  <c r="N65" i="4"/>
  <c r="N66" i="4" s="1"/>
  <c r="I6" i="5"/>
  <c r="E8" i="5"/>
  <c r="D34" i="5"/>
  <c r="K55" i="4"/>
  <c r="K65" i="4"/>
  <c r="J55" i="4"/>
  <c r="J65" i="4"/>
  <c r="G54" i="4"/>
  <c r="G47" i="4"/>
  <c r="F47" i="4"/>
  <c r="F54" i="4"/>
  <c r="H54" i="4"/>
  <c r="H47" i="4"/>
  <c r="E47" i="4"/>
  <c r="E54" i="4"/>
  <c r="D47" i="4"/>
  <c r="D54" i="4"/>
  <c r="P46" i="4"/>
  <c r="M66" i="4"/>
  <c r="M76" i="4"/>
  <c r="M77" i="4" s="1"/>
  <c r="L54" i="4"/>
  <c r="L47" i="4"/>
  <c r="I55" i="4"/>
  <c r="I65" i="4"/>
  <c r="N76" i="4"/>
  <c r="N77" i="4" s="1"/>
  <c r="P6" i="4"/>
  <c r="P40" i="4"/>
  <c r="C67" i="4"/>
  <c r="O55" i="4" l="1"/>
  <c r="O65" i="4"/>
  <c r="E7" i="5"/>
  <c r="E35" i="5"/>
  <c r="J6" i="5"/>
  <c r="H55" i="4"/>
  <c r="H65" i="4"/>
  <c r="E55" i="4"/>
  <c r="E65" i="4"/>
  <c r="F55" i="4"/>
  <c r="F65" i="4"/>
  <c r="L55" i="4"/>
  <c r="L65" i="4"/>
  <c r="P54" i="4"/>
  <c r="P47" i="4"/>
  <c r="G55" i="4"/>
  <c r="G65" i="4"/>
  <c r="K66" i="4"/>
  <c r="K76" i="4"/>
  <c r="K77" i="4" s="1"/>
  <c r="D55" i="4"/>
  <c r="D65" i="4"/>
  <c r="J66" i="4"/>
  <c r="J76" i="4"/>
  <c r="J77" i="4" s="1"/>
  <c r="I76" i="4"/>
  <c r="I77" i="4" s="1"/>
  <c r="I66" i="4"/>
  <c r="O76" i="4" l="1"/>
  <c r="O77" i="4" s="1"/>
  <c r="O66" i="4"/>
  <c r="K6" i="5"/>
  <c r="F8" i="5"/>
  <c r="E34" i="5"/>
  <c r="P55" i="4"/>
  <c r="P65" i="4"/>
  <c r="E66" i="4"/>
  <c r="E76" i="4"/>
  <c r="E77" i="4" s="1"/>
  <c r="H76" i="4"/>
  <c r="H77" i="4" s="1"/>
  <c r="H66" i="4"/>
  <c r="C76" i="4"/>
  <c r="C77" i="4" s="1"/>
  <c r="D76" i="4"/>
  <c r="D77" i="4" s="1"/>
  <c r="D66" i="4"/>
  <c r="G76" i="4"/>
  <c r="G77" i="4" s="1"/>
  <c r="G66" i="4"/>
  <c r="F76" i="4"/>
  <c r="F77" i="4" s="1"/>
  <c r="F66" i="4"/>
  <c r="L76" i="4"/>
  <c r="L77" i="4" s="1"/>
  <c r="L66" i="4"/>
  <c r="L6" i="5" l="1"/>
  <c r="F7" i="5"/>
  <c r="F35" i="5"/>
  <c r="P66" i="4"/>
  <c r="P76" i="4"/>
  <c r="P77" i="4" s="1"/>
  <c r="G8" i="5" l="1"/>
  <c r="F34" i="5"/>
  <c r="M6" i="5"/>
  <c r="N6" i="5" l="1"/>
  <c r="G7" i="5"/>
  <c r="G35" i="5"/>
  <c r="H8" i="5" l="1"/>
  <c r="G34" i="5"/>
  <c r="O6" i="5"/>
  <c r="H35" i="5" l="1"/>
  <c r="H7" i="5"/>
  <c r="H34" i="5" l="1"/>
  <c r="I8" i="5"/>
  <c r="I7" i="5" l="1"/>
  <c r="I35" i="5"/>
  <c r="J8" i="5" l="1"/>
  <c r="I34" i="5"/>
  <c r="J7" i="5" l="1"/>
  <c r="J35" i="5"/>
  <c r="K8" i="5" l="1"/>
  <c r="J34" i="5"/>
  <c r="K7" i="5" l="1"/>
  <c r="K35" i="5"/>
  <c r="L8" i="5" l="1"/>
  <c r="K34" i="5"/>
  <c r="L35" i="5" l="1"/>
  <c r="L7" i="5"/>
  <c r="L34" i="5" l="1"/>
  <c r="M8" i="5"/>
  <c r="M7" i="5" l="1"/>
  <c r="M35" i="5"/>
  <c r="N8" i="5" l="1"/>
  <c r="M34" i="5"/>
  <c r="N7" i="5" l="1"/>
  <c r="N35" i="5"/>
  <c r="O8" i="5" l="1"/>
  <c r="N34" i="5"/>
  <c r="O7" i="5" l="1"/>
  <c r="O35" i="5"/>
  <c r="O34" i="5" s="1"/>
  <c r="D37" i="3" l="1"/>
  <c r="E10" i="3" s="1"/>
  <c r="E37" i="3" s="1"/>
  <c r="F10" i="3" s="1"/>
  <c r="F37" i="3" s="1"/>
  <c r="G10" i="3" s="1"/>
  <c r="G37" i="3" s="1"/>
  <c r="H10" i="3" s="1"/>
  <c r="D36" i="3"/>
  <c r="E9" i="3" s="1"/>
  <c r="O16" i="3"/>
  <c r="N16" i="3"/>
  <c r="M16" i="3"/>
  <c r="L16" i="3"/>
  <c r="K16" i="3"/>
  <c r="J16" i="3"/>
  <c r="I16" i="3"/>
  <c r="H16" i="3"/>
  <c r="G16" i="3"/>
  <c r="F16" i="3"/>
  <c r="E16" i="3"/>
  <c r="D16" i="3"/>
  <c r="D7" i="3"/>
  <c r="E6" i="3"/>
  <c r="F6" i="3" s="1"/>
  <c r="G6" i="3" s="1"/>
  <c r="M67" i="2"/>
  <c r="P74" i="2"/>
  <c r="C74" i="2"/>
  <c r="P73" i="2"/>
  <c r="P72" i="2"/>
  <c r="P71" i="2"/>
  <c r="P70" i="2"/>
  <c r="P69" i="2"/>
  <c r="P68" i="2"/>
  <c r="O67" i="2"/>
  <c r="N67" i="2"/>
  <c r="L67" i="2"/>
  <c r="K67" i="2"/>
  <c r="J67" i="2"/>
  <c r="I67" i="2"/>
  <c r="H67" i="2"/>
  <c r="G67" i="2"/>
  <c r="F67" i="2"/>
  <c r="D67" i="2"/>
  <c r="P64" i="2"/>
  <c r="P63" i="2"/>
  <c r="P62" i="2"/>
  <c r="P61" i="2"/>
  <c r="P60" i="2"/>
  <c r="P59" i="2"/>
  <c r="P58" i="2"/>
  <c r="P57" i="2"/>
  <c r="O56" i="2"/>
  <c r="N56" i="2"/>
  <c r="M56" i="2"/>
  <c r="L56" i="2"/>
  <c r="K56" i="2"/>
  <c r="J56" i="2"/>
  <c r="I56" i="2"/>
  <c r="H56" i="2"/>
  <c r="G56" i="2"/>
  <c r="F56" i="2"/>
  <c r="E56" i="2"/>
  <c r="D56" i="2"/>
  <c r="P53" i="2"/>
  <c r="P52" i="2"/>
  <c r="P51" i="2"/>
  <c r="P50" i="2"/>
  <c r="P48" i="2" s="1"/>
  <c r="P49" i="2"/>
  <c r="O48" i="2"/>
  <c r="N48" i="2"/>
  <c r="M48" i="2"/>
  <c r="L48" i="2"/>
  <c r="K48" i="2"/>
  <c r="J48" i="2"/>
  <c r="I48" i="2"/>
  <c r="H48" i="2"/>
  <c r="G48" i="2"/>
  <c r="F48" i="2"/>
  <c r="E48" i="2"/>
  <c r="D48" i="2"/>
  <c r="O45" i="2"/>
  <c r="N45" i="2"/>
  <c r="M45" i="2"/>
  <c r="L45" i="2"/>
  <c r="K45" i="2"/>
  <c r="H45" i="2"/>
  <c r="P44" i="2"/>
  <c r="P43" i="2"/>
  <c r="J41" i="2"/>
  <c r="P42" i="2"/>
  <c r="P41" i="2" s="1"/>
  <c r="O41" i="2"/>
  <c r="N41" i="2"/>
  <c r="M41" i="2"/>
  <c r="L41" i="2"/>
  <c r="K41" i="2"/>
  <c r="H41" i="2"/>
  <c r="G41" i="2"/>
  <c r="F41" i="2"/>
  <c r="E41" i="2"/>
  <c r="D41" i="2"/>
  <c r="O40" i="2"/>
  <c r="N40" i="2"/>
  <c r="M40" i="2"/>
  <c r="L40" i="2"/>
  <c r="K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J22" i="2"/>
  <c r="G22" i="2"/>
  <c r="D22" i="2"/>
  <c r="D46" i="2" s="1"/>
  <c r="O22" i="2"/>
  <c r="N22" i="2"/>
  <c r="N46" i="2" s="1"/>
  <c r="N54" i="2" s="1"/>
  <c r="M22" i="2"/>
  <c r="L22" i="2"/>
  <c r="K22" i="2"/>
  <c r="K46" i="2" s="1"/>
  <c r="I22" i="2"/>
  <c r="H22" i="2"/>
  <c r="H46" i="2" s="1"/>
  <c r="F22" i="2"/>
  <c r="F46" i="2" s="1"/>
  <c r="F54" i="2" s="1"/>
  <c r="E22" i="2"/>
  <c r="E46" i="2" s="1"/>
  <c r="P21" i="2"/>
  <c r="P20" i="2"/>
  <c r="P19" i="2"/>
  <c r="P18" i="2"/>
  <c r="P17" i="2"/>
  <c r="O16" i="2"/>
  <c r="O29" i="3" s="1"/>
  <c r="N16" i="2"/>
  <c r="M16" i="2"/>
  <c r="L16" i="2"/>
  <c r="K16" i="2"/>
  <c r="J45" i="2"/>
  <c r="I45" i="2"/>
  <c r="G45" i="2"/>
  <c r="P15" i="2"/>
  <c r="E45" i="2"/>
  <c r="D45" i="2"/>
  <c r="P14" i="2"/>
  <c r="P13" i="2"/>
  <c r="P12" i="2"/>
  <c r="D41" i="3"/>
  <c r="E14" i="3" s="1"/>
  <c r="D40" i="3"/>
  <c r="E13" i="3" s="1"/>
  <c r="D39" i="3"/>
  <c r="E12" i="3" s="1"/>
  <c r="E39" i="3" s="1"/>
  <c r="F12" i="3" s="1"/>
  <c r="F39" i="3" s="1"/>
  <c r="G12" i="3" s="1"/>
  <c r="G39" i="3" s="1"/>
  <c r="H12" i="3" s="1"/>
  <c r="H39" i="3" s="1"/>
  <c r="I12" i="3" s="1"/>
  <c r="D38" i="3"/>
  <c r="E11" i="3" s="1"/>
  <c r="J6" i="2"/>
  <c r="I40" i="2"/>
  <c r="P7" i="2"/>
  <c r="G40" i="2"/>
  <c r="F40" i="2"/>
  <c r="E40" i="2"/>
  <c r="D40" i="2"/>
  <c r="O6" i="2"/>
  <c r="N6" i="2"/>
  <c r="M6" i="2"/>
  <c r="L6" i="2"/>
  <c r="K6" i="2"/>
  <c r="G6" i="2"/>
  <c r="F6" i="2"/>
  <c r="E6" i="2"/>
  <c r="D6" i="2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E36" i="3" l="1"/>
  <c r="F9" i="3" s="1"/>
  <c r="F36" i="3" s="1"/>
  <c r="G9" i="3" s="1"/>
  <c r="G36" i="3" s="1"/>
  <c r="H9" i="3" s="1"/>
  <c r="H36" i="3" s="1"/>
  <c r="I9" i="3" s="1"/>
  <c r="I36" i="3" s="1"/>
  <c r="J9" i="3" s="1"/>
  <c r="J36" i="3" s="1"/>
  <c r="K9" i="3" s="1"/>
  <c r="K36" i="3" s="1"/>
  <c r="L9" i="3" s="1"/>
  <c r="L36" i="3" s="1"/>
  <c r="M9" i="3" s="1"/>
  <c r="M36" i="3" s="1"/>
  <c r="N9" i="3" s="1"/>
  <c r="N36" i="3" s="1"/>
  <c r="O9" i="3" s="1"/>
  <c r="O36" i="3" s="1"/>
  <c r="G46" i="2"/>
  <c r="K25" i="3"/>
  <c r="H37" i="3"/>
  <c r="I10" i="3" s="1"/>
  <c r="I37" i="3" s="1"/>
  <c r="J10" i="3" s="1"/>
  <c r="J37" i="3" s="1"/>
  <c r="K10" i="3" s="1"/>
  <c r="K37" i="3" s="1"/>
  <c r="L10" i="3" s="1"/>
  <c r="L37" i="3" s="1"/>
  <c r="M10" i="3" s="1"/>
  <c r="M37" i="3" s="1"/>
  <c r="N10" i="3" s="1"/>
  <c r="N37" i="3" s="1"/>
  <c r="O10" i="3" s="1"/>
  <c r="O37" i="3" s="1"/>
  <c r="P56" i="2"/>
  <c r="E41" i="3"/>
  <c r="F14" i="3" s="1"/>
  <c r="P16" i="2"/>
  <c r="L46" i="2"/>
  <c r="L54" i="2" s="1"/>
  <c r="M46" i="2"/>
  <c r="P6" i="2"/>
  <c r="E47" i="2"/>
  <c r="E54" i="2"/>
  <c r="J46" i="2"/>
  <c r="F65" i="2"/>
  <c r="F55" i="2"/>
  <c r="M25" i="3"/>
  <c r="N65" i="2"/>
  <c r="N55" i="2"/>
  <c r="I39" i="3"/>
  <c r="J12" i="3" s="1"/>
  <c r="H47" i="2"/>
  <c r="H54" i="2"/>
  <c r="D47" i="2"/>
  <c r="D54" i="2"/>
  <c r="K47" i="2"/>
  <c r="K54" i="2"/>
  <c r="G54" i="2"/>
  <c r="G47" i="2"/>
  <c r="M54" i="2"/>
  <c r="M47" i="2"/>
  <c r="P45" i="2"/>
  <c r="J40" i="2"/>
  <c r="C71" i="2"/>
  <c r="H6" i="2"/>
  <c r="I6" i="2"/>
  <c r="H25" i="3"/>
  <c r="P11" i="2"/>
  <c r="F45" i="2"/>
  <c r="C72" i="2"/>
  <c r="F25" i="3"/>
  <c r="P23" i="2"/>
  <c r="P22" i="2" s="1"/>
  <c r="O46" i="2"/>
  <c r="P75" i="2"/>
  <c r="P67" i="2" s="1"/>
  <c r="E67" i="2"/>
  <c r="P8" i="2"/>
  <c r="I25" i="3"/>
  <c r="H40" i="2"/>
  <c r="C69" i="2"/>
  <c r="E25" i="3"/>
  <c r="P10" i="2"/>
  <c r="E40" i="3"/>
  <c r="F13" i="3" s="1"/>
  <c r="F40" i="3" s="1"/>
  <c r="G13" i="3" s="1"/>
  <c r="G40" i="3" s="1"/>
  <c r="H13" i="3" s="1"/>
  <c r="G25" i="3"/>
  <c r="L25" i="3"/>
  <c r="I41" i="2"/>
  <c r="I46" i="2" s="1"/>
  <c r="F47" i="2"/>
  <c r="N47" i="2"/>
  <c r="C68" i="2"/>
  <c r="C67" i="2" s="1"/>
  <c r="H6" i="3"/>
  <c r="C73" i="2"/>
  <c r="E38" i="3"/>
  <c r="F11" i="3" s="1"/>
  <c r="F38" i="3" s="1"/>
  <c r="G11" i="3" s="1"/>
  <c r="G38" i="3" s="1"/>
  <c r="H11" i="3" s="1"/>
  <c r="H38" i="3" s="1"/>
  <c r="I11" i="3" s="1"/>
  <c r="I38" i="3" s="1"/>
  <c r="J11" i="3" s="1"/>
  <c r="J38" i="3" s="1"/>
  <c r="K11" i="3" s="1"/>
  <c r="K38" i="3" s="1"/>
  <c r="L11" i="3" s="1"/>
  <c r="L38" i="3" s="1"/>
  <c r="M11" i="3" s="1"/>
  <c r="M38" i="3" s="1"/>
  <c r="N11" i="3" s="1"/>
  <c r="N38" i="3" s="1"/>
  <c r="O11" i="3" s="1"/>
  <c r="O38" i="3" s="1"/>
  <c r="D35" i="3"/>
  <c r="P9" i="2"/>
  <c r="D42" i="3"/>
  <c r="E15" i="3" s="1"/>
  <c r="N25" i="3"/>
  <c r="O25" i="3"/>
  <c r="C70" i="2"/>
  <c r="C75" i="2"/>
  <c r="L47" i="2" l="1"/>
  <c r="D25" i="3"/>
  <c r="I47" i="2"/>
  <c r="I54" i="2"/>
  <c r="P46" i="2"/>
  <c r="M65" i="2"/>
  <c r="M55" i="2"/>
  <c r="J39" i="3"/>
  <c r="K12" i="3" s="1"/>
  <c r="K39" i="3" s="1"/>
  <c r="L12" i="3" s="1"/>
  <c r="L39" i="3" s="1"/>
  <c r="M12" i="3" s="1"/>
  <c r="M39" i="3" s="1"/>
  <c r="N12" i="3" s="1"/>
  <c r="N39" i="3" s="1"/>
  <c r="O12" i="3" s="1"/>
  <c r="O39" i="3" s="1"/>
  <c r="J54" i="2"/>
  <c r="J47" i="2"/>
  <c r="I6" i="3"/>
  <c r="H55" i="2"/>
  <c r="H65" i="2"/>
  <c r="E65" i="2"/>
  <c r="E55" i="2"/>
  <c r="N76" i="2"/>
  <c r="N77" i="2" s="1"/>
  <c r="N66" i="2"/>
  <c r="J25" i="3"/>
  <c r="H40" i="3"/>
  <c r="I13" i="3" s="1"/>
  <c r="I40" i="3" s="1"/>
  <c r="J13" i="3" s="1"/>
  <c r="J40" i="3" s="1"/>
  <c r="K13" i="3" s="1"/>
  <c r="K40" i="3" s="1"/>
  <c r="L13" i="3" s="1"/>
  <c r="L40" i="3" s="1"/>
  <c r="M13" i="3" s="1"/>
  <c r="M40" i="3" s="1"/>
  <c r="N13" i="3" s="1"/>
  <c r="N40" i="3" s="1"/>
  <c r="O13" i="3" s="1"/>
  <c r="O40" i="3" s="1"/>
  <c r="K65" i="2"/>
  <c r="K55" i="2"/>
  <c r="G65" i="2"/>
  <c r="G55" i="2"/>
  <c r="F41" i="3"/>
  <c r="G14" i="3" s="1"/>
  <c r="G41" i="3" s="1"/>
  <c r="H14" i="3" s="1"/>
  <c r="H41" i="3" s="1"/>
  <c r="I14" i="3" s="1"/>
  <c r="I41" i="3" s="1"/>
  <c r="J14" i="3" s="1"/>
  <c r="J41" i="3" s="1"/>
  <c r="K14" i="3" s="1"/>
  <c r="K41" i="3" s="1"/>
  <c r="L14" i="3" s="1"/>
  <c r="L41" i="3" s="1"/>
  <c r="M14" i="3" s="1"/>
  <c r="M41" i="3" s="1"/>
  <c r="N14" i="3" s="1"/>
  <c r="N41" i="3" s="1"/>
  <c r="O14" i="3" s="1"/>
  <c r="O41" i="3" s="1"/>
  <c r="O54" i="2"/>
  <c r="O47" i="2"/>
  <c r="P40" i="2"/>
  <c r="D34" i="3"/>
  <c r="E8" i="3"/>
  <c r="E42" i="3"/>
  <c r="F15" i="3" s="1"/>
  <c r="F42" i="3" s="1"/>
  <c r="G15" i="3" s="1"/>
  <c r="G42" i="3" s="1"/>
  <c r="H15" i="3" s="1"/>
  <c r="H42" i="3" s="1"/>
  <c r="I15" i="3" s="1"/>
  <c r="I42" i="3" s="1"/>
  <c r="J15" i="3" s="1"/>
  <c r="J42" i="3" s="1"/>
  <c r="K15" i="3" s="1"/>
  <c r="K42" i="3" s="1"/>
  <c r="L15" i="3" s="1"/>
  <c r="L42" i="3" s="1"/>
  <c r="M15" i="3" s="1"/>
  <c r="M42" i="3" s="1"/>
  <c r="N15" i="3" s="1"/>
  <c r="N42" i="3" s="1"/>
  <c r="O15" i="3" s="1"/>
  <c r="O42" i="3" s="1"/>
  <c r="L65" i="2"/>
  <c r="L55" i="2"/>
  <c r="D65" i="2"/>
  <c r="D55" i="2"/>
  <c r="F76" i="2"/>
  <c r="F77" i="2" s="1"/>
  <c r="F66" i="2"/>
  <c r="J6" i="3" l="1"/>
  <c r="M76" i="2"/>
  <c r="M77" i="2" s="1"/>
  <c r="M66" i="2"/>
  <c r="D76" i="2"/>
  <c r="D77" i="2" s="1"/>
  <c r="D66" i="2"/>
  <c r="G76" i="2"/>
  <c r="G77" i="2" s="1"/>
  <c r="G66" i="2"/>
  <c r="L76" i="2"/>
  <c r="L77" i="2" s="1"/>
  <c r="L66" i="2"/>
  <c r="J65" i="2"/>
  <c r="J55" i="2"/>
  <c r="K66" i="2"/>
  <c r="K76" i="2"/>
  <c r="K77" i="2" s="1"/>
  <c r="E76" i="2"/>
  <c r="E77" i="2" s="1"/>
  <c r="E66" i="2"/>
  <c r="E7" i="3"/>
  <c r="E35" i="3"/>
  <c r="O65" i="2"/>
  <c r="O55" i="2"/>
  <c r="H76" i="2"/>
  <c r="H77" i="2" s="1"/>
  <c r="H66" i="2"/>
  <c r="P47" i="2"/>
  <c r="P54" i="2"/>
  <c r="I65" i="2"/>
  <c r="I55" i="2"/>
  <c r="E34" i="3" l="1"/>
  <c r="F8" i="3"/>
  <c r="I76" i="2"/>
  <c r="I77" i="2" s="1"/>
  <c r="I66" i="2"/>
  <c r="P55" i="2"/>
  <c r="P65" i="2"/>
  <c r="C76" i="2"/>
  <c r="C77" i="2" s="1"/>
  <c r="J76" i="2"/>
  <c r="J77" i="2" s="1"/>
  <c r="J66" i="2"/>
  <c r="O76" i="2"/>
  <c r="O77" i="2" s="1"/>
  <c r="O66" i="2"/>
  <c r="K6" i="3"/>
  <c r="L6" i="3" l="1"/>
  <c r="F35" i="3"/>
  <c r="F7" i="3"/>
  <c r="P76" i="2"/>
  <c r="P77" i="2" s="1"/>
  <c r="P66" i="2"/>
  <c r="F34" i="3" l="1"/>
  <c r="G8" i="3"/>
  <c r="M6" i="3"/>
  <c r="N6" i="3" l="1"/>
  <c r="G35" i="3"/>
  <c r="G7" i="3"/>
  <c r="G34" i="3" l="1"/>
  <c r="H8" i="3"/>
  <c r="O6" i="3"/>
  <c r="H35" i="3" l="1"/>
  <c r="H7" i="3"/>
  <c r="H34" i="3" l="1"/>
  <c r="I8" i="3"/>
  <c r="I35" i="3" l="1"/>
  <c r="I7" i="3"/>
  <c r="J8" i="3" l="1"/>
  <c r="I34" i="3"/>
  <c r="J35" i="3" l="1"/>
  <c r="J7" i="3"/>
  <c r="J34" i="3" l="1"/>
  <c r="K8" i="3"/>
  <c r="K35" i="3" l="1"/>
  <c r="K7" i="3"/>
  <c r="K34" i="3" l="1"/>
  <c r="L8" i="3"/>
  <c r="L35" i="3" l="1"/>
  <c r="L7" i="3"/>
  <c r="L34" i="3" l="1"/>
  <c r="M8" i="3"/>
  <c r="M35" i="3" l="1"/>
  <c r="M7" i="3"/>
  <c r="M34" i="3" l="1"/>
  <c r="N8" i="3"/>
  <c r="N35" i="3" l="1"/>
  <c r="N7" i="3"/>
  <c r="N34" i="3" l="1"/>
  <c r="O8" i="3"/>
  <c r="O35" i="3" l="1"/>
  <c r="O34" i="3" s="1"/>
  <c r="O7" i="3"/>
</calcChain>
</file>

<file path=xl/sharedStrings.xml><?xml version="1.0" encoding="utf-8"?>
<sst xmlns="http://schemas.openxmlformats.org/spreadsheetml/2006/main" count="448" uniqueCount="148">
  <si>
    <t>＊Profit &amp; Loss</t>
    <phoneticPr fontId="3" type="noConversion"/>
  </si>
  <si>
    <t>(Unit: K Usd)</t>
    <phoneticPr fontId="7" type="noConversion"/>
  </si>
  <si>
    <t>Content</t>
    <phoneticPr fontId="7" type="noConversion"/>
  </si>
  <si>
    <t>2026</t>
    <phoneticPr fontId="7" type="noConversion"/>
  </si>
  <si>
    <t>2025 Total</t>
    <phoneticPr fontId="7" type="noConversion"/>
  </si>
  <si>
    <t>2026 Total</t>
    <phoneticPr fontId="7" type="noConversion"/>
  </si>
  <si>
    <t>1. MSRP Sales</t>
    <phoneticPr fontId="7" type="noConversion"/>
  </si>
  <si>
    <t>E-com</t>
    <phoneticPr fontId="7" type="noConversion"/>
  </si>
  <si>
    <t>26FW</t>
  </si>
  <si>
    <t>26SS</t>
  </si>
  <si>
    <t>25FW</t>
  </si>
  <si>
    <t>25SS</t>
  </si>
  <si>
    <t>Aged</t>
  </si>
  <si>
    <t>Core</t>
  </si>
  <si>
    <t>Gift Card</t>
  </si>
  <si>
    <t>Wholesale (Inc. Samplesale)</t>
  </si>
  <si>
    <t>2. Net Sales</t>
    <phoneticPr fontId="7" type="noConversion"/>
  </si>
  <si>
    <t>License Revenue</t>
    <phoneticPr fontId="7" type="noConversion"/>
  </si>
  <si>
    <t>Others</t>
    <phoneticPr fontId="7" type="noConversion"/>
  </si>
  <si>
    <t>Discount Rate</t>
    <phoneticPr fontId="7" type="noConversion"/>
  </si>
  <si>
    <t>3. CoGs</t>
    <phoneticPr fontId="7" type="noConversion"/>
  </si>
  <si>
    <t>Wholesale</t>
    <phoneticPr fontId="7" type="noConversion"/>
  </si>
  <si>
    <t>Mark up</t>
    <phoneticPr fontId="7" type="noConversion"/>
  </si>
  <si>
    <t>Gross Profit</t>
    <phoneticPr fontId="7" type="noConversion"/>
  </si>
  <si>
    <t>(%)</t>
    <phoneticPr fontId="7" type="noConversion"/>
  </si>
  <si>
    <t>4. Direct Cost</t>
    <phoneticPr fontId="7" type="noConversion"/>
  </si>
  <si>
    <t>Marketing</t>
  </si>
  <si>
    <t>Freight</t>
  </si>
  <si>
    <t>Order Processing</t>
  </si>
  <si>
    <t>Professional Service</t>
  </si>
  <si>
    <t>Direct Profit</t>
    <phoneticPr fontId="7" type="noConversion"/>
  </si>
  <si>
    <t>5. G&amp;A</t>
    <phoneticPr fontId="7" type="noConversion"/>
  </si>
  <si>
    <t>Salaries</t>
    <phoneticPr fontId="7" type="noConversion"/>
  </si>
  <si>
    <t>Advertising</t>
  </si>
  <si>
    <t>T&amp;E</t>
  </si>
  <si>
    <t>Rent</t>
  </si>
  <si>
    <t>Sample</t>
  </si>
  <si>
    <t>D&amp;A</t>
    <phoneticPr fontId="7" type="noConversion"/>
  </si>
  <si>
    <t>Operating Profit</t>
    <phoneticPr fontId="7" type="noConversion"/>
  </si>
  <si>
    <t>6. Other Income(Expense)</t>
    <phoneticPr fontId="7" type="noConversion"/>
  </si>
  <si>
    <t>Interest</t>
  </si>
  <si>
    <t>Other Income (BTL)</t>
  </si>
  <si>
    <t>Other Expense</t>
  </si>
  <si>
    <t>Other Misc</t>
  </si>
  <si>
    <t>Realized Gain / Loss</t>
  </si>
  <si>
    <t>Tax</t>
  </si>
  <si>
    <t>Unrealized Gain / Loss</t>
  </si>
  <si>
    <t>Other</t>
  </si>
  <si>
    <t>Net Profit</t>
    <phoneticPr fontId="7" type="noConversion"/>
  </si>
  <si>
    <t>Inventory</t>
  </si>
  <si>
    <t>MSRP</t>
  </si>
  <si>
    <t>Beginning</t>
  </si>
  <si>
    <t>27FW</t>
  </si>
  <si>
    <t>27SS</t>
  </si>
  <si>
    <t>in</t>
  </si>
  <si>
    <t>CORE</t>
  </si>
  <si>
    <t>F27</t>
  </si>
  <si>
    <t>S27</t>
  </si>
  <si>
    <t>F26</t>
  </si>
  <si>
    <t>S26</t>
  </si>
  <si>
    <t>F25</t>
  </si>
  <si>
    <t>S25</t>
  </si>
  <si>
    <t>out</t>
  </si>
  <si>
    <t>Ending</t>
  </si>
  <si>
    <t>Check vs On-Hand</t>
  </si>
  <si>
    <r>
      <rPr>
        <b/>
        <u/>
        <sz val="24"/>
        <rFont val="맑은 고딕"/>
        <family val="3"/>
        <charset val="129"/>
      </rPr>
      <t>STO 자  금  운  영  계 획</t>
    </r>
    <r>
      <rPr>
        <b/>
        <sz val="24"/>
        <rFont val="맑은 고딕"/>
        <family val="3"/>
        <charset val="129"/>
      </rPr>
      <t xml:space="preserve">
</t>
    </r>
    <r>
      <rPr>
        <b/>
        <sz val="15"/>
        <rFont val="맑은 고딕"/>
        <family val="3"/>
        <charset val="129"/>
      </rPr>
      <t>(ANNUAL FUND PLAN)</t>
    </r>
    <phoneticPr fontId="28" type="noConversion"/>
  </si>
  <si>
    <t xml:space="preserve">(단위 K USD) </t>
    <phoneticPr fontId="34" type="noConversion"/>
  </si>
  <si>
    <t>과        목 (Subject)</t>
    <phoneticPr fontId="28" type="noConversion"/>
  </si>
  <si>
    <t>수                       입(Income)</t>
    <phoneticPr fontId="28" type="noConversion"/>
  </si>
  <si>
    <t>지                     출(Expenses)</t>
    <phoneticPr fontId="37" type="noConversion"/>
  </si>
  <si>
    <t>비   고</t>
    <phoneticPr fontId="28" type="noConversion"/>
  </si>
  <si>
    <t>26.1월
(실적)</t>
    <phoneticPr fontId="3" type="noConversion"/>
  </si>
  <si>
    <t>26.2월
(실적)</t>
    <phoneticPr fontId="37" type="noConversion"/>
  </si>
  <si>
    <t>26.3월
(실적)</t>
    <phoneticPr fontId="37" type="noConversion"/>
  </si>
  <si>
    <t>26.4월
(실적)</t>
    <phoneticPr fontId="37" type="noConversion"/>
  </si>
  <si>
    <t>26.5월
(실적)</t>
    <phoneticPr fontId="37" type="noConversion"/>
  </si>
  <si>
    <t>26.6월
(실적)</t>
    <phoneticPr fontId="37" type="noConversion"/>
  </si>
  <si>
    <t>26.7월
(실적)</t>
  </si>
  <si>
    <t>26.8월
(실적)</t>
  </si>
  <si>
    <t>26.9월</t>
  </si>
  <si>
    <t>26.10월</t>
  </si>
  <si>
    <t>26.11월</t>
  </si>
  <si>
    <t>26.12월</t>
  </si>
  <si>
    <t>계(SUM)</t>
    <phoneticPr fontId="37" type="noConversion"/>
  </si>
  <si>
    <t>26.6
(실적)</t>
    <phoneticPr fontId="37" type="noConversion"/>
  </si>
  <si>
    <t>1. 판매대금 (Operating income)</t>
    <phoneticPr fontId="28" type="noConversion"/>
  </si>
  <si>
    <t>1. 상품대 (Product Cost)</t>
    <phoneticPr fontId="28" type="noConversion"/>
  </si>
  <si>
    <t>1) Wholesales</t>
    <phoneticPr fontId="28" type="noConversion"/>
  </si>
  <si>
    <t>-SS</t>
    <phoneticPr fontId="3" type="noConversion"/>
  </si>
  <si>
    <t>-FW</t>
    <phoneticPr fontId="3" type="noConversion"/>
  </si>
  <si>
    <t xml:space="preserve"> (1)Product Cost_other</t>
  </si>
  <si>
    <t>2) License</t>
    <phoneticPr fontId="28" type="noConversion"/>
  </si>
  <si>
    <t xml:space="preserve"> (2)Other</t>
  </si>
  <si>
    <t>3) E-commerce</t>
    <phoneticPr fontId="28" type="noConversion"/>
  </si>
  <si>
    <t>-  Online</t>
    <phoneticPr fontId="3" type="noConversion"/>
  </si>
  <si>
    <t>2. 오픈초기비용 (opening cost)</t>
  </si>
  <si>
    <t>4) Other</t>
    <phoneticPr fontId="28" type="noConversion"/>
  </si>
  <si>
    <t xml:space="preserve"> 인테리어비 (Interior)</t>
  </si>
  <si>
    <t>- Outlet</t>
    <phoneticPr fontId="3" type="noConversion"/>
  </si>
  <si>
    <t xml:space="preserve"> 공기구비품 (Equipment)</t>
  </si>
  <si>
    <t>- Other</t>
    <phoneticPr fontId="3" type="noConversion"/>
  </si>
  <si>
    <t xml:space="preserve"> 시스템 개선 (Capex 투자)</t>
    <phoneticPr fontId="28" type="noConversion"/>
  </si>
  <si>
    <t>2. 기타입금 (Other Income)</t>
    <phoneticPr fontId="28" type="noConversion"/>
  </si>
  <si>
    <t>3. 운영비용(Operating Expense)</t>
    <phoneticPr fontId="28" type="noConversion"/>
  </si>
  <si>
    <t>1) STE 배당</t>
    <phoneticPr fontId="28" type="noConversion"/>
  </si>
  <si>
    <t>1) SG&amp;A</t>
    <phoneticPr fontId="28" type="noConversion"/>
  </si>
  <si>
    <t>2) STE 청산</t>
    <phoneticPr fontId="28" type="noConversion"/>
  </si>
  <si>
    <t>정규직 및 계약직 인건비</t>
    <phoneticPr fontId="28" type="noConversion"/>
  </si>
  <si>
    <t>■ 정규직 및 계약직 인건비</t>
  </si>
  <si>
    <t>복리후생비</t>
    <phoneticPr fontId="28" type="noConversion"/>
  </si>
  <si>
    <t>■ 복후비, 회사/직원부담 원천세 납부, 개인비용 환급</t>
    <phoneticPr fontId="34" type="noConversion"/>
  </si>
  <si>
    <t>출장비/여비교통비/식대</t>
    <phoneticPr fontId="28" type="noConversion"/>
  </si>
  <si>
    <t>■ 출장비, 여비교통비, 식대</t>
    <phoneticPr fontId="34" type="noConversion"/>
  </si>
  <si>
    <t>지급수수료</t>
    <phoneticPr fontId="28" type="noConversion"/>
  </si>
  <si>
    <t>■ 지급수수료, 전문용역비, 기타수수료</t>
  </si>
  <si>
    <t>임차료/차량유지비</t>
    <phoneticPr fontId="28" type="noConversion"/>
  </si>
  <si>
    <t>■ 신규 오피스 렌트 $30K/월</t>
    <phoneticPr fontId="3" type="noConversion"/>
  </si>
  <si>
    <t>기타판관비</t>
    <phoneticPr fontId="34" type="noConversion"/>
  </si>
  <si>
    <t xml:space="preserve">■ 수선유지비, 수도광열비, 기타 사무실 비용, </t>
    <phoneticPr fontId="3" type="noConversion"/>
  </si>
  <si>
    <t>광고선전비 (SEM)</t>
    <phoneticPr fontId="34" type="noConversion"/>
  </si>
  <si>
    <t>■ 광고선전비(온라인SEM광고비)_미국 확인중</t>
    <phoneticPr fontId="37" type="noConversion"/>
  </si>
  <si>
    <t>광고선전비 (일반광고비)</t>
    <phoneticPr fontId="34" type="noConversion"/>
  </si>
  <si>
    <t>■ 광고선전비(일반광고비</t>
    <phoneticPr fontId="3" type="noConversion"/>
  </si>
  <si>
    <t>물류비 및 운반비</t>
    <phoneticPr fontId="34" type="noConversion"/>
  </si>
  <si>
    <t>■ US / EU 3PL 창고물류비 &amp; 포장운반비용 / UPS 당월지급으로 변경</t>
  </si>
  <si>
    <t>관세</t>
    <phoneticPr fontId="28" type="noConversion"/>
  </si>
  <si>
    <t>■ CBP(미국 관세청) 관세</t>
    <phoneticPr fontId="3" type="noConversion"/>
  </si>
  <si>
    <t>샘플비 및 개발비</t>
    <phoneticPr fontId="34" type="noConversion"/>
  </si>
  <si>
    <t>■ 25SS, 25FW 샘플비 정산</t>
    <phoneticPr fontId="3" type="noConversion"/>
  </si>
  <si>
    <t>세금과공과</t>
    <phoneticPr fontId="34" type="noConversion"/>
  </si>
  <si>
    <t>■ US 세일즈 텍스 납부</t>
    <phoneticPr fontId="34" type="noConversion"/>
  </si>
  <si>
    <t xml:space="preserve"> 2) 기타 (ETC)</t>
    <phoneticPr fontId="28" type="noConversion"/>
  </si>
  <si>
    <t>법인카드 선납분</t>
    <phoneticPr fontId="34" type="noConversion"/>
  </si>
  <si>
    <t>차입금상환</t>
  </si>
  <si>
    <t>JVA 중재비용</t>
    <phoneticPr fontId="37" type="noConversion"/>
  </si>
  <si>
    <t>이자비용</t>
  </si>
  <si>
    <t>수  입  계(Total Income)</t>
    <phoneticPr fontId="37" type="noConversion"/>
  </si>
  <si>
    <t>지     출     계 (Total Expenses)</t>
  </si>
  <si>
    <t>영업현금흐름 (Operating cash flow)</t>
    <phoneticPr fontId="37" type="noConversion"/>
  </si>
  <si>
    <t xml:space="preserve">현금 흐름 </t>
    <phoneticPr fontId="3" type="noConversion"/>
  </si>
  <si>
    <t>자금 조달</t>
    <phoneticPr fontId="34" type="noConversion"/>
  </si>
  <si>
    <t>전월 이월 현금(Carryover deposit)</t>
    <phoneticPr fontId="37" type="noConversion"/>
  </si>
  <si>
    <t>월말현금(end of month deposit)</t>
    <phoneticPr fontId="37" type="noConversion"/>
  </si>
  <si>
    <t xml:space="preserve"> </t>
    <phoneticPr fontId="3" type="noConversion"/>
  </si>
  <si>
    <t>RF08</t>
    <phoneticPr fontId="7" type="noConversion"/>
  </si>
  <si>
    <t>합계</t>
    <phoneticPr fontId="3" type="noConversion"/>
  </si>
  <si>
    <t>26년 매입</t>
    <phoneticPr fontId="3" type="noConversion"/>
  </si>
  <si>
    <t>MSRP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</si>
</sst>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&quot;$&quot;#,##0,;\(&quot;$&quot;#,##0,\);&quot;--&quot;"/>
    <numFmt numFmtId="177" formatCode="mmm\-yy&quot;F&quot;"/>
    <numFmt numFmtId="178" formatCode="mmm\-yy&quot;A&quot;"/>
    <numFmt numFmtId="179" formatCode="\$#,##0,\ ;[Red]\-\$#,##0,\ ;&quot;-&quot;\ "/>
    <numFmt numFmtId="180" formatCode="_(* #,##0_);_(* \(#,##0\);_(* &quot;-&quot;_);_(@_)"/>
    <numFmt numFmtId="181" formatCode="0.0%;;&quot;-&quot;\ "/>
    <numFmt numFmtId="182" formatCode="#.#\ ;;&quot;-&quot;\ "/>
    <numFmt numFmtId="183" formatCode="#,##0.0;\(#,##0.0\);&quot;--&quot;"/>
    <numFmt numFmtId="184" formatCode="0.0%\ ;[Red]\-0.0%\ ;&quot;-&quot;\ "/>
    <numFmt numFmtId="185" formatCode="#,##0.00_ "/>
    <numFmt numFmtId="186" formatCode="&quot;$&quot;#,##0;\(&quot;$&quot;#,##0\);&quot;--&quot;"/>
    <numFmt numFmtId="187" formatCode="_(* #,##0.00_);_(* \(#,##0.00\);_(* &quot;-&quot;??_);_(@_)"/>
    <numFmt numFmtId="188" formatCode="_(&quot;$&quot;* #,##0.00_);_(&quot;$&quot;* \(#,##0.00\);_(&quot;$&quot;* &quot;-&quot;??_);_(@_)"/>
    <numFmt numFmtId="189" formatCode="_(&quot;$&quot;* #,##0_);_(&quot;$&quot;* \(#,##0\);_(&quot;$&quot;* &quot;-&quot;??_);_(@_)"/>
    <numFmt numFmtId="190" formatCode="_(* #,##0_);_(* \(#,##0\);_(* &quot;-&quot;??_);_(@_)"/>
    <numFmt numFmtId="191" formatCode="_([$$-409]* #,##0_);_([$$-409]* \(#,##0\);_([$$-409]* &quot;-&quot;??_);_(@_)"/>
    <numFmt numFmtId="192" formatCode="0.0%"/>
    <numFmt numFmtId="193" formatCode="_-#,##0_-;\-#,##0_-;_-&quot;&quot;_-;_-@_-"/>
    <numFmt numFmtId="194" formatCode="#,###,;&quot;△&quot;#,###,"/>
    <numFmt numFmtId="195" formatCode="#,###.0,;&quot;△&quot;#,###.0,"/>
    <numFmt numFmtId="196" formatCode="#,###.0000,;&quot;△&quot;#,###.0000,"/>
    <numFmt numFmtId="197" formatCode="0.000"/>
    <numFmt numFmtId="198" formatCode="#,###.00,;&quot;△&quot;#,###.00,"/>
    <numFmt numFmtId="199" formatCode="#,###,;\(#,###,\)"/>
    <numFmt numFmtId="200" formatCode="#,###,,;&quot;△&quot;#,###,,"/>
    <numFmt numFmtId="201" formatCode="_-* #,##0_-;\-* #,##0_-;_-* &quot;-&quot;??_-;_-@_-"/>
    <numFmt numFmtId="202" formatCode="_-* #,##0.0000_-;\-* #,##0.0000_-;_-* &quot;-&quot;_-;_-@_-"/>
    <numFmt numFmtId="203" formatCode="\$#,##0;\(\$#,##0\);&quot;--&quot;"/>
    <numFmt numFmtId="204" formatCode="0.00_);[Red]\(0.00\)"/>
    <numFmt numFmtId="205" formatCode="\$#,##0.00;\(\$#,##0.00\);&quot;--&quot;"/>
    <numFmt numFmtId="206" formatCode="#,##0_ "/>
  </numFmts>
  <fonts count="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Proxima Nova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0000FF"/>
      <name val="Proxima Nova"/>
    </font>
    <font>
      <i/>
      <sz val="10"/>
      <color theme="1"/>
      <name val="맑은 고딕"/>
      <family val="2"/>
      <charset val="129"/>
      <scheme val="minor"/>
    </font>
    <font>
      <i/>
      <sz val="10"/>
      <color theme="1"/>
      <name val="Proxima Nova"/>
    </font>
    <font>
      <i/>
      <sz val="10"/>
      <color rgb="FF0000FF"/>
      <name val="Proxima Nova"/>
    </font>
    <font>
      <sz val="10"/>
      <color theme="1"/>
      <name val="Proxima Nova"/>
    </font>
    <font>
      <b/>
      <sz val="10"/>
      <color theme="1"/>
      <name val="맑은 고딕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14999847407452621"/>
      <name val="맑은 고딕"/>
      <family val="2"/>
      <charset val="129"/>
      <scheme val="minor"/>
    </font>
    <font>
      <b/>
      <i/>
      <sz val="10"/>
      <color theme="1"/>
      <name val="맑은 고딕"/>
      <family val="2"/>
      <scheme val="minor"/>
    </font>
    <font>
      <i/>
      <sz val="10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4"/>
      <name val="맑은 고딕"/>
      <family val="3"/>
      <charset val="129"/>
    </font>
    <font>
      <b/>
      <u/>
      <sz val="24"/>
      <name val="맑은 고딕"/>
      <family val="3"/>
      <charset val="129"/>
    </font>
    <font>
      <b/>
      <sz val="15"/>
      <name val="맑은 고딕"/>
      <family val="3"/>
      <charset val="129"/>
    </font>
    <font>
      <sz val="8"/>
      <name val="바탕"/>
      <family val="1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4"/>
      <name val="맑은 고딕"/>
      <family val="3"/>
      <charset val="129"/>
    </font>
    <font>
      <sz val="14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</font>
    <font>
      <sz val="8"/>
      <name val="바탕체"/>
      <family val="1"/>
      <charset val="129"/>
    </font>
    <font>
      <b/>
      <sz val="14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0.5"/>
      <name val="돋움"/>
      <family val="3"/>
      <charset val="129"/>
    </font>
    <font>
      <sz val="18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8"/>
      <name val="맑은 고딕"/>
      <family val="3"/>
      <charset val="129"/>
    </font>
    <font>
      <sz val="10"/>
      <name val="돋움체"/>
      <family val="3"/>
      <charset val="134"/>
    </font>
    <font>
      <b/>
      <sz val="11"/>
      <name val="돋움"/>
      <family val="3"/>
      <charset val="129"/>
    </font>
    <font>
      <b/>
      <sz val="10"/>
      <name val="맑은 고딕"/>
      <family val="3"/>
      <charset val="129"/>
    </font>
    <font>
      <sz val="18"/>
      <color indexed="8"/>
      <name val="맑은 고딕"/>
      <family val="3"/>
      <charset val="129"/>
      <scheme val="major"/>
    </font>
    <font>
      <b/>
      <sz val="12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12"/>
      <name val="돋움체"/>
      <family val="3"/>
      <charset val="129"/>
    </font>
    <font>
      <b/>
      <sz val="12"/>
      <name val="돋움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4"/>
      <color rgb="FFFF0000"/>
      <name val="돋움"/>
      <family val="3"/>
      <charset val="129"/>
    </font>
    <font>
      <b/>
      <sz val="22"/>
      <color theme="1"/>
      <name val="맑은 고딕"/>
      <family val="2"/>
      <charset val="129"/>
      <scheme val="minor"/>
    </font>
    <font>
      <sz val="15"/>
      <name val="맑은 고딕"/>
      <family val="2"/>
      <scheme val="minor"/>
    </font>
    <font>
      <sz val="12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89928891872917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/>
      <diagonal/>
    </border>
    <border>
      <left style="thin">
        <color auto="1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6">
    <xf numFmtId="0" fontId="0" fillId="0" borderId="0">
      <alignment vertical="center"/>
    </xf>
    <xf numFmtId="0" fontId="4" fillId="0" borderId="0"/>
    <xf numFmtId="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41" fontId="24" fillId="0" borderId="0" applyFont="0" applyFill="0" applyBorder="0" applyAlignment="0" applyProtection="0"/>
    <xf numFmtId="0" fontId="24" fillId="0" borderId="0"/>
    <xf numFmtId="41" fontId="43" fillId="0" borderId="0" applyFont="0" applyFill="0" applyBorder="0" applyAlignment="0" applyProtection="0">
      <alignment vertical="center"/>
    </xf>
    <xf numFmtId="0" fontId="43" fillId="0" borderId="0"/>
    <xf numFmtId="43" fontId="1" fillId="0" borderId="0" applyFont="0" applyFill="0" applyBorder="0" applyAlignment="0" applyProtection="0">
      <alignment vertical="center"/>
    </xf>
    <xf numFmtId="187" fontId="43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/>
  </cellStyleXfs>
  <cellXfs count="357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14" fontId="5" fillId="0" borderId="0" xfId="1" applyNumberFormat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77" fontId="8" fillId="3" borderId="1" xfId="1" applyNumberFormat="1" applyFont="1" applyFill="1" applyBorder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9" fillId="0" borderId="0" xfId="1" applyFont="1" applyAlignment="1">
      <alignment horizontal="right"/>
    </xf>
    <xf numFmtId="49" fontId="8" fillId="3" borderId="7" xfId="1" applyNumberFormat="1" applyFont="1" applyFill="1" applyBorder="1" applyAlignment="1">
      <alignment horizontal="centerContinuous" vertical="center"/>
    </xf>
    <xf numFmtId="49" fontId="8" fillId="3" borderId="5" xfId="1" applyNumberFormat="1" applyFont="1" applyFill="1" applyBorder="1" applyAlignment="1">
      <alignment horizontal="centerContinuous" vertical="center"/>
    </xf>
    <xf numFmtId="49" fontId="8" fillId="3" borderId="6" xfId="1" applyNumberFormat="1" applyFont="1" applyFill="1" applyBorder="1" applyAlignment="1">
      <alignment horizontal="centerContinuous" vertical="center"/>
    </xf>
    <xf numFmtId="177" fontId="8" fillId="2" borderId="10" xfId="1" applyNumberFormat="1" applyFont="1" applyFill="1" applyBorder="1" applyAlignment="1">
      <alignment horizontal="center" vertical="center"/>
    </xf>
    <xf numFmtId="178" fontId="8" fillId="3" borderId="1" xfId="1" applyNumberFormat="1" applyFont="1" applyFill="1" applyBorder="1" applyAlignment="1">
      <alignment horizontal="center" vertical="center"/>
    </xf>
    <xf numFmtId="177" fontId="8" fillId="3" borderId="10" xfId="1" applyNumberFormat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left" vertical="center" indent="1"/>
    </xf>
    <xf numFmtId="179" fontId="8" fillId="0" borderId="13" xfId="1" applyNumberFormat="1" applyFont="1" applyBorder="1" applyAlignment="1">
      <alignment vertical="center"/>
    </xf>
    <xf numFmtId="176" fontId="8" fillId="0" borderId="11" xfId="1" applyNumberFormat="1" applyFont="1" applyBorder="1" applyAlignment="1">
      <alignment vertical="center"/>
    </xf>
    <xf numFmtId="176" fontId="8" fillId="0" borderId="14" xfId="1" applyNumberFormat="1" applyFont="1" applyBorder="1" applyAlignment="1">
      <alignment vertical="center"/>
    </xf>
    <xf numFmtId="176" fontId="8" fillId="0" borderId="13" xfId="1" applyNumberFormat="1" applyFont="1" applyBorder="1" applyAlignment="1">
      <alignment vertical="center"/>
    </xf>
    <xf numFmtId="0" fontId="10" fillId="4" borderId="15" xfId="1" applyFont="1" applyFill="1" applyBorder="1" applyAlignment="1">
      <alignment horizontal="left" vertical="center" indent="2"/>
    </xf>
    <xf numFmtId="179" fontId="8" fillId="4" borderId="18" xfId="1" applyNumberFormat="1" applyFont="1" applyFill="1" applyBorder="1" applyAlignment="1">
      <alignment vertical="center"/>
    </xf>
    <xf numFmtId="176" fontId="8" fillId="4" borderId="15" xfId="1" applyNumberFormat="1" applyFont="1" applyFill="1" applyBorder="1" applyAlignment="1">
      <alignment vertical="center"/>
    </xf>
    <xf numFmtId="176" fontId="8" fillId="4" borderId="19" xfId="1" applyNumberFormat="1" applyFont="1" applyFill="1" applyBorder="1" applyAlignment="1">
      <alignment vertical="center"/>
    </xf>
    <xf numFmtId="176" fontId="8" fillId="5" borderId="19" xfId="1" applyNumberFormat="1" applyFont="1" applyFill="1" applyBorder="1" applyAlignment="1">
      <alignment vertical="center"/>
    </xf>
    <xf numFmtId="176" fontId="11" fillId="4" borderId="15" xfId="1" applyNumberFormat="1" applyFont="1" applyFill="1" applyBorder="1" applyAlignment="1">
      <alignment vertical="center"/>
    </xf>
    <xf numFmtId="176" fontId="11" fillId="4" borderId="19" xfId="1" applyNumberFormat="1" applyFont="1" applyFill="1" applyBorder="1" applyAlignment="1">
      <alignment vertical="center"/>
    </xf>
    <xf numFmtId="176" fontId="8" fillId="4" borderId="18" xfId="1" applyNumberFormat="1" applyFont="1" applyFill="1" applyBorder="1" applyAlignment="1">
      <alignment vertical="center"/>
    </xf>
    <xf numFmtId="0" fontId="12" fillId="4" borderId="20" xfId="1" applyFont="1" applyFill="1" applyBorder="1" applyAlignment="1">
      <alignment horizontal="left" vertical="center" indent="3"/>
    </xf>
    <xf numFmtId="179" fontId="13" fillId="4" borderId="23" xfId="1" applyNumberFormat="1" applyFont="1" applyFill="1" applyBorder="1" applyAlignment="1">
      <alignment vertical="center"/>
    </xf>
    <xf numFmtId="176" fontId="13" fillId="4" borderId="20" xfId="1" applyNumberFormat="1" applyFont="1" applyFill="1" applyBorder="1" applyAlignment="1">
      <alignment vertical="center"/>
    </xf>
    <xf numFmtId="176" fontId="13" fillId="4" borderId="0" xfId="1" applyNumberFormat="1" applyFont="1" applyFill="1" applyAlignment="1">
      <alignment vertical="center"/>
    </xf>
    <xf numFmtId="176" fontId="14" fillId="4" borderId="20" xfId="1" applyNumberFormat="1" applyFont="1" applyFill="1" applyBorder="1" applyAlignment="1">
      <alignment vertical="center"/>
    </xf>
    <xf numFmtId="176" fontId="14" fillId="4" borderId="0" xfId="1" applyNumberFormat="1" applyFont="1" applyFill="1" applyAlignment="1">
      <alignment vertical="center"/>
    </xf>
    <xf numFmtId="176" fontId="13" fillId="4" borderId="23" xfId="1" applyNumberFormat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10" fillId="4" borderId="20" xfId="1" applyFont="1" applyFill="1" applyBorder="1" applyAlignment="1">
      <alignment horizontal="left" vertical="center" indent="2"/>
    </xf>
    <xf numFmtId="179" fontId="8" fillId="4" borderId="23" xfId="1" applyNumberFormat="1" applyFont="1" applyFill="1" applyBorder="1" applyAlignment="1">
      <alignment vertical="center"/>
    </xf>
    <xf numFmtId="176" fontId="8" fillId="4" borderId="20" xfId="1" applyNumberFormat="1" applyFont="1" applyFill="1" applyBorder="1" applyAlignment="1">
      <alignment vertical="center"/>
    </xf>
    <xf numFmtId="176" fontId="8" fillId="4" borderId="0" xfId="1" applyNumberFormat="1" applyFont="1" applyFill="1" applyAlignment="1">
      <alignment vertical="center"/>
    </xf>
    <xf numFmtId="176" fontId="11" fillId="4" borderId="20" xfId="1" applyNumberFormat="1" applyFont="1" applyFill="1" applyBorder="1" applyAlignment="1">
      <alignment vertical="center"/>
    </xf>
    <xf numFmtId="176" fontId="11" fillId="4" borderId="0" xfId="1" applyNumberFormat="1" applyFont="1" applyFill="1" applyAlignment="1">
      <alignment vertical="center"/>
    </xf>
    <xf numFmtId="176" fontId="11" fillId="4" borderId="22" xfId="1" applyNumberFormat="1" applyFont="1" applyFill="1" applyBorder="1" applyAlignment="1">
      <alignment vertical="center"/>
    </xf>
    <xf numFmtId="176" fontId="8" fillId="4" borderId="23" xfId="1" applyNumberFormat="1" applyFont="1" applyFill="1" applyBorder="1" applyAlignment="1">
      <alignment vertical="center"/>
    </xf>
    <xf numFmtId="9" fontId="5" fillId="0" borderId="0" xfId="2" applyFont="1" applyAlignment="1">
      <alignment vertical="center"/>
    </xf>
    <xf numFmtId="179" fontId="5" fillId="0" borderId="0" xfId="1" applyNumberFormat="1" applyFont="1" applyAlignment="1">
      <alignment vertical="center"/>
    </xf>
    <xf numFmtId="0" fontId="10" fillId="0" borderId="24" xfId="1" applyFont="1" applyBorder="1" applyAlignment="1">
      <alignment horizontal="left" vertical="center" indent="1"/>
    </xf>
    <xf numFmtId="179" fontId="8" fillId="0" borderId="25" xfId="1" applyNumberFormat="1" applyFont="1" applyBorder="1" applyAlignment="1">
      <alignment vertical="center"/>
    </xf>
    <xf numFmtId="179" fontId="8" fillId="0" borderId="26" xfId="1" applyNumberFormat="1" applyFont="1" applyBorder="1" applyAlignment="1">
      <alignment vertical="center"/>
    </xf>
    <xf numFmtId="179" fontId="8" fillId="0" borderId="24" xfId="1" applyNumberFormat="1" applyFont="1" applyBorder="1" applyAlignment="1">
      <alignment vertical="center"/>
    </xf>
    <xf numFmtId="179" fontId="8" fillId="0" borderId="27" xfId="1" applyNumberFormat="1" applyFont="1" applyBorder="1" applyAlignment="1">
      <alignment vertical="center"/>
    </xf>
    <xf numFmtId="176" fontId="8" fillId="0" borderId="24" xfId="1" applyNumberFormat="1" applyFont="1" applyBorder="1" applyAlignment="1">
      <alignment vertical="center"/>
    </xf>
    <xf numFmtId="176" fontId="8" fillId="0" borderId="28" xfId="1" applyNumberFormat="1" applyFont="1" applyBorder="1" applyAlignment="1">
      <alignment vertical="center"/>
    </xf>
    <xf numFmtId="176" fontId="8" fillId="0" borderId="27" xfId="1" applyNumberFormat="1" applyFont="1" applyBorder="1" applyAlignment="1">
      <alignment vertical="center"/>
    </xf>
    <xf numFmtId="176" fontId="13" fillId="6" borderId="0" xfId="1" applyNumberFormat="1" applyFont="1" applyFill="1" applyAlignment="1">
      <alignment vertical="center"/>
    </xf>
    <xf numFmtId="0" fontId="5" fillId="4" borderId="20" xfId="1" applyFont="1" applyFill="1" applyBorder="1" applyAlignment="1">
      <alignment horizontal="left" vertical="center" indent="2"/>
    </xf>
    <xf numFmtId="179" fontId="15" fillId="4" borderId="21" xfId="1" applyNumberFormat="1" applyFont="1" applyFill="1" applyBorder="1" applyAlignment="1">
      <alignment vertical="center"/>
    </xf>
    <xf numFmtId="179" fontId="15" fillId="4" borderId="22" xfId="1" applyNumberFormat="1" applyFont="1" applyFill="1" applyBorder="1" applyAlignment="1">
      <alignment vertical="center"/>
    </xf>
    <xf numFmtId="179" fontId="15" fillId="4" borderId="20" xfId="1" applyNumberFormat="1" applyFont="1" applyFill="1" applyBorder="1" applyAlignment="1">
      <alignment vertical="center"/>
    </xf>
    <xf numFmtId="179" fontId="15" fillId="4" borderId="23" xfId="1" applyNumberFormat="1" applyFont="1" applyFill="1" applyBorder="1" applyAlignment="1">
      <alignment vertical="center"/>
    </xf>
    <xf numFmtId="176" fontId="15" fillId="4" borderId="20" xfId="1" applyNumberFormat="1" applyFont="1" applyFill="1" applyBorder="1" applyAlignment="1">
      <alignment vertical="center"/>
    </xf>
    <xf numFmtId="176" fontId="15" fillId="4" borderId="0" xfId="1" applyNumberFormat="1" applyFont="1" applyFill="1" applyAlignment="1">
      <alignment vertical="center"/>
    </xf>
    <xf numFmtId="176" fontId="15" fillId="4" borderId="23" xfId="1" applyNumberFormat="1" applyFont="1" applyFill="1" applyBorder="1" applyAlignment="1">
      <alignment vertical="center"/>
    </xf>
    <xf numFmtId="0" fontId="5" fillId="4" borderId="24" xfId="1" applyFont="1" applyFill="1" applyBorder="1" applyAlignment="1">
      <alignment horizontal="left" vertical="center" indent="2"/>
    </xf>
    <xf numFmtId="179" fontId="15" fillId="4" borderId="27" xfId="1" applyNumberFormat="1" applyFont="1" applyFill="1" applyBorder="1" applyAlignment="1">
      <alignment vertical="center"/>
    </xf>
    <xf numFmtId="176" fontId="15" fillId="4" borderId="24" xfId="1" applyNumberFormat="1" applyFont="1" applyFill="1" applyBorder="1" applyAlignment="1">
      <alignment vertical="center"/>
    </xf>
    <xf numFmtId="176" fontId="15" fillId="4" borderId="28" xfId="1" applyNumberFormat="1" applyFont="1" applyFill="1" applyBorder="1" applyAlignment="1">
      <alignment vertical="center"/>
    </xf>
    <xf numFmtId="176" fontId="15" fillId="4" borderId="27" xfId="1" applyNumberFormat="1" applyFont="1" applyFill="1" applyBorder="1" applyAlignment="1">
      <alignment vertical="center"/>
    </xf>
    <xf numFmtId="0" fontId="10" fillId="5" borderId="29" xfId="1" applyFont="1" applyFill="1" applyBorder="1" applyAlignment="1">
      <alignment horizontal="center" vertical="center"/>
    </xf>
    <xf numFmtId="181" fontId="8" fillId="5" borderId="29" xfId="3" applyNumberFormat="1" applyFont="1" applyFill="1" applyBorder="1" applyAlignment="1">
      <alignment horizontal="right" vertical="center"/>
    </xf>
    <xf numFmtId="181" fontId="8" fillId="5" borderId="30" xfId="3" applyNumberFormat="1" applyFont="1" applyFill="1" applyBorder="1" applyAlignment="1">
      <alignment horizontal="right" vertical="center"/>
    </xf>
    <xf numFmtId="181" fontId="8" fillId="5" borderId="31" xfId="3" applyNumberFormat="1" applyFont="1" applyFill="1" applyBorder="1" applyAlignment="1">
      <alignment horizontal="right" vertical="center"/>
    </xf>
    <xf numFmtId="0" fontId="5" fillId="4" borderId="15" xfId="1" applyFont="1" applyFill="1" applyBorder="1" applyAlignment="1">
      <alignment horizontal="left" vertical="center" indent="2"/>
    </xf>
    <xf numFmtId="179" fontId="15" fillId="4" borderId="16" xfId="1" applyNumberFormat="1" applyFont="1" applyFill="1" applyBorder="1" applyAlignment="1">
      <alignment vertical="center"/>
    </xf>
    <xf numFmtId="179" fontId="15" fillId="4" borderId="17" xfId="1" applyNumberFormat="1" applyFont="1" applyFill="1" applyBorder="1" applyAlignment="1">
      <alignment vertical="center"/>
    </xf>
    <xf numFmtId="179" fontId="15" fillId="4" borderId="15" xfId="1" applyNumberFormat="1" applyFont="1" applyFill="1" applyBorder="1" applyAlignment="1">
      <alignment vertical="center"/>
    </xf>
    <xf numFmtId="179" fontId="15" fillId="4" borderId="18" xfId="1" applyNumberFormat="1" applyFont="1" applyFill="1" applyBorder="1" applyAlignment="1">
      <alignment vertical="center"/>
    </xf>
    <xf numFmtId="176" fontId="15" fillId="4" borderId="15" xfId="1" applyNumberFormat="1" applyFont="1" applyFill="1" applyBorder="1" applyAlignment="1">
      <alignment vertical="center"/>
    </xf>
    <xf numFmtId="176" fontId="15" fillId="4" borderId="19" xfId="1" applyNumberFormat="1" applyFont="1" applyFill="1" applyBorder="1" applyAlignment="1">
      <alignment vertical="center"/>
    </xf>
    <xf numFmtId="176" fontId="15" fillId="4" borderId="18" xfId="1" applyNumberFormat="1" applyFont="1" applyFill="1" applyBorder="1" applyAlignment="1">
      <alignment vertical="center"/>
    </xf>
    <xf numFmtId="182" fontId="8" fillId="5" borderId="30" xfId="3" applyNumberFormat="1" applyFont="1" applyFill="1" applyBorder="1" applyAlignment="1">
      <alignment horizontal="right" vertical="center"/>
    </xf>
    <xf numFmtId="183" fontId="8" fillId="5" borderId="29" xfId="3" applyNumberFormat="1" applyFont="1" applyFill="1" applyBorder="1" applyAlignment="1">
      <alignment horizontal="right" vertical="center"/>
    </xf>
    <xf numFmtId="183" fontId="8" fillId="5" borderId="31" xfId="3" applyNumberFormat="1" applyFont="1" applyFill="1" applyBorder="1" applyAlignment="1">
      <alignment horizontal="right" vertical="center"/>
    </xf>
    <xf numFmtId="183" fontId="8" fillId="5" borderId="30" xfId="3" applyNumberFormat="1" applyFont="1" applyFill="1" applyBorder="1" applyAlignment="1">
      <alignment horizontal="right" vertical="center"/>
    </xf>
    <xf numFmtId="0" fontId="10" fillId="7" borderId="15" xfId="1" applyFont="1" applyFill="1" applyBorder="1" applyAlignment="1">
      <alignment horizontal="center" vertical="center"/>
    </xf>
    <xf numFmtId="179" fontId="8" fillId="7" borderId="16" xfId="1" applyNumberFormat="1" applyFont="1" applyFill="1" applyBorder="1" applyAlignment="1">
      <alignment vertical="center"/>
    </xf>
    <xf numFmtId="179" fontId="8" fillId="7" borderId="17" xfId="1" applyNumberFormat="1" applyFont="1" applyFill="1" applyBorder="1" applyAlignment="1">
      <alignment vertical="center"/>
    </xf>
    <xf numFmtId="179" fontId="8" fillId="7" borderId="18" xfId="1" applyNumberFormat="1" applyFont="1" applyFill="1" applyBorder="1" applyAlignment="1">
      <alignment vertical="center"/>
    </xf>
    <xf numFmtId="176" fontId="8" fillId="7" borderId="15" xfId="1" applyNumberFormat="1" applyFont="1" applyFill="1" applyBorder="1" applyAlignment="1">
      <alignment vertical="center"/>
    </xf>
    <xf numFmtId="176" fontId="8" fillId="7" borderId="19" xfId="1" applyNumberFormat="1" applyFont="1" applyFill="1" applyBorder="1" applyAlignment="1">
      <alignment vertical="center"/>
    </xf>
    <xf numFmtId="176" fontId="8" fillId="7" borderId="18" xfId="1" applyNumberFormat="1" applyFont="1" applyFill="1" applyBorder="1" applyAlignment="1">
      <alignment vertical="center"/>
    </xf>
    <xf numFmtId="0" fontId="10" fillId="7" borderId="24" xfId="1" applyFont="1" applyFill="1" applyBorder="1" applyAlignment="1">
      <alignment horizontal="center" vertical="center"/>
    </xf>
    <xf numFmtId="184" fontId="8" fillId="7" borderId="26" xfId="1" applyNumberFormat="1" applyFont="1" applyFill="1" applyBorder="1" applyAlignment="1">
      <alignment vertical="center"/>
    </xf>
    <xf numFmtId="184" fontId="8" fillId="7" borderId="24" xfId="1" applyNumberFormat="1" applyFont="1" applyFill="1" applyBorder="1" applyAlignment="1">
      <alignment vertical="center"/>
    </xf>
    <xf numFmtId="184" fontId="8" fillId="7" borderId="27" xfId="1" applyNumberFormat="1" applyFont="1" applyFill="1" applyBorder="1" applyAlignment="1">
      <alignment vertical="center"/>
    </xf>
    <xf numFmtId="184" fontId="8" fillId="7" borderId="28" xfId="1" applyNumberFormat="1" applyFont="1" applyFill="1" applyBorder="1" applyAlignment="1">
      <alignment vertical="center"/>
    </xf>
    <xf numFmtId="0" fontId="10" fillId="7" borderId="32" xfId="1" applyFont="1" applyFill="1" applyBorder="1" applyAlignment="1">
      <alignment horizontal="center" vertical="center"/>
    </xf>
    <xf numFmtId="184" fontId="8" fillId="7" borderId="8" xfId="1" applyNumberFormat="1" applyFont="1" applyFill="1" applyBorder="1" applyAlignment="1">
      <alignment vertical="center"/>
    </xf>
    <xf numFmtId="184" fontId="8" fillId="7" borderId="33" xfId="1" applyNumberFormat="1" applyFont="1" applyFill="1" applyBorder="1" applyAlignment="1">
      <alignment vertical="center"/>
    </xf>
    <xf numFmtId="184" fontId="8" fillId="7" borderId="32" xfId="1" applyNumberFormat="1" applyFont="1" applyFill="1" applyBorder="1" applyAlignment="1">
      <alignment vertical="center"/>
    </xf>
    <xf numFmtId="184" fontId="8" fillId="7" borderId="34" xfId="1" applyNumberFormat="1" applyFont="1" applyFill="1" applyBorder="1" applyAlignment="1">
      <alignment vertical="center"/>
    </xf>
    <xf numFmtId="184" fontId="8" fillId="7" borderId="35" xfId="1" applyNumberFormat="1" applyFont="1" applyFill="1" applyBorder="1" applyAlignment="1">
      <alignment vertical="center"/>
    </xf>
    <xf numFmtId="179" fontId="8" fillId="7" borderId="36" xfId="1" applyNumberFormat="1" applyFont="1" applyFill="1" applyBorder="1" applyAlignment="1">
      <alignment vertical="center"/>
    </xf>
    <xf numFmtId="184" fontId="8" fillId="7" borderId="37" xfId="1" applyNumberFormat="1" applyFont="1" applyFill="1" applyBorder="1" applyAlignment="1">
      <alignment vertical="center"/>
    </xf>
    <xf numFmtId="184" fontId="8" fillId="7" borderId="38" xfId="1" applyNumberFormat="1" applyFont="1" applyFill="1" applyBorder="1" applyAlignment="1">
      <alignment vertical="center"/>
    </xf>
    <xf numFmtId="3" fontId="5" fillId="0" borderId="0" xfId="1" applyNumberFormat="1" applyFont="1" applyAlignment="1">
      <alignment vertical="center"/>
    </xf>
    <xf numFmtId="185" fontId="5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/>
    <xf numFmtId="49" fontId="8" fillId="3" borderId="3" xfId="1" applyNumberFormat="1" applyFont="1" applyFill="1" applyBorder="1" applyAlignment="1">
      <alignment horizontal="centerContinuous" vertical="center"/>
    </xf>
    <xf numFmtId="49" fontId="8" fillId="3" borderId="4" xfId="1" applyNumberFormat="1" applyFont="1" applyFill="1" applyBorder="1" applyAlignment="1">
      <alignment horizontal="centerContinuous" vertical="center"/>
    </xf>
    <xf numFmtId="49" fontId="8" fillId="3" borderId="9" xfId="1" applyNumberFormat="1" applyFont="1" applyFill="1" applyBorder="1" applyAlignment="1">
      <alignment horizontal="centerContinuous" vertical="center"/>
    </xf>
    <xf numFmtId="0" fontId="18" fillId="8" borderId="1" xfId="1" applyFont="1" applyFill="1" applyBorder="1" applyAlignment="1">
      <alignment vertical="center"/>
    </xf>
    <xf numFmtId="0" fontId="18" fillId="9" borderId="1" xfId="1" applyFont="1" applyFill="1" applyBorder="1" applyAlignment="1">
      <alignment horizontal="left" vertical="center" indent="1"/>
    </xf>
    <xf numFmtId="186" fontId="18" fillId="9" borderId="1" xfId="1" applyNumberFormat="1" applyFont="1" applyFill="1" applyBorder="1" applyAlignment="1">
      <alignment vertical="center"/>
    </xf>
    <xf numFmtId="0" fontId="17" fillId="0" borderId="2" xfId="1" applyFont="1" applyBorder="1" applyAlignment="1">
      <alignment horizontal="left" vertical="center" indent="2"/>
    </xf>
    <xf numFmtId="186" fontId="19" fillId="0" borderId="2" xfId="1" applyNumberFormat="1" applyFont="1" applyBorder="1" applyAlignment="1">
      <alignment vertical="center"/>
    </xf>
    <xf numFmtId="186" fontId="17" fillId="0" borderId="2" xfId="1" applyNumberFormat="1" applyFont="1" applyBorder="1" applyAlignment="1">
      <alignment vertical="center"/>
    </xf>
    <xf numFmtId="0" fontId="17" fillId="0" borderId="21" xfId="1" applyFont="1" applyBorder="1" applyAlignment="1">
      <alignment horizontal="left" vertical="center" indent="2"/>
    </xf>
    <xf numFmtId="186" fontId="19" fillId="0" borderId="21" xfId="1" applyNumberFormat="1" applyFont="1" applyBorder="1" applyAlignment="1">
      <alignment vertical="center"/>
    </xf>
    <xf numFmtId="186" fontId="17" fillId="0" borderId="21" xfId="1" applyNumberFormat="1" applyFont="1" applyBorder="1" applyAlignment="1">
      <alignment vertical="center"/>
    </xf>
    <xf numFmtId="0" fontId="20" fillId="0" borderId="0" xfId="1" applyFont="1" applyAlignment="1">
      <alignment vertical="center"/>
    </xf>
    <xf numFmtId="0" fontId="17" fillId="0" borderId="8" xfId="1" applyFont="1" applyBorder="1" applyAlignment="1">
      <alignment horizontal="left" vertical="center" indent="2"/>
    </xf>
    <xf numFmtId="186" fontId="17" fillId="0" borderId="8" xfId="1" applyNumberFormat="1" applyFont="1" applyBorder="1" applyAlignment="1">
      <alignment vertical="center"/>
    </xf>
    <xf numFmtId="0" fontId="4" fillId="0" borderId="0" xfId="1"/>
    <xf numFmtId="0" fontId="21" fillId="0" borderId="0" xfId="1" applyFont="1" applyAlignment="1">
      <alignment vertical="center"/>
    </xf>
    <xf numFmtId="186" fontId="22" fillId="0" borderId="0" xfId="4" applyNumberFormat="1" applyFont="1" applyAlignment="1">
      <alignment vertical="center"/>
    </xf>
    <xf numFmtId="186" fontId="5" fillId="0" borderId="0" xfId="1" applyNumberFormat="1" applyFont="1" applyAlignment="1">
      <alignment vertical="center"/>
    </xf>
    <xf numFmtId="188" fontId="5" fillId="0" borderId="0" xfId="1" applyNumberFormat="1" applyFont="1" applyAlignment="1">
      <alignment vertical="center"/>
    </xf>
    <xf numFmtId="189" fontId="23" fillId="0" borderId="0" xfId="5" applyNumberFormat="1" applyFont="1" applyAlignment="1">
      <alignment vertical="center"/>
    </xf>
    <xf numFmtId="189" fontId="16" fillId="0" borderId="0" xfId="1" applyNumberFormat="1" applyFont="1" applyAlignment="1">
      <alignment vertical="center"/>
    </xf>
    <xf numFmtId="189" fontId="16" fillId="0" borderId="0" xfId="5" applyNumberFormat="1" applyFont="1" applyAlignment="1">
      <alignment vertical="center"/>
    </xf>
    <xf numFmtId="189" fontId="5" fillId="0" borderId="0" xfId="5" applyNumberFormat="1" applyFont="1" applyAlignment="1">
      <alignment vertical="center"/>
    </xf>
    <xf numFmtId="190" fontId="5" fillId="0" borderId="0" xfId="4" applyNumberFormat="1" applyFont="1" applyAlignment="1">
      <alignment vertical="center"/>
    </xf>
    <xf numFmtId="188" fontId="5" fillId="0" borderId="0" xfId="5" applyFont="1" applyAlignment="1">
      <alignment vertical="center"/>
    </xf>
    <xf numFmtId="191" fontId="5" fillId="0" borderId="0" xfId="2" applyNumberFormat="1" applyFont="1" applyAlignment="1">
      <alignment vertical="center"/>
    </xf>
    <xf numFmtId="192" fontId="5" fillId="0" borderId="0" xfId="2" applyNumberFormat="1" applyFont="1" applyAlignment="1">
      <alignment vertical="center"/>
    </xf>
    <xf numFmtId="176" fontId="8" fillId="7" borderId="17" xfId="1" applyNumberFormat="1" applyFont="1" applyFill="1" applyBorder="1" applyAlignment="1">
      <alignment vertical="center"/>
    </xf>
    <xf numFmtId="176" fontId="15" fillId="4" borderId="22" xfId="1" applyNumberFormat="1" applyFont="1" applyFill="1" applyBorder="1" applyAlignment="1">
      <alignment vertical="center"/>
    </xf>
    <xf numFmtId="176" fontId="15" fillId="4" borderId="17" xfId="1" applyNumberFormat="1" applyFont="1" applyFill="1" applyBorder="1" applyAlignment="1">
      <alignment vertical="center"/>
    </xf>
    <xf numFmtId="176" fontId="8" fillId="0" borderId="26" xfId="1" applyNumberFormat="1" applyFont="1" applyBorder="1" applyAlignment="1">
      <alignment vertical="center"/>
    </xf>
    <xf numFmtId="183" fontId="8" fillId="5" borderId="39" xfId="3" applyNumberFormat="1" applyFont="1" applyFill="1" applyBorder="1" applyAlignment="1">
      <alignment horizontal="right" vertical="center"/>
    </xf>
    <xf numFmtId="176" fontId="15" fillId="4" borderId="26" xfId="1" applyNumberFormat="1" applyFont="1" applyFill="1" applyBorder="1" applyAlignment="1">
      <alignment vertical="center"/>
    </xf>
    <xf numFmtId="181" fontId="8" fillId="5" borderId="39" xfId="3" applyNumberFormat="1" applyFont="1" applyFill="1" applyBorder="1" applyAlignment="1">
      <alignment horizontal="right" vertical="center"/>
    </xf>
    <xf numFmtId="176" fontId="13" fillId="4" borderId="22" xfId="1" applyNumberFormat="1" applyFont="1" applyFill="1" applyBorder="1" applyAlignment="1">
      <alignment vertical="center"/>
    </xf>
    <xf numFmtId="176" fontId="8" fillId="4" borderId="22" xfId="1" applyNumberFormat="1" applyFont="1" applyFill="1" applyBorder="1" applyAlignment="1">
      <alignment vertical="center"/>
    </xf>
    <xf numFmtId="187" fontId="5" fillId="0" borderId="0" xfId="4" applyFont="1" applyAlignment="1">
      <alignment vertical="center"/>
    </xf>
    <xf numFmtId="176" fontId="8" fillId="4" borderId="17" xfId="1" applyNumberFormat="1" applyFont="1" applyFill="1" applyBorder="1" applyAlignment="1">
      <alignment vertical="center"/>
    </xf>
    <xf numFmtId="176" fontId="8" fillId="0" borderId="12" xfId="1" applyNumberFormat="1" applyFont="1" applyBorder="1" applyAlignment="1">
      <alignment vertical="center"/>
    </xf>
    <xf numFmtId="177" fontId="8" fillId="3" borderId="9" xfId="1" applyNumberFormat="1" applyFont="1" applyFill="1" applyBorder="1" applyAlignment="1">
      <alignment horizontal="center" vertical="center"/>
    </xf>
    <xf numFmtId="49" fontId="8" fillId="2" borderId="6" xfId="1" applyNumberFormat="1" applyFont="1" applyFill="1" applyBorder="1" applyAlignment="1">
      <alignment horizontal="center" vertical="center"/>
    </xf>
    <xf numFmtId="0" fontId="1" fillId="0" borderId="0" xfId="6">
      <alignment vertical="center"/>
    </xf>
    <xf numFmtId="193" fontId="29" fillId="0" borderId="0" xfId="7" applyNumberFormat="1" applyFont="1" applyAlignment="1">
      <alignment vertical="center"/>
    </xf>
    <xf numFmtId="193" fontId="30" fillId="10" borderId="0" xfId="8" applyNumberFormat="1" applyFont="1" applyFill="1" applyAlignment="1">
      <alignment horizontal="centerContinuous" vertical="center"/>
    </xf>
    <xf numFmtId="193" fontId="31" fillId="10" borderId="0" xfId="7" applyNumberFormat="1" applyFont="1" applyFill="1" applyAlignment="1">
      <alignment horizontal="centerContinuous" vertical="center"/>
    </xf>
    <xf numFmtId="193" fontId="31" fillId="0" borderId="0" xfId="7" applyNumberFormat="1" applyFont="1" applyAlignment="1">
      <alignment horizontal="centerContinuous" vertical="center"/>
    </xf>
    <xf numFmtId="193" fontId="32" fillId="10" borderId="0" xfId="8" applyNumberFormat="1" applyFont="1" applyFill="1" applyAlignment="1">
      <alignment horizontal="centerContinuous" vertical="center"/>
    </xf>
    <xf numFmtId="193" fontId="33" fillId="0" borderId="0" xfId="7" applyNumberFormat="1" applyFont="1" applyAlignment="1">
      <alignment horizontal="centerContinuous" vertical="center"/>
    </xf>
    <xf numFmtId="193" fontId="30" fillId="11" borderId="0" xfId="7" applyNumberFormat="1" applyFont="1" applyFill="1" applyAlignment="1">
      <alignment horizontal="right" vertical="center"/>
    </xf>
    <xf numFmtId="193" fontId="31" fillId="11" borderId="0" xfId="7" applyNumberFormat="1" applyFont="1" applyFill="1" applyAlignment="1">
      <alignment horizontal="right" vertical="center"/>
    </xf>
    <xf numFmtId="193" fontId="29" fillId="11" borderId="0" xfId="7" applyNumberFormat="1" applyFont="1" applyFill="1" applyAlignment="1">
      <alignment vertical="center"/>
    </xf>
    <xf numFmtId="0" fontId="24" fillId="11" borderId="0" xfId="7" applyFill="1"/>
    <xf numFmtId="193" fontId="36" fillId="2" borderId="1" xfId="7" quotePrefix="1" applyNumberFormat="1" applyFont="1" applyFill="1" applyBorder="1" applyAlignment="1">
      <alignment horizontal="center" vertical="center" wrapText="1"/>
    </xf>
    <xf numFmtId="193" fontId="36" fillId="2" borderId="1" xfId="7" quotePrefix="1" applyNumberFormat="1" applyFont="1" applyFill="1" applyBorder="1" applyAlignment="1">
      <alignment horizontal="center" vertical="center"/>
    </xf>
    <xf numFmtId="193" fontId="36" fillId="12" borderId="49" xfId="7" applyNumberFormat="1" applyFont="1" applyFill="1" applyBorder="1" applyAlignment="1">
      <alignment horizontal="center" vertical="center"/>
    </xf>
    <xf numFmtId="193" fontId="36" fillId="13" borderId="49" xfId="7" applyNumberFormat="1" applyFont="1" applyFill="1" applyBorder="1" applyAlignment="1">
      <alignment horizontal="center" vertical="center"/>
    </xf>
    <xf numFmtId="0" fontId="35" fillId="4" borderId="53" xfId="7" applyFont="1" applyFill="1" applyBorder="1" applyAlignment="1">
      <alignment horizontal="left" vertical="center" wrapText="1" shrinkToFit="1"/>
    </xf>
    <xf numFmtId="194" fontId="38" fillId="4" borderId="41" xfId="9" applyNumberFormat="1" applyFont="1" applyFill="1" applyBorder="1" applyAlignment="1">
      <alignment vertical="center"/>
    </xf>
    <xf numFmtId="193" fontId="35" fillId="5" borderId="41" xfId="9" applyNumberFormat="1" applyFont="1" applyFill="1" applyBorder="1" applyAlignment="1">
      <alignment vertical="center" wrapText="1"/>
    </xf>
    <xf numFmtId="194" fontId="38" fillId="5" borderId="41" xfId="9" applyNumberFormat="1" applyFont="1" applyFill="1" applyBorder="1" applyAlignment="1">
      <alignment vertical="center"/>
    </xf>
    <xf numFmtId="43" fontId="39" fillId="0" borderId="0" xfId="10" applyNumberFormat="1" applyFont="1"/>
    <xf numFmtId="193" fontId="35" fillId="0" borderId="55" xfId="7" applyNumberFormat="1" applyFont="1" applyBorder="1" applyAlignment="1">
      <alignment vertical="center"/>
    </xf>
    <xf numFmtId="194" fontId="38" fillId="0" borderId="21" xfId="9" applyNumberFormat="1" applyFont="1" applyFill="1" applyBorder="1" applyAlignment="1">
      <alignment vertical="center"/>
    </xf>
    <xf numFmtId="193" fontId="31" fillId="0" borderId="21" xfId="7" quotePrefix="1" applyNumberFormat="1" applyFont="1" applyBorder="1" applyAlignment="1">
      <alignment vertical="center"/>
    </xf>
    <xf numFmtId="194" fontId="40" fillId="0" borderId="21" xfId="9" applyNumberFormat="1" applyFont="1" applyFill="1" applyBorder="1" applyAlignment="1">
      <alignment vertical="center"/>
    </xf>
    <xf numFmtId="194" fontId="40" fillId="0" borderId="21" xfId="9" applyNumberFormat="1" applyFont="1" applyBorder="1" applyAlignment="1">
      <alignment vertical="center"/>
    </xf>
    <xf numFmtId="193" fontId="31" fillId="0" borderId="55" xfId="7" quotePrefix="1" applyNumberFormat="1" applyFont="1" applyBorder="1" applyAlignment="1">
      <alignment horizontal="left" vertical="center" indent="1"/>
    </xf>
    <xf numFmtId="194" fontId="42" fillId="0" borderId="21" xfId="9" applyNumberFormat="1" applyFont="1" applyFill="1" applyBorder="1" applyAlignment="1">
      <alignment vertical="center"/>
    </xf>
    <xf numFmtId="193" fontId="35" fillId="0" borderId="21" xfId="7" applyNumberFormat="1" applyFont="1" applyBorder="1" applyAlignment="1">
      <alignment vertical="center" wrapText="1"/>
    </xf>
    <xf numFmtId="41" fontId="40" fillId="0" borderId="21" xfId="11" applyFont="1" applyFill="1" applyBorder="1" applyAlignment="1">
      <alignment vertical="center"/>
    </xf>
    <xf numFmtId="41" fontId="40" fillId="0" borderId="21" xfId="11" applyFont="1" applyBorder="1" applyAlignment="1">
      <alignment vertical="center"/>
    </xf>
    <xf numFmtId="194" fontId="40" fillId="0" borderId="20" xfId="9" applyNumberFormat="1" applyFont="1" applyFill="1" applyBorder="1" applyAlignment="1">
      <alignment vertical="center"/>
    </xf>
    <xf numFmtId="194" fontId="40" fillId="0" borderId="20" xfId="9" applyNumberFormat="1" applyFont="1" applyBorder="1" applyAlignment="1">
      <alignment vertical="center"/>
    </xf>
    <xf numFmtId="193" fontId="31" fillId="11" borderId="20" xfId="9" applyNumberFormat="1" applyFont="1" applyFill="1" applyBorder="1" applyAlignment="1">
      <alignment horizontal="left" vertical="center"/>
    </xf>
    <xf numFmtId="193" fontId="31" fillId="11" borderId="0" xfId="9" applyNumberFormat="1" applyFont="1" applyFill="1" applyBorder="1" applyAlignment="1">
      <alignment horizontal="left" vertical="center"/>
    </xf>
    <xf numFmtId="193" fontId="31" fillId="11" borderId="57" xfId="9" applyNumberFormat="1" applyFont="1" applyFill="1" applyBorder="1" applyAlignment="1">
      <alignment horizontal="left" vertical="center"/>
    </xf>
    <xf numFmtId="0" fontId="24" fillId="0" borderId="0" xfId="7"/>
    <xf numFmtId="194" fontId="38" fillId="0" borderId="21" xfId="9" quotePrefix="1" applyNumberFormat="1" applyFont="1" applyFill="1" applyBorder="1" applyAlignment="1">
      <alignment vertical="center"/>
    </xf>
    <xf numFmtId="194" fontId="38" fillId="0" borderId="20" xfId="9" applyNumberFormat="1" applyFont="1" applyFill="1" applyBorder="1" applyAlignment="1">
      <alignment vertical="center"/>
    </xf>
    <xf numFmtId="194" fontId="38" fillId="0" borderId="20" xfId="9" quotePrefix="1" applyNumberFormat="1" applyFont="1" applyFill="1" applyBorder="1" applyAlignment="1">
      <alignment vertical="center"/>
    </xf>
    <xf numFmtId="193" fontId="31" fillId="0" borderId="55" xfId="7" quotePrefix="1" applyNumberFormat="1" applyFont="1" applyBorder="1" applyAlignment="1">
      <alignment vertical="center"/>
    </xf>
    <xf numFmtId="194" fontId="42" fillId="0" borderId="20" xfId="9" applyNumberFormat="1" applyFont="1" applyFill="1" applyBorder="1" applyAlignment="1">
      <alignment vertical="center"/>
    </xf>
    <xf numFmtId="0" fontId="35" fillId="5" borderId="1" xfId="9" applyNumberFormat="1" applyFont="1" applyFill="1" applyBorder="1" applyAlignment="1">
      <alignment vertical="center" wrapText="1"/>
    </xf>
    <xf numFmtId="194" fontId="38" fillId="5" borderId="1" xfId="9" applyNumberFormat="1" applyFont="1" applyFill="1" applyBorder="1" applyAlignment="1">
      <alignment vertical="center"/>
    </xf>
    <xf numFmtId="195" fontId="42" fillId="0" borderId="20" xfId="9" applyNumberFormat="1" applyFont="1" applyFill="1" applyBorder="1" applyAlignment="1">
      <alignment vertical="center"/>
    </xf>
    <xf numFmtId="193" fontId="31" fillId="0" borderId="59" xfId="7" quotePrefix="1" applyNumberFormat="1" applyFont="1" applyBorder="1" applyAlignment="1">
      <alignment vertical="center"/>
    </xf>
    <xf numFmtId="194" fontId="42" fillId="0" borderId="32" xfId="9" applyNumberFormat="1" applyFont="1" applyFill="1" applyBorder="1" applyAlignment="1">
      <alignment vertical="center"/>
    </xf>
    <xf numFmtId="195" fontId="42" fillId="0" borderId="32" xfId="9" applyNumberFormat="1" applyFont="1" applyFill="1" applyBorder="1" applyAlignment="1">
      <alignment vertical="center"/>
    </xf>
    <xf numFmtId="193" fontId="35" fillId="0" borderId="8" xfId="7" applyNumberFormat="1" applyFont="1" applyBorder="1" applyAlignment="1">
      <alignment vertical="center" wrapText="1"/>
    </xf>
    <xf numFmtId="0" fontId="44" fillId="0" borderId="0" xfId="7" applyFont="1"/>
    <xf numFmtId="0" fontId="35" fillId="4" borderId="59" xfId="7" applyFont="1" applyFill="1" applyBorder="1" applyAlignment="1">
      <alignment horizontal="left" vertical="center" wrapText="1"/>
    </xf>
    <xf numFmtId="194" fontId="38" fillId="4" borderId="8" xfId="9" applyNumberFormat="1" applyFont="1" applyFill="1" applyBorder="1" applyAlignment="1">
      <alignment vertical="center"/>
    </xf>
    <xf numFmtId="0" fontId="35" fillId="5" borderId="8" xfId="9" applyNumberFormat="1" applyFont="1" applyFill="1" applyBorder="1" applyAlignment="1">
      <alignment vertical="center" wrapText="1"/>
    </xf>
    <xf numFmtId="193" fontId="45" fillId="0" borderId="0" xfId="7" applyNumberFormat="1" applyFont="1" applyAlignment="1">
      <alignment vertical="center"/>
    </xf>
    <xf numFmtId="194" fontId="42" fillId="0" borderId="7" xfId="9" applyNumberFormat="1" applyFont="1" applyFill="1" applyBorder="1" applyAlignment="1">
      <alignment vertical="center"/>
    </xf>
    <xf numFmtId="196" fontId="42" fillId="0" borderId="21" xfId="9" applyNumberFormat="1" applyFont="1" applyBorder="1" applyAlignment="1">
      <alignment vertical="center"/>
    </xf>
    <xf numFmtId="194" fontId="42" fillId="14" borderId="7" xfId="9" applyNumberFormat="1" applyFont="1" applyFill="1" applyBorder="1" applyAlignment="1">
      <alignment vertical="center"/>
    </xf>
    <xf numFmtId="193" fontId="35" fillId="0" borderId="21" xfId="7" applyNumberFormat="1" applyFont="1" applyBorder="1" applyAlignment="1">
      <alignment vertical="center"/>
    </xf>
    <xf numFmtId="194" fontId="38" fillId="0" borderId="21" xfId="9" applyNumberFormat="1" applyFont="1" applyBorder="1" applyAlignment="1">
      <alignment vertical="center"/>
    </xf>
    <xf numFmtId="196" fontId="38" fillId="0" borderId="21" xfId="11" applyNumberFormat="1" applyFont="1" applyFill="1" applyBorder="1" applyAlignment="1">
      <alignment vertical="center"/>
    </xf>
    <xf numFmtId="196" fontId="38" fillId="0" borderId="21" xfId="9" applyNumberFormat="1" applyFont="1" applyBorder="1" applyAlignment="1">
      <alignment vertical="center"/>
    </xf>
    <xf numFmtId="196" fontId="38" fillId="0" borderId="21" xfId="11" applyNumberFormat="1" applyFont="1" applyBorder="1" applyAlignment="1">
      <alignment vertical="center"/>
    </xf>
    <xf numFmtId="196" fontId="38" fillId="0" borderId="20" xfId="9" applyNumberFormat="1" applyFont="1" applyFill="1" applyBorder="1" applyAlignment="1">
      <alignment vertical="center"/>
    </xf>
    <xf numFmtId="0" fontId="31" fillId="0" borderId="21" xfId="9" applyNumberFormat="1" applyFont="1" applyFill="1" applyBorder="1" applyAlignment="1">
      <alignment horizontal="left" vertical="center" wrapText="1" indent="1"/>
    </xf>
    <xf numFmtId="194" fontId="42" fillId="15" borderId="20" xfId="9" applyNumberFormat="1" applyFont="1" applyFill="1" applyBorder="1" applyAlignment="1">
      <alignment vertical="center"/>
    </xf>
    <xf numFmtId="193" fontId="31" fillId="0" borderId="55" xfId="7" applyNumberFormat="1" applyFont="1" applyBorder="1" applyAlignment="1">
      <alignment vertical="center" wrapText="1"/>
    </xf>
    <xf numFmtId="196" fontId="42" fillId="0" borderId="21" xfId="11" applyNumberFormat="1" applyFont="1" applyFill="1" applyBorder="1" applyAlignment="1">
      <alignment vertical="center"/>
    </xf>
    <xf numFmtId="196" fontId="42" fillId="0" borderId="21" xfId="11" applyNumberFormat="1" applyFont="1" applyBorder="1" applyAlignment="1">
      <alignment vertical="center"/>
    </xf>
    <xf numFmtId="196" fontId="38" fillId="0" borderId="21" xfId="11" applyNumberFormat="1" applyFont="1" applyFill="1" applyBorder="1" applyAlignment="1">
      <alignment horizontal="right" vertical="center"/>
    </xf>
    <xf numFmtId="196" fontId="42" fillId="0" borderId="21" xfId="9" applyNumberFormat="1" applyFont="1" applyFill="1" applyBorder="1" applyAlignment="1">
      <alignment vertical="center"/>
    </xf>
    <xf numFmtId="195" fontId="38" fillId="0" borderId="20" xfId="9" applyNumberFormat="1" applyFont="1" applyFill="1" applyBorder="1" applyAlignment="1">
      <alignment vertical="center"/>
    </xf>
    <xf numFmtId="194" fontId="46" fillId="0" borderId="20" xfId="9" applyNumberFormat="1" applyFont="1" applyFill="1" applyBorder="1" applyAlignment="1">
      <alignment vertical="center"/>
    </xf>
    <xf numFmtId="193" fontId="31" fillId="11" borderId="20" xfId="9" applyNumberFormat="1" applyFont="1" applyFill="1" applyBorder="1" applyAlignment="1">
      <alignment vertical="center"/>
    </xf>
    <xf numFmtId="193" fontId="31" fillId="11" borderId="0" xfId="9" applyNumberFormat="1" applyFont="1" applyFill="1" applyBorder="1" applyAlignment="1">
      <alignment vertical="center"/>
    </xf>
    <xf numFmtId="193" fontId="31" fillId="11" borderId="57" xfId="9" applyNumberFormat="1" applyFont="1" applyFill="1" applyBorder="1" applyAlignment="1">
      <alignment vertical="center"/>
    </xf>
    <xf numFmtId="196" fontId="38" fillId="0" borderId="21" xfId="9" applyNumberFormat="1" applyFont="1" applyFill="1" applyBorder="1" applyAlignment="1">
      <alignment vertical="center"/>
    </xf>
    <xf numFmtId="195" fontId="42" fillId="0" borderId="21" xfId="11" applyNumberFormat="1" applyFont="1" applyFill="1" applyBorder="1" applyAlignment="1">
      <alignment vertical="center"/>
    </xf>
    <xf numFmtId="0" fontId="31" fillId="0" borderId="22" xfId="9" applyNumberFormat="1" applyFont="1" applyFill="1" applyBorder="1" applyAlignment="1">
      <alignment horizontal="left" vertical="center" wrapText="1" indent="1"/>
    </xf>
    <xf numFmtId="3" fontId="1" fillId="0" borderId="0" xfId="6" applyNumberFormat="1">
      <alignment vertical="center"/>
    </xf>
    <xf numFmtId="194" fontId="40" fillId="15" borderId="20" xfId="9" applyNumberFormat="1" applyFont="1" applyFill="1" applyBorder="1" applyAlignment="1">
      <alignment vertical="center"/>
    </xf>
    <xf numFmtId="196" fontId="7" fillId="0" borderId="21" xfId="11" quotePrefix="1" applyNumberFormat="1" applyFont="1" applyFill="1" applyBorder="1" applyAlignment="1">
      <alignment vertical="center" wrapText="1"/>
    </xf>
    <xf numFmtId="193" fontId="31" fillId="0" borderId="55" xfId="7" applyNumberFormat="1" applyFont="1" applyBorder="1" applyAlignment="1">
      <alignment vertical="center"/>
    </xf>
    <xf numFmtId="196" fontId="42" fillId="0" borderId="21" xfId="11" quotePrefix="1" applyNumberFormat="1" applyFont="1" applyFill="1" applyBorder="1" applyAlignment="1">
      <alignment vertical="center"/>
    </xf>
    <xf numFmtId="195" fontId="42" fillId="0" borderId="21" xfId="9" applyNumberFormat="1" applyFont="1" applyFill="1" applyBorder="1" applyAlignment="1">
      <alignment vertical="center"/>
    </xf>
    <xf numFmtId="0" fontId="31" fillId="0" borderId="21" xfId="7" applyFont="1" applyBorder="1" applyAlignment="1">
      <alignment horizontal="left" vertical="center" wrapText="1" indent="1"/>
    </xf>
    <xf numFmtId="197" fontId="0" fillId="0" borderId="0" xfId="9" applyNumberFormat="1" applyFont="1"/>
    <xf numFmtId="198" fontId="40" fillId="0" borderId="20" xfId="9" applyNumberFormat="1" applyFont="1" applyFill="1" applyBorder="1" applyAlignment="1">
      <alignment vertical="center"/>
    </xf>
    <xf numFmtId="0" fontId="1" fillId="0" borderId="21" xfId="6" applyBorder="1">
      <alignment vertical="center"/>
    </xf>
    <xf numFmtId="193" fontId="31" fillId="0" borderId="55" xfId="7" applyNumberFormat="1" applyFont="1" applyBorder="1" applyAlignment="1">
      <alignment horizontal="left" vertical="center"/>
    </xf>
    <xf numFmtId="0" fontId="35" fillId="0" borderId="25" xfId="7" applyFont="1" applyBorder="1" applyAlignment="1">
      <alignment vertical="center" wrapText="1"/>
    </xf>
    <xf numFmtId="194" fontId="38" fillId="0" borderId="25" xfId="9" applyNumberFormat="1" applyFont="1" applyFill="1" applyBorder="1" applyAlignment="1">
      <alignment vertical="center"/>
    </xf>
    <xf numFmtId="199" fontId="31" fillId="11" borderId="57" xfId="9" applyNumberFormat="1" applyFont="1" applyFill="1" applyBorder="1" applyAlignment="1">
      <alignment vertical="center"/>
    </xf>
    <xf numFmtId="0" fontId="31" fillId="0" borderId="21" xfId="9" applyNumberFormat="1" applyFont="1" applyBorder="1" applyAlignment="1">
      <alignment horizontal="left" vertical="center" wrapText="1" indent="1"/>
    </xf>
    <xf numFmtId="194" fontId="40" fillId="14" borderId="21" xfId="9" applyNumberFormat="1" applyFont="1" applyFill="1" applyBorder="1" applyAlignment="1">
      <alignment vertical="center"/>
    </xf>
    <xf numFmtId="196" fontId="1" fillId="0" borderId="0" xfId="6" applyNumberFormat="1">
      <alignment vertical="center"/>
    </xf>
    <xf numFmtId="193" fontId="41" fillId="11" borderId="0" xfId="9" applyNumberFormat="1" applyFont="1" applyFill="1" applyBorder="1" applyAlignment="1">
      <alignment vertical="center"/>
    </xf>
    <xf numFmtId="199" fontId="41" fillId="11" borderId="57" xfId="9" applyNumberFormat="1" applyFont="1" applyFill="1" applyBorder="1" applyAlignment="1">
      <alignment vertical="center"/>
    </xf>
    <xf numFmtId="0" fontId="1" fillId="0" borderId="49" xfId="6" applyBorder="1">
      <alignment vertical="center"/>
    </xf>
    <xf numFmtId="0" fontId="35" fillId="0" borderId="60" xfId="7" applyFont="1" applyBorder="1" applyAlignment="1">
      <alignment horizontal="left" vertical="center" wrapText="1"/>
    </xf>
    <xf numFmtId="194" fontId="38" fillId="0" borderId="61" xfId="9" applyNumberFormat="1" applyFont="1" applyFill="1" applyBorder="1" applyAlignment="1">
      <alignment vertical="center"/>
    </xf>
    <xf numFmtId="0" fontId="35" fillId="0" borderId="61" xfId="9" applyNumberFormat="1" applyFont="1" applyBorder="1" applyAlignment="1">
      <alignment vertical="center" wrapText="1"/>
    </xf>
    <xf numFmtId="194" fontId="38" fillId="0" borderId="62" xfId="9" applyNumberFormat="1" applyFont="1" applyBorder="1" applyAlignment="1">
      <alignment vertical="center"/>
    </xf>
    <xf numFmtId="194" fontId="38" fillId="0" borderId="62" xfId="9" applyNumberFormat="1" applyFont="1" applyFill="1" applyBorder="1" applyAlignment="1">
      <alignment vertical="center"/>
    </xf>
    <xf numFmtId="193" fontId="47" fillId="11" borderId="62" xfId="9" applyNumberFormat="1" applyFont="1" applyFill="1" applyBorder="1" applyAlignment="1">
      <alignment vertical="center"/>
    </xf>
    <xf numFmtId="193" fontId="47" fillId="11" borderId="63" xfId="9" applyNumberFormat="1" applyFont="1" applyFill="1" applyBorder="1" applyAlignment="1">
      <alignment vertical="center"/>
    </xf>
    <xf numFmtId="200" fontId="47" fillId="11" borderId="64" xfId="9" applyNumberFormat="1" applyFont="1" applyFill="1" applyBorder="1" applyAlignment="1">
      <alignment vertical="center"/>
    </xf>
    <xf numFmtId="193" fontId="31" fillId="0" borderId="65" xfId="7" applyNumberFormat="1" applyFont="1" applyBorder="1" applyAlignment="1">
      <alignment horizontal="center" vertical="center"/>
    </xf>
    <xf numFmtId="194" fontId="42" fillId="0" borderId="21" xfId="9" applyNumberFormat="1" applyFont="1" applyBorder="1" applyAlignment="1">
      <alignment vertical="center"/>
    </xf>
    <xf numFmtId="193" fontId="31" fillId="0" borderId="21" xfId="9" applyNumberFormat="1" applyFont="1" applyBorder="1" applyAlignment="1">
      <alignment vertical="center" wrapText="1"/>
    </xf>
    <xf numFmtId="193" fontId="41" fillId="11" borderId="0" xfId="7" applyNumberFormat="1" applyFont="1" applyFill="1" applyAlignment="1">
      <alignment vertical="center"/>
    </xf>
    <xf numFmtId="193" fontId="41" fillId="11" borderId="57" xfId="7" applyNumberFormat="1" applyFont="1" applyFill="1" applyBorder="1" applyAlignment="1">
      <alignment vertical="center"/>
    </xf>
    <xf numFmtId="193" fontId="31" fillId="0" borderId="21" xfId="9" applyNumberFormat="1" applyFont="1" applyBorder="1" applyAlignment="1">
      <alignment horizontal="left" vertical="center" wrapText="1" indent="1"/>
    </xf>
    <xf numFmtId="0" fontId="47" fillId="11" borderId="20" xfId="7" applyFont="1" applyFill="1" applyBorder="1" applyAlignment="1">
      <alignment vertical="center" wrapText="1"/>
    </xf>
    <xf numFmtId="0" fontId="47" fillId="11" borderId="0" xfId="7" applyFont="1" applyFill="1" applyAlignment="1">
      <alignment vertical="center" wrapText="1"/>
    </xf>
    <xf numFmtId="0" fontId="47" fillId="11" borderId="57" xfId="7" applyFont="1" applyFill="1" applyBorder="1" applyAlignment="1">
      <alignment vertical="center" wrapText="1"/>
    </xf>
    <xf numFmtId="193" fontId="35" fillId="0" borderId="21" xfId="9" applyNumberFormat="1" applyFont="1" applyBorder="1" applyAlignment="1">
      <alignment horizontal="left" vertical="center" wrapText="1" indent="1"/>
    </xf>
    <xf numFmtId="194" fontId="48" fillId="16" borderId="61" xfId="9" applyNumberFormat="1" applyFont="1" applyFill="1" applyBorder="1" applyAlignment="1">
      <alignment vertical="center"/>
    </xf>
    <xf numFmtId="0" fontId="35" fillId="0" borderId="61" xfId="9" applyNumberFormat="1" applyFont="1" applyFill="1" applyBorder="1" applyAlignment="1">
      <alignment vertical="center" wrapText="1"/>
    </xf>
    <xf numFmtId="194" fontId="38" fillId="2" borderId="61" xfId="9" applyNumberFormat="1" applyFont="1" applyFill="1" applyBorder="1" applyAlignment="1">
      <alignment vertical="center"/>
    </xf>
    <xf numFmtId="0" fontId="47" fillId="11" borderId="62" xfId="7" applyFont="1" applyFill="1" applyBorder="1" applyAlignment="1">
      <alignment vertical="center" wrapText="1"/>
    </xf>
    <xf numFmtId="0" fontId="47" fillId="11" borderId="63" xfId="7" applyFont="1" applyFill="1" applyBorder="1" applyAlignment="1">
      <alignment vertical="center" wrapText="1"/>
    </xf>
    <xf numFmtId="0" fontId="47" fillId="11" borderId="64" xfId="7" applyFont="1" applyFill="1" applyBorder="1" applyAlignment="1">
      <alignment vertical="center" wrapText="1"/>
    </xf>
    <xf numFmtId="0" fontId="43" fillId="0" borderId="0" xfId="12"/>
    <xf numFmtId="0" fontId="49" fillId="0" borderId="0" xfId="12" applyFont="1" applyAlignment="1">
      <alignment vertical="center"/>
    </xf>
    <xf numFmtId="0" fontId="50" fillId="0" borderId="0" xfId="7" applyFont="1" applyAlignment="1">
      <alignment vertical="center"/>
    </xf>
    <xf numFmtId="0" fontId="51" fillId="0" borderId="0" xfId="6" applyFont="1">
      <alignment vertical="center"/>
    </xf>
    <xf numFmtId="194" fontId="51" fillId="0" borderId="0" xfId="6" applyNumberFormat="1" applyFont="1">
      <alignment vertical="center"/>
    </xf>
    <xf numFmtId="3" fontId="51" fillId="0" borderId="0" xfId="6" applyNumberFormat="1" applyFont="1">
      <alignment vertical="center"/>
    </xf>
    <xf numFmtId="41" fontId="51" fillId="0" borderId="0" xfId="6" applyNumberFormat="1" applyFont="1">
      <alignment vertical="center"/>
    </xf>
    <xf numFmtId="0" fontId="44" fillId="0" borderId="0" xfId="7" applyFont="1" applyAlignment="1">
      <alignment vertical="center"/>
    </xf>
    <xf numFmtId="41" fontId="44" fillId="0" borderId="0" xfId="11" applyFont="1" applyAlignment="1">
      <alignment vertical="center"/>
    </xf>
    <xf numFmtId="0" fontId="2" fillId="0" borderId="0" xfId="6" applyFont="1">
      <alignment vertical="center"/>
    </xf>
    <xf numFmtId="194" fontId="2" fillId="0" borderId="0" xfId="6" applyNumberFormat="1" applyFont="1">
      <alignment vertical="center"/>
    </xf>
    <xf numFmtId="194" fontId="2" fillId="0" borderId="0" xfId="6" applyNumberFormat="1" applyFont="1" applyAlignment="1">
      <alignment horizontal="center" vertical="center"/>
    </xf>
    <xf numFmtId="201" fontId="2" fillId="0" borderId="0" xfId="6" applyNumberFormat="1" applyFont="1" applyAlignment="1">
      <alignment horizontal="center" vertical="center"/>
    </xf>
    <xf numFmtId="194" fontId="52" fillId="0" borderId="0" xfId="7" applyNumberFormat="1" applyFont="1" applyAlignment="1">
      <alignment vertical="center"/>
    </xf>
    <xf numFmtId="202" fontId="50" fillId="0" borderId="0" xfId="7" applyNumberFormat="1" applyFont="1" applyAlignment="1">
      <alignment vertical="center"/>
    </xf>
    <xf numFmtId="41" fontId="50" fillId="0" borderId="0" xfId="11" applyFont="1" applyAlignment="1">
      <alignment vertical="center"/>
    </xf>
    <xf numFmtId="201" fontId="44" fillId="0" borderId="0" xfId="13" applyNumberFormat="1" applyFont="1" applyAlignment="1">
      <alignment vertical="center"/>
    </xf>
    <xf numFmtId="3" fontId="44" fillId="0" borderId="0" xfId="7" applyNumberFormat="1" applyFont="1" applyAlignment="1">
      <alignment vertical="center"/>
    </xf>
    <xf numFmtId="43" fontId="2" fillId="0" borderId="0" xfId="6" applyNumberFormat="1" applyFont="1">
      <alignment vertical="center"/>
    </xf>
    <xf numFmtId="201" fontId="2" fillId="0" borderId="0" xfId="6" applyNumberFormat="1" applyFont="1">
      <alignment vertical="center"/>
    </xf>
    <xf numFmtId="201" fontId="53" fillId="0" borderId="0" xfId="6" applyNumberFormat="1" applyFont="1">
      <alignment vertical="center"/>
    </xf>
    <xf numFmtId="2" fontId="1" fillId="0" borderId="0" xfId="6" applyNumberFormat="1">
      <alignment vertical="center"/>
    </xf>
    <xf numFmtId="187" fontId="1" fillId="0" borderId="0" xfId="6" applyNumberFormat="1">
      <alignment vertical="center"/>
    </xf>
    <xf numFmtId="190" fontId="1" fillId="0" borderId="0" xfId="14" applyNumberFormat="1" applyFont="1" applyFill="1">
      <alignment vertical="center"/>
    </xf>
    <xf numFmtId="203" fontId="54" fillId="0" borderId="0" xfId="15" applyNumberFormat="1" applyFont="1" applyFill="1" applyBorder="1" applyAlignment="1">
      <alignment vertical="top"/>
    </xf>
    <xf numFmtId="204" fontId="1" fillId="0" borderId="0" xfId="6" applyNumberFormat="1">
      <alignment vertical="center"/>
    </xf>
    <xf numFmtId="203" fontId="54" fillId="11" borderId="0" xfId="15" applyNumberFormat="1" applyFont="1" applyFill="1" applyBorder="1" applyAlignment="1">
      <alignment vertical="top"/>
    </xf>
    <xf numFmtId="205" fontId="55" fillId="11" borderId="0" xfId="15" applyNumberFormat="1" applyFont="1" applyFill="1" applyBorder="1" applyAlignment="1">
      <alignment vertical="top"/>
    </xf>
    <xf numFmtId="206" fontId="1" fillId="0" borderId="0" xfId="6" applyNumberFormat="1">
      <alignment vertical="center"/>
    </xf>
    <xf numFmtId="25" fontId="1" fillId="0" borderId="0" xfId="6" applyNumberFormat="1">
      <alignment vertical="center"/>
    </xf>
    <xf numFmtId="194" fontId="1" fillId="0" borderId="0" xfId="6" applyNumberFormat="1">
      <alignment vertical="center"/>
    </xf>
    <xf numFmtId="194" fontId="42" fillId="14" borderId="21" xfId="9" applyNumberFormat="1" applyFont="1" applyFill="1" applyBorder="1" applyAlignment="1">
      <alignment vertical="center"/>
    </xf>
    <xf numFmtId="194" fontId="42" fillId="14" borderId="20" xfId="9" applyNumberFormat="1" applyFont="1" applyFill="1" applyBorder="1" applyAlignment="1">
      <alignment vertical="center"/>
    </xf>
    <xf numFmtId="9" fontId="12" fillId="0" borderId="0" xfId="1" applyNumberFormat="1" applyFont="1" applyAlignment="1">
      <alignment vertical="center"/>
    </xf>
    <xf numFmtId="3" fontId="12" fillId="0" borderId="0" xfId="1" applyNumberFormat="1" applyFont="1" applyAlignment="1">
      <alignment vertical="center"/>
    </xf>
    <xf numFmtId="194" fontId="40" fillId="5" borderId="20" xfId="9" applyNumberFormat="1" applyFont="1" applyFill="1" applyBorder="1" applyAlignment="1">
      <alignment vertical="center"/>
    </xf>
    <xf numFmtId="194" fontId="38" fillId="5" borderId="21" xfId="9" applyNumberFormat="1" applyFont="1" applyFill="1" applyBorder="1" applyAlignment="1">
      <alignment vertical="center"/>
    </xf>
    <xf numFmtId="194" fontId="38" fillId="5" borderId="20" xfId="9" applyNumberFormat="1" applyFont="1" applyFill="1" applyBorder="1" applyAlignment="1">
      <alignment vertical="center"/>
    </xf>
    <xf numFmtId="194" fontId="42" fillId="5" borderId="20" xfId="9" applyNumberFormat="1" applyFont="1" applyFill="1" applyBorder="1" applyAlignment="1">
      <alignment vertical="center"/>
    </xf>
    <xf numFmtId="193" fontId="31" fillId="11" borderId="20" xfId="9" applyNumberFormat="1" applyFont="1" applyFill="1" applyBorder="1" applyAlignment="1">
      <alignment horizontal="left" vertical="center"/>
    </xf>
    <xf numFmtId="193" fontId="31" fillId="11" borderId="0" xfId="9" applyNumberFormat="1" applyFont="1" applyFill="1" applyBorder="1" applyAlignment="1">
      <alignment horizontal="left" vertical="center"/>
    </xf>
    <xf numFmtId="193" fontId="31" fillId="11" borderId="57" xfId="9" applyNumberFormat="1" applyFont="1" applyFill="1" applyBorder="1" applyAlignment="1">
      <alignment horizontal="left" vertical="center"/>
    </xf>
    <xf numFmtId="193" fontId="31" fillId="11" borderId="20" xfId="9" applyNumberFormat="1" applyFont="1" applyFill="1" applyBorder="1" applyAlignment="1">
      <alignment horizontal="left" vertical="center" wrapText="1"/>
    </xf>
    <xf numFmtId="193" fontId="31" fillId="11" borderId="0" xfId="9" applyNumberFormat="1" applyFont="1" applyFill="1" applyBorder="1" applyAlignment="1">
      <alignment horizontal="left" vertical="center" wrapText="1"/>
    </xf>
    <xf numFmtId="193" fontId="31" fillId="11" borderId="57" xfId="9" applyNumberFormat="1" applyFont="1" applyFill="1" applyBorder="1" applyAlignment="1">
      <alignment horizontal="left" vertical="center" wrapText="1"/>
    </xf>
    <xf numFmtId="193" fontId="41" fillId="0" borderId="20" xfId="9" applyNumberFormat="1" applyFont="1" applyBorder="1" applyAlignment="1">
      <alignment horizontal="center" vertical="center"/>
    </xf>
    <xf numFmtId="193" fontId="41" fillId="0" borderId="0" xfId="9" applyNumberFormat="1" applyFont="1" applyBorder="1" applyAlignment="1">
      <alignment horizontal="center" vertical="center"/>
    </xf>
    <xf numFmtId="193" fontId="41" fillId="0" borderId="57" xfId="9" applyNumberFormat="1" applyFont="1" applyBorder="1" applyAlignment="1">
      <alignment horizontal="center" vertical="center"/>
    </xf>
    <xf numFmtId="193" fontId="35" fillId="5" borderId="44" xfId="9" applyNumberFormat="1" applyFont="1" applyFill="1" applyBorder="1" applyAlignment="1">
      <alignment horizontal="center" vertical="center" wrapText="1"/>
    </xf>
    <xf numFmtId="193" fontId="35" fillId="5" borderId="45" xfId="9" applyNumberFormat="1" applyFont="1" applyFill="1" applyBorder="1" applyAlignment="1">
      <alignment horizontal="center" vertical="center" wrapText="1"/>
    </xf>
    <xf numFmtId="193" fontId="35" fillId="5" borderId="54" xfId="9" applyNumberFormat="1" applyFont="1" applyFill="1" applyBorder="1" applyAlignment="1">
      <alignment horizontal="center" vertical="center" wrapText="1"/>
    </xf>
    <xf numFmtId="0" fontId="41" fillId="10" borderId="7" xfId="9" applyNumberFormat="1" applyFont="1" applyFill="1" applyBorder="1" applyAlignment="1">
      <alignment horizontal="center" vertical="center"/>
    </xf>
    <xf numFmtId="0" fontId="41" fillId="10" borderId="5" xfId="9" applyNumberFormat="1" applyFont="1" applyFill="1" applyBorder="1" applyAlignment="1">
      <alignment horizontal="center" vertical="center"/>
    </xf>
    <xf numFmtId="0" fontId="41" fillId="10" borderId="56" xfId="9" applyNumberFormat="1" applyFont="1" applyFill="1" applyBorder="1" applyAlignment="1">
      <alignment horizontal="center" vertical="center"/>
    </xf>
    <xf numFmtId="0" fontId="31" fillId="10" borderId="20" xfId="9" applyNumberFormat="1" applyFont="1" applyFill="1" applyBorder="1" applyAlignment="1">
      <alignment horizontal="left" vertical="center"/>
    </xf>
    <xf numFmtId="0" fontId="31" fillId="10" borderId="0" xfId="9" applyNumberFormat="1" applyFont="1" applyFill="1" applyBorder="1" applyAlignment="1">
      <alignment horizontal="left" vertical="center"/>
    </xf>
    <xf numFmtId="0" fontId="31" fillId="10" borderId="57" xfId="9" applyNumberFormat="1" applyFont="1" applyFill="1" applyBorder="1" applyAlignment="1">
      <alignment horizontal="left" vertical="center"/>
    </xf>
    <xf numFmtId="0" fontId="31" fillId="10" borderId="20" xfId="9" applyNumberFormat="1" applyFont="1" applyFill="1" applyBorder="1" applyAlignment="1">
      <alignment horizontal="left" vertical="center" wrapText="1"/>
    </xf>
    <xf numFmtId="0" fontId="31" fillId="10" borderId="0" xfId="9" applyNumberFormat="1" applyFont="1" applyFill="1" applyBorder="1" applyAlignment="1">
      <alignment horizontal="left" vertical="center" wrapText="1"/>
    </xf>
    <xf numFmtId="0" fontId="31" fillId="10" borderId="57" xfId="9" applyNumberFormat="1" applyFont="1" applyFill="1" applyBorder="1" applyAlignment="1">
      <alignment horizontal="left" vertical="center" wrapText="1"/>
    </xf>
    <xf numFmtId="193" fontId="35" fillId="5" borderId="3" xfId="9" applyNumberFormat="1" applyFont="1" applyFill="1" applyBorder="1" applyAlignment="1">
      <alignment horizontal="center" vertical="center" wrapText="1"/>
    </xf>
    <xf numFmtId="193" fontId="35" fillId="5" borderId="4" xfId="9" applyNumberFormat="1" applyFont="1" applyFill="1" applyBorder="1" applyAlignment="1">
      <alignment horizontal="center" vertical="center" wrapText="1"/>
    </xf>
    <xf numFmtId="193" fontId="35" fillId="5" borderId="58" xfId="9" applyNumberFormat="1" applyFont="1" applyFill="1" applyBorder="1" applyAlignment="1">
      <alignment horizontal="center" vertical="center" wrapText="1"/>
    </xf>
    <xf numFmtId="193" fontId="31" fillId="10" borderId="20" xfId="9" applyNumberFormat="1" applyFont="1" applyFill="1" applyBorder="1" applyAlignment="1">
      <alignment horizontal="left" vertical="center"/>
    </xf>
    <xf numFmtId="193" fontId="31" fillId="10" borderId="0" xfId="9" applyNumberFormat="1" applyFont="1" applyFill="1" applyBorder="1" applyAlignment="1">
      <alignment horizontal="left" vertical="center"/>
    </xf>
    <xf numFmtId="193" fontId="31" fillId="10" borderId="57" xfId="9" applyNumberFormat="1" applyFont="1" applyFill="1" applyBorder="1" applyAlignment="1">
      <alignment horizontal="left" vertical="center"/>
    </xf>
    <xf numFmtId="0" fontId="25" fillId="10" borderId="0" xfId="7" applyFont="1" applyFill="1" applyAlignment="1">
      <alignment horizontal="center" wrapText="1"/>
    </xf>
    <xf numFmtId="193" fontId="35" fillId="12" borderId="40" xfId="7" applyNumberFormat="1" applyFont="1" applyFill="1" applyBorder="1" applyAlignment="1">
      <alignment horizontal="center" vertical="center" wrapText="1"/>
    </xf>
    <xf numFmtId="193" fontId="35" fillId="12" borderId="48" xfId="7" applyNumberFormat="1" applyFont="1" applyFill="1" applyBorder="1" applyAlignment="1">
      <alignment horizontal="center" vertical="center"/>
    </xf>
    <xf numFmtId="193" fontId="36" fillId="12" borderId="41" xfId="7" applyNumberFormat="1" applyFont="1" applyFill="1" applyBorder="1" applyAlignment="1">
      <alignment horizontal="center" vertical="center" wrapText="1"/>
    </xf>
    <xf numFmtId="193" fontId="36" fillId="12" borderId="41" xfId="7" applyNumberFormat="1" applyFont="1" applyFill="1" applyBorder="1" applyAlignment="1">
      <alignment horizontal="center" vertical="center"/>
    </xf>
    <xf numFmtId="193" fontId="36" fillId="12" borderId="42" xfId="7" applyNumberFormat="1" applyFont="1" applyFill="1" applyBorder="1" applyAlignment="1">
      <alignment horizontal="center" vertical="center"/>
    </xf>
    <xf numFmtId="193" fontId="35" fillId="13" borderId="43" xfId="7" applyNumberFormat="1" applyFont="1" applyFill="1" applyBorder="1" applyAlignment="1">
      <alignment horizontal="center" vertical="center" wrapText="1"/>
    </xf>
    <xf numFmtId="193" fontId="35" fillId="13" borderId="49" xfId="7" applyNumberFormat="1" applyFont="1" applyFill="1" applyBorder="1" applyAlignment="1">
      <alignment horizontal="center" vertical="center"/>
    </xf>
    <xf numFmtId="193" fontId="36" fillId="13" borderId="44" xfId="7" applyNumberFormat="1" applyFont="1" applyFill="1" applyBorder="1" applyAlignment="1">
      <alignment horizontal="center" vertical="center" wrapText="1"/>
    </xf>
    <xf numFmtId="193" fontId="36" fillId="13" borderId="45" xfId="7" applyNumberFormat="1" applyFont="1" applyFill="1" applyBorder="1" applyAlignment="1">
      <alignment horizontal="center" vertical="center"/>
    </xf>
    <xf numFmtId="193" fontId="36" fillId="13" borderId="46" xfId="7" applyNumberFormat="1" applyFont="1" applyFill="1" applyBorder="1" applyAlignment="1">
      <alignment horizontal="center" vertical="center"/>
    </xf>
    <xf numFmtId="193" fontId="35" fillId="13" borderId="42" xfId="7" applyNumberFormat="1" applyFont="1" applyFill="1" applyBorder="1" applyAlignment="1">
      <alignment horizontal="center" vertical="center" wrapText="1"/>
    </xf>
    <xf numFmtId="193" fontId="35" fillId="13" borderId="46" xfId="7" applyNumberFormat="1" applyFont="1" applyFill="1" applyBorder="1" applyAlignment="1">
      <alignment horizontal="center" vertical="center" wrapText="1"/>
    </xf>
    <xf numFmtId="193" fontId="35" fillId="13" borderId="47" xfId="7" applyNumberFormat="1" applyFont="1" applyFill="1" applyBorder="1" applyAlignment="1">
      <alignment horizontal="center" vertical="center" wrapText="1"/>
    </xf>
    <xf numFmtId="193" fontId="35" fillId="13" borderId="50" xfId="7" applyNumberFormat="1" applyFont="1" applyFill="1" applyBorder="1" applyAlignment="1">
      <alignment horizontal="center" vertical="center" wrapText="1"/>
    </xf>
    <xf numFmtId="193" fontId="35" fillId="13" borderId="51" xfId="7" applyNumberFormat="1" applyFont="1" applyFill="1" applyBorder="1" applyAlignment="1">
      <alignment horizontal="center" vertical="center" wrapText="1"/>
    </xf>
    <xf numFmtId="193" fontId="35" fillId="13" borderId="52" xfId="7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176" fontId="13" fillId="2" borderId="23" xfId="1" applyNumberFormat="1" applyFont="1" applyFill="1" applyBorder="1" applyAlignment="1">
      <alignment vertical="center"/>
    </xf>
  </cellXfs>
  <cellStyles count="16">
    <cellStyle name="Comma [0] 2 2 7" xfId="11" xr:uid="{4923B927-BB09-448A-92F9-5EFE5C7F7130}"/>
    <cellStyle name="Comma 2" xfId="15" xr:uid="{8E1311BD-7F99-46A0-BBB6-BEED067C91C3}"/>
    <cellStyle name="백분율 2" xfId="2" xr:uid="{D64CB00D-5434-4F47-9759-66018D6759B7}"/>
    <cellStyle name="쉼표 [0] 2" xfId="3" xr:uid="{C58DCE50-C37A-4B6D-8DE7-EB6EEA1ADEFB}"/>
    <cellStyle name="쉼표 [0] 2 3" xfId="9" xr:uid="{FC592DB1-39F3-4697-ACCE-CB23D7804528}"/>
    <cellStyle name="쉼표 2" xfId="4" xr:uid="{F0A92EDB-6FF5-4F23-BA0E-070DB6E31169}"/>
    <cellStyle name="쉼표 3" xfId="14" xr:uid="{0811FC60-0A40-4291-AD05-659FACEAFA2F}"/>
    <cellStyle name="쉼표 78 2 4 2 6 2" xfId="13" xr:uid="{D8217445-46E0-4308-8E6F-63FC6678763D}"/>
    <cellStyle name="통화 2" xfId="5" xr:uid="{CD0F650C-D339-4FB7-976C-62081C45D7F7}"/>
    <cellStyle name="표준" xfId="0" builtinId="0"/>
    <cellStyle name="표준 12 2 3 2 6 2" xfId="8" xr:uid="{8D4CB6B2-AD12-48BD-868B-B02658D5FE25}"/>
    <cellStyle name="표준 13 3 2 6 2" xfId="6" xr:uid="{CA26380C-F85A-4231-B2A5-36A010A89E56}"/>
    <cellStyle name="표준 2" xfId="1" xr:uid="{7C374F2B-9D48-4EE6-B21F-7FB445F881D5}"/>
    <cellStyle name="표준 2 5" xfId="7" xr:uid="{AEF7F977-7C93-4E76-B91C-80A51A8874B8}"/>
    <cellStyle name="표준 2 5 2 2" xfId="10" xr:uid="{2967FAB6-DBAA-4291-83A3-B9137DA6D6D3}"/>
    <cellStyle name="표준 4 22" xfId="12" xr:uid="{AC70B4B1-4543-4740-851C-C97760253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8.&#51088;&#44552;&#50900;&#48372;/2026/8&#50900;/(2608)%20ST%20monthly%20Cash%20Report_20260903_Actual.xlsx" TargetMode="External"/><Relationship Id="rId2" Type="http://schemas.openxmlformats.org/officeDocument/2006/relationships/externalLinkPath" Target="file:///C:\&#50629;&#47924;&#51064;&#49688;&#51064;&#44228;\8.&#51088;&#44552;&#50900;&#48372;\2026\8&#50900;\(2608)%20ST%20monthly%20Cash%20Report_20260903_Actual.xlsx" TargetMode="External"/><Relationship Id="rId1" Type="http://schemas.openxmlformats.org/officeDocument/2006/relationships/externalLinkPath" Target="/&#50629;&#47924;&#51064;&#49688;&#51064;&#44228;/8.&#51088;&#44552;&#50900;&#48372;/2026/8&#50900;/(2608)%20ST%20monthly%20Cash%20Report_20260903_Actu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nf365-my.sharepoint.com/personal/seanlee_fnfcorp_com/Documents/Sergio%20Tacchini%20Finance/FP&amp;A/03.%20Reporting/2026/07.2026/260803%20STO%20Company%20Budget%20Model%20-%20Jul'26%20Actuals%20-%20Unlinked.xlsx" TargetMode="External"/><Relationship Id="rId1" Type="http://schemas.openxmlformats.org/officeDocument/2006/relationships/externalLinkPath" Target="https://fnf365-my.sharepoint.com/personal/seanlee_fnfcorp_com/Documents/Sergio%20Tacchini%20Finance/FP&amp;A/03.%20Reporting/2026/07.2026/260803%20STO%20Company%20Budget%20Model%20-%20Jul'26%20Actuals%20-%20Unlink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2026&#45380;/8&#50900;/(2608)%20ST%20monthly%20Cash%20Report_20260908_FCST.xlsx" TargetMode="External"/><Relationship Id="rId2" Type="http://schemas.openxmlformats.org/officeDocument/2006/relationships/externalLinkPath" Target="file:///C:\&#50629;&#47924;&#51064;&#49688;&#51064;&#44228;\6.&#49892;&#51201;&#48372;&#44256;\2026&#45380;\8&#50900;\(2608)%20ST%20monthly%20Cash%20Report_20260908_FCST.xlsx" TargetMode="External"/><Relationship Id="rId1" Type="http://schemas.openxmlformats.org/officeDocument/2006/relationships/externalLinkPath" Target="/&#50629;&#47924;&#51064;&#49688;&#51064;&#44228;/6.&#49892;&#51201;&#48372;&#44256;/2026&#45380;/8&#50900;/(2608)%20ST%20monthly%20Cash%20Report_20260908_FCS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nf365-my.sharepoint.com/personal/seanlee_fnfcorp_com/Documents/Sergio%20Tacchini%20Finance/FP&amp;A/03.%20Reporting/2026/08.2026/260906%20STO%20Company%20Budget%20Model%20-%20Aug'26%20Actuals.xlsx" TargetMode="External"/><Relationship Id="rId1" Type="http://schemas.openxmlformats.org/officeDocument/2006/relationships/externalLinkPath" Target="https://fnf365-my.sharepoint.com/personal/seanlee_fnfcorp_com/Documents/Sergio%20Tacchini%20Finance/FP&amp;A/03.%20Reporting/2026/08.2026/260906%20STO%20Company%20Budget%20Model%20-%20Aug'26%20Actu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자금월보_품의"/>
      <sheetName val="Sheet1"/>
      <sheetName val="26년 STO"/>
      <sheetName val="26년 STE 연간"/>
      <sheetName val="Sheet2"/>
      <sheetName val="May CF"/>
      <sheetName val="August CF"/>
      <sheetName val="자료=&gt;"/>
      <sheetName val="STE채권 에이징"/>
      <sheetName val="July FCST"/>
    </sheetNames>
    <sheetDataSet>
      <sheetData sheetId="0" refreshError="1"/>
      <sheetData sheetId="1" refreshError="1"/>
      <sheetData sheetId="2"/>
      <sheetData sheetId="3">
        <row r="24">
          <cell r="Y24">
            <v>744025</v>
          </cell>
        </row>
      </sheetData>
      <sheetData sheetId="4" refreshError="1"/>
      <sheetData sheetId="5" refreshError="1"/>
      <sheetData sheetId="6">
        <row r="11">
          <cell r="HK11">
            <v>815328</v>
          </cell>
        </row>
        <row r="12">
          <cell r="HK12">
            <v>1393.7800000000002</v>
          </cell>
        </row>
        <row r="13">
          <cell r="HK13">
            <v>17765.47</v>
          </cell>
        </row>
        <row r="14">
          <cell r="HK14">
            <v>28165.439999999999</v>
          </cell>
        </row>
        <row r="15">
          <cell r="HK15">
            <v>5592.6399999999994</v>
          </cell>
        </row>
        <row r="16">
          <cell r="HK16">
            <v>7866.5599999999995</v>
          </cell>
        </row>
        <row r="17">
          <cell r="HK17">
            <v>62309.1</v>
          </cell>
        </row>
        <row r="18">
          <cell r="HK18">
            <v>0</v>
          </cell>
        </row>
        <row r="19">
          <cell r="HK19">
            <v>4819.08</v>
          </cell>
        </row>
        <row r="20">
          <cell r="HK20">
            <v>466.09000000000003</v>
          </cell>
        </row>
        <row r="23">
          <cell r="HK23">
            <v>0</v>
          </cell>
        </row>
        <row r="24">
          <cell r="HK24">
            <v>0</v>
          </cell>
        </row>
        <row r="25">
          <cell r="HK25">
            <v>99267.38</v>
          </cell>
        </row>
        <row r="26">
          <cell r="HK26">
            <v>117201.2</v>
          </cell>
        </row>
        <row r="27">
          <cell r="HK27">
            <v>0</v>
          </cell>
        </row>
        <row r="28">
          <cell r="HK28">
            <v>0</v>
          </cell>
        </row>
        <row r="29">
          <cell r="HK29">
            <v>201493.89</v>
          </cell>
        </row>
        <row r="30">
          <cell r="HK30">
            <v>76492.350000000006</v>
          </cell>
        </row>
        <row r="31">
          <cell r="HK31">
            <v>904.64</v>
          </cell>
        </row>
        <row r="32">
          <cell r="HK32">
            <v>2281.5</v>
          </cell>
        </row>
        <row r="33">
          <cell r="HK33">
            <v>17883.68</v>
          </cell>
        </row>
        <row r="34">
          <cell r="HK34">
            <v>505.9</v>
          </cell>
        </row>
        <row r="35">
          <cell r="HK35">
            <v>24035.94</v>
          </cell>
        </row>
        <row r="36">
          <cell r="HK36">
            <v>770.31</v>
          </cell>
        </row>
        <row r="37">
          <cell r="HK37">
            <v>899.46</v>
          </cell>
        </row>
        <row r="38">
          <cell r="HK38">
            <v>3067.91</v>
          </cell>
        </row>
        <row r="39">
          <cell r="HK39">
            <v>1636.6499999999999</v>
          </cell>
        </row>
        <row r="40">
          <cell r="HK40">
            <v>250</v>
          </cell>
        </row>
        <row r="43">
          <cell r="HK43">
            <v>3498.3199999999997</v>
          </cell>
        </row>
        <row r="44">
          <cell r="HK44">
            <v>1500</v>
          </cell>
        </row>
        <row r="45">
          <cell r="HK45">
            <v>32202.129999999997</v>
          </cell>
        </row>
        <row r="46">
          <cell r="HK46">
            <v>9289.86</v>
          </cell>
        </row>
        <row r="47">
          <cell r="HK47">
            <v>60138.9</v>
          </cell>
        </row>
        <row r="48">
          <cell r="HK48">
            <v>327.79</v>
          </cell>
        </row>
        <row r="49">
          <cell r="HK49">
            <v>67780.849999999991</v>
          </cell>
        </row>
        <row r="50">
          <cell r="HK50">
            <v>31792.91</v>
          </cell>
        </row>
        <row r="51">
          <cell r="HK51">
            <v>258749.08</v>
          </cell>
        </row>
        <row r="52">
          <cell r="HK52">
            <v>72787.5</v>
          </cell>
        </row>
        <row r="53">
          <cell r="HK53">
            <v>335.97</v>
          </cell>
        </row>
        <row r="54">
          <cell r="HK54">
            <v>115884.97</v>
          </cell>
        </row>
        <row r="55">
          <cell r="HK55">
            <v>116981.76000000001</v>
          </cell>
        </row>
        <row r="56">
          <cell r="HK56">
            <v>774.28</v>
          </cell>
        </row>
        <row r="57">
          <cell r="HK57">
            <v>6032.48</v>
          </cell>
        </row>
        <row r="58">
          <cell r="HK58">
            <v>0</v>
          </cell>
        </row>
        <row r="59">
          <cell r="HK59">
            <v>820.72</v>
          </cell>
        </row>
        <row r="60">
          <cell r="HK60">
            <v>12380.82</v>
          </cell>
        </row>
        <row r="61">
          <cell r="HK61">
            <v>268224.17</v>
          </cell>
        </row>
        <row r="62">
          <cell r="HK62">
            <v>0</v>
          </cell>
        </row>
        <row r="63">
          <cell r="HK63">
            <v>43806.209999999992</v>
          </cell>
        </row>
        <row r="64">
          <cell r="HK64">
            <v>0</v>
          </cell>
        </row>
        <row r="66">
          <cell r="HK66">
            <v>2716.9300000000003</v>
          </cell>
        </row>
        <row r="73">
          <cell r="HK73">
            <v>322.81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 2026 P&amp;L - Stretch"/>
      <sheetName val="STO 2026 P&amp;L - AOP"/>
      <sheetName val="TOC"/>
      <sheetName val="OUTPUT-&gt;"/>
      <sheetName val="미국실적"/>
      <sheetName val="손익_표"/>
      <sheetName val="미국연간"/>
      <sheetName val="영업비"/>
      <sheetName val="FINANCIALS-&gt;"/>
      <sheetName val="Summary"/>
      <sheetName val="STO P&amp;L"/>
      <sheetName val="STO BS"/>
      <sheetName val="STO CF"/>
      <sheetName val="G&amp;A Summary"/>
      <sheetName val="G&amp;A Data Dump"/>
      <sheetName val="BUILD-&gt;"/>
      <sheetName val="Ecom Build"/>
      <sheetName val="COGS Build"/>
      <sheetName val="Inventory Build"/>
      <sheetName val="Sales Build"/>
      <sheetName val="Shipping Costs Build"/>
      <sheetName val="Sales Build - Original"/>
      <sheetName val="Order Proc. Costs Build"/>
      <sheetName val="Wholesale Build "/>
      <sheetName val="ProServ Build"/>
      <sheetName val="DATA-&gt;"/>
      <sheetName val="STO - IS"/>
      <sheetName val="STO - BS"/>
      <sheetName val="NS Vendor Details"/>
      <sheetName val="G&amp;A Analysis"/>
      <sheetName val="G&amp;A Vendor Analysis"/>
      <sheetName val="Direct Costs Vendor Analysis"/>
      <sheetName val="Direct Costs Analysis"/>
      <sheetName val="Direct Costs Breakdown - Actual"/>
      <sheetName val="MSRP - Sales"/>
      <sheetName val="Net Sales Breakdown"/>
      <sheetName val="Inventory - MSRP (ATS)"/>
      <sheetName val="Inventory - MSRP (On Hand)"/>
      <sheetName val="STO Headcounts"/>
      <sheetName val="HQ Salaries"/>
      <sheetName val="Number of Orders Shipped"/>
      <sheetName val="Direct Costs Breakdown - AOP"/>
      <sheetName val="Vendor Lookup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2">
          <cell r="Z22">
            <v>2373633.5684701279</v>
          </cell>
          <cell r="AA22">
            <v>2056039.4594341225</v>
          </cell>
          <cell r="AB22">
            <v>3531886.6956175328</v>
          </cell>
          <cell r="AC22">
            <v>3531931.0958886854</v>
          </cell>
        </row>
        <row r="23">
          <cell r="Z23">
            <v>81725.674529872529</v>
          </cell>
          <cell r="AA23">
            <v>70790.712565877999</v>
          </cell>
          <cell r="AB23">
            <v>121605.04738246756</v>
          </cell>
          <cell r="AC23">
            <v>121606.57611131498</v>
          </cell>
        </row>
        <row r="27">
          <cell r="Z27">
            <v>200000</v>
          </cell>
          <cell r="AA27">
            <v>150000</v>
          </cell>
          <cell r="AB27">
            <v>59500</v>
          </cell>
          <cell r="AC27">
            <v>59500</v>
          </cell>
        </row>
      </sheetData>
      <sheetData sheetId="10"/>
      <sheetData sheetId="11"/>
      <sheetData sheetId="12">
        <row r="53">
          <cell r="AK53">
            <v>950.76504854160953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자금월보_품의"/>
      <sheetName val="26년 STE 연간"/>
      <sheetName val="May CF"/>
      <sheetName val="August CF"/>
      <sheetName val="자료=&gt;"/>
      <sheetName val="STE채권 에이징"/>
      <sheetName val="July FCST"/>
    </sheetNames>
    <sheetDataSet>
      <sheetData sheetId="0" refreshError="1"/>
      <sheetData sheetId="1" refreshError="1"/>
      <sheetData sheetId="2" refreshError="1"/>
      <sheetData sheetId="3">
        <row r="11">
          <cell r="HK11">
            <v>815328</v>
          </cell>
        </row>
        <row r="12">
          <cell r="HK12">
            <v>1393.7800000000002</v>
          </cell>
        </row>
        <row r="13">
          <cell r="HK13">
            <v>17765.47</v>
          </cell>
        </row>
        <row r="14">
          <cell r="HK14">
            <v>28165.439999999999</v>
          </cell>
        </row>
        <row r="15">
          <cell r="HK15">
            <v>5592.6399999999994</v>
          </cell>
        </row>
        <row r="16">
          <cell r="HK16">
            <v>7866.5599999999995</v>
          </cell>
        </row>
        <row r="17">
          <cell r="HK17">
            <v>62309.1</v>
          </cell>
        </row>
        <row r="18">
          <cell r="HK18">
            <v>0</v>
          </cell>
        </row>
        <row r="19">
          <cell r="HK19">
            <v>4819.08</v>
          </cell>
        </row>
        <row r="20">
          <cell r="HK20">
            <v>466.09000000000003</v>
          </cell>
        </row>
        <row r="23">
          <cell r="HK23">
            <v>0</v>
          </cell>
        </row>
        <row r="24">
          <cell r="HK24">
            <v>0</v>
          </cell>
        </row>
        <row r="25">
          <cell r="HK25">
            <v>99267.38</v>
          </cell>
        </row>
        <row r="26">
          <cell r="HK26">
            <v>117201.2</v>
          </cell>
        </row>
        <row r="27">
          <cell r="HK27">
            <v>0</v>
          </cell>
        </row>
        <row r="28">
          <cell r="HK28">
            <v>0</v>
          </cell>
        </row>
        <row r="29">
          <cell r="HK29">
            <v>201493.89</v>
          </cell>
        </row>
        <row r="30">
          <cell r="HK30">
            <v>76492.350000000006</v>
          </cell>
        </row>
        <row r="31">
          <cell r="HK31">
            <v>904.64</v>
          </cell>
        </row>
        <row r="32">
          <cell r="HK32">
            <v>2281.5</v>
          </cell>
        </row>
        <row r="33">
          <cell r="HK33">
            <v>17883.68</v>
          </cell>
        </row>
        <row r="34">
          <cell r="HK34">
            <v>505.9</v>
          </cell>
        </row>
        <row r="35">
          <cell r="HK35">
            <v>24035.94</v>
          </cell>
        </row>
        <row r="36">
          <cell r="HK36">
            <v>770.31</v>
          </cell>
        </row>
        <row r="37">
          <cell r="HK37">
            <v>899.46</v>
          </cell>
        </row>
        <row r="38">
          <cell r="HK38">
            <v>3067.91</v>
          </cell>
        </row>
        <row r="39">
          <cell r="HK39">
            <v>1636.6499999999999</v>
          </cell>
        </row>
        <row r="40">
          <cell r="HK40">
            <v>250</v>
          </cell>
        </row>
        <row r="43">
          <cell r="HK43">
            <v>3498.3199999999997</v>
          </cell>
        </row>
        <row r="44">
          <cell r="HK44">
            <v>1500</v>
          </cell>
        </row>
        <row r="45">
          <cell r="HK45">
            <v>32202.129999999997</v>
          </cell>
        </row>
        <row r="46">
          <cell r="HK46">
            <v>9289.86</v>
          </cell>
        </row>
        <row r="47">
          <cell r="HK47">
            <v>60138.9</v>
          </cell>
        </row>
        <row r="48">
          <cell r="HK48">
            <v>327.79</v>
          </cell>
        </row>
        <row r="49">
          <cell r="HK49">
            <v>67780.849999999991</v>
          </cell>
        </row>
        <row r="50">
          <cell r="HK50">
            <v>31792.91</v>
          </cell>
        </row>
        <row r="51">
          <cell r="HK51">
            <v>258749.08</v>
          </cell>
        </row>
        <row r="52">
          <cell r="HK52">
            <v>72787.5</v>
          </cell>
        </row>
        <row r="53">
          <cell r="HK53">
            <v>335.97</v>
          </cell>
        </row>
        <row r="54">
          <cell r="HK54">
            <v>115884.97</v>
          </cell>
        </row>
        <row r="55">
          <cell r="HK55">
            <v>116981.76000000001</v>
          </cell>
        </row>
        <row r="56">
          <cell r="HK56">
            <v>774.28</v>
          </cell>
        </row>
        <row r="57">
          <cell r="HK57">
            <v>6032.48</v>
          </cell>
        </row>
        <row r="58">
          <cell r="HK58">
            <v>0</v>
          </cell>
        </row>
        <row r="59">
          <cell r="HK59">
            <v>820.72</v>
          </cell>
        </row>
        <row r="60">
          <cell r="HK60">
            <v>12380.82</v>
          </cell>
        </row>
        <row r="61">
          <cell r="HK61">
            <v>268224.17</v>
          </cell>
        </row>
        <row r="62">
          <cell r="HK62">
            <v>0</v>
          </cell>
        </row>
        <row r="63">
          <cell r="HK63">
            <v>43806.209999999992</v>
          </cell>
        </row>
        <row r="64">
          <cell r="HK64">
            <v>0</v>
          </cell>
        </row>
        <row r="66">
          <cell r="HK66">
            <v>2716.9300000000003</v>
          </cell>
        </row>
        <row r="73">
          <cell r="HK73">
            <v>322.81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 2026 P&amp;L - Stretch"/>
      <sheetName val="STO 2026 P&amp;L - AOP"/>
      <sheetName val="TOC"/>
      <sheetName val="OUTPUT-&gt;"/>
      <sheetName val="미국실적"/>
      <sheetName val="손익_표"/>
      <sheetName val="미국연간"/>
      <sheetName val="영업비"/>
      <sheetName val="FINANCIALS-&gt;"/>
      <sheetName val="Summary"/>
      <sheetName val="STO P&amp;L"/>
      <sheetName val="STO BS"/>
      <sheetName val="STO CF"/>
      <sheetName val="G&amp;A Summary"/>
      <sheetName val="G&amp;A Data Dump"/>
      <sheetName val="BUILD-&gt;"/>
      <sheetName val="Ecom Build"/>
      <sheetName val="COGS Build"/>
      <sheetName val="Inventory Build"/>
      <sheetName val="Sales Build"/>
      <sheetName val="Shipping Costs Build"/>
      <sheetName val="Sales Build - Original"/>
      <sheetName val="Order Proc. Costs Build"/>
      <sheetName val="Wholesale Build "/>
      <sheetName val="ProServ Build"/>
      <sheetName val="DATA-&gt;"/>
      <sheetName val="STO - IS"/>
      <sheetName val="STO - BS"/>
      <sheetName val="NS Vendor Details"/>
      <sheetName val="G&amp;A Analysis"/>
      <sheetName val="G&amp;A Vendor Analysis"/>
      <sheetName val="Direct Costs Vendor Analysis"/>
      <sheetName val="Direct Costs Analysis"/>
      <sheetName val="Direct Costs Breakdown - Actual"/>
      <sheetName val="MSRP - Sales"/>
      <sheetName val="Net Sales Breakdown"/>
      <sheetName val="Inventory - MSRP (ATS)"/>
      <sheetName val="Inventory - MSRP (On Hand)"/>
      <sheetName val="STO Headcounts"/>
      <sheetName val="HQ Salaries"/>
      <sheetName val="Number of Orders Shipped"/>
      <sheetName val="Direct Costs Breakdown - AOP"/>
      <sheetName val="Vendor Lookup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2">
          <cell r="AL22">
            <v>1229757.2955891092</v>
          </cell>
          <cell r="AM22">
            <v>1426430.0153805702</v>
          </cell>
          <cell r="AN22">
            <v>2703694.5101067121</v>
          </cell>
          <cell r="AO22">
            <v>2647827.4908261769</v>
          </cell>
        </row>
        <row r="23">
          <cell r="AL23">
            <v>18727.268460747855</v>
          </cell>
          <cell r="AM23">
            <v>21722.28449818127</v>
          </cell>
          <cell r="AN23">
            <v>41173.012844264646</v>
          </cell>
          <cell r="AO23">
            <v>40322.246053190509</v>
          </cell>
        </row>
        <row r="27">
          <cell r="AL27">
            <v>200000</v>
          </cell>
          <cell r="AM27">
            <v>150000</v>
          </cell>
          <cell r="AN27">
            <v>59500</v>
          </cell>
          <cell r="AO27">
            <v>59500</v>
          </cell>
        </row>
      </sheetData>
      <sheetData sheetId="11"/>
      <sheetData sheetId="12">
        <row r="53">
          <cell r="AL53">
            <v>979.98683394055399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D728-2D83-4CE8-A2D1-5EA53194E9D4}">
  <sheetPr>
    <tabColor rgb="FFFFFF00"/>
  </sheetPr>
  <dimension ref="B1:Z83"/>
  <sheetViews>
    <sheetView topLeftCell="B1" zoomScale="115" zoomScaleNormal="115" workbookViewId="0">
      <selection activeCell="P16" activeCellId="1" sqref="P8 P16"/>
    </sheetView>
  </sheetViews>
  <sheetFormatPr defaultColWidth="9" defaultRowHeight="13.5" outlineLevelRow="2" outlineLevelCol="1"/>
  <cols>
    <col min="1" max="1" width="2.625" style="1" customWidth="1"/>
    <col min="2" max="2" width="30.625" style="1" customWidth="1"/>
    <col min="3" max="3" width="9.625" style="1" customWidth="1" outlineLevel="1"/>
    <col min="4" max="4" width="11.625" style="1" customWidth="1" outlineLevel="1" collapsed="1"/>
    <col min="5" max="9" width="11.625" style="1" customWidth="1" outlineLevel="1"/>
    <col min="10" max="16" width="11.625" style="1" customWidth="1"/>
    <col min="17" max="17" width="9" style="1"/>
    <col min="18" max="18" width="11.875" style="1" bestFit="1" customWidth="1"/>
    <col min="19" max="19" width="9" style="1"/>
    <col min="20" max="20" width="16.875" style="1" customWidth="1"/>
    <col min="21" max="16384" width="9" style="1"/>
  </cols>
  <sheetData>
    <row r="1" spans="2:26" ht="9.9499999999999993" customHeight="1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26" ht="18" customHeight="1">
      <c r="B2" s="4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2:26" ht="9.9499999999999993" customHeight="1">
      <c r="C3" s="7"/>
      <c r="P3" s="7" t="s">
        <v>1</v>
      </c>
    </row>
    <row r="4" spans="2:26" ht="15" customHeight="1" thickBot="1">
      <c r="B4" s="354" t="s">
        <v>2</v>
      </c>
      <c r="C4" s="149"/>
      <c r="D4" s="8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2:26" ht="15" customHeight="1">
      <c r="B5" s="355"/>
      <c r="C5" s="11" t="s">
        <v>4</v>
      </c>
      <c r="D5" s="12">
        <v>46023</v>
      </c>
      <c r="E5" s="12">
        <f>EDATE(D5,1)</f>
        <v>46054</v>
      </c>
      <c r="F5" s="12">
        <f t="shared" ref="F5:O5" si="0">EDATE(E5,1)</f>
        <v>46082</v>
      </c>
      <c r="G5" s="12">
        <f t="shared" si="0"/>
        <v>46113</v>
      </c>
      <c r="H5" s="12">
        <f t="shared" si="0"/>
        <v>46143</v>
      </c>
      <c r="I5" s="12">
        <f t="shared" si="0"/>
        <v>46174</v>
      </c>
      <c r="J5" s="12">
        <f t="shared" si="0"/>
        <v>46204</v>
      </c>
      <c r="K5" s="5">
        <f t="shared" si="0"/>
        <v>46235</v>
      </c>
      <c r="L5" s="5">
        <f t="shared" si="0"/>
        <v>46266</v>
      </c>
      <c r="M5" s="5">
        <f t="shared" si="0"/>
        <v>46296</v>
      </c>
      <c r="N5" s="5">
        <f t="shared" si="0"/>
        <v>46327</v>
      </c>
      <c r="O5" s="5">
        <f t="shared" si="0"/>
        <v>46357</v>
      </c>
      <c r="P5" s="13" t="s">
        <v>5</v>
      </c>
    </row>
    <row r="6" spans="2:26" ht="15" customHeight="1">
      <c r="B6" s="14" t="s">
        <v>6</v>
      </c>
      <c r="C6" s="15">
        <f>+C7+C15</f>
        <v>43735793</v>
      </c>
      <c r="D6" s="16">
        <f>SUM(D7,D15)</f>
        <v>2535965</v>
      </c>
      <c r="E6" s="17">
        <f t="shared" ref="E6:P6" si="1">SUM(E7,E15)</f>
        <v>1860556</v>
      </c>
      <c r="F6" s="17">
        <f t="shared" si="1"/>
        <v>2006448</v>
      </c>
      <c r="G6" s="17">
        <f t="shared" si="1"/>
        <v>2251757</v>
      </c>
      <c r="H6" s="17">
        <f t="shared" si="1"/>
        <v>3561129</v>
      </c>
      <c r="I6" s="17">
        <f t="shared" si="1"/>
        <v>2554152</v>
      </c>
      <c r="J6" s="17">
        <f t="shared" si="1"/>
        <v>3130390</v>
      </c>
      <c r="K6" s="16">
        <f t="shared" si="1"/>
        <v>2713875.3953320552</v>
      </c>
      <c r="L6" s="17">
        <f t="shared" si="1"/>
        <v>4430367.2809627801</v>
      </c>
      <c r="M6" s="17">
        <f t="shared" si="1"/>
        <v>3828322.2936669569</v>
      </c>
      <c r="N6" s="17">
        <f t="shared" si="1"/>
        <v>6482849.043328573</v>
      </c>
      <c r="O6" s="17">
        <f t="shared" si="1"/>
        <v>6483078.9437603317</v>
      </c>
      <c r="P6" s="18">
        <f t="shared" si="1"/>
        <v>41838889.957050696</v>
      </c>
    </row>
    <row r="7" spans="2:26" ht="15" customHeight="1">
      <c r="B7" s="19" t="s">
        <v>7</v>
      </c>
      <c r="C7" s="20">
        <v>39538210</v>
      </c>
      <c r="D7" s="21">
        <v>2515438</v>
      </c>
      <c r="E7" s="22">
        <v>1580271</v>
      </c>
      <c r="F7" s="22">
        <v>1726773</v>
      </c>
      <c r="G7" s="22">
        <v>1933011</v>
      </c>
      <c r="H7" s="22">
        <v>3355444</v>
      </c>
      <c r="I7" s="22">
        <v>2403940</v>
      </c>
      <c r="J7" s="23">
        <v>2728100</v>
      </c>
      <c r="K7" s="24">
        <v>2172306.3953320552</v>
      </c>
      <c r="L7" s="25">
        <v>3888798.2809627801</v>
      </c>
      <c r="M7" s="25">
        <v>3422176.2936669569</v>
      </c>
      <c r="N7" s="25">
        <v>6321719.043328573</v>
      </c>
      <c r="O7" s="25">
        <v>6321948.9437603317</v>
      </c>
      <c r="P7" s="26">
        <f t="shared" ref="P7:P21" si="2">SUM(D7:O7)</f>
        <v>38369925.957050696</v>
      </c>
      <c r="R7" s="104"/>
      <c r="S7" s="104"/>
      <c r="T7" s="104"/>
      <c r="U7" s="104"/>
      <c r="V7" s="104"/>
      <c r="W7" s="104"/>
      <c r="X7" s="104"/>
    </row>
    <row r="8" spans="2:26" s="34" customFormat="1" ht="15" customHeight="1" outlineLevel="1">
      <c r="B8" s="27" t="s">
        <v>8</v>
      </c>
      <c r="C8" s="28">
        <v>0</v>
      </c>
      <c r="D8" s="29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32581.239943255772</v>
      </c>
      <c r="K8" s="31">
        <v>0</v>
      </c>
      <c r="L8" s="32">
        <v>951075.00000000035</v>
      </c>
      <c r="M8" s="32">
        <v>951075.00000000023</v>
      </c>
      <c r="N8" s="32">
        <v>1585125.0000000005</v>
      </c>
      <c r="O8" s="32">
        <v>1585125.0000000005</v>
      </c>
      <c r="P8" s="356">
        <f t="shared" si="2"/>
        <v>5104981.2399432566</v>
      </c>
      <c r="R8" s="304"/>
      <c r="S8" s="304"/>
      <c r="T8" s="304"/>
      <c r="U8" s="304"/>
      <c r="V8" s="304"/>
      <c r="W8" s="304"/>
      <c r="X8" s="304"/>
      <c r="Y8" s="304"/>
    </row>
    <row r="9" spans="2:26" s="34" customFormat="1" ht="15" customHeight="1" outlineLevel="1">
      <c r="B9" s="27" t="s">
        <v>9</v>
      </c>
      <c r="C9" s="28">
        <v>0</v>
      </c>
      <c r="D9" s="29">
        <v>3959.279967587283</v>
      </c>
      <c r="E9" s="30">
        <v>171861.2716335135</v>
      </c>
      <c r="F9" s="30">
        <v>274682.71278766094</v>
      </c>
      <c r="G9" s="30">
        <v>436446.92660673021</v>
      </c>
      <c r="H9" s="30">
        <v>962144.0862619807</v>
      </c>
      <c r="I9" s="30">
        <v>1081509.4967038347</v>
      </c>
      <c r="J9" s="30">
        <v>1233598.2629442513</v>
      </c>
      <c r="K9" s="31">
        <v>824000.00000000012</v>
      </c>
      <c r="L9" s="32">
        <v>1030000.0000000002</v>
      </c>
      <c r="M9" s="32">
        <v>875500.00000000012</v>
      </c>
      <c r="N9" s="32">
        <v>2060000.0000000005</v>
      </c>
      <c r="O9" s="32">
        <v>2060000.0000000005</v>
      </c>
      <c r="P9" s="33">
        <f t="shared" si="2"/>
        <v>11013702.036905559</v>
      </c>
      <c r="R9" s="304"/>
      <c r="S9" s="304"/>
      <c r="T9" s="304"/>
      <c r="U9" s="304"/>
      <c r="V9" s="304"/>
      <c r="W9" s="304"/>
      <c r="X9" s="304"/>
    </row>
    <row r="10" spans="2:26" s="34" customFormat="1" ht="15" customHeight="1" outlineLevel="1">
      <c r="B10" s="27" t="s">
        <v>10</v>
      </c>
      <c r="C10" s="28">
        <v>6662282</v>
      </c>
      <c r="D10" s="29">
        <v>1259290.2889121801</v>
      </c>
      <c r="E10" s="30">
        <v>939160.96959435754</v>
      </c>
      <c r="F10" s="30">
        <v>1163680.2366682095</v>
      </c>
      <c r="G10" s="30">
        <v>1005724.8248243317</v>
      </c>
      <c r="H10" s="30">
        <v>1366350.0078920671</v>
      </c>
      <c r="I10" s="30">
        <v>702951.22576237994</v>
      </c>
      <c r="J10" s="30">
        <v>735883.1721768158</v>
      </c>
      <c r="K10" s="31">
        <v>741884.69500470499</v>
      </c>
      <c r="L10" s="32">
        <v>1236474.4916745084</v>
      </c>
      <c r="M10" s="32">
        <v>989179.59333960654</v>
      </c>
      <c r="N10" s="32">
        <v>1545593.1145931352</v>
      </c>
      <c r="O10" s="32">
        <v>1545593.1145931352</v>
      </c>
      <c r="P10" s="33">
        <f t="shared" si="2"/>
        <v>13231765.735035433</v>
      </c>
      <c r="R10" s="304"/>
      <c r="S10" s="304"/>
      <c r="T10" s="304"/>
      <c r="U10" s="304"/>
      <c r="V10" s="304"/>
      <c r="W10" s="304"/>
      <c r="X10" s="304"/>
    </row>
    <row r="11" spans="2:26" s="34" customFormat="1" ht="15" customHeight="1" outlineLevel="1">
      <c r="B11" s="27" t="s">
        <v>11</v>
      </c>
      <c r="C11" s="28">
        <v>18430339</v>
      </c>
      <c r="D11" s="29">
        <v>1149165.4817486405</v>
      </c>
      <c r="E11" s="30">
        <v>430018.07771133841</v>
      </c>
      <c r="F11" s="30">
        <v>245618.47402979617</v>
      </c>
      <c r="G11" s="30">
        <v>458795.41076151864</v>
      </c>
      <c r="H11" s="30">
        <v>964921.41811696941</v>
      </c>
      <c r="I11" s="30">
        <v>589082.71648747579</v>
      </c>
      <c r="J11" s="30">
        <v>707272.20022344287</v>
      </c>
      <c r="K11" s="31">
        <v>476899.99632068886</v>
      </c>
      <c r="L11" s="32">
        <v>476899.99632068886</v>
      </c>
      <c r="M11" s="32">
        <v>476899.99632068886</v>
      </c>
      <c r="N11" s="32">
        <v>572279.99558482657</v>
      </c>
      <c r="O11" s="32">
        <v>572279.99558482657</v>
      </c>
      <c r="P11" s="33">
        <f t="shared" si="2"/>
        <v>7120133.7592109032</v>
      </c>
      <c r="R11" s="304"/>
      <c r="S11" s="304"/>
      <c r="T11" s="304"/>
      <c r="U11" s="304"/>
      <c r="V11" s="304"/>
      <c r="W11" s="304"/>
      <c r="X11" s="304"/>
    </row>
    <row r="12" spans="2:26" s="34" customFormat="1" ht="15" customHeight="1" outlineLevel="1">
      <c r="B12" s="27" t="s">
        <v>12</v>
      </c>
      <c r="C12" s="28">
        <v>237184</v>
      </c>
      <c r="D12" s="29">
        <v>5599.5859622936932</v>
      </c>
      <c r="E12" s="30">
        <v>2621.1794110481133</v>
      </c>
      <c r="F12" s="30">
        <v>4549.0993891044582</v>
      </c>
      <c r="G12" s="30">
        <v>3925.0527271998608</v>
      </c>
      <c r="H12" s="30">
        <v>4187.6709088732196</v>
      </c>
      <c r="I12" s="30">
        <v>2789.1800543466761</v>
      </c>
      <c r="J12" s="30">
        <v>2166.1698678046109</v>
      </c>
      <c r="K12" s="31">
        <v>95204.473349423148</v>
      </c>
      <c r="L12" s="32">
        <v>94974.572917665355</v>
      </c>
      <c r="M12" s="32">
        <v>95204.473349422682</v>
      </c>
      <c r="N12" s="32">
        <v>94974.572917664424</v>
      </c>
      <c r="O12" s="32">
        <v>95204.473349423148</v>
      </c>
      <c r="P12" s="33">
        <f t="shared" si="2"/>
        <v>501400.50420426938</v>
      </c>
      <c r="R12" s="304"/>
      <c r="S12" s="304"/>
      <c r="T12" s="304"/>
      <c r="U12" s="304"/>
      <c r="V12" s="304"/>
      <c r="W12" s="304"/>
      <c r="X12" s="304"/>
    </row>
    <row r="13" spans="2:26" s="34" customFormat="1" ht="15" customHeight="1" outlineLevel="1">
      <c r="B13" s="27" t="s">
        <v>13</v>
      </c>
      <c r="C13" s="28">
        <v>2284955</v>
      </c>
      <c r="D13" s="29">
        <v>97193.306467544287</v>
      </c>
      <c r="E13" s="30">
        <v>35848.163231595769</v>
      </c>
      <c r="F13" s="30">
        <v>37858.725670375468</v>
      </c>
      <c r="G13" s="30">
        <v>27419.41987389289</v>
      </c>
      <c r="H13" s="30">
        <v>57100.758845807257</v>
      </c>
      <c r="I13" s="30">
        <v>25894.635517578037</v>
      </c>
      <c r="J13" s="30">
        <v>16390.2679592846</v>
      </c>
      <c r="K13" s="31">
        <v>34317.230657237946</v>
      </c>
      <c r="L13" s="32">
        <v>99374.220049916839</v>
      </c>
      <c r="M13" s="32">
        <v>34317.230657237946</v>
      </c>
      <c r="N13" s="32">
        <v>463746.36023294518</v>
      </c>
      <c r="O13" s="32">
        <v>463746.36023294518</v>
      </c>
      <c r="P13" s="33">
        <f t="shared" si="2"/>
        <v>1393206.6793963613</v>
      </c>
      <c r="R13" s="304"/>
      <c r="S13" s="304"/>
      <c r="T13" s="304"/>
      <c r="U13" s="304"/>
      <c r="V13" s="304"/>
      <c r="W13" s="304"/>
      <c r="X13" s="304"/>
    </row>
    <row r="14" spans="2:26" s="34" customFormat="1" ht="15" customHeight="1" outlineLevel="1">
      <c r="B14" s="27" t="s">
        <v>14</v>
      </c>
      <c r="C14" s="28">
        <v>7100</v>
      </c>
      <c r="D14" s="29">
        <v>230.05694175405478</v>
      </c>
      <c r="E14" s="30">
        <v>761.33841814675486</v>
      </c>
      <c r="F14" s="30">
        <v>383.7514548533527</v>
      </c>
      <c r="G14" s="30">
        <v>699.36520632672966</v>
      </c>
      <c r="H14" s="30">
        <v>740.05797430226039</v>
      </c>
      <c r="I14" s="30">
        <v>1712.7454743848216</v>
      </c>
      <c r="J14" s="30">
        <v>208.6868851449529</v>
      </c>
      <c r="K14" s="31">
        <v>0</v>
      </c>
      <c r="L14" s="32">
        <v>0</v>
      </c>
      <c r="M14" s="32">
        <v>0</v>
      </c>
      <c r="N14" s="32">
        <v>0</v>
      </c>
      <c r="O14" s="32">
        <v>0</v>
      </c>
      <c r="P14" s="33">
        <f t="shared" si="2"/>
        <v>4736.0023549129264</v>
      </c>
      <c r="R14" s="304"/>
      <c r="S14" s="304"/>
      <c r="T14" s="304"/>
      <c r="U14" s="304"/>
      <c r="V14" s="304"/>
      <c r="W14" s="304"/>
      <c r="X14" s="304"/>
    </row>
    <row r="15" spans="2:26" ht="15" customHeight="1">
      <c r="B15" s="35" t="s">
        <v>15</v>
      </c>
      <c r="C15" s="36">
        <v>4197583</v>
      </c>
      <c r="D15" s="37">
        <v>20527</v>
      </c>
      <c r="E15" s="38">
        <v>280285</v>
      </c>
      <c r="F15" s="38">
        <v>279675</v>
      </c>
      <c r="G15" s="38">
        <v>318746</v>
      </c>
      <c r="H15" s="38">
        <v>205685</v>
      </c>
      <c r="I15" s="38">
        <v>150212</v>
      </c>
      <c r="J15" s="38">
        <v>402290</v>
      </c>
      <c r="K15" s="39">
        <v>541569</v>
      </c>
      <c r="L15" s="40">
        <v>541569</v>
      </c>
      <c r="M15" s="40">
        <v>406146</v>
      </c>
      <c r="N15" s="40">
        <v>161130</v>
      </c>
      <c r="O15" s="40">
        <v>161130</v>
      </c>
      <c r="P15" s="42">
        <f t="shared" si="2"/>
        <v>3468964</v>
      </c>
      <c r="R15" s="304"/>
      <c r="S15" s="304"/>
      <c r="T15" s="304"/>
      <c r="U15" s="304"/>
      <c r="V15" s="304"/>
      <c r="W15" s="304"/>
      <c r="X15" s="304"/>
      <c r="Y15" s="43"/>
      <c r="Z15" s="43"/>
    </row>
    <row r="16" spans="2:26" s="34" customFormat="1" ht="15" customHeight="1" outlineLevel="2">
      <c r="B16" s="27" t="s">
        <v>8</v>
      </c>
      <c r="C16" s="28">
        <v>0</v>
      </c>
      <c r="D16" s="29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41930</v>
      </c>
      <c r="K16" s="31">
        <f t="shared" ref="K16:O16" si="3">K15</f>
        <v>541569</v>
      </c>
      <c r="L16" s="32">
        <f t="shared" si="3"/>
        <v>541569</v>
      </c>
      <c r="M16" s="32">
        <f t="shared" si="3"/>
        <v>406146</v>
      </c>
      <c r="N16" s="32">
        <f t="shared" si="3"/>
        <v>161130</v>
      </c>
      <c r="O16" s="32">
        <f t="shared" si="3"/>
        <v>161130</v>
      </c>
      <c r="P16" s="356">
        <f t="shared" si="2"/>
        <v>1853474</v>
      </c>
      <c r="S16" s="1"/>
      <c r="T16" s="1"/>
      <c r="U16" s="1"/>
    </row>
    <row r="17" spans="2:26" s="34" customFormat="1" ht="15" customHeight="1" outlineLevel="2">
      <c r="B17" s="27" t="s">
        <v>9</v>
      </c>
      <c r="C17" s="28">
        <v>0</v>
      </c>
      <c r="D17" s="29">
        <v>0</v>
      </c>
      <c r="E17" s="30">
        <v>253301</v>
      </c>
      <c r="F17" s="30">
        <v>271930</v>
      </c>
      <c r="G17" s="30">
        <v>303566</v>
      </c>
      <c r="H17" s="30">
        <v>195057</v>
      </c>
      <c r="I17" s="30">
        <v>102899</v>
      </c>
      <c r="J17" s="30">
        <v>139108</v>
      </c>
      <c r="K17" s="31">
        <v>0</v>
      </c>
      <c r="L17" s="32">
        <v>0</v>
      </c>
      <c r="M17" s="32">
        <v>0</v>
      </c>
      <c r="N17" s="32">
        <v>0</v>
      </c>
      <c r="O17" s="32">
        <v>0</v>
      </c>
      <c r="P17" s="33">
        <f t="shared" si="2"/>
        <v>1265861</v>
      </c>
      <c r="R17" s="305"/>
      <c r="S17" s="305"/>
      <c r="T17" s="305"/>
      <c r="U17" s="305"/>
      <c r="V17" s="305"/>
      <c r="W17" s="305"/>
      <c r="X17" s="305"/>
    </row>
    <row r="18" spans="2:26" s="34" customFormat="1" ht="15" customHeight="1" outlineLevel="2">
      <c r="B18" s="27" t="s">
        <v>10</v>
      </c>
      <c r="C18" s="28">
        <v>1463376</v>
      </c>
      <c r="D18" s="29">
        <v>20110</v>
      </c>
      <c r="E18" s="30">
        <v>24744</v>
      </c>
      <c r="F18" s="30">
        <v>6220</v>
      </c>
      <c r="G18" s="30">
        <v>14821</v>
      </c>
      <c r="H18" s="30">
        <v>9103</v>
      </c>
      <c r="I18" s="30">
        <v>47188</v>
      </c>
      <c r="J18" s="30">
        <v>1951</v>
      </c>
      <c r="K18" s="31">
        <v>0</v>
      </c>
      <c r="L18" s="32">
        <v>0</v>
      </c>
      <c r="M18" s="32">
        <v>0</v>
      </c>
      <c r="N18" s="32">
        <v>0</v>
      </c>
      <c r="O18" s="32">
        <v>0</v>
      </c>
      <c r="P18" s="33">
        <f t="shared" si="2"/>
        <v>124137</v>
      </c>
      <c r="R18" s="305"/>
      <c r="S18" s="305"/>
      <c r="T18" s="305"/>
      <c r="U18" s="305"/>
      <c r="V18" s="305"/>
      <c r="W18" s="305"/>
      <c r="X18" s="305"/>
    </row>
    <row r="19" spans="2:26" s="34" customFormat="1" ht="15" customHeight="1" outlineLevel="2">
      <c r="B19" s="27" t="s">
        <v>11</v>
      </c>
      <c r="C19" s="28">
        <v>2581013</v>
      </c>
      <c r="D19" s="29">
        <v>252</v>
      </c>
      <c r="E19" s="30">
        <v>0</v>
      </c>
      <c r="F19" s="30">
        <v>480</v>
      </c>
      <c r="G19" s="30">
        <v>649</v>
      </c>
      <c r="H19" s="30">
        <v>1375</v>
      </c>
      <c r="I19" s="30">
        <v>0</v>
      </c>
      <c r="J19" s="30">
        <v>173621</v>
      </c>
      <c r="K19" s="31">
        <v>0</v>
      </c>
      <c r="L19" s="32">
        <v>0</v>
      </c>
      <c r="M19" s="32">
        <v>0</v>
      </c>
      <c r="N19" s="32">
        <v>0</v>
      </c>
      <c r="O19" s="32">
        <v>0</v>
      </c>
      <c r="P19" s="33">
        <f t="shared" si="2"/>
        <v>176377</v>
      </c>
      <c r="R19" s="305"/>
      <c r="S19" s="305"/>
      <c r="T19" s="305"/>
      <c r="U19" s="305"/>
      <c r="V19" s="305"/>
      <c r="W19" s="305"/>
      <c r="X19" s="305"/>
    </row>
    <row r="20" spans="2:26" s="34" customFormat="1" ht="15" customHeight="1" outlineLevel="2">
      <c r="B20" s="27" t="s">
        <v>12</v>
      </c>
      <c r="C20" s="28">
        <v>-26902</v>
      </c>
      <c r="D20" s="29">
        <v>0</v>
      </c>
      <c r="E20" s="30">
        <v>275</v>
      </c>
      <c r="F20" s="30">
        <v>-825</v>
      </c>
      <c r="G20" s="30">
        <v>0</v>
      </c>
      <c r="H20" s="30">
        <v>150</v>
      </c>
      <c r="I20" s="30">
        <v>0</v>
      </c>
      <c r="J20" s="30">
        <v>45680</v>
      </c>
      <c r="K20" s="31">
        <v>0</v>
      </c>
      <c r="L20" s="32">
        <v>0</v>
      </c>
      <c r="M20" s="32">
        <v>0</v>
      </c>
      <c r="N20" s="32">
        <v>0</v>
      </c>
      <c r="O20" s="32">
        <v>0</v>
      </c>
      <c r="P20" s="33">
        <f t="shared" si="2"/>
        <v>45280</v>
      </c>
      <c r="R20" s="305"/>
      <c r="S20" s="305"/>
      <c r="T20" s="305"/>
      <c r="U20" s="305"/>
      <c r="V20" s="305"/>
      <c r="W20" s="305"/>
      <c r="X20" s="305"/>
    </row>
    <row r="21" spans="2:26" s="34" customFormat="1" ht="15" customHeight="1" outlineLevel="2">
      <c r="B21" s="27" t="s">
        <v>13</v>
      </c>
      <c r="C21" s="28">
        <v>180096</v>
      </c>
      <c r="D21" s="29">
        <v>165</v>
      </c>
      <c r="E21" s="30">
        <v>1965</v>
      </c>
      <c r="F21" s="30">
        <v>1870</v>
      </c>
      <c r="G21" s="30">
        <v>-290</v>
      </c>
      <c r="H21" s="30">
        <v>0</v>
      </c>
      <c r="I21" s="30">
        <v>125</v>
      </c>
      <c r="J21" s="30">
        <v>0</v>
      </c>
      <c r="K21" s="31">
        <v>0</v>
      </c>
      <c r="L21" s="32">
        <v>0</v>
      </c>
      <c r="M21" s="32">
        <v>0</v>
      </c>
      <c r="N21" s="32">
        <v>0</v>
      </c>
      <c r="O21" s="32">
        <v>0</v>
      </c>
      <c r="P21" s="33">
        <f t="shared" si="2"/>
        <v>3835</v>
      </c>
      <c r="R21" s="305"/>
      <c r="S21" s="305"/>
      <c r="T21" s="305"/>
      <c r="U21" s="305"/>
      <c r="V21" s="305"/>
      <c r="W21" s="305"/>
      <c r="X21" s="305"/>
    </row>
    <row r="22" spans="2:26" ht="15" customHeight="1">
      <c r="B22" s="45" t="s">
        <v>16</v>
      </c>
      <c r="C22" s="49">
        <v>22818775.59</v>
      </c>
      <c r="D22" s="50">
        <f>D23+D31+D38+D39</f>
        <v>1175480.0300000003</v>
      </c>
      <c r="E22" s="51">
        <f t="shared" ref="E22:P22" si="4">E23+E31+E38+E39</f>
        <v>1073993.2999999996</v>
      </c>
      <c r="F22" s="51">
        <f t="shared" si="4"/>
        <v>1222850.2500000002</v>
      </c>
      <c r="G22" s="51">
        <f t="shared" si="4"/>
        <v>1457858.74</v>
      </c>
      <c r="H22" s="51">
        <f t="shared" si="4"/>
        <v>1725770.89</v>
      </c>
      <c r="I22" s="51">
        <f t="shared" si="4"/>
        <v>1353474.0199999998</v>
      </c>
      <c r="J22" s="51">
        <f t="shared" si="4"/>
        <v>1374393.5199999996</v>
      </c>
      <c r="K22" s="50">
        <f t="shared" si="4"/>
        <v>1535493.527112799</v>
      </c>
      <c r="L22" s="51">
        <f t="shared" si="4"/>
        <v>2754878.4283693423</v>
      </c>
      <c r="M22" s="51">
        <f t="shared" si="4"/>
        <v>2330472.1337369638</v>
      </c>
      <c r="N22" s="51">
        <f t="shared" si="4"/>
        <v>3767365.4278565072</v>
      </c>
      <c r="O22" s="51">
        <f t="shared" si="4"/>
        <v>3813915.3060335843</v>
      </c>
      <c r="P22" s="52">
        <f t="shared" si="4"/>
        <v>23585945.573109191</v>
      </c>
      <c r="R22" s="305"/>
      <c r="S22" s="305"/>
      <c r="T22" s="305"/>
      <c r="U22" s="305"/>
      <c r="V22" s="305"/>
      <c r="W22" s="305"/>
      <c r="X22" s="305"/>
    </row>
    <row r="23" spans="2:26" ht="15" customHeight="1">
      <c r="B23" s="19" t="s">
        <v>7</v>
      </c>
      <c r="C23" s="20">
        <v>20321706.57</v>
      </c>
      <c r="D23" s="21">
        <v>1170297.4900000002</v>
      </c>
      <c r="E23" s="22">
        <v>960751.37999999966</v>
      </c>
      <c r="F23" s="22">
        <v>1062849.9700000002</v>
      </c>
      <c r="G23" s="22">
        <v>1142762.19</v>
      </c>
      <c r="H23" s="22">
        <v>1641476.7</v>
      </c>
      <c r="I23" s="22">
        <v>1262347.2699999998</v>
      </c>
      <c r="J23" s="22">
        <v>1194236.9499999997</v>
      </c>
      <c r="K23" s="21">
        <v>1284050.6720000003</v>
      </c>
      <c r="L23" s="22">
        <v>2455359.2430000002</v>
      </c>
      <c r="M23" s="22">
        <v>2126830.1720000007</v>
      </c>
      <c r="N23" s="22">
        <v>3653491.7430000002</v>
      </c>
      <c r="O23" s="22">
        <v>3653537.6720000003</v>
      </c>
      <c r="P23" s="26">
        <f t="shared" ref="P23:P39" si="5">SUM(D23:O23)</f>
        <v>21607991.452</v>
      </c>
      <c r="R23" s="305"/>
      <c r="S23" s="305"/>
      <c r="T23" s="305"/>
      <c r="U23" s="305"/>
      <c r="V23" s="305"/>
      <c r="W23" s="305"/>
      <c r="X23" s="305"/>
      <c r="Y23" s="44"/>
      <c r="Z23" s="44"/>
    </row>
    <row r="24" spans="2:26" ht="15" customHeight="1" outlineLevel="1">
      <c r="B24" s="27" t="s">
        <v>8</v>
      </c>
      <c r="C24" s="28">
        <v>0</v>
      </c>
      <c r="D24" s="29">
        <v>73451.669999999984</v>
      </c>
      <c r="E24" s="30">
        <v>33523.199999999997</v>
      </c>
      <c r="F24" s="30">
        <v>35906.060000000012</v>
      </c>
      <c r="G24" s="30">
        <v>30368.190000000002</v>
      </c>
      <c r="H24" s="30">
        <v>39949.56</v>
      </c>
      <c r="I24" s="30">
        <v>18934.050000000003</v>
      </c>
      <c r="J24" s="53">
        <v>25071.110000000004</v>
      </c>
      <c r="K24" s="31">
        <v>0</v>
      </c>
      <c r="L24" s="32">
        <v>855967.5</v>
      </c>
      <c r="M24" s="32">
        <v>855967.5</v>
      </c>
      <c r="N24" s="32">
        <v>1030375.0000000001</v>
      </c>
      <c r="O24" s="32">
        <v>1030375.0000000001</v>
      </c>
      <c r="P24" s="33">
        <f t="shared" si="5"/>
        <v>4029888.8400000003</v>
      </c>
      <c r="R24" s="44"/>
      <c r="S24" s="44"/>
      <c r="T24" s="44"/>
      <c r="U24" s="44"/>
      <c r="V24" s="44"/>
      <c r="W24" s="44"/>
      <c r="X24" s="44"/>
      <c r="Y24" s="44"/>
      <c r="Z24" s="44"/>
    </row>
    <row r="25" spans="2:26" ht="15" customHeight="1" outlineLevel="1">
      <c r="B25" s="27" t="s">
        <v>9</v>
      </c>
      <c r="C25" s="28">
        <v>0</v>
      </c>
      <c r="D25" s="29">
        <v>3371.52</v>
      </c>
      <c r="E25" s="30">
        <v>157115.5</v>
      </c>
      <c r="F25" s="30">
        <v>263236.45</v>
      </c>
      <c r="G25" s="30">
        <v>414959</v>
      </c>
      <c r="H25" s="30">
        <v>664649.70000000007</v>
      </c>
      <c r="I25" s="30">
        <v>710656.53</v>
      </c>
      <c r="J25" s="30">
        <v>651343.24</v>
      </c>
      <c r="K25" s="31">
        <v>640000</v>
      </c>
      <c r="L25" s="32">
        <v>700000</v>
      </c>
      <c r="M25" s="32">
        <v>552500</v>
      </c>
      <c r="N25" s="32">
        <v>1300000</v>
      </c>
      <c r="O25" s="32">
        <v>1300000</v>
      </c>
      <c r="P25" s="33">
        <f t="shared" si="5"/>
        <v>7357831.9400000004</v>
      </c>
      <c r="R25" s="44"/>
      <c r="S25" s="44"/>
      <c r="T25" s="44"/>
      <c r="U25" s="44"/>
      <c r="V25" s="44"/>
      <c r="W25" s="44"/>
      <c r="X25" s="44"/>
      <c r="Y25" s="44"/>
      <c r="Z25" s="44"/>
    </row>
    <row r="26" spans="2:26" ht="15" customHeight="1" outlineLevel="1">
      <c r="B26" s="27" t="s">
        <v>10</v>
      </c>
      <c r="C26" s="28">
        <v>3917821.56</v>
      </c>
      <c r="D26" s="29">
        <v>642208.79</v>
      </c>
      <c r="E26" s="30">
        <v>581822.38000000012</v>
      </c>
      <c r="F26" s="30">
        <v>601976.61000000022</v>
      </c>
      <c r="G26" s="30">
        <v>490303.55000000005</v>
      </c>
      <c r="H26" s="30">
        <v>573679.06999999995</v>
      </c>
      <c r="I26" s="30">
        <v>315540.69999999995</v>
      </c>
      <c r="J26" s="30">
        <v>292628.66000000003</v>
      </c>
      <c r="K26" s="31">
        <v>383040</v>
      </c>
      <c r="L26" s="32">
        <v>598499.99999999988</v>
      </c>
      <c r="M26" s="32">
        <v>478799.99999999988</v>
      </c>
      <c r="N26" s="32">
        <v>714875</v>
      </c>
      <c r="O26" s="32">
        <v>714875</v>
      </c>
      <c r="P26" s="33">
        <f t="shared" si="5"/>
        <v>6388249.7599999998</v>
      </c>
      <c r="R26" s="44"/>
      <c r="S26" s="44"/>
      <c r="T26" s="44"/>
      <c r="U26" s="44"/>
      <c r="V26" s="44"/>
      <c r="W26" s="44"/>
      <c r="X26" s="44"/>
      <c r="Y26" s="44"/>
      <c r="Z26" s="44"/>
    </row>
    <row r="27" spans="2:26" ht="15" customHeight="1" outlineLevel="1">
      <c r="B27" s="27" t="s">
        <v>11</v>
      </c>
      <c r="C27" s="28">
        <v>9655496.1300000008</v>
      </c>
      <c r="D27" s="29">
        <v>352267.57999999996</v>
      </c>
      <c r="E27" s="30">
        <v>132178.25</v>
      </c>
      <c r="F27" s="30">
        <v>107209.88000000002</v>
      </c>
      <c r="G27" s="30">
        <v>160756.08000000002</v>
      </c>
      <c r="H27" s="30">
        <v>287018.09999999998</v>
      </c>
      <c r="I27" s="30">
        <v>177604.63999999993</v>
      </c>
      <c r="J27" s="30">
        <v>173386.90999999997</v>
      </c>
      <c r="K27" s="31">
        <v>183750</v>
      </c>
      <c r="L27" s="32">
        <v>167999.99999999994</v>
      </c>
      <c r="M27" s="32">
        <v>167999.99999999994</v>
      </c>
      <c r="N27" s="32">
        <v>201599.99999999991</v>
      </c>
      <c r="O27" s="32">
        <v>201599.99999999991</v>
      </c>
      <c r="P27" s="33">
        <f t="shared" si="5"/>
        <v>2313371.44</v>
      </c>
      <c r="R27" s="44"/>
      <c r="S27" s="44"/>
      <c r="T27" s="44"/>
      <c r="U27" s="44"/>
      <c r="V27" s="44"/>
      <c r="W27" s="44"/>
      <c r="X27" s="44"/>
      <c r="Y27" s="44"/>
      <c r="Z27" s="44"/>
    </row>
    <row r="28" spans="2:26" ht="15" customHeight="1" outlineLevel="1">
      <c r="B28" s="27" t="s">
        <v>12</v>
      </c>
      <c r="C28" s="28">
        <f>80451.96+4539803.85+689688.06</f>
        <v>5309943.8699999992</v>
      </c>
      <c r="D28" s="29">
        <v>35177.280000000224</v>
      </c>
      <c r="E28" s="30">
        <v>14719.859999999695</v>
      </c>
      <c r="F28" s="30">
        <v>16773.400000000001</v>
      </c>
      <c r="G28" s="30">
        <v>17382.240000000027</v>
      </c>
      <c r="H28" s="30">
        <v>18274.079999999936</v>
      </c>
      <c r="I28" s="30">
        <v>8686.6099999999351</v>
      </c>
      <c r="J28" s="30">
        <v>34151.519999999706</v>
      </c>
      <c r="K28" s="31">
        <v>39187.672000000253</v>
      </c>
      <c r="L28" s="32">
        <v>39141.74300000025</v>
      </c>
      <c r="M28" s="32">
        <v>39187.672000000719</v>
      </c>
      <c r="N28" s="32">
        <v>39141.74300000025</v>
      </c>
      <c r="O28" s="32">
        <v>39187.672000000253</v>
      </c>
      <c r="P28" s="33">
        <f t="shared" si="5"/>
        <v>341011.49200000125</v>
      </c>
      <c r="R28" s="44"/>
      <c r="S28" s="44"/>
      <c r="T28" s="44"/>
      <c r="U28" s="44"/>
      <c r="V28" s="44"/>
      <c r="W28" s="44"/>
      <c r="X28" s="44"/>
      <c r="Y28" s="44"/>
      <c r="Z28" s="44"/>
    </row>
    <row r="29" spans="2:26" ht="15" customHeight="1" outlineLevel="1">
      <c r="B29" s="27" t="s">
        <v>13</v>
      </c>
      <c r="C29" s="28">
        <v>1422395.0099999984</v>
      </c>
      <c r="D29" s="29">
        <v>63420.65</v>
      </c>
      <c r="E29" s="30">
        <v>39892.19</v>
      </c>
      <c r="F29" s="30">
        <v>37037.570000000007</v>
      </c>
      <c r="G29" s="30">
        <v>27443.130000000005</v>
      </c>
      <c r="H29" s="30">
        <v>56506.189999999988</v>
      </c>
      <c r="I29" s="30">
        <v>27474.74</v>
      </c>
      <c r="J29" s="30">
        <v>17255.510000000002</v>
      </c>
      <c r="K29" s="31">
        <v>38073</v>
      </c>
      <c r="L29" s="32">
        <v>93750</v>
      </c>
      <c r="M29" s="32">
        <v>32375</v>
      </c>
      <c r="N29" s="32">
        <v>367500</v>
      </c>
      <c r="O29" s="32">
        <v>367500</v>
      </c>
      <c r="P29" s="33">
        <f t="shared" si="5"/>
        <v>1168227.98</v>
      </c>
      <c r="R29" s="44"/>
      <c r="S29" s="44"/>
      <c r="T29" s="44"/>
      <c r="U29" s="44"/>
      <c r="V29" s="44"/>
      <c r="W29" s="44"/>
      <c r="X29" s="44"/>
      <c r="Y29" s="44"/>
      <c r="Z29" s="44"/>
    </row>
    <row r="30" spans="2:26" ht="15" customHeight="1" outlineLevel="1">
      <c r="B30" s="27" t="s">
        <v>14</v>
      </c>
      <c r="C30" s="28">
        <v>16050</v>
      </c>
      <c r="D30" s="29">
        <v>400</v>
      </c>
      <c r="E30" s="30">
        <v>1500</v>
      </c>
      <c r="F30" s="30">
        <v>710</v>
      </c>
      <c r="G30" s="30">
        <v>1550</v>
      </c>
      <c r="H30" s="30">
        <v>1400</v>
      </c>
      <c r="I30" s="30">
        <v>3450</v>
      </c>
      <c r="J30" s="30">
        <v>0</v>
      </c>
      <c r="K30" s="31">
        <v>0</v>
      </c>
      <c r="L30" s="32">
        <v>0</v>
      </c>
      <c r="M30" s="32">
        <v>0</v>
      </c>
      <c r="N30" s="32">
        <v>0</v>
      </c>
      <c r="O30" s="32">
        <v>0</v>
      </c>
      <c r="P30" s="33">
        <f t="shared" si="5"/>
        <v>9010</v>
      </c>
      <c r="R30" s="44"/>
      <c r="S30" s="44"/>
      <c r="T30" s="44"/>
      <c r="U30" s="44"/>
      <c r="V30" s="44"/>
      <c r="W30" s="44"/>
      <c r="X30" s="44"/>
      <c r="Y30" s="44"/>
      <c r="Z30" s="44"/>
    </row>
    <row r="31" spans="2:26" ht="15" customHeight="1">
      <c r="B31" s="35" t="s">
        <v>15</v>
      </c>
      <c r="C31" s="36">
        <v>1514946.3900000001</v>
      </c>
      <c r="D31" s="37">
        <v>5620</v>
      </c>
      <c r="E31" s="38">
        <v>108481.15</v>
      </c>
      <c r="F31" s="38">
        <v>112785.2</v>
      </c>
      <c r="G31" s="38">
        <v>132735.1</v>
      </c>
      <c r="H31" s="38">
        <v>79396.899999999994</v>
      </c>
      <c r="I31" s="38">
        <v>47143.1</v>
      </c>
      <c r="J31" s="38">
        <v>122156.19999999998</v>
      </c>
      <c r="K31" s="37">
        <v>200000</v>
      </c>
      <c r="L31" s="38">
        <v>200000</v>
      </c>
      <c r="M31" s="38">
        <v>150000</v>
      </c>
      <c r="N31" s="38">
        <v>59500</v>
      </c>
      <c r="O31" s="38">
        <v>59500</v>
      </c>
      <c r="P31" s="42">
        <f t="shared" si="5"/>
        <v>1277317.6499999999</v>
      </c>
    </row>
    <row r="32" spans="2:26" ht="15" customHeight="1" outlineLevel="1">
      <c r="B32" s="27" t="s">
        <v>8</v>
      </c>
      <c r="C32" s="28">
        <v>545783.79999999993</v>
      </c>
      <c r="D32" s="29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53">
        <v>11912.8</v>
      </c>
      <c r="K32" s="31">
        <v>200000</v>
      </c>
      <c r="L32" s="32">
        <v>200000</v>
      </c>
      <c r="M32" s="32">
        <v>150000</v>
      </c>
      <c r="N32" s="32">
        <v>59500</v>
      </c>
      <c r="O32" s="32">
        <v>59500</v>
      </c>
      <c r="P32" s="33">
        <f t="shared" si="5"/>
        <v>680912.8</v>
      </c>
    </row>
    <row r="33" spans="2:16" ht="15" customHeight="1" outlineLevel="1">
      <c r="B33" s="27" t="s">
        <v>9</v>
      </c>
      <c r="C33" s="28">
        <v>958836.50999999989</v>
      </c>
      <c r="D33" s="29">
        <v>0</v>
      </c>
      <c r="E33" s="30">
        <v>100066.05</v>
      </c>
      <c r="F33" s="30">
        <v>110562.1</v>
      </c>
      <c r="G33" s="30">
        <v>127696.6</v>
      </c>
      <c r="H33" s="30">
        <v>76099.899999999994</v>
      </c>
      <c r="I33" s="30">
        <v>34944.1</v>
      </c>
      <c r="J33" s="30">
        <v>41730.549999999996</v>
      </c>
      <c r="K33" s="31">
        <v>0</v>
      </c>
      <c r="L33" s="32">
        <v>0</v>
      </c>
      <c r="M33" s="32">
        <v>0</v>
      </c>
      <c r="N33" s="32">
        <v>0</v>
      </c>
      <c r="O33" s="32">
        <v>0</v>
      </c>
      <c r="P33" s="33">
        <f t="shared" si="5"/>
        <v>491099.3</v>
      </c>
    </row>
    <row r="34" spans="2:16" ht="15" customHeight="1" outlineLevel="1">
      <c r="B34" s="27" t="s">
        <v>10</v>
      </c>
      <c r="C34" s="28"/>
      <c r="D34" s="29">
        <v>5579.8</v>
      </c>
      <c r="E34" s="30">
        <v>7665.9</v>
      </c>
      <c r="F34" s="30">
        <v>1921.8999999999996</v>
      </c>
      <c r="G34" s="30">
        <v>5158.5</v>
      </c>
      <c r="H34" s="30">
        <v>2847</v>
      </c>
      <c r="I34" s="30">
        <v>12146</v>
      </c>
      <c r="J34" s="30">
        <v>694.5</v>
      </c>
      <c r="K34" s="31">
        <v>0</v>
      </c>
      <c r="L34" s="32">
        <v>0</v>
      </c>
      <c r="M34" s="32">
        <v>0</v>
      </c>
      <c r="N34" s="32">
        <v>0</v>
      </c>
      <c r="O34" s="32">
        <v>0</v>
      </c>
      <c r="P34" s="33">
        <f t="shared" si="5"/>
        <v>36013.599999999999</v>
      </c>
    </row>
    <row r="35" spans="2:16" ht="15" customHeight="1" outlineLevel="1">
      <c r="B35" s="27" t="s">
        <v>11</v>
      </c>
      <c r="C35" s="28"/>
      <c r="D35" s="29">
        <v>0</v>
      </c>
      <c r="E35" s="30">
        <v>0</v>
      </c>
      <c r="F35" s="30">
        <v>0</v>
      </c>
      <c r="G35" s="30">
        <v>0</v>
      </c>
      <c r="H35" s="30">
        <v>406</v>
      </c>
      <c r="I35" s="30">
        <v>0</v>
      </c>
      <c r="J35" s="30">
        <v>55753.999999999985</v>
      </c>
      <c r="K35" s="31">
        <v>0</v>
      </c>
      <c r="L35" s="32">
        <v>0</v>
      </c>
      <c r="M35" s="32">
        <v>0</v>
      </c>
      <c r="N35" s="32">
        <v>0</v>
      </c>
      <c r="O35" s="32">
        <v>0</v>
      </c>
      <c r="P35" s="33">
        <f t="shared" si="5"/>
        <v>56159.999999999985</v>
      </c>
    </row>
    <row r="36" spans="2:16" ht="15" customHeight="1" outlineLevel="1">
      <c r="B36" s="27" t="s">
        <v>12</v>
      </c>
      <c r="C36" s="28"/>
      <c r="D36" s="29">
        <v>0</v>
      </c>
      <c r="E36" s="30">
        <v>81.19999999999709</v>
      </c>
      <c r="F36" s="30">
        <v>-382.80000000000291</v>
      </c>
      <c r="G36" s="30">
        <v>0</v>
      </c>
      <c r="H36" s="30">
        <v>44</v>
      </c>
      <c r="I36" s="30">
        <v>0</v>
      </c>
      <c r="J36" s="30">
        <v>12064.349999999991</v>
      </c>
      <c r="K36" s="31">
        <v>0</v>
      </c>
      <c r="L36" s="32">
        <v>0</v>
      </c>
      <c r="M36" s="32">
        <v>0</v>
      </c>
      <c r="N36" s="32">
        <v>0</v>
      </c>
      <c r="O36" s="32">
        <v>0</v>
      </c>
      <c r="P36" s="33">
        <f t="shared" si="5"/>
        <v>11806.749999999985</v>
      </c>
    </row>
    <row r="37" spans="2:16" ht="15" customHeight="1" outlineLevel="1">
      <c r="B37" s="27" t="s">
        <v>13</v>
      </c>
      <c r="C37" s="28">
        <v>10593.900000000009</v>
      </c>
      <c r="D37" s="29">
        <v>40.200000000000003</v>
      </c>
      <c r="E37" s="30">
        <v>668</v>
      </c>
      <c r="F37" s="30">
        <v>684</v>
      </c>
      <c r="G37" s="30">
        <v>-120</v>
      </c>
      <c r="H37" s="30">
        <v>0</v>
      </c>
      <c r="I37" s="30">
        <v>53</v>
      </c>
      <c r="J37" s="30">
        <v>0</v>
      </c>
      <c r="K37" s="31"/>
      <c r="L37" s="32"/>
      <c r="M37" s="32"/>
      <c r="N37" s="32"/>
      <c r="O37" s="32"/>
      <c r="P37" s="33">
        <f t="shared" si="5"/>
        <v>1325.2</v>
      </c>
    </row>
    <row r="38" spans="2:16" ht="15" customHeight="1">
      <c r="B38" s="54" t="s">
        <v>17</v>
      </c>
      <c r="C38" s="58">
        <v>832330.89</v>
      </c>
      <c r="D38" s="59">
        <v>-6609.98</v>
      </c>
      <c r="E38" s="60">
        <v>0</v>
      </c>
      <c r="F38" s="60">
        <v>40000</v>
      </c>
      <c r="G38" s="60">
        <v>-7029.81</v>
      </c>
      <c r="H38" s="60">
        <v>0</v>
      </c>
      <c r="I38" s="60">
        <v>40000</v>
      </c>
      <c r="J38" s="60">
        <v>26236.74</v>
      </c>
      <c r="K38" s="59">
        <v>47000</v>
      </c>
      <c r="L38" s="60">
        <v>92000</v>
      </c>
      <c r="M38" s="60">
        <v>47000</v>
      </c>
      <c r="N38" s="60">
        <v>47000</v>
      </c>
      <c r="O38" s="60">
        <v>92000</v>
      </c>
      <c r="P38" s="61">
        <f t="shared" si="5"/>
        <v>417596.95</v>
      </c>
    </row>
    <row r="39" spans="2:16" ht="15" customHeight="1">
      <c r="B39" s="62" t="s">
        <v>18</v>
      </c>
      <c r="C39" s="63">
        <v>149791.74</v>
      </c>
      <c r="D39" s="64">
        <v>6172.52</v>
      </c>
      <c r="E39" s="65">
        <v>4760.7700000000004</v>
      </c>
      <c r="F39" s="65">
        <v>7215.08</v>
      </c>
      <c r="G39" s="65">
        <v>189391.26</v>
      </c>
      <c r="H39" s="65">
        <v>4897.29</v>
      </c>
      <c r="I39" s="65">
        <v>3983.65</v>
      </c>
      <c r="J39" s="65">
        <v>31763.63</v>
      </c>
      <c r="K39" s="64">
        <v>4442.8551127988103</v>
      </c>
      <c r="L39" s="65">
        <v>7519.1853693420235</v>
      </c>
      <c r="M39" s="65">
        <v>6641.9617369629505</v>
      </c>
      <c r="N39" s="65">
        <v>7373.6848565071314</v>
      </c>
      <c r="O39" s="65">
        <v>8877.6340335841178</v>
      </c>
      <c r="P39" s="66">
        <f t="shared" si="5"/>
        <v>283039.52110919496</v>
      </c>
    </row>
    <row r="40" spans="2:16" ht="15" customHeight="1">
      <c r="B40" s="67" t="s">
        <v>19</v>
      </c>
      <c r="C40" s="69">
        <v>0.50071437003554498</v>
      </c>
      <c r="D40" s="68">
        <f t="shared" ref="D40:P40" si="6">IFERROR(((D7+D15)-(D23+D31))/(D7+D15),0)</f>
        <v>0.53630373841910273</v>
      </c>
      <c r="E40" s="70">
        <f t="shared" si="6"/>
        <v>0.42531558845850403</v>
      </c>
      <c r="F40" s="70">
        <f t="shared" si="6"/>
        <v>0.41407144864955375</v>
      </c>
      <c r="G40" s="70">
        <f t="shared" si="6"/>
        <v>0.43355464643831459</v>
      </c>
      <c r="H40" s="70">
        <f t="shared" si="6"/>
        <v>0.51676179099381125</v>
      </c>
      <c r="I40" s="70">
        <f t="shared" si="6"/>
        <v>0.48730914604925629</v>
      </c>
      <c r="J40" s="70">
        <f t="shared" si="6"/>
        <v>0.57947950574848517</v>
      </c>
      <c r="K40" s="68">
        <f t="shared" si="6"/>
        <v>0.45316182365903362</v>
      </c>
      <c r="L40" s="70">
        <f t="shared" si="6"/>
        <v>0.40064579873320255</v>
      </c>
      <c r="M40" s="70">
        <f t="shared" si="6"/>
        <v>0.40526685128718881</v>
      </c>
      <c r="N40" s="70">
        <f t="shared" si="6"/>
        <v>0.42725926237307682</v>
      </c>
      <c r="O40" s="70">
        <f t="shared" si="6"/>
        <v>0.42727248824054043</v>
      </c>
      <c r="P40" s="69">
        <f t="shared" si="6"/>
        <v>0.45301347321851299</v>
      </c>
    </row>
    <row r="41" spans="2:16" ht="15" customHeight="1">
      <c r="B41" s="45" t="s">
        <v>20</v>
      </c>
      <c r="C41" s="49">
        <v>9071015.4299999997</v>
      </c>
      <c r="D41" s="50">
        <f t="shared" ref="D41:P41" si="7">SUM(D42:D44)</f>
        <v>539013.98900000029</v>
      </c>
      <c r="E41" s="51">
        <f t="shared" si="7"/>
        <v>385631.09639999998</v>
      </c>
      <c r="F41" s="51">
        <f t="shared" si="7"/>
        <v>418311.54980000004</v>
      </c>
      <c r="G41" s="51">
        <f t="shared" si="7"/>
        <v>484188.29810000007</v>
      </c>
      <c r="H41" s="51">
        <f t="shared" si="7"/>
        <v>734664.06409999949</v>
      </c>
      <c r="I41" s="51">
        <f t="shared" si="7"/>
        <v>521061.78950000013</v>
      </c>
      <c r="J41" s="51">
        <f t="shared" si="7"/>
        <v>634767.2812999998</v>
      </c>
      <c r="K41" s="50">
        <f t="shared" si="7"/>
        <v>550306.27535881836</v>
      </c>
      <c r="L41" s="51">
        <f t="shared" si="7"/>
        <v>889790.92769528122</v>
      </c>
      <c r="M41" s="51">
        <f t="shared" si="7"/>
        <v>768149.36442099395</v>
      </c>
      <c r="N41" s="51">
        <f t="shared" si="7"/>
        <v>1293104.1267819151</v>
      </c>
      <c r="O41" s="51">
        <f t="shared" si="7"/>
        <v>1293181.2784371357</v>
      </c>
      <c r="P41" s="52">
        <f t="shared" si="7"/>
        <v>8512170.0408941451</v>
      </c>
    </row>
    <row r="42" spans="2:16" ht="15" customHeight="1">
      <c r="B42" s="71" t="s">
        <v>7</v>
      </c>
      <c r="C42" s="75">
        <v>8348947.9700000007</v>
      </c>
      <c r="D42" s="76">
        <v>534595.81900000025</v>
      </c>
      <c r="E42" s="77">
        <v>335908.26639999996</v>
      </c>
      <c r="F42" s="77">
        <v>368801.77980000002</v>
      </c>
      <c r="G42" s="77">
        <v>421712.34810000006</v>
      </c>
      <c r="H42" s="77">
        <v>693942.65409999946</v>
      </c>
      <c r="I42" s="77">
        <v>491355.4495000001</v>
      </c>
      <c r="J42" s="77">
        <v>554486.44249999977</v>
      </c>
      <c r="K42" s="76">
        <v>448123.44517013914</v>
      </c>
      <c r="L42" s="77">
        <v>787608.09750660195</v>
      </c>
      <c r="M42" s="77">
        <v>691518.04366627696</v>
      </c>
      <c r="N42" s="77">
        <v>1262702.2399894623</v>
      </c>
      <c r="O42" s="77">
        <v>1262779.391644683</v>
      </c>
      <c r="P42" s="78">
        <f t="shared" ref="P42:P44" si="8">SUM(D42:O42)</f>
        <v>7853533.9773771632</v>
      </c>
    </row>
    <row r="43" spans="2:16" ht="15" customHeight="1">
      <c r="B43" s="54" t="s">
        <v>21</v>
      </c>
      <c r="C43" s="58">
        <v>828369.69000000006</v>
      </c>
      <c r="D43" s="59">
        <v>4418.17</v>
      </c>
      <c r="E43" s="60">
        <v>49722.83</v>
      </c>
      <c r="F43" s="60">
        <v>49509.770000000004</v>
      </c>
      <c r="G43" s="60">
        <v>62475.95</v>
      </c>
      <c r="H43" s="60">
        <v>40721.409999999996</v>
      </c>
      <c r="I43" s="60">
        <v>29706.34</v>
      </c>
      <c r="J43" s="60">
        <v>80280.838799999983</v>
      </c>
      <c r="K43" s="59">
        <v>102182.83018867925</v>
      </c>
      <c r="L43" s="60">
        <v>102182.83018867925</v>
      </c>
      <c r="M43" s="60">
        <v>76631.320754716988</v>
      </c>
      <c r="N43" s="60">
        <v>30401.886792452831</v>
      </c>
      <c r="O43" s="60">
        <v>30401.886792452831</v>
      </c>
      <c r="P43" s="61">
        <f t="shared" si="8"/>
        <v>658636.0635169812</v>
      </c>
    </row>
    <row r="44" spans="2:16" ht="15" customHeight="1">
      <c r="B44" s="62" t="s">
        <v>18</v>
      </c>
      <c r="C44" s="63">
        <v>-106302.23</v>
      </c>
      <c r="D44" s="64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4">
        <v>0</v>
      </c>
      <c r="L44" s="65">
        <v>0</v>
      </c>
      <c r="M44" s="65">
        <v>0</v>
      </c>
      <c r="N44" s="65">
        <v>0</v>
      </c>
      <c r="O44" s="65">
        <v>0</v>
      </c>
      <c r="P44" s="66">
        <f t="shared" si="8"/>
        <v>0</v>
      </c>
    </row>
    <row r="45" spans="2:16" ht="15" customHeight="1">
      <c r="B45" s="67" t="s">
        <v>22</v>
      </c>
      <c r="C45" s="79">
        <v>4.7656400944499939</v>
      </c>
      <c r="D45" s="80">
        <f t="shared" ref="D45:P45" si="9">IFERROR((D15+D7)/(D42+D43),0)</f>
        <v>4.7048222342147756</v>
      </c>
      <c r="E45" s="81">
        <f t="shared" si="9"/>
        <v>4.8247042766232688</v>
      </c>
      <c r="F45" s="81">
        <f t="shared" si="9"/>
        <v>4.796539806178691</v>
      </c>
      <c r="G45" s="81">
        <f t="shared" si="9"/>
        <v>4.6505812074271597</v>
      </c>
      <c r="H45" s="81">
        <f t="shared" si="9"/>
        <v>4.8472889501714809</v>
      </c>
      <c r="I45" s="81">
        <f t="shared" si="9"/>
        <v>4.9018217253099872</v>
      </c>
      <c r="J45" s="81">
        <f t="shared" si="9"/>
        <v>4.9315553781993602</v>
      </c>
      <c r="K45" s="80">
        <f t="shared" si="9"/>
        <v>4.9315726838886516</v>
      </c>
      <c r="L45" s="81">
        <f t="shared" si="9"/>
        <v>4.9791104214090263</v>
      </c>
      <c r="M45" s="81">
        <f t="shared" si="9"/>
        <v>4.9838253743171705</v>
      </c>
      <c r="N45" s="81">
        <f t="shared" si="9"/>
        <v>5.0134006295858962</v>
      </c>
      <c r="O45" s="81">
        <f t="shared" si="9"/>
        <v>5.0132793072873794</v>
      </c>
      <c r="P45" s="82">
        <f t="shared" si="9"/>
        <v>4.9151849359268445</v>
      </c>
    </row>
    <row r="46" spans="2:16" ht="15" customHeight="1">
      <c r="B46" s="83" t="s">
        <v>23</v>
      </c>
      <c r="C46" s="86">
        <v>13747760.16</v>
      </c>
      <c r="D46" s="87">
        <f t="shared" ref="D46:O46" si="10">D22-D41</f>
        <v>636466.04099999997</v>
      </c>
      <c r="E46" s="88">
        <f t="shared" si="10"/>
        <v>688362.20359999966</v>
      </c>
      <c r="F46" s="88">
        <f t="shared" si="10"/>
        <v>804538.7002000002</v>
      </c>
      <c r="G46" s="88">
        <f t="shared" si="10"/>
        <v>973670.44189999998</v>
      </c>
      <c r="H46" s="88">
        <f t="shared" si="10"/>
        <v>991106.8259000004</v>
      </c>
      <c r="I46" s="88">
        <f t="shared" si="10"/>
        <v>832412.2304999996</v>
      </c>
      <c r="J46" s="88">
        <f t="shared" si="10"/>
        <v>739626.23869999975</v>
      </c>
      <c r="K46" s="87">
        <f t="shared" si="10"/>
        <v>985187.25175398064</v>
      </c>
      <c r="L46" s="88">
        <f t="shared" si="10"/>
        <v>1865087.500674061</v>
      </c>
      <c r="M46" s="88">
        <f t="shared" si="10"/>
        <v>1562322.7693159699</v>
      </c>
      <c r="N46" s="88">
        <f t="shared" si="10"/>
        <v>2474261.3010745924</v>
      </c>
      <c r="O46" s="88">
        <f t="shared" si="10"/>
        <v>2520734.0275964485</v>
      </c>
      <c r="P46" s="89">
        <f t="shared" ref="P46" si="11">SUM(D46:O46)</f>
        <v>15073775.532215051</v>
      </c>
    </row>
    <row r="47" spans="2:16" ht="15" customHeight="1">
      <c r="B47" s="90" t="s">
        <v>24</v>
      </c>
      <c r="C47" s="93">
        <v>0.60247580356698716</v>
      </c>
      <c r="D47" s="92">
        <f t="shared" ref="D47:P47" si="12">IFERROR(D46/D$22,0)</f>
        <v>0.54145202364688394</v>
      </c>
      <c r="E47" s="94">
        <f t="shared" si="12"/>
        <v>0.64093714886303288</v>
      </c>
      <c r="F47" s="94">
        <f t="shared" si="12"/>
        <v>0.65792086986938925</v>
      </c>
      <c r="G47" s="94">
        <f t="shared" si="12"/>
        <v>0.6678770824531326</v>
      </c>
      <c r="H47" s="94">
        <f t="shared" si="12"/>
        <v>0.57429803205221552</v>
      </c>
      <c r="I47" s="94">
        <f t="shared" si="12"/>
        <v>0.6150189942323383</v>
      </c>
      <c r="J47" s="94">
        <f t="shared" si="12"/>
        <v>0.53814735586064166</v>
      </c>
      <c r="K47" s="92">
        <f t="shared" si="12"/>
        <v>0.64160951144251077</v>
      </c>
      <c r="L47" s="94">
        <f t="shared" si="12"/>
        <v>0.67701263383082821</v>
      </c>
      <c r="M47" s="94">
        <f t="shared" si="12"/>
        <v>0.67038895110526409</v>
      </c>
      <c r="N47" s="94">
        <f t="shared" si="12"/>
        <v>0.65676169420133912</v>
      </c>
      <c r="O47" s="94">
        <f t="shared" si="12"/>
        <v>0.66093078249762571</v>
      </c>
      <c r="P47" s="93">
        <f t="shared" si="12"/>
        <v>0.639099903181366</v>
      </c>
    </row>
    <row r="48" spans="2:16" ht="15" customHeight="1">
      <c r="B48" s="45" t="s">
        <v>25</v>
      </c>
      <c r="C48" s="49">
        <v>8570185.5200000014</v>
      </c>
      <c r="D48" s="50">
        <f>SUM(D49:D53)</f>
        <v>694998.08000000007</v>
      </c>
      <c r="E48" s="51">
        <f t="shared" ref="E48:P48" si="13">SUM(E49:E53)</f>
        <v>457133.12</v>
      </c>
      <c r="F48" s="51">
        <f t="shared" si="13"/>
        <v>436143.51</v>
      </c>
      <c r="G48" s="51">
        <f t="shared" si="13"/>
        <v>539567.24000000011</v>
      </c>
      <c r="H48" s="51">
        <f t="shared" si="13"/>
        <v>687944.12</v>
      </c>
      <c r="I48" s="51">
        <f t="shared" si="13"/>
        <v>726722.77</v>
      </c>
      <c r="J48" s="51">
        <f t="shared" si="13"/>
        <v>602472.94999999995</v>
      </c>
      <c r="K48" s="50">
        <f t="shared" si="13"/>
        <v>562787.34073825879</v>
      </c>
      <c r="L48" s="51">
        <f t="shared" si="13"/>
        <v>972614.67230980424</v>
      </c>
      <c r="M48" s="51">
        <f t="shared" si="13"/>
        <v>861243.33385203825</v>
      </c>
      <c r="N48" s="51">
        <f t="shared" si="13"/>
        <v>1176274.9464831592</v>
      </c>
      <c r="O48" s="51">
        <f t="shared" si="13"/>
        <v>1323300.2754963848</v>
      </c>
      <c r="P48" s="52">
        <f t="shared" si="13"/>
        <v>9041202.3588796444</v>
      </c>
    </row>
    <row r="49" spans="2:16" ht="15" customHeight="1">
      <c r="B49" s="71" t="s">
        <v>26</v>
      </c>
      <c r="C49" s="75">
        <v>3994149.0400000005</v>
      </c>
      <c r="D49" s="76">
        <v>297887.73000000004</v>
      </c>
      <c r="E49" s="77">
        <v>199208.18</v>
      </c>
      <c r="F49" s="77">
        <v>195356.37999999998</v>
      </c>
      <c r="G49" s="77">
        <v>217867.57000000004</v>
      </c>
      <c r="H49" s="77">
        <v>340908.49999999994</v>
      </c>
      <c r="I49" s="77">
        <v>335515.04000000004</v>
      </c>
      <c r="J49" s="77">
        <v>271832.89</v>
      </c>
      <c r="K49" s="76">
        <v>235849.19379897311</v>
      </c>
      <c r="L49" s="77">
        <v>450990.37800932431</v>
      </c>
      <c r="M49" s="77">
        <v>390647.49729248328</v>
      </c>
      <c r="N49" s="77">
        <v>671058.47216733126</v>
      </c>
      <c r="O49" s="77">
        <v>671066.90821885027</v>
      </c>
      <c r="P49" s="78">
        <f t="shared" ref="P49:P53" si="14">SUM(D49:O49)</f>
        <v>4278188.7394869626</v>
      </c>
    </row>
    <row r="50" spans="2:16" ht="15" customHeight="1">
      <c r="B50" s="54" t="s">
        <v>27</v>
      </c>
      <c r="C50" s="58">
        <v>1243576.5100000002</v>
      </c>
      <c r="D50" s="59">
        <v>153577.63</v>
      </c>
      <c r="E50" s="60">
        <v>60731.849999999977</v>
      </c>
      <c r="F50" s="60">
        <v>90157.500000000015</v>
      </c>
      <c r="G50" s="60">
        <v>82750.920000000013</v>
      </c>
      <c r="H50" s="60">
        <v>50916.810000000049</v>
      </c>
      <c r="I50" s="60">
        <v>96833.14999999998</v>
      </c>
      <c r="J50" s="60">
        <v>79174.709999999992</v>
      </c>
      <c r="K50" s="59">
        <v>91420.396002213471</v>
      </c>
      <c r="L50" s="60">
        <v>166730.38378890732</v>
      </c>
      <c r="M50" s="60">
        <v>154891.46136444801</v>
      </c>
      <c r="N50" s="60">
        <v>100979.79448093731</v>
      </c>
      <c r="O50" s="60">
        <v>216151.26244589413</v>
      </c>
      <c r="P50" s="61">
        <f t="shared" si="14"/>
        <v>1344315.8680824002</v>
      </c>
    </row>
    <row r="51" spans="2:16" ht="15" customHeight="1">
      <c r="B51" s="54" t="s">
        <v>28</v>
      </c>
      <c r="C51" s="58">
        <v>1346255.71</v>
      </c>
      <c r="D51" s="59">
        <v>117480.4</v>
      </c>
      <c r="E51" s="60">
        <v>95660.13</v>
      </c>
      <c r="F51" s="60">
        <v>37255.669999999991</v>
      </c>
      <c r="G51" s="60">
        <v>102824.72</v>
      </c>
      <c r="H51" s="60">
        <v>119499.65</v>
      </c>
      <c r="I51" s="60">
        <v>126963.12000000001</v>
      </c>
      <c r="J51" s="60">
        <v>120303.02</v>
      </c>
      <c r="K51" s="59">
        <v>101426.97690317102</v>
      </c>
      <c r="L51" s="60">
        <v>134489.20025142346</v>
      </c>
      <c r="M51" s="60">
        <v>121009.03041288056</v>
      </c>
      <c r="N51" s="60">
        <v>99756.373265602931</v>
      </c>
      <c r="O51" s="60">
        <v>131598.41374620117</v>
      </c>
      <c r="P51" s="61">
        <f t="shared" si="14"/>
        <v>1308266.7045792791</v>
      </c>
    </row>
    <row r="52" spans="2:16" ht="15" customHeight="1">
      <c r="B52" s="54" t="s">
        <v>29</v>
      </c>
      <c r="C52" s="58">
        <v>1986204.26</v>
      </c>
      <c r="D52" s="59">
        <v>126052.32</v>
      </c>
      <c r="E52" s="60">
        <v>101532.96000000002</v>
      </c>
      <c r="F52" s="60">
        <v>113373.95999999999</v>
      </c>
      <c r="G52" s="60">
        <v>136124.03</v>
      </c>
      <c r="H52" s="60">
        <v>176619.16</v>
      </c>
      <c r="I52" s="60">
        <v>167411.46</v>
      </c>
      <c r="J52" s="60">
        <v>131162.33000000002</v>
      </c>
      <c r="K52" s="59">
        <v>134090.77403390119</v>
      </c>
      <c r="L52" s="60">
        <v>220404.71026014912</v>
      </c>
      <c r="M52" s="60">
        <v>194695.34478222634</v>
      </c>
      <c r="N52" s="60">
        <v>304480.30656928773</v>
      </c>
      <c r="O52" s="60">
        <v>304483.69108543918</v>
      </c>
      <c r="P52" s="61">
        <f t="shared" si="14"/>
        <v>2110431.0467310036</v>
      </c>
    </row>
    <row r="53" spans="2:16" ht="15" customHeight="1">
      <c r="B53" s="54" t="s">
        <v>18</v>
      </c>
      <c r="C53" s="58">
        <v>0</v>
      </c>
      <c r="D53" s="59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59">
        <v>0</v>
      </c>
      <c r="L53" s="60">
        <v>0</v>
      </c>
      <c r="M53" s="60">
        <v>0</v>
      </c>
      <c r="N53" s="60">
        <v>0</v>
      </c>
      <c r="O53" s="60">
        <v>0</v>
      </c>
      <c r="P53" s="61">
        <f t="shared" si="14"/>
        <v>0</v>
      </c>
    </row>
    <row r="54" spans="2:16" ht="15" customHeight="1">
      <c r="B54" s="83" t="s">
        <v>30</v>
      </c>
      <c r="C54" s="86">
        <v>5177574.6399999987</v>
      </c>
      <c r="D54" s="87">
        <f t="shared" ref="D54:P54" si="15">D46-D48</f>
        <v>-58532.039000000106</v>
      </c>
      <c r="E54" s="88">
        <f t="shared" si="15"/>
        <v>231229.08359999966</v>
      </c>
      <c r="F54" s="88">
        <f t="shared" si="15"/>
        <v>368395.19020000019</v>
      </c>
      <c r="G54" s="88">
        <f t="shared" si="15"/>
        <v>434103.20189999987</v>
      </c>
      <c r="H54" s="88">
        <f t="shared" si="15"/>
        <v>303162.70590000041</v>
      </c>
      <c r="I54" s="88">
        <f t="shared" si="15"/>
        <v>105689.46049999958</v>
      </c>
      <c r="J54" s="88">
        <f t="shared" si="15"/>
        <v>137153.2886999998</v>
      </c>
      <c r="K54" s="87">
        <f t="shared" si="15"/>
        <v>422399.91101572185</v>
      </c>
      <c r="L54" s="88">
        <f t="shared" si="15"/>
        <v>892472.82836425677</v>
      </c>
      <c r="M54" s="88">
        <f t="shared" si="15"/>
        <v>701079.43546393164</v>
      </c>
      <c r="N54" s="88">
        <f t="shared" si="15"/>
        <v>1297986.3545914332</v>
      </c>
      <c r="O54" s="88">
        <f t="shared" si="15"/>
        <v>1197433.7521000637</v>
      </c>
      <c r="P54" s="89">
        <f t="shared" si="15"/>
        <v>6032573.1733354069</v>
      </c>
    </row>
    <row r="55" spans="2:16" ht="15" customHeight="1">
      <c r="B55" s="90" t="s">
        <v>24</v>
      </c>
      <c r="C55" s="93">
        <v>0.22689975715739089</v>
      </c>
      <c r="D55" s="92">
        <f t="shared" ref="D55:P55" si="16">IFERROR(D54/D$22,0)</f>
        <v>-4.9794158561758034E-2</v>
      </c>
      <c r="E55" s="94">
        <f t="shared" si="16"/>
        <v>0.21529844143347984</v>
      </c>
      <c r="F55" s="94">
        <f t="shared" si="16"/>
        <v>0.30125944709910318</v>
      </c>
      <c r="G55" s="94">
        <f t="shared" si="16"/>
        <v>0.29776767116682368</v>
      </c>
      <c r="H55" s="94">
        <f t="shared" si="16"/>
        <v>0.17566799142150347</v>
      </c>
      <c r="I55" s="94">
        <f t="shared" si="16"/>
        <v>7.8087542825535428E-2</v>
      </c>
      <c r="J55" s="94">
        <f t="shared" si="16"/>
        <v>9.9791862158954192E-2</v>
      </c>
      <c r="K55" s="92">
        <f t="shared" si="16"/>
        <v>0.27509064906966024</v>
      </c>
      <c r="L55" s="94">
        <f t="shared" si="16"/>
        <v>0.32396087579535265</v>
      </c>
      <c r="M55" s="94">
        <f t="shared" si="16"/>
        <v>0.30083150333135938</v>
      </c>
      <c r="N55" s="94">
        <f t="shared" si="16"/>
        <v>0.34453423206411377</v>
      </c>
      <c r="O55" s="94">
        <f t="shared" si="16"/>
        <v>0.31396443182829281</v>
      </c>
      <c r="P55" s="93">
        <f t="shared" si="16"/>
        <v>0.25576982506960688</v>
      </c>
    </row>
    <row r="56" spans="2:16" ht="15" customHeight="1">
      <c r="B56" s="45" t="s">
        <v>31</v>
      </c>
      <c r="C56" s="49">
        <v>7116475.8399999989</v>
      </c>
      <c r="D56" s="50">
        <f>SUM(D57:D64)</f>
        <v>575806.25</v>
      </c>
      <c r="E56" s="51">
        <f t="shared" ref="E56:P56" si="17">SUM(E57:E64)</f>
        <v>500212.48000000004</v>
      </c>
      <c r="F56" s="51">
        <f t="shared" si="17"/>
        <v>391825.84999999992</v>
      </c>
      <c r="G56" s="51">
        <f t="shared" si="17"/>
        <v>705821.85000000021</v>
      </c>
      <c r="H56" s="51">
        <f t="shared" si="17"/>
        <v>458499.27999999991</v>
      </c>
      <c r="I56" s="51">
        <f t="shared" si="17"/>
        <v>700897.2</v>
      </c>
      <c r="J56" s="51">
        <f t="shared" si="17"/>
        <v>551868.59</v>
      </c>
      <c r="K56" s="50">
        <f t="shared" si="17"/>
        <v>578987.79394941661</v>
      </c>
      <c r="L56" s="51">
        <f t="shared" si="17"/>
        <v>496594.79709480423</v>
      </c>
      <c r="M56" s="51">
        <f t="shared" si="17"/>
        <v>629262.15039746102</v>
      </c>
      <c r="N56" s="51">
        <f t="shared" si="17"/>
        <v>543890.37136525079</v>
      </c>
      <c r="O56" s="51">
        <f t="shared" si="17"/>
        <v>559880.00338142994</v>
      </c>
      <c r="P56" s="52">
        <f t="shared" si="17"/>
        <v>6693546.6161883641</v>
      </c>
    </row>
    <row r="57" spans="2:16" ht="15" customHeight="1">
      <c r="B57" s="71" t="s">
        <v>32</v>
      </c>
      <c r="C57" s="75">
        <v>4137336.4699999997</v>
      </c>
      <c r="D57" s="76">
        <v>321920.38</v>
      </c>
      <c r="E57" s="77">
        <v>311765.83999999997</v>
      </c>
      <c r="F57" s="77">
        <v>320337.14999999997</v>
      </c>
      <c r="G57" s="77">
        <v>538609.37000000011</v>
      </c>
      <c r="H57" s="77">
        <v>318700.28999999998</v>
      </c>
      <c r="I57" s="77">
        <v>329701.09999999998</v>
      </c>
      <c r="J57" s="77">
        <v>342487.14</v>
      </c>
      <c r="K57" s="76">
        <v>339985.07520833332</v>
      </c>
      <c r="L57" s="77">
        <v>339985.07520833332</v>
      </c>
      <c r="M57" s="77">
        <v>339985.07520833332</v>
      </c>
      <c r="N57" s="77">
        <v>339985.07520833332</v>
      </c>
      <c r="O57" s="77">
        <v>342785.07520833332</v>
      </c>
      <c r="P57" s="78">
        <f t="shared" ref="P57:P62" si="18">SUM(D57:O57)</f>
        <v>4186246.6460416666</v>
      </c>
    </row>
    <row r="58" spans="2:16" ht="15" customHeight="1">
      <c r="B58" s="54" t="s">
        <v>33</v>
      </c>
      <c r="C58" s="58">
        <v>1037190.7500000001</v>
      </c>
      <c r="D58" s="59">
        <v>51469</v>
      </c>
      <c r="E58" s="60">
        <v>80554.399999999994</v>
      </c>
      <c r="F58" s="60">
        <v>15894.21</v>
      </c>
      <c r="G58" s="60">
        <v>13773.129999999997</v>
      </c>
      <c r="H58" s="60">
        <v>14048.44</v>
      </c>
      <c r="I58" s="60">
        <v>102508.81999999999</v>
      </c>
      <c r="J58" s="60">
        <v>20714.96</v>
      </c>
      <c r="K58" s="59">
        <v>105166.66666666667</v>
      </c>
      <c r="L58" s="60">
        <v>19166.666666666672</v>
      </c>
      <c r="M58" s="60">
        <v>101166.66666666667</v>
      </c>
      <c r="N58" s="60">
        <v>54166.666666666672</v>
      </c>
      <c r="O58" s="60">
        <v>72166.666666666672</v>
      </c>
      <c r="P58" s="61">
        <f t="shared" si="18"/>
        <v>650796.29333333333</v>
      </c>
    </row>
    <row r="59" spans="2:16" ht="15" customHeight="1">
      <c r="B59" s="54" t="s">
        <v>34</v>
      </c>
      <c r="C59" s="58">
        <v>67586.23</v>
      </c>
      <c r="D59" s="59">
        <v>3717.73</v>
      </c>
      <c r="E59" s="60">
        <v>1953.2900000000004</v>
      </c>
      <c r="F59" s="60">
        <v>4705.43</v>
      </c>
      <c r="G59" s="60">
        <v>16588.089999999997</v>
      </c>
      <c r="H59" s="60">
        <v>4137.62</v>
      </c>
      <c r="I59" s="60">
        <v>4366.0200000000004</v>
      </c>
      <c r="J59" s="60">
        <v>2712.0499999999993</v>
      </c>
      <c r="K59" s="59">
        <v>1350</v>
      </c>
      <c r="L59" s="60">
        <v>2150</v>
      </c>
      <c r="M59" s="60">
        <v>1950</v>
      </c>
      <c r="N59" s="60">
        <v>1450</v>
      </c>
      <c r="O59" s="60">
        <v>6150</v>
      </c>
      <c r="P59" s="61">
        <f t="shared" si="18"/>
        <v>51230.229999999996</v>
      </c>
    </row>
    <row r="60" spans="2:16" ht="15" customHeight="1">
      <c r="B60" s="54" t="s">
        <v>35</v>
      </c>
      <c r="C60" s="58">
        <v>295941.65999999992</v>
      </c>
      <c r="D60" s="59">
        <v>24699.25</v>
      </c>
      <c r="E60" s="60">
        <v>24701.559999999998</v>
      </c>
      <c r="F60" s="60">
        <v>24703.87</v>
      </c>
      <c r="G60" s="60">
        <v>24702.17</v>
      </c>
      <c r="H60" s="60">
        <v>23651.66</v>
      </c>
      <c r="I60" s="60">
        <v>23966.31</v>
      </c>
      <c r="J60" s="60">
        <v>23987.63</v>
      </c>
      <c r="K60" s="59">
        <v>24658.39</v>
      </c>
      <c r="L60" s="60">
        <v>24658.39</v>
      </c>
      <c r="M60" s="60">
        <v>24658.39</v>
      </c>
      <c r="N60" s="60">
        <v>24658.39</v>
      </c>
      <c r="O60" s="60">
        <v>24658.39</v>
      </c>
      <c r="P60" s="61">
        <f t="shared" si="18"/>
        <v>293704.40000000008</v>
      </c>
    </row>
    <row r="61" spans="2:16" ht="15" customHeight="1">
      <c r="B61" s="54" t="s">
        <v>36</v>
      </c>
      <c r="C61" s="58">
        <v>152321.34999999998</v>
      </c>
      <c r="D61" s="59">
        <v>2000.3</v>
      </c>
      <c r="E61" s="60">
        <v>25059.78</v>
      </c>
      <c r="F61" s="60">
        <v>600.04999999999995</v>
      </c>
      <c r="G61" s="60">
        <v>5731.1400000000021</v>
      </c>
      <c r="H61" s="60">
        <v>7371.3500000000022</v>
      </c>
      <c r="I61" s="60">
        <v>1150</v>
      </c>
      <c r="J61" s="60">
        <v>4283.42</v>
      </c>
      <c r="K61" s="59">
        <v>5500</v>
      </c>
      <c r="L61" s="60">
        <v>2000</v>
      </c>
      <c r="M61" s="60">
        <v>37500</v>
      </c>
      <c r="N61" s="60">
        <v>4500</v>
      </c>
      <c r="O61" s="60">
        <v>2000</v>
      </c>
      <c r="P61" s="61">
        <f t="shared" si="18"/>
        <v>97696.04</v>
      </c>
    </row>
    <row r="62" spans="2:16" ht="15" customHeight="1">
      <c r="B62" s="54" t="s">
        <v>29</v>
      </c>
      <c r="C62" s="58">
        <v>1268119.6799999992</v>
      </c>
      <c r="D62" s="59">
        <v>150501.71000000002</v>
      </c>
      <c r="E62" s="60">
        <v>37122.590000000011</v>
      </c>
      <c r="F62" s="60">
        <v>67525.610000000015</v>
      </c>
      <c r="G62" s="60">
        <v>82856.989999999976</v>
      </c>
      <c r="H62" s="60">
        <v>60139.86</v>
      </c>
      <c r="I62" s="60">
        <v>96053.710000000021</v>
      </c>
      <c r="J62" s="60">
        <v>124433.4</v>
      </c>
      <c r="K62" s="59">
        <v>83736.182074416662</v>
      </c>
      <c r="L62" s="60">
        <v>87943.185219804174</v>
      </c>
      <c r="M62" s="60">
        <v>102160.53852246104</v>
      </c>
      <c r="N62" s="60">
        <v>98388.759490250755</v>
      </c>
      <c r="O62" s="60">
        <v>90028.391506429951</v>
      </c>
      <c r="P62" s="61">
        <f t="shared" si="18"/>
        <v>1080890.9268133626</v>
      </c>
    </row>
    <row r="63" spans="2:16" ht="15" customHeight="1">
      <c r="B63" s="54" t="s">
        <v>37</v>
      </c>
      <c r="C63" s="58">
        <v>45286.460000000006</v>
      </c>
      <c r="D63" s="59">
        <v>3893.6400000000003</v>
      </c>
      <c r="E63" s="60">
        <v>6775.9500000000007</v>
      </c>
      <c r="F63" s="60">
        <v>6929.420000000001</v>
      </c>
      <c r="G63" s="60">
        <v>8205.18</v>
      </c>
      <c r="H63" s="60">
        <v>6853.2300000000005</v>
      </c>
      <c r="I63" s="60">
        <v>7124.7400000000007</v>
      </c>
      <c r="J63" s="60">
        <v>8451.15</v>
      </c>
      <c r="K63" s="59">
        <v>4022.2</v>
      </c>
      <c r="L63" s="60">
        <v>4022.2</v>
      </c>
      <c r="M63" s="60">
        <v>4022.2</v>
      </c>
      <c r="N63" s="60">
        <v>4022.2</v>
      </c>
      <c r="O63" s="60">
        <v>4022.2</v>
      </c>
      <c r="P63" s="61">
        <f>SUM(D63:O63)</f>
        <v>68344.31</v>
      </c>
    </row>
    <row r="64" spans="2:16" ht="15" customHeight="1">
      <c r="B64" s="54" t="s">
        <v>18</v>
      </c>
      <c r="C64" s="58">
        <v>112693.24000000002</v>
      </c>
      <c r="D64" s="59">
        <v>17604.239999999998</v>
      </c>
      <c r="E64" s="60">
        <v>12279.07</v>
      </c>
      <c r="F64" s="60">
        <v>-48869.890000000007</v>
      </c>
      <c r="G64" s="60">
        <v>15355.779999999999</v>
      </c>
      <c r="H64" s="60">
        <v>23596.830000000005</v>
      </c>
      <c r="I64" s="60">
        <v>136026.5</v>
      </c>
      <c r="J64" s="60">
        <v>24798.84</v>
      </c>
      <c r="K64" s="59">
        <v>14569.279999999999</v>
      </c>
      <c r="L64" s="60">
        <v>16669.28</v>
      </c>
      <c r="M64" s="60">
        <v>17819.280000000002</v>
      </c>
      <c r="N64" s="60">
        <v>16719.28</v>
      </c>
      <c r="O64" s="60">
        <v>18069.280000000002</v>
      </c>
      <c r="P64" s="61">
        <f t="shared" ref="P64" si="19">SUM(D64:O64)</f>
        <v>264637.77</v>
      </c>
    </row>
    <row r="65" spans="2:16" ht="15" customHeight="1">
      <c r="B65" s="83" t="s">
        <v>38</v>
      </c>
      <c r="C65" s="86">
        <v>-1938901.2000000002</v>
      </c>
      <c r="D65" s="87">
        <f t="shared" ref="D65:P65" si="20">D54-D56</f>
        <v>-634338.28900000011</v>
      </c>
      <c r="E65" s="88">
        <f t="shared" si="20"/>
        <v>-268983.39640000038</v>
      </c>
      <c r="F65" s="88">
        <f t="shared" si="20"/>
        <v>-23430.659799999732</v>
      </c>
      <c r="G65" s="88">
        <f t="shared" si="20"/>
        <v>-271718.64810000034</v>
      </c>
      <c r="H65" s="88">
        <f t="shared" si="20"/>
        <v>-155336.5740999995</v>
      </c>
      <c r="I65" s="88">
        <f t="shared" si="20"/>
        <v>-595207.73950000037</v>
      </c>
      <c r="J65" s="88">
        <f t="shared" si="20"/>
        <v>-414715.30130000017</v>
      </c>
      <c r="K65" s="87">
        <f t="shared" si="20"/>
        <v>-156587.88293369475</v>
      </c>
      <c r="L65" s="88">
        <f t="shared" si="20"/>
        <v>395878.03126945253</v>
      </c>
      <c r="M65" s="88">
        <f t="shared" si="20"/>
        <v>71817.28506647062</v>
      </c>
      <c r="N65" s="88">
        <f t="shared" si="20"/>
        <v>754095.9832261824</v>
      </c>
      <c r="O65" s="88">
        <f t="shared" si="20"/>
        <v>637553.74871863378</v>
      </c>
      <c r="P65" s="89">
        <f t="shared" si="20"/>
        <v>-660973.44285295717</v>
      </c>
    </row>
    <row r="66" spans="2:16" ht="15" customHeight="1">
      <c r="B66" s="95" t="s">
        <v>24</v>
      </c>
      <c r="C66" s="99">
        <v>-8.4969554670132952E-2</v>
      </c>
      <c r="D66" s="98">
        <f t="shared" ref="D66:P66" si="21">IFERROR(D65/D$22,0)</f>
        <v>-0.53964191037766929</v>
      </c>
      <c r="E66" s="100">
        <f t="shared" si="21"/>
        <v>-0.25045165216580073</v>
      </c>
      <c r="F66" s="100">
        <f t="shared" si="21"/>
        <v>-1.9160694287791762E-2</v>
      </c>
      <c r="G66" s="100">
        <f t="shared" si="21"/>
        <v>-0.1863820140077497</v>
      </c>
      <c r="H66" s="100">
        <f t="shared" si="21"/>
        <v>-9.0009963083801645E-2</v>
      </c>
      <c r="I66" s="100">
        <f t="shared" si="21"/>
        <v>-0.43976295865656917</v>
      </c>
      <c r="J66" s="100">
        <f t="shared" si="21"/>
        <v>-0.30174422046169158</v>
      </c>
      <c r="K66" s="98">
        <f t="shared" si="21"/>
        <v>-0.10197886228027821</v>
      </c>
      <c r="L66" s="100">
        <f t="shared" si="21"/>
        <v>0.14370072638877907</v>
      </c>
      <c r="M66" s="100">
        <f t="shared" si="21"/>
        <v>3.0816624677382436E-2</v>
      </c>
      <c r="N66" s="100">
        <f t="shared" si="21"/>
        <v>0.20016534038622194</v>
      </c>
      <c r="O66" s="100">
        <f t="shared" si="21"/>
        <v>0.1671651564233817</v>
      </c>
      <c r="P66" s="99">
        <f t="shared" si="21"/>
        <v>-2.8024038332664782E-2</v>
      </c>
    </row>
    <row r="67" spans="2:16" ht="15" hidden="1" customHeight="1">
      <c r="B67" s="45" t="s">
        <v>39</v>
      </c>
      <c r="C67" s="49" t="e">
        <f t="shared" ref="C67" si="22">SUM(C68:C75)</f>
        <v>#REF!</v>
      </c>
      <c r="D67" s="46">
        <f>SUM(D68:D75)</f>
        <v>315277.73</v>
      </c>
      <c r="E67" s="47">
        <f t="shared" ref="E67:P67" si="23">SUM(E68:E75)</f>
        <v>284612.15000000002</v>
      </c>
      <c r="F67" s="46">
        <f t="shared" si="23"/>
        <v>-65426.479999999981</v>
      </c>
      <c r="G67" s="46">
        <f t="shared" si="23"/>
        <v>-144178.01</v>
      </c>
      <c r="H67" s="46">
        <f t="shared" si="23"/>
        <v>112417.63</v>
      </c>
      <c r="I67" s="46">
        <f t="shared" si="23"/>
        <v>253108.66</v>
      </c>
      <c r="J67" s="46">
        <f t="shared" si="23"/>
        <v>239873.44999999998</v>
      </c>
      <c r="K67" s="46">
        <f t="shared" si="23"/>
        <v>146069.84775117863</v>
      </c>
      <c r="L67" s="46">
        <f t="shared" si="23"/>
        <v>194845.24380144037</v>
      </c>
      <c r="M67" s="46">
        <f t="shared" si="23"/>
        <v>177868.99201614523</v>
      </c>
      <c r="N67" s="46">
        <f t="shared" si="23"/>
        <v>235344.72378092696</v>
      </c>
      <c r="O67" s="48">
        <f t="shared" si="23"/>
        <v>237206.71890801005</v>
      </c>
      <c r="P67" s="49">
        <f t="shared" si="23"/>
        <v>1987020.6562577013</v>
      </c>
    </row>
    <row r="68" spans="2:16" ht="15" hidden="1" customHeight="1" outlineLevel="1">
      <c r="B68" s="71" t="s">
        <v>40</v>
      </c>
      <c r="C68" s="75" t="e">
        <f>SUM(#REF!)</f>
        <v>#REF!</v>
      </c>
      <c r="D68" s="72">
        <v>154382.56</v>
      </c>
      <c r="E68" s="73">
        <v>119387.52</v>
      </c>
      <c r="F68" s="72">
        <v>83634.58</v>
      </c>
      <c r="G68" s="72">
        <v>80901.37</v>
      </c>
      <c r="H68" s="72">
        <v>83207.48</v>
      </c>
      <c r="I68" s="72">
        <v>80502.039999999994</v>
      </c>
      <c r="J68" s="72">
        <v>82803.72</v>
      </c>
      <c r="K68" s="72">
        <v>76666.666666666672</v>
      </c>
      <c r="L68" s="72">
        <v>76666.666666666672</v>
      </c>
      <c r="M68" s="72">
        <v>76666.666666666672</v>
      </c>
      <c r="N68" s="72">
        <v>76666.666666666672</v>
      </c>
      <c r="O68" s="74">
        <v>76666.666666666672</v>
      </c>
      <c r="P68" s="75">
        <f t="shared" ref="P68:P73" si="24">SUM(D68:O68)</f>
        <v>1068152.6033333333</v>
      </c>
    </row>
    <row r="69" spans="2:16" ht="15" hidden="1" customHeight="1" outlineLevel="1">
      <c r="B69" s="54" t="s">
        <v>41</v>
      </c>
      <c r="C69" s="58" t="e">
        <f>SUM(#REF!)</f>
        <v>#REF!</v>
      </c>
      <c r="D69" s="55">
        <v>-321.13</v>
      </c>
      <c r="E69" s="56">
        <v>-290.27</v>
      </c>
      <c r="F69" s="55">
        <v>-171118.43</v>
      </c>
      <c r="G69" s="55">
        <v>-311.45999999999998</v>
      </c>
      <c r="H69" s="55">
        <v>-322.08</v>
      </c>
      <c r="I69" s="55">
        <v>-2107.0099999999998</v>
      </c>
      <c r="J69" s="55">
        <v>-322.56</v>
      </c>
      <c r="K69" s="55">
        <v>0</v>
      </c>
      <c r="L69" s="55">
        <v>0</v>
      </c>
      <c r="M69" s="55">
        <v>0</v>
      </c>
      <c r="N69" s="55">
        <v>0</v>
      </c>
      <c r="O69" s="57">
        <v>0</v>
      </c>
      <c r="P69" s="58">
        <f t="shared" si="24"/>
        <v>-174792.93999999997</v>
      </c>
    </row>
    <row r="70" spans="2:16" ht="15" hidden="1" customHeight="1" outlineLevel="1">
      <c r="B70" s="54" t="s">
        <v>42</v>
      </c>
      <c r="C70" s="58" t="e">
        <f>SUM(#REF!)</f>
        <v>#REF!</v>
      </c>
      <c r="D70" s="55">
        <v>96397.43</v>
      </c>
      <c r="E70" s="56">
        <v>156574.70000000001</v>
      </c>
      <c r="F70" s="55">
        <v>-29057.57</v>
      </c>
      <c r="G70" s="55">
        <v>-199722.3</v>
      </c>
      <c r="H70" s="55">
        <v>19100.04</v>
      </c>
      <c r="I70" s="55">
        <v>137715.73000000001</v>
      </c>
      <c r="J70" s="55">
        <v>171277.74</v>
      </c>
      <c r="K70" s="55">
        <v>0</v>
      </c>
      <c r="L70" s="55">
        <v>0</v>
      </c>
      <c r="M70" s="55">
        <v>0</v>
      </c>
      <c r="N70" s="55">
        <v>0</v>
      </c>
      <c r="O70" s="57">
        <v>0</v>
      </c>
      <c r="P70" s="58">
        <f t="shared" si="24"/>
        <v>352285.77</v>
      </c>
    </row>
    <row r="71" spans="2:16" ht="15" hidden="1" customHeight="1" outlineLevel="1">
      <c r="B71" s="54" t="s">
        <v>43</v>
      </c>
      <c r="C71" s="58" t="e">
        <f>SUM(#REF!)</f>
        <v>#REF!</v>
      </c>
      <c r="D71" s="55">
        <v>0</v>
      </c>
      <c r="E71" s="56">
        <v>0</v>
      </c>
      <c r="F71" s="55">
        <v>0</v>
      </c>
      <c r="G71" s="55">
        <v>0</v>
      </c>
      <c r="H71" s="55">
        <v>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7">
        <v>0</v>
      </c>
      <c r="P71" s="58">
        <f t="shared" si="24"/>
        <v>0</v>
      </c>
    </row>
    <row r="72" spans="2:16" ht="15" hidden="1" customHeight="1" outlineLevel="1">
      <c r="B72" s="54" t="s">
        <v>44</v>
      </c>
      <c r="C72" s="58" t="e">
        <f>SUM(#REF!)</f>
        <v>#REF!</v>
      </c>
      <c r="D72" s="55">
        <v>7099.69</v>
      </c>
      <c r="E72" s="56">
        <v>3956.76</v>
      </c>
      <c r="F72" s="55">
        <v>278.65999999999997</v>
      </c>
      <c r="G72" s="55">
        <v>3735.65</v>
      </c>
      <c r="H72" s="55">
        <v>5898.69</v>
      </c>
      <c r="I72" s="55">
        <v>58.09</v>
      </c>
      <c r="J72" s="55">
        <v>300.49</v>
      </c>
      <c r="K72" s="55">
        <v>3000</v>
      </c>
      <c r="L72" s="55">
        <v>3000</v>
      </c>
      <c r="M72" s="55">
        <v>3000</v>
      </c>
      <c r="N72" s="55">
        <v>3000</v>
      </c>
      <c r="O72" s="57">
        <v>3000</v>
      </c>
      <c r="P72" s="58">
        <f t="shared" si="24"/>
        <v>36328.03</v>
      </c>
    </row>
    <row r="73" spans="2:16" ht="15" hidden="1" customHeight="1" outlineLevel="1">
      <c r="B73" s="54" t="s">
        <v>45</v>
      </c>
      <c r="C73" s="58" t="e">
        <f>SUM(#REF!)</f>
        <v>#REF!</v>
      </c>
      <c r="D73" s="55">
        <v>74250</v>
      </c>
      <c r="E73" s="56">
        <v>0</v>
      </c>
      <c r="F73" s="55">
        <v>0</v>
      </c>
      <c r="G73" s="55">
        <v>2800</v>
      </c>
      <c r="H73" s="55">
        <v>871.27</v>
      </c>
      <c r="I73" s="55">
        <v>1644.05</v>
      </c>
      <c r="J73" s="55">
        <v>-74.78</v>
      </c>
      <c r="K73" s="55">
        <v>61419.741084511959</v>
      </c>
      <c r="L73" s="55">
        <v>110195.1371347737</v>
      </c>
      <c r="M73" s="55">
        <v>93218.885349478558</v>
      </c>
      <c r="N73" s="55">
        <v>150694.6171142603</v>
      </c>
      <c r="O73" s="57">
        <v>152556.61224134336</v>
      </c>
      <c r="P73" s="58">
        <f t="shared" si="24"/>
        <v>647575.53292436793</v>
      </c>
    </row>
    <row r="74" spans="2:16" ht="15" hidden="1" customHeight="1" outlineLevel="1">
      <c r="B74" s="54" t="s">
        <v>46</v>
      </c>
      <c r="C74" s="58" t="e">
        <f>SUM(#REF!)</f>
        <v>#REF!</v>
      </c>
      <c r="D74" s="55">
        <v>-16530.82</v>
      </c>
      <c r="E74" s="56">
        <v>4983.4399999999996</v>
      </c>
      <c r="F74" s="55">
        <v>50836.28</v>
      </c>
      <c r="G74" s="55">
        <v>-31581.27</v>
      </c>
      <c r="H74" s="55">
        <v>3662.23</v>
      </c>
      <c r="I74" s="55">
        <v>35295.760000000002</v>
      </c>
      <c r="J74" s="55">
        <v>-14111.16</v>
      </c>
      <c r="K74" s="55">
        <v>4983.4399999999996</v>
      </c>
      <c r="L74" s="55">
        <v>4983.4399999999996</v>
      </c>
      <c r="M74" s="55">
        <v>4983.4399999999996</v>
      </c>
      <c r="N74" s="55">
        <v>4983.4399999999996</v>
      </c>
      <c r="O74" s="57">
        <v>4983.4399999999996</v>
      </c>
      <c r="P74" s="58">
        <f>SUM(D74:O74)</f>
        <v>57471.66</v>
      </c>
    </row>
    <row r="75" spans="2:16" ht="15" hidden="1" customHeight="1" outlineLevel="1">
      <c r="B75" s="54" t="s">
        <v>47</v>
      </c>
      <c r="C75" s="58" t="e">
        <f>SUM(#REF!)</f>
        <v>#REF!</v>
      </c>
      <c r="D75" s="55">
        <v>0</v>
      </c>
      <c r="E75" s="56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7">
        <v>0</v>
      </c>
      <c r="P75" s="58">
        <f t="shared" ref="P75" si="25">SUM(D75:O75)</f>
        <v>0</v>
      </c>
    </row>
    <row r="76" spans="2:16" ht="15" hidden="1" customHeight="1" collapsed="1">
      <c r="B76" s="83" t="s">
        <v>48</v>
      </c>
      <c r="C76" s="86" t="e">
        <f t="shared" ref="C76" si="26">C65+C67</f>
        <v>#REF!</v>
      </c>
      <c r="D76" s="84">
        <f>D65-D67</f>
        <v>-949616.01900000009</v>
      </c>
      <c r="E76" s="85">
        <f t="shared" ref="E76:P76" si="27">E65-E67</f>
        <v>-553595.54640000034</v>
      </c>
      <c r="F76" s="84">
        <f t="shared" si="27"/>
        <v>41995.820200000249</v>
      </c>
      <c r="G76" s="84">
        <f t="shared" si="27"/>
        <v>-127540.63810000033</v>
      </c>
      <c r="H76" s="84">
        <f t="shared" si="27"/>
        <v>-267754.20409999951</v>
      </c>
      <c r="I76" s="84">
        <f t="shared" si="27"/>
        <v>-848316.39950000041</v>
      </c>
      <c r="J76" s="84">
        <f t="shared" si="27"/>
        <v>-654588.75130000012</v>
      </c>
      <c r="K76" s="84">
        <f t="shared" si="27"/>
        <v>-302657.73068487342</v>
      </c>
      <c r="L76" s="84">
        <f t="shared" si="27"/>
        <v>201032.78746801216</v>
      </c>
      <c r="M76" s="84">
        <f t="shared" si="27"/>
        <v>-106051.70694967461</v>
      </c>
      <c r="N76" s="84">
        <f t="shared" si="27"/>
        <v>518751.25944525545</v>
      </c>
      <c r="O76" s="101">
        <f t="shared" si="27"/>
        <v>400347.02981062373</v>
      </c>
      <c r="P76" s="86">
        <f t="shared" si="27"/>
        <v>-2647994.0991106583</v>
      </c>
    </row>
    <row r="77" spans="2:16" ht="15" hidden="1" customHeight="1">
      <c r="B77" s="95" t="s">
        <v>24</v>
      </c>
      <c r="C77" s="103">
        <f t="shared" ref="C77:P77" si="28">IFERROR(C76/C$22,0)</f>
        <v>0</v>
      </c>
      <c r="D77" s="96">
        <f t="shared" si="28"/>
        <v>-0.80785380845644816</v>
      </c>
      <c r="E77" s="97">
        <f t="shared" si="28"/>
        <v>-0.51545530721653532</v>
      </c>
      <c r="F77" s="96">
        <f t="shared" si="28"/>
        <v>3.4342569909929885E-2</v>
      </c>
      <c r="G77" s="96">
        <f t="shared" si="28"/>
        <v>-8.7484908242893497E-2</v>
      </c>
      <c r="H77" s="96">
        <f t="shared" si="28"/>
        <v>-0.1551504928327998</v>
      </c>
      <c r="I77" s="96">
        <f t="shared" si="28"/>
        <v>-0.62676962170282402</v>
      </c>
      <c r="J77" s="96">
        <f t="shared" si="28"/>
        <v>-0.47627461987742808</v>
      </c>
      <c r="K77" s="96">
        <f t="shared" si="28"/>
        <v>-0.19710778674135032</v>
      </c>
      <c r="L77" s="96">
        <f t="shared" si="28"/>
        <v>7.2973378933097521E-2</v>
      </c>
      <c r="M77" s="96">
        <f t="shared" si="28"/>
        <v>-4.5506532952882102E-2</v>
      </c>
      <c r="N77" s="96">
        <f t="shared" si="28"/>
        <v>0.13769602906304895</v>
      </c>
      <c r="O77" s="102">
        <f t="shared" si="28"/>
        <v>0.10497008918296583</v>
      </c>
      <c r="P77" s="103">
        <f t="shared" si="28"/>
        <v>-0.11226999955980944</v>
      </c>
    </row>
    <row r="78" spans="2:16" collapsed="1">
      <c r="D78" s="44"/>
      <c r="E78" s="44"/>
      <c r="F78" s="44"/>
      <c r="G78" s="44"/>
      <c r="H78" s="44"/>
      <c r="I78" s="44"/>
      <c r="J78" s="44"/>
    </row>
    <row r="79" spans="2:16">
      <c r="J79" s="104"/>
    </row>
    <row r="81" spans="10:10">
      <c r="J81" s="104"/>
    </row>
    <row r="83" spans="10:10">
      <c r="J83" s="105"/>
    </row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3D48-3C75-42FC-A202-1AAC89E90854}">
  <sheetPr>
    <tabColor rgb="FFFFFF00"/>
  </sheetPr>
  <dimension ref="B1:Z108"/>
  <sheetViews>
    <sheetView showGridLines="0" zoomScaleNormal="10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N49" sqref="N49"/>
    </sheetView>
  </sheetViews>
  <sheetFormatPr defaultColWidth="9" defaultRowHeight="13.5" outlineLevelRow="2" outlineLevelCol="1"/>
  <cols>
    <col min="1" max="1" width="2.75" style="1" customWidth="1"/>
    <col min="2" max="2" width="30.75" style="1" customWidth="1"/>
    <col min="3" max="3" width="9.75" style="1" customWidth="1" outlineLevel="1"/>
    <col min="4" max="16" width="11.75" style="1" customWidth="1"/>
    <col min="17" max="17" width="11" style="1" customWidth="1"/>
    <col min="18" max="19" width="9" style="1"/>
    <col min="20" max="20" width="16.875" style="1" customWidth="1"/>
    <col min="21" max="21" width="9" style="1"/>
    <col min="22" max="22" width="10.25" style="1" bestFit="1" customWidth="1"/>
    <col min="23" max="16384" width="9" style="1"/>
  </cols>
  <sheetData>
    <row r="1" spans="2:26" ht="9.9499999999999993" customHeight="1"/>
    <row r="2" spans="2:26" ht="18" customHeight="1">
      <c r="B2" s="4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2:26" ht="9.9499999999999993" customHeight="1">
      <c r="C3" s="7"/>
      <c r="P3" s="7" t="s">
        <v>1</v>
      </c>
    </row>
    <row r="4" spans="2:26" ht="15" customHeight="1" thickBot="1">
      <c r="B4" s="354" t="s">
        <v>2</v>
      </c>
      <c r="C4" s="149"/>
      <c r="D4" s="8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2:26" ht="15" customHeight="1">
      <c r="B5" s="355"/>
      <c r="C5" s="11" t="s">
        <v>4</v>
      </c>
      <c r="D5" s="12">
        <v>46023</v>
      </c>
      <c r="E5" s="12">
        <f t="shared" ref="E5:O5" si="0">EDATE(D5,1)</f>
        <v>46054</v>
      </c>
      <c r="F5" s="12">
        <f t="shared" si="0"/>
        <v>46082</v>
      </c>
      <c r="G5" s="12">
        <f t="shared" si="0"/>
        <v>46113</v>
      </c>
      <c r="H5" s="12">
        <f t="shared" si="0"/>
        <v>46143</v>
      </c>
      <c r="I5" s="12">
        <f t="shared" si="0"/>
        <v>46174</v>
      </c>
      <c r="J5" s="12">
        <f t="shared" si="0"/>
        <v>46204</v>
      </c>
      <c r="K5" s="12">
        <f t="shared" si="0"/>
        <v>46235</v>
      </c>
      <c r="L5" s="148">
        <f t="shared" si="0"/>
        <v>46266</v>
      </c>
      <c r="M5" s="5">
        <f t="shared" si="0"/>
        <v>46296</v>
      </c>
      <c r="N5" s="5">
        <f t="shared" si="0"/>
        <v>46327</v>
      </c>
      <c r="O5" s="5">
        <f t="shared" si="0"/>
        <v>46357</v>
      </c>
      <c r="P5" s="13" t="s">
        <v>144</v>
      </c>
    </row>
    <row r="6" spans="2:26" ht="15" customHeight="1">
      <c r="B6" s="14" t="s">
        <v>6</v>
      </c>
      <c r="C6" s="15">
        <v>83274003</v>
      </c>
      <c r="D6" s="16">
        <f t="shared" ref="D6:P6" si="1">SUM(D7,D15)</f>
        <v>2535965</v>
      </c>
      <c r="E6" s="17">
        <f t="shared" si="1"/>
        <v>1860556</v>
      </c>
      <c r="F6" s="17">
        <f t="shared" si="1"/>
        <v>2006448</v>
      </c>
      <c r="G6" s="17">
        <f t="shared" si="1"/>
        <v>2251757</v>
      </c>
      <c r="H6" s="17">
        <f t="shared" si="1"/>
        <v>3561129</v>
      </c>
      <c r="I6" s="17">
        <f t="shared" si="1"/>
        <v>2554152</v>
      </c>
      <c r="J6" s="17">
        <f t="shared" si="1"/>
        <v>3129337</v>
      </c>
      <c r="K6" s="147">
        <f t="shared" si="1"/>
        <v>2045365</v>
      </c>
      <c r="L6" s="17">
        <f t="shared" si="1"/>
        <v>3150867.7368170284</v>
      </c>
      <c r="M6" s="17">
        <f t="shared" si="1"/>
        <v>3559319.5285416874</v>
      </c>
      <c r="N6" s="17">
        <f t="shared" si="1"/>
        <v>7010159.5185636748</v>
      </c>
      <c r="O6" s="17">
        <f t="shared" si="1"/>
        <v>6494858.7299860418</v>
      </c>
      <c r="P6" s="18">
        <f t="shared" si="1"/>
        <v>40159914.513908431</v>
      </c>
    </row>
    <row r="7" spans="2:26" ht="15" customHeight="1">
      <c r="B7" s="19" t="s">
        <v>7</v>
      </c>
      <c r="C7" s="20">
        <v>39538210</v>
      </c>
      <c r="D7" s="21">
        <v>2515438</v>
      </c>
      <c r="E7" s="22">
        <v>1580271</v>
      </c>
      <c r="F7" s="22">
        <v>1726773</v>
      </c>
      <c r="G7" s="22">
        <v>1933011</v>
      </c>
      <c r="H7" s="22">
        <v>3355444</v>
      </c>
      <c r="I7" s="22">
        <v>2403940</v>
      </c>
      <c r="J7" s="22">
        <v>2727047</v>
      </c>
      <c r="K7" s="146">
        <v>1671404</v>
      </c>
      <c r="L7" s="25">
        <f>SUM(L8:L14)</f>
        <v>2609298.7368170284</v>
      </c>
      <c r="M7" s="25">
        <f>SUM(M8:M14)</f>
        <v>3153173.5285416874</v>
      </c>
      <c r="N7" s="25">
        <f>SUM(N8:N14)</f>
        <v>6849029.5185636748</v>
      </c>
      <c r="O7" s="25">
        <f>SUM(O8:O14)</f>
        <v>6333728.7299860418</v>
      </c>
      <c r="P7" s="26">
        <f t="shared" ref="P7:P21" si="2">SUM(D7:O7)</f>
        <v>36858558.513908431</v>
      </c>
    </row>
    <row r="8" spans="2:26" s="34" customFormat="1" ht="15" customHeight="1" outlineLevel="1">
      <c r="B8" s="27" t="s">
        <v>8</v>
      </c>
      <c r="C8" s="28">
        <v>0</v>
      </c>
      <c r="D8" s="29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31225</v>
      </c>
      <c r="K8" s="143">
        <v>123523</v>
      </c>
      <c r="L8" s="32">
        <v>262474.012892753</v>
      </c>
      <c r="M8" s="32">
        <v>433903.79921149899</v>
      </c>
      <c r="N8" s="32">
        <v>2321150.7101700599</v>
      </c>
      <c r="O8" s="32">
        <v>2744570.1181608802</v>
      </c>
      <c r="P8" s="33">
        <f t="shared" si="2"/>
        <v>5916846.6404351918</v>
      </c>
      <c r="Q8" s="1"/>
      <c r="R8" s="44"/>
      <c r="S8" s="1"/>
      <c r="T8" s="1"/>
      <c r="U8" s="1"/>
    </row>
    <row r="9" spans="2:26" s="34" customFormat="1" ht="15" customHeight="1" outlineLevel="1">
      <c r="B9" s="27" t="s">
        <v>9</v>
      </c>
      <c r="C9" s="28">
        <v>0</v>
      </c>
      <c r="D9" s="29">
        <v>3442</v>
      </c>
      <c r="E9" s="30">
        <v>158015</v>
      </c>
      <c r="F9" s="30">
        <v>250524</v>
      </c>
      <c r="G9" s="30">
        <v>405640</v>
      </c>
      <c r="H9" s="30">
        <v>910065</v>
      </c>
      <c r="I9" s="30">
        <v>1041889</v>
      </c>
      <c r="J9" s="30">
        <v>1182118</v>
      </c>
      <c r="K9" s="143">
        <v>757912</v>
      </c>
      <c r="L9" s="32">
        <v>955462.17630225001</v>
      </c>
      <c r="M9" s="32">
        <v>1090250.08894486</v>
      </c>
      <c r="N9" s="32">
        <v>2080627.0666813899</v>
      </c>
      <c r="O9" s="32">
        <v>1296753.8522276301</v>
      </c>
      <c r="P9" s="33">
        <f t="shared" si="2"/>
        <v>10132698.184156131</v>
      </c>
      <c r="Q9" s="1"/>
      <c r="S9" s="1"/>
      <c r="T9" s="1"/>
      <c r="U9" s="1"/>
    </row>
    <row r="10" spans="2:26" s="34" customFormat="1" ht="15" customHeight="1" outlineLevel="1">
      <c r="B10" s="27" t="s">
        <v>10</v>
      </c>
      <c r="C10" s="28">
        <v>6662282</v>
      </c>
      <c r="D10" s="29">
        <v>1094764</v>
      </c>
      <c r="E10" s="30">
        <v>863496</v>
      </c>
      <c r="F10" s="30">
        <v>1061333</v>
      </c>
      <c r="G10" s="30">
        <v>934735</v>
      </c>
      <c r="H10" s="30">
        <v>1292392</v>
      </c>
      <c r="I10" s="30">
        <v>677199</v>
      </c>
      <c r="J10" s="30">
        <v>704919</v>
      </c>
      <c r="K10" s="143">
        <v>643623</v>
      </c>
      <c r="L10" s="32">
        <v>871576.75637146505</v>
      </c>
      <c r="M10" s="32">
        <v>990068.89531308005</v>
      </c>
      <c r="N10" s="32">
        <v>1737122.4204106899</v>
      </c>
      <c r="O10" s="32">
        <v>1564212.05660536</v>
      </c>
      <c r="P10" s="33">
        <f t="shared" si="2"/>
        <v>12435441.128700593</v>
      </c>
      <c r="Q10" s="1"/>
      <c r="S10" s="1"/>
      <c r="T10" s="1"/>
      <c r="U10" s="1"/>
    </row>
    <row r="11" spans="2:26" s="34" customFormat="1" ht="15" customHeight="1" outlineLevel="1">
      <c r="B11" s="27" t="s">
        <v>11</v>
      </c>
      <c r="C11" s="28">
        <v>18430339</v>
      </c>
      <c r="D11" s="29">
        <v>999027</v>
      </c>
      <c r="E11" s="30">
        <v>395373</v>
      </c>
      <c r="F11" s="30">
        <v>224016</v>
      </c>
      <c r="G11" s="30">
        <v>426411</v>
      </c>
      <c r="H11" s="30">
        <v>912692</v>
      </c>
      <c r="I11" s="30">
        <v>567502</v>
      </c>
      <c r="J11" s="30">
        <v>677393</v>
      </c>
      <c r="K11" s="143">
        <v>90444</v>
      </c>
      <c r="L11" s="32">
        <v>410740.85847973399</v>
      </c>
      <c r="M11" s="32">
        <v>519223.106757553</v>
      </c>
      <c r="N11" s="32">
        <v>329478.02922197402</v>
      </c>
      <c r="O11" s="32">
        <v>228707.318852753</v>
      </c>
      <c r="P11" s="33">
        <f t="shared" si="2"/>
        <v>5781007.3133120146</v>
      </c>
      <c r="Q11" s="1"/>
      <c r="S11" s="1"/>
      <c r="T11" s="1"/>
      <c r="U11" s="1"/>
    </row>
    <row r="12" spans="2:26" s="34" customFormat="1" ht="15" customHeight="1" outlineLevel="1">
      <c r="B12" s="27" t="s">
        <v>12</v>
      </c>
      <c r="C12" s="28">
        <v>12153534</v>
      </c>
      <c r="D12" s="29">
        <v>333510</v>
      </c>
      <c r="E12" s="30">
        <v>129727</v>
      </c>
      <c r="F12" s="30">
        <v>156021</v>
      </c>
      <c r="G12" s="30">
        <v>140091</v>
      </c>
      <c r="H12" s="30">
        <v>185585</v>
      </c>
      <c r="I12" s="30">
        <v>90754</v>
      </c>
      <c r="J12" s="30">
        <v>115484</v>
      </c>
      <c r="K12" s="143">
        <v>28608</v>
      </c>
      <c r="L12" s="32">
        <v>55694.6124072233</v>
      </c>
      <c r="M12" s="32">
        <v>63247.722184106402</v>
      </c>
      <c r="N12" s="32">
        <v>109498.235406874</v>
      </c>
      <c r="O12" s="32">
        <v>100261.487526592</v>
      </c>
      <c r="P12" s="33">
        <f t="shared" si="2"/>
        <v>1508482.0575247959</v>
      </c>
      <c r="Q12" s="1"/>
      <c r="S12" s="1"/>
      <c r="T12" s="1"/>
      <c r="U12" s="1"/>
    </row>
    <row r="13" spans="2:26" s="34" customFormat="1" ht="15" customHeight="1" outlineLevel="1">
      <c r="B13" s="27" t="s">
        <v>13</v>
      </c>
      <c r="C13" s="28">
        <v>2284955</v>
      </c>
      <c r="D13" s="29">
        <v>84495</v>
      </c>
      <c r="E13" s="30">
        <v>32960</v>
      </c>
      <c r="F13" s="30">
        <v>34529</v>
      </c>
      <c r="G13" s="30">
        <v>25484</v>
      </c>
      <c r="H13" s="30">
        <v>54010</v>
      </c>
      <c r="I13" s="30">
        <v>24946</v>
      </c>
      <c r="J13" s="30">
        <v>15708</v>
      </c>
      <c r="K13" s="143">
        <v>27044</v>
      </c>
      <c r="L13" s="32">
        <v>53350.320363603103</v>
      </c>
      <c r="M13" s="32">
        <v>56479.916130589401</v>
      </c>
      <c r="N13" s="32">
        <v>271153.056672687</v>
      </c>
      <c r="O13" s="32">
        <v>399223.89661282598</v>
      </c>
      <c r="P13" s="33">
        <f t="shared" si="2"/>
        <v>1079383.1897797056</v>
      </c>
      <c r="Q13" s="1"/>
      <c r="S13" s="1"/>
      <c r="T13" s="1"/>
      <c r="U13" s="1"/>
    </row>
    <row r="14" spans="2:26" s="34" customFormat="1" ht="15" customHeight="1" outlineLevel="1">
      <c r="B14" s="27" t="s">
        <v>14</v>
      </c>
      <c r="C14" s="28">
        <v>7100</v>
      </c>
      <c r="D14" s="29">
        <v>200</v>
      </c>
      <c r="E14" s="30">
        <v>700</v>
      </c>
      <c r="F14" s="30">
        <v>350</v>
      </c>
      <c r="G14" s="30">
        <v>650</v>
      </c>
      <c r="H14" s="30">
        <v>700</v>
      </c>
      <c r="I14" s="30">
        <v>1650</v>
      </c>
      <c r="J14" s="30">
        <v>200</v>
      </c>
      <c r="K14" s="143">
        <v>250</v>
      </c>
      <c r="L14" s="32"/>
      <c r="M14" s="32"/>
      <c r="N14" s="32"/>
      <c r="O14" s="32"/>
      <c r="P14" s="33">
        <f t="shared" si="2"/>
        <v>4700</v>
      </c>
      <c r="Q14" s="1"/>
      <c r="S14" s="1"/>
      <c r="T14" s="1"/>
      <c r="U14" s="1"/>
    </row>
    <row r="15" spans="2:26" ht="15" customHeight="1">
      <c r="B15" s="35" t="s">
        <v>15</v>
      </c>
      <c r="C15" s="36">
        <v>4197583</v>
      </c>
      <c r="D15" s="37">
        <v>20527</v>
      </c>
      <c r="E15" s="38">
        <v>280285</v>
      </c>
      <c r="F15" s="38">
        <v>279675</v>
      </c>
      <c r="G15" s="38">
        <v>318746</v>
      </c>
      <c r="H15" s="38">
        <v>205685</v>
      </c>
      <c r="I15" s="38">
        <v>150212</v>
      </c>
      <c r="J15" s="38">
        <v>402290</v>
      </c>
      <c r="K15" s="144">
        <v>373961</v>
      </c>
      <c r="L15" s="40">
        <v>541569</v>
      </c>
      <c r="M15" s="40">
        <v>406146</v>
      </c>
      <c r="N15" s="40">
        <v>161130</v>
      </c>
      <c r="O15" s="41">
        <v>161130</v>
      </c>
      <c r="P15" s="42">
        <f t="shared" si="2"/>
        <v>3301356</v>
      </c>
      <c r="R15" s="43"/>
      <c r="V15" s="43"/>
      <c r="W15" s="43"/>
      <c r="X15" s="43"/>
      <c r="Y15" s="43"/>
      <c r="Z15" s="43"/>
    </row>
    <row r="16" spans="2:26" s="34" customFormat="1" ht="15" customHeight="1" outlineLevel="2">
      <c r="B16" s="27" t="s">
        <v>8</v>
      </c>
      <c r="C16" s="28">
        <v>0</v>
      </c>
      <c r="D16" s="29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41930</v>
      </c>
      <c r="K16" s="143">
        <v>185692</v>
      </c>
      <c r="L16" s="32">
        <f>L15</f>
        <v>541569</v>
      </c>
      <c r="M16" s="32">
        <f>M15</f>
        <v>406146</v>
      </c>
      <c r="N16" s="32">
        <f>N15</f>
        <v>161130</v>
      </c>
      <c r="O16" s="32">
        <f>O15</f>
        <v>161130</v>
      </c>
      <c r="P16" s="33">
        <f t="shared" si="2"/>
        <v>1497597</v>
      </c>
      <c r="Q16" s="1"/>
      <c r="S16" s="1"/>
      <c r="T16" s="1"/>
      <c r="U16" s="1"/>
    </row>
    <row r="17" spans="2:26" s="34" customFormat="1" ht="15" customHeight="1" outlineLevel="2">
      <c r="B17" s="27" t="s">
        <v>9</v>
      </c>
      <c r="C17" s="28">
        <v>0</v>
      </c>
      <c r="D17" s="29">
        <v>0</v>
      </c>
      <c r="E17" s="30">
        <v>253301</v>
      </c>
      <c r="F17" s="30">
        <v>271930</v>
      </c>
      <c r="G17" s="30">
        <v>303566</v>
      </c>
      <c r="H17" s="30">
        <v>195057</v>
      </c>
      <c r="I17" s="30">
        <v>102899</v>
      </c>
      <c r="J17" s="30">
        <v>139108</v>
      </c>
      <c r="K17" s="143">
        <v>44699</v>
      </c>
      <c r="L17" s="32">
        <v>0</v>
      </c>
      <c r="M17" s="32">
        <v>0</v>
      </c>
      <c r="N17" s="32">
        <v>0</v>
      </c>
      <c r="O17" s="32">
        <v>0</v>
      </c>
      <c r="P17" s="33">
        <f t="shared" si="2"/>
        <v>1310560</v>
      </c>
      <c r="Q17" s="1"/>
      <c r="S17" s="1"/>
      <c r="T17" s="1"/>
      <c r="U17" s="1"/>
    </row>
    <row r="18" spans="2:26" s="34" customFormat="1" ht="15" customHeight="1" outlineLevel="2">
      <c r="B18" s="27" t="s">
        <v>10</v>
      </c>
      <c r="C18" s="28">
        <v>1463376</v>
      </c>
      <c r="D18" s="29">
        <v>20110</v>
      </c>
      <c r="E18" s="30">
        <v>24744</v>
      </c>
      <c r="F18" s="30">
        <v>6220</v>
      </c>
      <c r="G18" s="30">
        <v>14821</v>
      </c>
      <c r="H18" s="30">
        <v>9103</v>
      </c>
      <c r="I18" s="30">
        <v>47188</v>
      </c>
      <c r="J18" s="30">
        <v>1951</v>
      </c>
      <c r="K18" s="143">
        <v>9565</v>
      </c>
      <c r="L18" s="32">
        <v>0</v>
      </c>
      <c r="M18" s="32">
        <v>0</v>
      </c>
      <c r="N18" s="32">
        <v>0</v>
      </c>
      <c r="O18" s="32">
        <v>0</v>
      </c>
      <c r="P18" s="33">
        <f t="shared" si="2"/>
        <v>133702</v>
      </c>
      <c r="Q18" s="1"/>
      <c r="S18" s="1"/>
      <c r="T18" s="1"/>
      <c r="U18" s="1"/>
    </row>
    <row r="19" spans="2:26" s="34" customFormat="1" ht="15" customHeight="1" outlineLevel="2">
      <c r="B19" s="27" t="s">
        <v>11</v>
      </c>
      <c r="C19" s="28">
        <v>2581013</v>
      </c>
      <c r="D19" s="29">
        <v>252</v>
      </c>
      <c r="E19" s="30">
        <v>0</v>
      </c>
      <c r="F19" s="30">
        <v>480</v>
      </c>
      <c r="G19" s="30">
        <v>649</v>
      </c>
      <c r="H19" s="30">
        <v>1375</v>
      </c>
      <c r="I19" s="30">
        <v>0</v>
      </c>
      <c r="J19" s="30">
        <v>173621</v>
      </c>
      <c r="K19" s="143">
        <v>107939</v>
      </c>
      <c r="L19" s="32">
        <v>0</v>
      </c>
      <c r="M19" s="32">
        <v>0</v>
      </c>
      <c r="N19" s="32">
        <v>0</v>
      </c>
      <c r="O19" s="32">
        <v>0</v>
      </c>
      <c r="P19" s="33">
        <f t="shared" si="2"/>
        <v>284316</v>
      </c>
      <c r="Q19" s="1"/>
      <c r="S19" s="1"/>
      <c r="T19" s="1"/>
      <c r="U19" s="1"/>
    </row>
    <row r="20" spans="2:26" s="34" customFormat="1" ht="15" customHeight="1" outlineLevel="2">
      <c r="B20" s="27" t="s">
        <v>12</v>
      </c>
      <c r="C20" s="28">
        <v>-26902</v>
      </c>
      <c r="D20" s="29">
        <v>0</v>
      </c>
      <c r="E20" s="30">
        <v>275</v>
      </c>
      <c r="F20" s="30">
        <v>-825</v>
      </c>
      <c r="G20" s="30">
        <v>0</v>
      </c>
      <c r="H20" s="30">
        <v>150</v>
      </c>
      <c r="I20" s="30">
        <v>0</v>
      </c>
      <c r="J20" s="30">
        <v>45680</v>
      </c>
      <c r="K20" s="143">
        <v>23546</v>
      </c>
      <c r="L20" s="32">
        <v>0</v>
      </c>
      <c r="M20" s="32">
        <v>0</v>
      </c>
      <c r="N20" s="32">
        <v>0</v>
      </c>
      <c r="O20" s="32">
        <v>0</v>
      </c>
      <c r="P20" s="33">
        <f t="shared" si="2"/>
        <v>68826</v>
      </c>
      <c r="Q20" s="1"/>
      <c r="R20" s="44"/>
      <c r="S20" s="44"/>
      <c r="T20" s="44"/>
      <c r="U20" s="44"/>
      <c r="V20" s="44"/>
      <c r="W20" s="44"/>
    </row>
    <row r="21" spans="2:26" s="34" customFormat="1" ht="15" customHeight="1" outlineLevel="2">
      <c r="B21" s="27" t="s">
        <v>13</v>
      </c>
      <c r="C21" s="28">
        <v>180096</v>
      </c>
      <c r="D21" s="29">
        <v>165</v>
      </c>
      <c r="E21" s="30">
        <v>1965</v>
      </c>
      <c r="F21" s="30">
        <v>1870</v>
      </c>
      <c r="G21" s="30">
        <v>-290</v>
      </c>
      <c r="H21" s="30">
        <v>0</v>
      </c>
      <c r="I21" s="30">
        <v>125</v>
      </c>
      <c r="J21" s="30">
        <v>0</v>
      </c>
      <c r="K21" s="143">
        <v>2520</v>
      </c>
      <c r="L21" s="32">
        <v>0</v>
      </c>
      <c r="M21" s="32">
        <v>0</v>
      </c>
      <c r="N21" s="32">
        <v>0</v>
      </c>
      <c r="O21" s="32">
        <v>0</v>
      </c>
      <c r="P21" s="33">
        <f t="shared" si="2"/>
        <v>6355</v>
      </c>
      <c r="Q21" s="1"/>
      <c r="R21" s="44"/>
      <c r="S21" s="44"/>
      <c r="T21" s="44"/>
      <c r="U21" s="44"/>
      <c r="V21" s="44"/>
      <c r="W21" s="44"/>
    </row>
    <row r="22" spans="2:26" ht="15" customHeight="1">
      <c r="B22" s="45" t="s">
        <v>16</v>
      </c>
      <c r="C22" s="49">
        <v>22818775.59</v>
      </c>
      <c r="D22" s="50">
        <f t="shared" ref="D22:P22" si="3">D23+D31+D38+D39</f>
        <v>1175480.0300000003</v>
      </c>
      <c r="E22" s="51">
        <f t="shared" si="3"/>
        <v>1073993.2999999996</v>
      </c>
      <c r="F22" s="51">
        <f t="shared" si="3"/>
        <v>1222850.2500000002</v>
      </c>
      <c r="G22" s="51">
        <f t="shared" si="3"/>
        <v>1457858.74</v>
      </c>
      <c r="H22" s="51">
        <f t="shared" si="3"/>
        <v>1725770.89</v>
      </c>
      <c r="I22" s="51">
        <f t="shared" si="3"/>
        <v>1353474.02</v>
      </c>
      <c r="J22" s="51">
        <f t="shared" si="3"/>
        <v>1372980.1199999992</v>
      </c>
      <c r="K22" s="139">
        <f t="shared" si="3"/>
        <v>1105348.9050000007</v>
      </c>
      <c r="L22" s="51">
        <f t="shared" si="3"/>
        <v>1492230.0177420087</v>
      </c>
      <c r="M22" s="51">
        <f t="shared" si="3"/>
        <v>1602496.7567783892</v>
      </c>
      <c r="N22" s="51">
        <f t="shared" si="3"/>
        <v>2812602.1255198307</v>
      </c>
      <c r="O22" s="51">
        <f t="shared" si="3"/>
        <v>2795714.1860899995</v>
      </c>
      <c r="P22" s="52">
        <f t="shared" si="3"/>
        <v>19190799.341130223</v>
      </c>
      <c r="R22" s="44"/>
      <c r="S22" s="44"/>
      <c r="T22" s="44"/>
      <c r="U22" s="44"/>
      <c r="V22" s="44"/>
      <c r="W22" s="44"/>
    </row>
    <row r="23" spans="2:26" ht="15" customHeight="1">
      <c r="B23" s="19" t="s">
        <v>7</v>
      </c>
      <c r="C23" s="20">
        <v>20321706.57</v>
      </c>
      <c r="D23" s="21">
        <v>1170297.4900000002</v>
      </c>
      <c r="E23" s="22">
        <v>960751.37999999966</v>
      </c>
      <c r="F23" s="22">
        <v>1062849.9700000002</v>
      </c>
      <c r="G23" s="22">
        <v>1142762.19</v>
      </c>
      <c r="H23" s="22">
        <v>1641476.7</v>
      </c>
      <c r="I23" s="22">
        <v>1262347.27</v>
      </c>
      <c r="J23" s="22">
        <v>1193849.5499999993</v>
      </c>
      <c r="K23" s="146">
        <v>896665.33000000077</v>
      </c>
      <c r="L23" s="22">
        <f>SUM(L24:L30)</f>
        <v>1248484.5640498591</v>
      </c>
      <c r="M23" s="22">
        <f>SUM(M24:M30)</f>
        <v>1448152.299878753</v>
      </c>
      <c r="N23" s="22">
        <f>SUM(N24:N30)</f>
        <v>2744867.522950978</v>
      </c>
      <c r="O23" s="22">
        <f>SUM(O24:O30)</f>
        <v>2688149.7368793613</v>
      </c>
      <c r="P23" s="26">
        <f t="shared" ref="P23:P39" si="4">SUM(D23:O23)</f>
        <v>17460654.003758948</v>
      </c>
      <c r="R23" s="135"/>
      <c r="S23" s="135"/>
      <c r="T23" s="135"/>
      <c r="U23" s="135"/>
      <c r="V23" s="43"/>
      <c r="W23" s="44"/>
      <c r="X23" s="44"/>
      <c r="Y23" s="44"/>
      <c r="Z23" s="44"/>
    </row>
    <row r="24" spans="2:26" ht="15" customHeight="1" outlineLevel="1">
      <c r="B24" s="27" t="s">
        <v>8</v>
      </c>
      <c r="C24" s="28"/>
      <c r="D24" s="29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29820.580000000005</v>
      </c>
      <c r="K24" s="143">
        <v>122500.43999999999</v>
      </c>
      <c r="L24" s="32">
        <v>243496.43294691</v>
      </c>
      <c r="M24" s="32">
        <v>403833.09416459303</v>
      </c>
      <c r="N24" s="32">
        <v>1264324.5235389301</v>
      </c>
      <c r="O24" s="32">
        <v>1429090.24878732</v>
      </c>
      <c r="P24" s="33">
        <f t="shared" si="4"/>
        <v>3493065.3194377534</v>
      </c>
      <c r="R24" s="135"/>
      <c r="S24" s="135"/>
      <c r="T24" s="135"/>
      <c r="U24" s="135"/>
      <c r="V24" s="44"/>
      <c r="W24" s="44"/>
      <c r="X24" s="44"/>
      <c r="Y24" s="44"/>
      <c r="Z24" s="44"/>
    </row>
    <row r="25" spans="2:26" ht="15" customHeight="1" outlineLevel="1">
      <c r="B25" s="27" t="s">
        <v>9</v>
      </c>
      <c r="C25" s="28"/>
      <c r="D25" s="29">
        <v>3371.52</v>
      </c>
      <c r="E25" s="30">
        <v>157115.5</v>
      </c>
      <c r="F25" s="30">
        <v>263236.45</v>
      </c>
      <c r="G25" s="30">
        <v>414959</v>
      </c>
      <c r="H25" s="30">
        <v>664649.70000000007</v>
      </c>
      <c r="I25" s="30">
        <v>710656.53</v>
      </c>
      <c r="J25" s="30">
        <v>651246.64</v>
      </c>
      <c r="K25" s="143">
        <v>434038.19000000006</v>
      </c>
      <c r="L25" s="32">
        <v>499658.99279393401</v>
      </c>
      <c r="M25" s="32">
        <v>511272.83363597799</v>
      </c>
      <c r="N25" s="32">
        <v>709389.90224992298</v>
      </c>
      <c r="O25" s="32">
        <v>446018.55220764701</v>
      </c>
      <c r="P25" s="33">
        <f t="shared" si="4"/>
        <v>5465613.810887482</v>
      </c>
      <c r="R25" s="135"/>
      <c r="S25" s="135"/>
      <c r="T25" s="135"/>
      <c r="U25" s="135"/>
      <c r="V25" s="44"/>
      <c r="W25" s="44"/>
      <c r="X25" s="44"/>
      <c r="Y25" s="44"/>
      <c r="Z25" s="44"/>
    </row>
    <row r="26" spans="2:26" ht="15" customHeight="1" outlineLevel="1">
      <c r="B26" s="27" t="s">
        <v>10</v>
      </c>
      <c r="C26" s="28"/>
      <c r="D26" s="29">
        <v>642208.79</v>
      </c>
      <c r="E26" s="30">
        <v>581822.38000000012</v>
      </c>
      <c r="F26" s="30">
        <v>601976.61000000022</v>
      </c>
      <c r="G26" s="30">
        <v>490303.55000000005</v>
      </c>
      <c r="H26" s="30">
        <v>573679.06999999995</v>
      </c>
      <c r="I26" s="30">
        <v>315540.69999999995</v>
      </c>
      <c r="J26" s="30">
        <v>292525.26</v>
      </c>
      <c r="K26" s="143">
        <v>267289.9499999999</v>
      </c>
      <c r="L26" s="32">
        <v>310174.01404482499</v>
      </c>
      <c r="M26" s="32">
        <v>323630.628425673</v>
      </c>
      <c r="N26" s="32">
        <v>508762.98930022301</v>
      </c>
      <c r="O26" s="32">
        <v>508176.32777491701</v>
      </c>
      <c r="P26" s="33">
        <f t="shared" si="4"/>
        <v>5416090.2695456371</v>
      </c>
      <c r="R26" s="135"/>
      <c r="S26" s="135"/>
      <c r="T26" s="135"/>
      <c r="U26" s="135"/>
      <c r="V26" s="44"/>
      <c r="W26" s="44"/>
      <c r="X26" s="44"/>
      <c r="Y26" s="44"/>
      <c r="Z26" s="44"/>
    </row>
    <row r="27" spans="2:26" ht="15" customHeight="1" outlineLevel="1">
      <c r="B27" s="27" t="s">
        <v>11</v>
      </c>
      <c r="C27" s="28"/>
      <c r="D27" s="29">
        <v>352267.57999999996</v>
      </c>
      <c r="E27" s="30">
        <v>132178.25</v>
      </c>
      <c r="F27" s="30">
        <v>107209.88000000002</v>
      </c>
      <c r="G27" s="30">
        <v>160756.08000000002</v>
      </c>
      <c r="H27" s="30">
        <v>287018.09999999998</v>
      </c>
      <c r="I27" s="30">
        <v>177604.63999999993</v>
      </c>
      <c r="J27" s="30">
        <v>173251.40999999997</v>
      </c>
      <c r="K27" s="143">
        <v>32386.510000000009</v>
      </c>
      <c r="L27" s="32">
        <v>131696.1005883</v>
      </c>
      <c r="M27" s="32">
        <v>145709.90802411499</v>
      </c>
      <c r="N27" s="32">
        <v>75987.725745175703</v>
      </c>
      <c r="O27" s="32">
        <v>48172.766860030497</v>
      </c>
      <c r="P27" s="33">
        <f t="shared" si="4"/>
        <v>1824238.9512176213</v>
      </c>
      <c r="R27" s="135"/>
      <c r="S27" s="135"/>
      <c r="T27" s="135"/>
      <c r="U27" s="135"/>
      <c r="V27" s="44"/>
      <c r="W27" s="44"/>
      <c r="X27" s="44"/>
      <c r="Y27" s="44"/>
      <c r="Z27" s="44"/>
    </row>
    <row r="28" spans="2:26" ht="15" customHeight="1" outlineLevel="1">
      <c r="B28" s="27" t="s">
        <v>12</v>
      </c>
      <c r="C28" s="28"/>
      <c r="D28" s="29">
        <v>108628.95000000027</v>
      </c>
      <c r="E28" s="30">
        <v>48243.059999999648</v>
      </c>
      <c r="F28" s="30">
        <v>52679.459999999941</v>
      </c>
      <c r="G28" s="30">
        <v>47750.429999999971</v>
      </c>
      <c r="H28" s="30">
        <v>58223.639999999992</v>
      </c>
      <c r="I28" s="30">
        <v>27620.660000000098</v>
      </c>
      <c r="J28" s="30">
        <v>29350.149999999478</v>
      </c>
      <c r="K28" s="143">
        <v>9108.7400000009548</v>
      </c>
      <c r="L28" s="32">
        <v>15364.855731617699</v>
      </c>
      <c r="M28" s="32">
        <v>15614.4001244835</v>
      </c>
      <c r="N28" s="32">
        <v>23309.642380571298</v>
      </c>
      <c r="O28" s="32">
        <v>24551.7199398628</v>
      </c>
      <c r="P28" s="33">
        <f t="shared" si="4"/>
        <v>460445.70817653567</v>
      </c>
      <c r="R28" s="135"/>
      <c r="S28" s="135"/>
      <c r="T28" s="135"/>
      <c r="U28" s="135"/>
      <c r="V28" s="44"/>
      <c r="W28" s="44"/>
      <c r="X28" s="44"/>
      <c r="Y28" s="44"/>
      <c r="Z28" s="44"/>
    </row>
    <row r="29" spans="2:26" ht="15" customHeight="1" outlineLevel="1">
      <c r="B29" s="27" t="s">
        <v>13</v>
      </c>
      <c r="C29" s="28"/>
      <c r="D29" s="29">
        <v>63420.65</v>
      </c>
      <c r="E29" s="30">
        <v>39892.19</v>
      </c>
      <c r="F29" s="30">
        <v>37037.570000000007</v>
      </c>
      <c r="G29" s="30">
        <v>27443.130000000005</v>
      </c>
      <c r="H29" s="30">
        <v>56506.189999999988</v>
      </c>
      <c r="I29" s="30">
        <v>27474.74</v>
      </c>
      <c r="J29" s="30">
        <v>17255.510000000002</v>
      </c>
      <c r="K29" s="143">
        <v>30841.5</v>
      </c>
      <c r="L29" s="32">
        <v>48094.167944272398</v>
      </c>
      <c r="M29" s="32">
        <v>48091.435503910201</v>
      </c>
      <c r="N29" s="32">
        <v>163092.739736155</v>
      </c>
      <c r="O29" s="32">
        <v>232140.12130958401</v>
      </c>
      <c r="P29" s="33">
        <f t="shared" si="4"/>
        <v>791289.94449392159</v>
      </c>
      <c r="R29" s="135"/>
      <c r="S29" s="135"/>
      <c r="T29" s="135"/>
      <c r="U29" s="135"/>
      <c r="V29" s="44"/>
      <c r="W29" s="44"/>
      <c r="X29" s="44"/>
      <c r="Y29" s="44"/>
      <c r="Z29" s="44"/>
    </row>
    <row r="30" spans="2:26" ht="15" customHeight="1" outlineLevel="1">
      <c r="B30" s="27" t="s">
        <v>14</v>
      </c>
      <c r="C30" s="28"/>
      <c r="D30" s="29">
        <v>400</v>
      </c>
      <c r="E30" s="30">
        <v>1500</v>
      </c>
      <c r="F30" s="30">
        <v>710</v>
      </c>
      <c r="G30" s="30">
        <v>1550</v>
      </c>
      <c r="H30" s="30">
        <v>1400</v>
      </c>
      <c r="I30" s="30">
        <v>3450</v>
      </c>
      <c r="J30" s="30">
        <v>400</v>
      </c>
      <c r="K30" s="143">
        <v>500</v>
      </c>
      <c r="L30" s="32"/>
      <c r="M30" s="32"/>
      <c r="N30" s="32"/>
      <c r="O30" s="32"/>
      <c r="P30" s="33">
        <f t="shared" si="4"/>
        <v>9910</v>
      </c>
      <c r="R30" s="44"/>
      <c r="S30" s="44"/>
      <c r="T30" s="131"/>
      <c r="U30" s="131"/>
      <c r="V30" s="145"/>
      <c r="W30" s="44"/>
      <c r="X30" s="44"/>
      <c r="Y30" s="44"/>
      <c r="Z30" s="44"/>
    </row>
    <row r="31" spans="2:26" ht="15" customHeight="1">
      <c r="B31" s="35" t="s">
        <v>15</v>
      </c>
      <c r="C31" s="36">
        <v>1514946.3900000001</v>
      </c>
      <c r="D31" s="37">
        <v>5620</v>
      </c>
      <c r="E31" s="38">
        <v>108481.15</v>
      </c>
      <c r="F31" s="38">
        <v>112785.2</v>
      </c>
      <c r="G31" s="38">
        <v>132735.1</v>
      </c>
      <c r="H31" s="38">
        <v>79396.899999999994</v>
      </c>
      <c r="I31" s="38">
        <v>47143.1</v>
      </c>
      <c r="J31" s="38">
        <v>121130.19999999998</v>
      </c>
      <c r="K31" s="144">
        <v>129735.85500000001</v>
      </c>
      <c r="L31" s="38">
        <v>200000</v>
      </c>
      <c r="M31" s="38">
        <v>150000</v>
      </c>
      <c r="N31" s="38">
        <v>59500</v>
      </c>
      <c r="O31" s="38">
        <v>59500</v>
      </c>
      <c r="P31" s="42">
        <f t="shared" si="4"/>
        <v>1206027.5049999999</v>
      </c>
      <c r="T31" s="131"/>
      <c r="U31" s="127"/>
      <c r="V31" s="127"/>
    </row>
    <row r="32" spans="2:26" ht="15" customHeight="1" outlineLevel="1">
      <c r="B32" s="27" t="s">
        <v>8</v>
      </c>
      <c r="C32" s="28"/>
      <c r="D32" s="29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11912.8</v>
      </c>
      <c r="K32" s="143">
        <v>75291.8</v>
      </c>
      <c r="L32" s="32">
        <v>200000</v>
      </c>
      <c r="M32" s="32">
        <v>150000</v>
      </c>
      <c r="N32" s="32">
        <v>59500</v>
      </c>
      <c r="O32" s="32">
        <v>59500</v>
      </c>
      <c r="P32" s="33">
        <f t="shared" si="4"/>
        <v>556204.6</v>
      </c>
    </row>
    <row r="33" spans="2:19" ht="15" customHeight="1" outlineLevel="1">
      <c r="B33" s="27" t="s">
        <v>9</v>
      </c>
      <c r="C33" s="28"/>
      <c r="D33" s="29">
        <v>0</v>
      </c>
      <c r="E33" s="30">
        <v>100066.05</v>
      </c>
      <c r="F33" s="30">
        <v>110562.1</v>
      </c>
      <c r="G33" s="30">
        <v>127696.6</v>
      </c>
      <c r="H33" s="30">
        <v>76099.899999999994</v>
      </c>
      <c r="I33" s="30">
        <v>34944.1</v>
      </c>
      <c r="J33" s="30">
        <v>41001.549999999996</v>
      </c>
      <c r="K33" s="143">
        <v>11801.455000000002</v>
      </c>
      <c r="L33" s="32">
        <v>0</v>
      </c>
      <c r="M33" s="32">
        <v>0</v>
      </c>
      <c r="N33" s="32">
        <v>0</v>
      </c>
      <c r="O33" s="32">
        <v>0</v>
      </c>
      <c r="P33" s="33">
        <f t="shared" si="4"/>
        <v>502171.755</v>
      </c>
    </row>
    <row r="34" spans="2:19" ht="15" customHeight="1" outlineLevel="1">
      <c r="B34" s="27" t="s">
        <v>10</v>
      </c>
      <c r="C34" s="28"/>
      <c r="D34" s="29">
        <v>5579.8</v>
      </c>
      <c r="E34" s="30">
        <v>7665.9</v>
      </c>
      <c r="F34" s="30">
        <v>1921.8999999999996</v>
      </c>
      <c r="G34" s="30">
        <v>5158.5</v>
      </c>
      <c r="H34" s="30">
        <v>2847</v>
      </c>
      <c r="I34" s="30">
        <v>12146</v>
      </c>
      <c r="J34" s="30">
        <v>516.29999999999995</v>
      </c>
      <c r="K34" s="143">
        <v>2232.7000000000003</v>
      </c>
      <c r="L34" s="32">
        <v>0</v>
      </c>
      <c r="M34" s="32">
        <v>0</v>
      </c>
      <c r="N34" s="32">
        <v>0</v>
      </c>
      <c r="O34" s="32">
        <v>0</v>
      </c>
      <c r="P34" s="33">
        <f t="shared" si="4"/>
        <v>38068.1</v>
      </c>
    </row>
    <row r="35" spans="2:19" ht="15" customHeight="1" outlineLevel="1">
      <c r="B35" s="27" t="s">
        <v>11</v>
      </c>
      <c r="C35" s="28"/>
      <c r="D35" s="29">
        <v>0</v>
      </c>
      <c r="E35" s="30">
        <v>0</v>
      </c>
      <c r="F35" s="30">
        <v>0</v>
      </c>
      <c r="G35" s="30">
        <v>0</v>
      </c>
      <c r="H35" s="30">
        <v>406</v>
      </c>
      <c r="I35" s="30">
        <v>0</v>
      </c>
      <c r="J35" s="30">
        <v>55635.200000000004</v>
      </c>
      <c r="K35" s="143">
        <v>34354.649999999994</v>
      </c>
      <c r="L35" s="32">
        <v>0</v>
      </c>
      <c r="M35" s="32">
        <v>0</v>
      </c>
      <c r="N35" s="32">
        <v>0</v>
      </c>
      <c r="O35" s="32">
        <v>0</v>
      </c>
      <c r="P35" s="33">
        <f t="shared" si="4"/>
        <v>90395.85</v>
      </c>
    </row>
    <row r="36" spans="2:19" ht="15" customHeight="1" outlineLevel="1">
      <c r="B36" s="27" t="s">
        <v>12</v>
      </c>
      <c r="C36" s="28"/>
      <c r="D36" s="29">
        <v>0</v>
      </c>
      <c r="E36" s="30">
        <v>81.19999999999709</v>
      </c>
      <c r="F36" s="30">
        <v>-382.80000000000291</v>
      </c>
      <c r="G36" s="30">
        <v>0</v>
      </c>
      <c r="H36" s="30">
        <v>44</v>
      </c>
      <c r="I36" s="30">
        <v>0</v>
      </c>
      <c r="J36" s="30">
        <v>12064.349999999991</v>
      </c>
      <c r="K36" s="143">
        <v>6055.25</v>
      </c>
      <c r="L36" s="32">
        <v>0</v>
      </c>
      <c r="M36" s="32">
        <v>0</v>
      </c>
      <c r="N36" s="32">
        <v>0</v>
      </c>
      <c r="O36" s="32">
        <v>0</v>
      </c>
      <c r="P36" s="33">
        <f t="shared" si="4"/>
        <v>17861.999999999985</v>
      </c>
    </row>
    <row r="37" spans="2:19" ht="15" customHeight="1" outlineLevel="1">
      <c r="B37" s="27" t="s">
        <v>13</v>
      </c>
      <c r="C37" s="28"/>
      <c r="D37" s="29">
        <v>40.200000000000003</v>
      </c>
      <c r="E37" s="30">
        <v>668</v>
      </c>
      <c r="F37" s="30">
        <v>684</v>
      </c>
      <c r="G37" s="30">
        <v>-120</v>
      </c>
      <c r="H37" s="30">
        <v>0</v>
      </c>
      <c r="I37" s="30">
        <v>53</v>
      </c>
      <c r="J37" s="30">
        <v>0</v>
      </c>
      <c r="K37" s="143">
        <v>0</v>
      </c>
      <c r="L37" s="32"/>
      <c r="M37" s="32"/>
      <c r="N37" s="32"/>
      <c r="O37" s="32"/>
      <c r="P37" s="33">
        <f t="shared" si="4"/>
        <v>1325.2</v>
      </c>
    </row>
    <row r="38" spans="2:19" ht="15" customHeight="1">
      <c r="B38" s="54" t="s">
        <v>17</v>
      </c>
      <c r="C38" s="58">
        <v>832330.89</v>
      </c>
      <c r="D38" s="59">
        <v>-6609.98</v>
      </c>
      <c r="E38" s="60">
        <v>0</v>
      </c>
      <c r="F38" s="60">
        <v>40000</v>
      </c>
      <c r="G38" s="60">
        <v>-7029.81</v>
      </c>
      <c r="H38" s="60">
        <v>0</v>
      </c>
      <c r="I38" s="60">
        <v>40000</v>
      </c>
      <c r="J38" s="60">
        <v>26236.74</v>
      </c>
      <c r="K38" s="137">
        <v>0</v>
      </c>
      <c r="L38" s="60">
        <v>40000</v>
      </c>
      <c r="M38" s="60">
        <v>0</v>
      </c>
      <c r="N38" s="60">
        <v>0</v>
      </c>
      <c r="O38" s="60">
        <v>40000</v>
      </c>
      <c r="P38" s="61">
        <f t="shared" si="4"/>
        <v>172596.95</v>
      </c>
    </row>
    <row r="39" spans="2:19" ht="15" customHeight="1">
      <c r="B39" s="62" t="s">
        <v>18</v>
      </c>
      <c r="C39" s="63">
        <v>149791.74</v>
      </c>
      <c r="D39" s="64">
        <v>6172.52</v>
      </c>
      <c r="E39" s="65">
        <v>4760.7700000000004</v>
      </c>
      <c r="F39" s="65">
        <v>7215.08</v>
      </c>
      <c r="G39" s="65">
        <v>189391.26</v>
      </c>
      <c r="H39" s="65">
        <v>4897.29</v>
      </c>
      <c r="I39" s="65">
        <v>3983.65</v>
      </c>
      <c r="J39" s="65">
        <v>31763.63</v>
      </c>
      <c r="K39" s="141">
        <f>822947.72-744000</f>
        <v>78947.719999999972</v>
      </c>
      <c r="L39" s="65">
        <v>3745.453692149571</v>
      </c>
      <c r="M39" s="65">
        <v>4344.4568996362541</v>
      </c>
      <c r="N39" s="65">
        <v>8234.6025688529298</v>
      </c>
      <c r="O39" s="65">
        <v>8064.4492106381022</v>
      </c>
      <c r="P39" s="66">
        <f t="shared" si="4"/>
        <v>351520.88237127685</v>
      </c>
    </row>
    <row r="40" spans="2:19" ht="15" customHeight="1">
      <c r="B40" s="67" t="s">
        <v>19</v>
      </c>
      <c r="C40" s="69">
        <v>0.50071437003554498</v>
      </c>
      <c r="D40" s="68">
        <f t="shared" ref="D40:P40" si="5">IFERROR(((D7+D15)-(D23+D31))/(D7+D15),0)</f>
        <v>0.53630373841910273</v>
      </c>
      <c r="E40" s="70">
        <f t="shared" si="5"/>
        <v>0.42531558845850403</v>
      </c>
      <c r="F40" s="70">
        <f t="shared" si="5"/>
        <v>0.41407144864955375</v>
      </c>
      <c r="G40" s="70">
        <f t="shared" si="5"/>
        <v>0.43355464643831459</v>
      </c>
      <c r="H40" s="70">
        <f t="shared" si="5"/>
        <v>0.51676179099381125</v>
      </c>
      <c r="I40" s="70">
        <f t="shared" si="5"/>
        <v>0.48730914604925624</v>
      </c>
      <c r="J40" s="70">
        <f t="shared" si="5"/>
        <v>0.57978966471172666</v>
      </c>
      <c r="K40" s="142">
        <f t="shared" si="5"/>
        <v>0.49818189662969653</v>
      </c>
      <c r="L40" s="70">
        <f t="shared" si="5"/>
        <v>0.54029026762224486</v>
      </c>
      <c r="M40" s="70">
        <f t="shared" si="5"/>
        <v>0.55099499017624232</v>
      </c>
      <c r="N40" s="70">
        <f t="shared" si="5"/>
        <v>0.59995667494802307</v>
      </c>
      <c r="O40" s="70">
        <f t="shared" si="5"/>
        <v>0.57695003831357139</v>
      </c>
      <c r="P40" s="69">
        <f t="shared" si="5"/>
        <v>0.53519120409745424</v>
      </c>
    </row>
    <row r="41" spans="2:19" ht="15" customHeight="1">
      <c r="B41" s="45" t="s">
        <v>20</v>
      </c>
      <c r="C41" s="49">
        <v>9071015.4299999997</v>
      </c>
      <c r="D41" s="50">
        <f t="shared" ref="D41:P41" si="6">SUM(D42:D44)</f>
        <v>539013.98900000029</v>
      </c>
      <c r="E41" s="51">
        <f t="shared" si="6"/>
        <v>385631.09639999998</v>
      </c>
      <c r="F41" s="51">
        <f t="shared" si="6"/>
        <v>418311.54980000004</v>
      </c>
      <c r="G41" s="51">
        <f t="shared" si="6"/>
        <v>484188.29810000013</v>
      </c>
      <c r="H41" s="51">
        <f t="shared" si="6"/>
        <v>734664.06409999938</v>
      </c>
      <c r="I41" s="51">
        <f t="shared" si="6"/>
        <v>521061.78950000007</v>
      </c>
      <c r="J41" s="51">
        <f t="shared" si="6"/>
        <v>634531.78689999972</v>
      </c>
      <c r="K41" s="139">
        <f t="shared" si="6"/>
        <v>480212.06069999991</v>
      </c>
      <c r="L41" s="51">
        <f t="shared" si="6"/>
        <v>623134.37634510128</v>
      </c>
      <c r="M41" s="51">
        <f t="shared" si="6"/>
        <v>701382.85822907614</v>
      </c>
      <c r="N41" s="51">
        <f t="shared" si="6"/>
        <v>1333493.5720040328</v>
      </c>
      <c r="O41" s="51">
        <f t="shared" si="6"/>
        <v>1213704.2374957125</v>
      </c>
      <c r="P41" s="52">
        <f t="shared" si="6"/>
        <v>8069329.6785739232</v>
      </c>
      <c r="R41" s="44"/>
    </row>
    <row r="42" spans="2:19" ht="15" customHeight="1">
      <c r="B42" s="71" t="s">
        <v>7</v>
      </c>
      <c r="C42" s="75">
        <v>8348947.9700000007</v>
      </c>
      <c r="D42" s="76">
        <v>534595.81900000025</v>
      </c>
      <c r="E42" s="77">
        <v>335908.26639999996</v>
      </c>
      <c r="F42" s="77">
        <v>368801.77980000002</v>
      </c>
      <c r="G42" s="77">
        <v>421712.34810000012</v>
      </c>
      <c r="H42" s="77">
        <v>693942.65409999934</v>
      </c>
      <c r="I42" s="77">
        <v>491355.44950000005</v>
      </c>
      <c r="J42" s="77">
        <v>554250.94809999969</v>
      </c>
      <c r="K42" s="138">
        <v>337432.39479999995</v>
      </c>
      <c r="L42" s="77">
        <v>520951.546156422</v>
      </c>
      <c r="M42" s="77">
        <v>624751.53747435915</v>
      </c>
      <c r="N42" s="77">
        <v>1303091.68521158</v>
      </c>
      <c r="O42" s="77">
        <v>1183302.3507032597</v>
      </c>
      <c r="P42" s="78">
        <f>SUM(D42:O42)</f>
        <v>7370096.7793456214</v>
      </c>
      <c r="R42" s="44"/>
    </row>
    <row r="43" spans="2:19" ht="15" customHeight="1">
      <c r="B43" s="54" t="s">
        <v>21</v>
      </c>
      <c r="C43" s="58">
        <v>828369.69000000006</v>
      </c>
      <c r="D43" s="59">
        <v>4418.17</v>
      </c>
      <c r="E43" s="60">
        <v>49722.83</v>
      </c>
      <c r="F43" s="60">
        <v>49509.770000000004</v>
      </c>
      <c r="G43" s="60">
        <v>62475.95</v>
      </c>
      <c r="H43" s="60">
        <v>40721.409999999996</v>
      </c>
      <c r="I43" s="60">
        <v>29706.34</v>
      </c>
      <c r="J43" s="60">
        <v>80280.838800000027</v>
      </c>
      <c r="K43" s="137">
        <v>70359.425899999987</v>
      </c>
      <c r="L43" s="60">
        <v>102182.83018867925</v>
      </c>
      <c r="M43" s="60">
        <v>76631.320754716988</v>
      </c>
      <c r="N43" s="60">
        <v>30401.886792452831</v>
      </c>
      <c r="O43" s="60">
        <v>30401.886792452831</v>
      </c>
      <c r="P43" s="61">
        <f>SUM(D43:O43)</f>
        <v>626812.65922830184</v>
      </c>
    </row>
    <row r="44" spans="2:19" ht="15" customHeight="1">
      <c r="B44" s="62" t="s">
        <v>18</v>
      </c>
      <c r="C44" s="63">
        <v>-106302.23</v>
      </c>
      <c r="D44" s="64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141">
        <v>72420.240000000005</v>
      </c>
      <c r="L44" s="65">
        <v>0</v>
      </c>
      <c r="M44" s="65">
        <v>0</v>
      </c>
      <c r="N44" s="65">
        <v>0</v>
      </c>
      <c r="O44" s="65">
        <v>0</v>
      </c>
      <c r="P44" s="66">
        <f>SUM(D44:O44)</f>
        <v>72420.240000000005</v>
      </c>
    </row>
    <row r="45" spans="2:19" ht="15" customHeight="1">
      <c r="B45" s="67" t="s">
        <v>22</v>
      </c>
      <c r="C45" s="79">
        <v>4.7656400944499939</v>
      </c>
      <c r="D45" s="80">
        <f t="shared" ref="D45:P45" si="7">IFERROR((D15+D7)/(D42+D43),0)</f>
        <v>4.7048222342147756</v>
      </c>
      <c r="E45" s="81">
        <f t="shared" si="7"/>
        <v>4.8247042766232688</v>
      </c>
      <c r="F45" s="81">
        <f t="shared" si="7"/>
        <v>4.796539806178691</v>
      </c>
      <c r="G45" s="81">
        <f t="shared" si="7"/>
        <v>4.6505812074271597</v>
      </c>
      <c r="H45" s="81">
        <f t="shared" si="7"/>
        <v>4.8472889501714818</v>
      </c>
      <c r="I45" s="81">
        <f t="shared" si="7"/>
        <v>4.9018217253099881</v>
      </c>
      <c r="J45" s="81">
        <f t="shared" si="7"/>
        <v>4.9317261398177585</v>
      </c>
      <c r="K45" s="140">
        <f t="shared" si="7"/>
        <v>5.0157087419973365</v>
      </c>
      <c r="L45" s="81">
        <f t="shared" si="7"/>
        <v>5.056481966695463</v>
      </c>
      <c r="M45" s="81">
        <f t="shared" si="7"/>
        <v>5.0747170204995102</v>
      </c>
      <c r="N45" s="81">
        <f t="shared" si="7"/>
        <v>5.2569878593629058</v>
      </c>
      <c r="O45" s="81">
        <f t="shared" si="7"/>
        <v>5.3512697157481792</v>
      </c>
      <c r="P45" s="82">
        <f t="shared" si="7"/>
        <v>5.0219293868945059</v>
      </c>
    </row>
    <row r="46" spans="2:19" ht="15" customHeight="1">
      <c r="B46" s="83" t="s">
        <v>23</v>
      </c>
      <c r="C46" s="86">
        <v>13747760.16</v>
      </c>
      <c r="D46" s="87">
        <f t="shared" ref="D46:O46" si="8">D22-D41</f>
        <v>636466.04099999997</v>
      </c>
      <c r="E46" s="88">
        <f t="shared" si="8"/>
        <v>688362.20359999966</v>
      </c>
      <c r="F46" s="88">
        <f t="shared" si="8"/>
        <v>804538.7002000002</v>
      </c>
      <c r="G46" s="88">
        <f t="shared" si="8"/>
        <v>973670.44189999986</v>
      </c>
      <c r="H46" s="88">
        <f t="shared" si="8"/>
        <v>991106.82590000052</v>
      </c>
      <c r="I46" s="88">
        <f t="shared" si="8"/>
        <v>832412.23049999995</v>
      </c>
      <c r="J46" s="88">
        <f t="shared" si="8"/>
        <v>738448.33309999947</v>
      </c>
      <c r="K46" s="136">
        <f t="shared" si="8"/>
        <v>625136.84430000081</v>
      </c>
      <c r="L46" s="88">
        <f t="shared" si="8"/>
        <v>869095.64139690739</v>
      </c>
      <c r="M46" s="88">
        <f t="shared" si="8"/>
        <v>901113.89854931307</v>
      </c>
      <c r="N46" s="88">
        <f t="shared" si="8"/>
        <v>1479108.5535157979</v>
      </c>
      <c r="O46" s="88">
        <f t="shared" si="8"/>
        <v>1582009.948594287</v>
      </c>
      <c r="P46" s="89">
        <f>SUM(D46:O46)</f>
        <v>11121469.662556306</v>
      </c>
    </row>
    <row r="47" spans="2:19" ht="15" customHeight="1">
      <c r="B47" s="90" t="s">
        <v>24</v>
      </c>
      <c r="C47" s="93">
        <v>0.60247580356698716</v>
      </c>
      <c r="D47" s="92">
        <f t="shared" ref="D47:P47" si="9">IFERROR(D46/D$22,0)</f>
        <v>0.54145202364688394</v>
      </c>
      <c r="E47" s="94">
        <f t="shared" si="9"/>
        <v>0.64093714886303288</v>
      </c>
      <c r="F47" s="94">
        <f t="shared" si="9"/>
        <v>0.65792086986938925</v>
      </c>
      <c r="G47" s="94">
        <f t="shared" si="9"/>
        <v>0.66787708245313249</v>
      </c>
      <c r="H47" s="94">
        <f t="shared" si="9"/>
        <v>0.57429803205221552</v>
      </c>
      <c r="I47" s="94">
        <f t="shared" si="9"/>
        <v>0.61501899423233841</v>
      </c>
      <c r="J47" s="94">
        <f t="shared" si="9"/>
        <v>0.53784342711386079</v>
      </c>
      <c r="K47" s="91">
        <f t="shared" si="9"/>
        <v>0.56555612573751124</v>
      </c>
      <c r="L47" s="94">
        <f t="shared" si="9"/>
        <v>0.58241399185361054</v>
      </c>
      <c r="M47" s="94">
        <f t="shared" si="9"/>
        <v>0.56231870344679202</v>
      </c>
      <c r="N47" s="94">
        <f t="shared" si="9"/>
        <v>0.52588616786401177</v>
      </c>
      <c r="O47" s="94">
        <f t="shared" si="9"/>
        <v>0.56586970029537886</v>
      </c>
      <c r="P47" s="93">
        <f t="shared" si="9"/>
        <v>0.57952091858521393</v>
      </c>
      <c r="R47" s="3"/>
      <c r="S47" s="3"/>
    </row>
    <row r="48" spans="2:19" ht="15" customHeight="1">
      <c r="B48" s="45" t="s">
        <v>25</v>
      </c>
      <c r="C48" s="49">
        <v>8570185.5200000014</v>
      </c>
      <c r="D48" s="50">
        <f t="shared" ref="D48:P48" si="10">SUM(D49:D53)</f>
        <v>694998.08000000007</v>
      </c>
      <c r="E48" s="51">
        <f t="shared" si="10"/>
        <v>457133.12</v>
      </c>
      <c r="F48" s="51">
        <f t="shared" si="10"/>
        <v>436143.51</v>
      </c>
      <c r="G48" s="51">
        <f t="shared" si="10"/>
        <v>539567.24000000011</v>
      </c>
      <c r="H48" s="51">
        <f t="shared" si="10"/>
        <v>687944.12</v>
      </c>
      <c r="I48" s="51">
        <f t="shared" si="10"/>
        <v>726722.77</v>
      </c>
      <c r="J48" s="51">
        <f t="shared" si="10"/>
        <v>602472.95000000007</v>
      </c>
      <c r="K48" s="139">
        <f t="shared" si="10"/>
        <v>475257.73</v>
      </c>
      <c r="L48" s="51">
        <f t="shared" si="10"/>
        <v>663631.97002070153</v>
      </c>
      <c r="M48" s="51">
        <f t="shared" si="10"/>
        <v>769765.35500055028</v>
      </c>
      <c r="N48" s="51">
        <f t="shared" si="10"/>
        <v>1459034.3318245916</v>
      </c>
      <c r="O48" s="51">
        <f t="shared" si="10"/>
        <v>1428885.9926382275</v>
      </c>
      <c r="P48" s="52">
        <f t="shared" si="10"/>
        <v>8941557.1694840714</v>
      </c>
      <c r="R48" s="3"/>
      <c r="S48" s="3"/>
    </row>
    <row r="49" spans="2:19" ht="15" customHeight="1">
      <c r="B49" s="71" t="s">
        <v>26</v>
      </c>
      <c r="C49" s="75">
        <v>3994149.0400000005</v>
      </c>
      <c r="D49" s="76">
        <v>297887.73000000004</v>
      </c>
      <c r="E49" s="77">
        <v>199208.18</v>
      </c>
      <c r="F49" s="77">
        <v>195356.37999999998</v>
      </c>
      <c r="G49" s="77">
        <v>217867.57000000004</v>
      </c>
      <c r="H49" s="77">
        <v>340908.49999999994</v>
      </c>
      <c r="I49" s="77">
        <v>335515.04000000004</v>
      </c>
      <c r="J49" s="77">
        <v>271832.89</v>
      </c>
      <c r="K49" s="138">
        <v>213179.11</v>
      </c>
      <c r="L49" s="77">
        <v>282844.17798549513</v>
      </c>
      <c r="M49" s="77">
        <v>328078.90353753115</v>
      </c>
      <c r="N49" s="77">
        <v>621849.73732454376</v>
      </c>
      <c r="O49" s="77">
        <v>609000.32289002067</v>
      </c>
      <c r="P49" s="78">
        <f>SUM(D49:O49)</f>
        <v>3913528.54173759</v>
      </c>
      <c r="R49" s="3"/>
      <c r="S49" s="3"/>
    </row>
    <row r="50" spans="2:19" ht="15" customHeight="1">
      <c r="B50" s="54" t="s">
        <v>27</v>
      </c>
      <c r="C50" s="58">
        <v>1243576.5100000002</v>
      </c>
      <c r="D50" s="59">
        <v>153577.63</v>
      </c>
      <c r="E50" s="60">
        <v>60731.849999999977</v>
      </c>
      <c r="F50" s="60">
        <v>90157.500000000015</v>
      </c>
      <c r="G50" s="60">
        <v>82750.920000000013</v>
      </c>
      <c r="H50" s="60">
        <v>50916.810000000049</v>
      </c>
      <c r="I50" s="60">
        <v>96833.14999999998</v>
      </c>
      <c r="J50" s="60">
        <v>79174.710000000006</v>
      </c>
      <c r="K50" s="137">
        <v>76448.240000000005</v>
      </c>
      <c r="L50" s="60">
        <v>112363.61076448712</v>
      </c>
      <c r="M50" s="60">
        <v>130333.70698908762</v>
      </c>
      <c r="N50" s="60">
        <v>247038.07706558789</v>
      </c>
      <c r="O50" s="60">
        <v>241933.47631914305</v>
      </c>
      <c r="P50" s="61">
        <f>SUM(D50:O50)</f>
        <v>1422259.6811383059</v>
      </c>
    </row>
    <row r="51" spans="2:19" ht="15" customHeight="1">
      <c r="B51" s="54" t="s">
        <v>28</v>
      </c>
      <c r="C51" s="58">
        <v>1346255.71</v>
      </c>
      <c r="D51" s="59">
        <v>117480.4</v>
      </c>
      <c r="E51" s="60">
        <v>95660.13</v>
      </c>
      <c r="F51" s="60">
        <v>37255.669999999991</v>
      </c>
      <c r="G51" s="60">
        <v>102824.72</v>
      </c>
      <c r="H51" s="60">
        <v>119499.65</v>
      </c>
      <c r="I51" s="60">
        <v>126963.12000000001</v>
      </c>
      <c r="J51" s="60">
        <v>120303.02</v>
      </c>
      <c r="K51" s="137">
        <v>86125.1</v>
      </c>
      <c r="L51" s="60">
        <v>118606.03358473642</v>
      </c>
      <c r="M51" s="60">
        <v>137574.46848848139</v>
      </c>
      <c r="N51" s="60">
        <v>260762.41468034277</v>
      </c>
      <c r="O51" s="60">
        <v>255374.2250035399</v>
      </c>
      <c r="P51" s="61">
        <f>SUM(D51:O51)</f>
        <v>1578428.9517571002</v>
      </c>
    </row>
    <row r="52" spans="2:19" ht="15" customHeight="1">
      <c r="B52" s="54" t="s">
        <v>29</v>
      </c>
      <c r="C52" s="58">
        <v>1986204.26</v>
      </c>
      <c r="D52" s="59">
        <v>126052.32</v>
      </c>
      <c r="E52" s="60">
        <v>101532.96000000002</v>
      </c>
      <c r="F52" s="60">
        <v>113373.95999999999</v>
      </c>
      <c r="G52" s="60">
        <v>136124.03</v>
      </c>
      <c r="H52" s="60">
        <v>176619.16</v>
      </c>
      <c r="I52" s="60">
        <v>167411.46</v>
      </c>
      <c r="J52" s="60">
        <v>131162.33000000002</v>
      </c>
      <c r="K52" s="137">
        <v>99505.279999999999</v>
      </c>
      <c r="L52" s="60">
        <v>149818.14768598284</v>
      </c>
      <c r="M52" s="60">
        <v>173778.27598545016</v>
      </c>
      <c r="N52" s="60">
        <v>329384.10275411716</v>
      </c>
      <c r="O52" s="60">
        <v>322577.96842552407</v>
      </c>
      <c r="P52" s="61">
        <f>SUM(D52:O52)</f>
        <v>2027339.9948510742</v>
      </c>
    </row>
    <row r="53" spans="2:19" ht="15" customHeight="1">
      <c r="B53" s="54" t="s">
        <v>18</v>
      </c>
      <c r="C53" s="58">
        <v>0</v>
      </c>
      <c r="D53" s="59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137">
        <v>0</v>
      </c>
      <c r="L53" s="60">
        <v>0</v>
      </c>
      <c r="M53" s="60">
        <v>0</v>
      </c>
      <c r="N53" s="60">
        <v>0</v>
      </c>
      <c r="O53" s="60">
        <v>0</v>
      </c>
      <c r="P53" s="61">
        <f>SUM(D53:O53)</f>
        <v>0</v>
      </c>
    </row>
    <row r="54" spans="2:19" ht="15" customHeight="1">
      <c r="B54" s="83" t="s">
        <v>30</v>
      </c>
      <c r="C54" s="86">
        <v>5177574.6399999987</v>
      </c>
      <c r="D54" s="87">
        <f t="shared" ref="D54:P54" si="11">D46-D48</f>
        <v>-58532.039000000106</v>
      </c>
      <c r="E54" s="88">
        <f t="shared" si="11"/>
        <v>231229.08359999966</v>
      </c>
      <c r="F54" s="88">
        <f t="shared" si="11"/>
        <v>368395.19020000019</v>
      </c>
      <c r="G54" s="88">
        <f t="shared" si="11"/>
        <v>434103.20189999975</v>
      </c>
      <c r="H54" s="88">
        <f t="shared" si="11"/>
        <v>303162.70590000052</v>
      </c>
      <c r="I54" s="88">
        <f t="shared" si="11"/>
        <v>105689.46049999993</v>
      </c>
      <c r="J54" s="88">
        <f t="shared" si="11"/>
        <v>135975.3830999994</v>
      </c>
      <c r="K54" s="136">
        <f t="shared" si="11"/>
        <v>149879.11430000083</v>
      </c>
      <c r="L54" s="88">
        <f t="shared" si="11"/>
        <v>205463.67137620586</v>
      </c>
      <c r="M54" s="88">
        <f t="shared" si="11"/>
        <v>131348.5435487628</v>
      </c>
      <c r="N54" s="88">
        <f t="shared" si="11"/>
        <v>20074.22169120633</v>
      </c>
      <c r="O54" s="88">
        <f t="shared" si="11"/>
        <v>153123.95595605951</v>
      </c>
      <c r="P54" s="89">
        <f t="shared" si="11"/>
        <v>2179912.4930722341</v>
      </c>
    </row>
    <row r="55" spans="2:19" ht="15" customHeight="1">
      <c r="B55" s="90" t="s">
        <v>24</v>
      </c>
      <c r="C55" s="93">
        <v>0.22689975715739089</v>
      </c>
      <c r="D55" s="92">
        <f t="shared" ref="D55:P55" si="12">IFERROR(D54/D$22,0)</f>
        <v>-4.9794158561758034E-2</v>
      </c>
      <c r="E55" s="94">
        <f t="shared" si="12"/>
        <v>0.21529844143347984</v>
      </c>
      <c r="F55" s="94">
        <f t="shared" si="12"/>
        <v>0.30125944709910318</v>
      </c>
      <c r="G55" s="94">
        <f t="shared" si="12"/>
        <v>0.29776767116682357</v>
      </c>
      <c r="H55" s="94">
        <f t="shared" si="12"/>
        <v>0.17566799142150355</v>
      </c>
      <c r="I55" s="94">
        <f t="shared" si="12"/>
        <v>7.8087542825535677E-2</v>
      </c>
      <c r="J55" s="94">
        <f t="shared" si="12"/>
        <v>9.9036672941775358E-2</v>
      </c>
      <c r="K55" s="91">
        <f t="shared" si="12"/>
        <v>0.13559439342820059</v>
      </c>
      <c r="L55" s="94">
        <f t="shared" si="12"/>
        <v>0.13768900835214831</v>
      </c>
      <c r="M55" s="94">
        <f t="shared" si="12"/>
        <v>8.1964935650055179E-2</v>
      </c>
      <c r="N55" s="94">
        <f t="shared" si="12"/>
        <v>7.1372418832600336E-3</v>
      </c>
      <c r="O55" s="94">
        <f t="shared" si="12"/>
        <v>5.4770962181300085E-2</v>
      </c>
      <c r="P55" s="93">
        <f t="shared" si="12"/>
        <v>0.11359154219283553</v>
      </c>
    </row>
    <row r="56" spans="2:19" ht="15" customHeight="1">
      <c r="B56" s="45" t="s">
        <v>31</v>
      </c>
      <c r="C56" s="49">
        <v>7116475.8399999989</v>
      </c>
      <c r="D56" s="50">
        <f t="shared" ref="D56:P56" si="13">SUM(D57:D64)</f>
        <v>575806.25</v>
      </c>
      <c r="E56" s="51">
        <f t="shared" si="13"/>
        <v>500212.48000000004</v>
      </c>
      <c r="F56" s="51">
        <f t="shared" si="13"/>
        <v>391825.84999999992</v>
      </c>
      <c r="G56" s="51">
        <f t="shared" si="13"/>
        <v>705821.85000000021</v>
      </c>
      <c r="H56" s="51">
        <f t="shared" si="13"/>
        <v>458499.27999999991</v>
      </c>
      <c r="I56" s="51">
        <f t="shared" si="13"/>
        <v>700897.2</v>
      </c>
      <c r="J56" s="51">
        <f t="shared" si="13"/>
        <v>552037.56999999995</v>
      </c>
      <c r="K56" s="139">
        <f t="shared" si="13"/>
        <v>660868.57999999996</v>
      </c>
      <c r="L56" s="51">
        <f t="shared" si="13"/>
        <v>560530.41662807029</v>
      </c>
      <c r="M56" s="51">
        <f t="shared" si="13"/>
        <v>604950.61773333338</v>
      </c>
      <c r="N56" s="51">
        <f t="shared" si="13"/>
        <v>648505.95773333334</v>
      </c>
      <c r="O56" s="51">
        <f t="shared" si="13"/>
        <v>633665.61773333338</v>
      </c>
      <c r="P56" s="52">
        <f t="shared" si="13"/>
        <v>6993621.6698280703</v>
      </c>
    </row>
    <row r="57" spans="2:19" ht="15" customHeight="1">
      <c r="B57" s="71" t="s">
        <v>32</v>
      </c>
      <c r="C57" s="75">
        <v>4137336.4699999997</v>
      </c>
      <c r="D57" s="76">
        <v>321920.38</v>
      </c>
      <c r="E57" s="77">
        <v>311765.83999999997</v>
      </c>
      <c r="F57" s="77">
        <v>320337.14999999997</v>
      </c>
      <c r="G57" s="77">
        <v>538609.37000000011</v>
      </c>
      <c r="H57" s="77">
        <v>318700.28999999998</v>
      </c>
      <c r="I57" s="77">
        <v>329701.09999999998</v>
      </c>
      <c r="J57" s="77">
        <v>342487.14</v>
      </c>
      <c r="K57" s="138">
        <v>336053.13</v>
      </c>
      <c r="L57" s="77">
        <v>347835.1266280702</v>
      </c>
      <c r="M57" s="77">
        <v>353895.66773333331</v>
      </c>
      <c r="N57" s="77">
        <v>383310.66773333331</v>
      </c>
      <c r="O57" s="77">
        <v>368110.66773333331</v>
      </c>
      <c r="P57" s="78">
        <f t="shared" ref="P57:P64" si="14">SUM(D57:O57)</f>
        <v>4272726.5298280697</v>
      </c>
    </row>
    <row r="58" spans="2:19" ht="15" customHeight="1">
      <c r="B58" s="54" t="s">
        <v>33</v>
      </c>
      <c r="C58" s="58">
        <v>1037190.7500000001</v>
      </c>
      <c r="D58" s="59">
        <v>51469</v>
      </c>
      <c r="E58" s="60">
        <v>80554.399999999994</v>
      </c>
      <c r="F58" s="60">
        <v>15894.21</v>
      </c>
      <c r="G58" s="60">
        <v>13773.129999999997</v>
      </c>
      <c r="H58" s="60">
        <v>14048.44</v>
      </c>
      <c r="I58" s="60">
        <v>102508.81999999999</v>
      </c>
      <c r="J58" s="60">
        <v>20714.96</v>
      </c>
      <c r="K58" s="137">
        <f>917301.75-744000</f>
        <v>173301.75</v>
      </c>
      <c r="L58" s="60">
        <v>50000</v>
      </c>
      <c r="M58" s="60">
        <v>50000</v>
      </c>
      <c r="N58" s="60">
        <v>50000</v>
      </c>
      <c r="O58" s="60">
        <v>50000</v>
      </c>
      <c r="P58" s="61">
        <f t="shared" si="14"/>
        <v>672264.71</v>
      </c>
    </row>
    <row r="59" spans="2:19" ht="15" customHeight="1">
      <c r="B59" s="54" t="s">
        <v>34</v>
      </c>
      <c r="C59" s="58">
        <v>67586.23</v>
      </c>
      <c r="D59" s="59">
        <v>3717.73</v>
      </c>
      <c r="E59" s="60">
        <v>1953.2900000000004</v>
      </c>
      <c r="F59" s="60">
        <v>4705.43</v>
      </c>
      <c r="G59" s="60">
        <v>16588.089999999997</v>
      </c>
      <c r="H59" s="60">
        <v>4137.62</v>
      </c>
      <c r="I59" s="60">
        <v>4366.0200000000004</v>
      </c>
      <c r="J59" s="60">
        <v>3141.45</v>
      </c>
      <c r="K59" s="137">
        <v>3719.7500000000009</v>
      </c>
      <c r="L59" s="60">
        <v>3500</v>
      </c>
      <c r="M59" s="60">
        <v>3500</v>
      </c>
      <c r="N59" s="60">
        <v>3500</v>
      </c>
      <c r="O59" s="60">
        <v>3500</v>
      </c>
      <c r="P59" s="61">
        <f t="shared" si="14"/>
        <v>56329.37999999999</v>
      </c>
    </row>
    <row r="60" spans="2:19" ht="15" customHeight="1">
      <c r="B60" s="54" t="s">
        <v>35</v>
      </c>
      <c r="C60" s="58">
        <v>295941.65999999992</v>
      </c>
      <c r="D60" s="59">
        <v>24699.25</v>
      </c>
      <c r="E60" s="60">
        <v>24701.559999999998</v>
      </c>
      <c r="F60" s="60">
        <v>24703.87</v>
      </c>
      <c r="G60" s="60">
        <v>24702.17</v>
      </c>
      <c r="H60" s="60">
        <v>23651.66</v>
      </c>
      <c r="I60" s="60">
        <v>23966.31</v>
      </c>
      <c r="J60" s="60">
        <v>23987.63</v>
      </c>
      <c r="K60" s="137">
        <v>26847.289999999997</v>
      </c>
      <c r="L60" s="60">
        <v>23987.63</v>
      </c>
      <c r="M60" s="60">
        <v>26847.289999999997</v>
      </c>
      <c r="N60" s="60">
        <v>23987.63</v>
      </c>
      <c r="O60" s="60">
        <v>26847.289999999997</v>
      </c>
      <c r="P60" s="61">
        <f t="shared" si="14"/>
        <v>298929.58</v>
      </c>
    </row>
    <row r="61" spans="2:19" ht="15" customHeight="1">
      <c r="B61" s="54" t="s">
        <v>36</v>
      </c>
      <c r="C61" s="58">
        <v>152321.34999999998</v>
      </c>
      <c r="D61" s="59">
        <v>2000.3</v>
      </c>
      <c r="E61" s="60">
        <v>25059.78</v>
      </c>
      <c r="F61" s="60">
        <v>600.04999999999995</v>
      </c>
      <c r="G61" s="60">
        <v>5731.1400000000021</v>
      </c>
      <c r="H61" s="60">
        <v>7371.3500000000022</v>
      </c>
      <c r="I61" s="60">
        <v>1150</v>
      </c>
      <c r="J61" s="60">
        <v>4283.42</v>
      </c>
      <c r="K61" s="137">
        <v>2716.85</v>
      </c>
      <c r="L61" s="60">
        <v>2000</v>
      </c>
      <c r="M61" s="60">
        <v>37500</v>
      </c>
      <c r="N61" s="60">
        <v>4500</v>
      </c>
      <c r="O61" s="60">
        <v>2000</v>
      </c>
      <c r="P61" s="61">
        <f t="shared" si="14"/>
        <v>94912.889999999985</v>
      </c>
    </row>
    <row r="62" spans="2:19" ht="15" customHeight="1">
      <c r="B62" s="54" t="s">
        <v>29</v>
      </c>
      <c r="C62" s="58">
        <v>1268119.6799999992</v>
      </c>
      <c r="D62" s="59">
        <v>150501.71000000002</v>
      </c>
      <c r="E62" s="60">
        <v>37122.590000000011</v>
      </c>
      <c r="F62" s="60">
        <v>67525.610000000015</v>
      </c>
      <c r="G62" s="60">
        <v>82856.989999999976</v>
      </c>
      <c r="H62" s="60">
        <v>60139.86</v>
      </c>
      <c r="I62" s="60">
        <v>96053.710000000021</v>
      </c>
      <c r="J62" s="60">
        <v>124433.4</v>
      </c>
      <c r="K62" s="137">
        <v>88135.08</v>
      </c>
      <c r="L62" s="60">
        <v>100000</v>
      </c>
      <c r="M62" s="60">
        <v>100000</v>
      </c>
      <c r="N62" s="60">
        <v>150000</v>
      </c>
      <c r="O62" s="60">
        <v>150000</v>
      </c>
      <c r="P62" s="61">
        <f t="shared" si="14"/>
        <v>1206768.95</v>
      </c>
    </row>
    <row r="63" spans="2:19" ht="15" customHeight="1">
      <c r="B63" s="54" t="s">
        <v>37</v>
      </c>
      <c r="C63" s="58">
        <v>45286.460000000006</v>
      </c>
      <c r="D63" s="59">
        <v>3893.6400000000003</v>
      </c>
      <c r="E63" s="60">
        <v>6775.9500000000007</v>
      </c>
      <c r="F63" s="60">
        <v>6929.420000000001</v>
      </c>
      <c r="G63" s="60">
        <v>8205.18</v>
      </c>
      <c r="H63" s="60">
        <v>6853.2300000000005</v>
      </c>
      <c r="I63" s="60">
        <v>7124.7400000000007</v>
      </c>
      <c r="J63" s="60">
        <v>8190.7300000000005</v>
      </c>
      <c r="K63" s="137">
        <v>8207.66</v>
      </c>
      <c r="L63" s="60">
        <v>8207.66</v>
      </c>
      <c r="M63" s="60">
        <v>8207.66</v>
      </c>
      <c r="N63" s="60">
        <v>8207.66</v>
      </c>
      <c r="O63" s="60">
        <v>8207.66</v>
      </c>
      <c r="P63" s="61">
        <f t="shared" si="14"/>
        <v>89011.190000000017</v>
      </c>
    </row>
    <row r="64" spans="2:19" ht="15" customHeight="1">
      <c r="B64" s="54" t="s">
        <v>18</v>
      </c>
      <c r="C64" s="58">
        <v>112693.24000000002</v>
      </c>
      <c r="D64" s="59">
        <v>17604.239999999998</v>
      </c>
      <c r="E64" s="60">
        <v>12279.07</v>
      </c>
      <c r="F64" s="60">
        <v>-48869.890000000007</v>
      </c>
      <c r="G64" s="60">
        <v>15355.779999999999</v>
      </c>
      <c r="H64" s="60">
        <v>23596.830000000005</v>
      </c>
      <c r="I64" s="60">
        <v>136026.5</v>
      </c>
      <c r="J64" s="60">
        <v>24798.84</v>
      </c>
      <c r="K64" s="137">
        <v>21887.07</v>
      </c>
      <c r="L64" s="60">
        <v>25000</v>
      </c>
      <c r="M64" s="60">
        <v>25000</v>
      </c>
      <c r="N64" s="60">
        <v>25000</v>
      </c>
      <c r="O64" s="60">
        <v>25000</v>
      </c>
      <c r="P64" s="61">
        <f t="shared" si="14"/>
        <v>302678.44</v>
      </c>
    </row>
    <row r="65" spans="2:16" ht="15" customHeight="1">
      <c r="B65" s="83" t="s">
        <v>38</v>
      </c>
      <c r="C65" s="86">
        <v>-1938901.2000000002</v>
      </c>
      <c r="D65" s="87">
        <f t="shared" ref="D65:P65" si="15">D54-D56</f>
        <v>-634338.28900000011</v>
      </c>
      <c r="E65" s="88">
        <f t="shared" si="15"/>
        <v>-268983.39640000038</v>
      </c>
      <c r="F65" s="88">
        <f t="shared" si="15"/>
        <v>-23430.659799999732</v>
      </c>
      <c r="G65" s="88">
        <f t="shared" si="15"/>
        <v>-271718.64810000046</v>
      </c>
      <c r="H65" s="88">
        <f t="shared" si="15"/>
        <v>-155336.57409999939</v>
      </c>
      <c r="I65" s="88">
        <f t="shared" si="15"/>
        <v>-595207.73950000003</v>
      </c>
      <c r="J65" s="88">
        <f t="shared" si="15"/>
        <v>-416062.18690000055</v>
      </c>
      <c r="K65" s="136">
        <f t="shared" si="15"/>
        <v>-510989.46569999913</v>
      </c>
      <c r="L65" s="88">
        <f t="shared" si="15"/>
        <v>-355066.74525186443</v>
      </c>
      <c r="M65" s="88">
        <f t="shared" si="15"/>
        <v>-473602.07418457058</v>
      </c>
      <c r="N65" s="88">
        <f t="shared" si="15"/>
        <v>-628431.73604212701</v>
      </c>
      <c r="O65" s="88">
        <f t="shared" si="15"/>
        <v>-480541.66177727387</v>
      </c>
      <c r="P65" s="89">
        <f t="shared" si="15"/>
        <v>-4813709.1767558362</v>
      </c>
    </row>
    <row r="66" spans="2:16" ht="15" customHeight="1">
      <c r="B66" s="95" t="s">
        <v>24</v>
      </c>
      <c r="C66" s="99">
        <v>-8.4969554670132952E-2</v>
      </c>
      <c r="D66" s="98">
        <f t="shared" ref="D66:P66" si="16">IFERROR(D65/D$22,0)</f>
        <v>-0.53964191037766929</v>
      </c>
      <c r="E66" s="100">
        <f t="shared" si="16"/>
        <v>-0.25045165216580073</v>
      </c>
      <c r="F66" s="100">
        <f t="shared" si="16"/>
        <v>-1.9160694287791762E-2</v>
      </c>
      <c r="G66" s="100">
        <f t="shared" si="16"/>
        <v>-0.18638201400774979</v>
      </c>
      <c r="H66" s="100">
        <f t="shared" si="16"/>
        <v>-9.0009963083801575E-2</v>
      </c>
      <c r="I66" s="100">
        <f t="shared" si="16"/>
        <v>-0.43976295865656884</v>
      </c>
      <c r="J66" s="100">
        <f t="shared" si="16"/>
        <v>-0.30303584213586487</v>
      </c>
      <c r="K66" s="97">
        <f t="shared" si="16"/>
        <v>-0.46228793767158866</v>
      </c>
      <c r="L66" s="100">
        <f t="shared" si="16"/>
        <v>-0.23794370909998128</v>
      </c>
      <c r="M66" s="100">
        <f t="shared" si="16"/>
        <v>-0.29554011400103286</v>
      </c>
      <c r="N66" s="100">
        <f t="shared" si="16"/>
        <v>-0.2234342818488694</v>
      </c>
      <c r="O66" s="100">
        <f t="shared" si="16"/>
        <v>-0.17188511764478498</v>
      </c>
      <c r="P66" s="99">
        <f t="shared" si="16"/>
        <v>-0.25083421962726526</v>
      </c>
    </row>
    <row r="67" spans="2:16" ht="15" hidden="1" customHeight="1">
      <c r="B67" s="45" t="s">
        <v>39</v>
      </c>
      <c r="C67" s="49" t="e">
        <f t="shared" ref="C67:P67" si="17">SUM(C68:C75)</f>
        <v>#REF!</v>
      </c>
      <c r="D67" s="46">
        <f t="shared" si="17"/>
        <v>315277.73</v>
      </c>
      <c r="E67" s="47">
        <f t="shared" si="17"/>
        <v>284612.15000000002</v>
      </c>
      <c r="F67" s="46">
        <f t="shared" si="17"/>
        <v>-65426.479999999981</v>
      </c>
      <c r="G67" s="46">
        <f t="shared" si="17"/>
        <v>-144178.01</v>
      </c>
      <c r="H67" s="46">
        <f t="shared" si="17"/>
        <v>112417.63</v>
      </c>
      <c r="I67" s="46">
        <f t="shared" si="17"/>
        <v>253108.66</v>
      </c>
      <c r="J67" s="46">
        <f t="shared" si="17"/>
        <v>239873.44999999998</v>
      </c>
      <c r="K67" s="46">
        <f t="shared" si="17"/>
        <v>304711.26</v>
      </c>
      <c r="L67" s="46">
        <f t="shared" si="17"/>
        <v>194845.24380144037</v>
      </c>
      <c r="M67" s="46">
        <f t="shared" si="17"/>
        <v>177868.99201614523</v>
      </c>
      <c r="N67" s="46">
        <f t="shared" si="17"/>
        <v>235344.72378092696</v>
      </c>
      <c r="O67" s="48">
        <f t="shared" si="17"/>
        <v>237206.71890801005</v>
      </c>
      <c r="P67" s="49">
        <f t="shared" si="17"/>
        <v>2145662.0685065226</v>
      </c>
    </row>
    <row r="68" spans="2:16" ht="15" hidden="1" customHeight="1" outlineLevel="1">
      <c r="B68" s="71" t="s">
        <v>40</v>
      </c>
      <c r="C68" s="75" t="e">
        <f>SUM(#REF!)</f>
        <v>#REF!</v>
      </c>
      <c r="D68" s="72">
        <v>154382.56</v>
      </c>
      <c r="E68" s="73">
        <v>119387.52</v>
      </c>
      <c r="F68" s="72">
        <v>83634.58</v>
      </c>
      <c r="G68" s="72">
        <v>80901.37</v>
      </c>
      <c r="H68" s="72">
        <v>83207.48</v>
      </c>
      <c r="I68" s="72">
        <v>80502.039999999994</v>
      </c>
      <c r="J68" s="72">
        <v>82803.72</v>
      </c>
      <c r="K68" s="72">
        <v>82583.02</v>
      </c>
      <c r="L68" s="72">
        <v>76666.666666666672</v>
      </c>
      <c r="M68" s="72">
        <v>76666.666666666672</v>
      </c>
      <c r="N68" s="72">
        <v>76666.666666666672</v>
      </c>
      <c r="O68" s="74">
        <v>76666.666666666672</v>
      </c>
      <c r="P68" s="75">
        <f t="shared" ref="P68:P75" si="18">SUM(D68:O68)</f>
        <v>1074068.9566666665</v>
      </c>
    </row>
    <row r="69" spans="2:16" ht="15" hidden="1" customHeight="1" outlineLevel="1">
      <c r="B69" s="54" t="s">
        <v>41</v>
      </c>
      <c r="C69" s="58" t="e">
        <f>SUM(#REF!)</f>
        <v>#REF!</v>
      </c>
      <c r="D69" s="55">
        <v>-321.13</v>
      </c>
      <c r="E69" s="56">
        <v>-290.27</v>
      </c>
      <c r="F69" s="55">
        <v>-171118.43</v>
      </c>
      <c r="G69" s="55">
        <v>-311.45999999999998</v>
      </c>
      <c r="H69" s="55">
        <v>-322.08</v>
      </c>
      <c r="I69" s="55">
        <v>-2107.0099999999998</v>
      </c>
      <c r="J69" s="55">
        <v>-322.56</v>
      </c>
      <c r="K69" s="55">
        <v>-322.81</v>
      </c>
      <c r="L69" s="55">
        <v>0</v>
      </c>
      <c r="M69" s="55">
        <v>0</v>
      </c>
      <c r="N69" s="55">
        <v>0</v>
      </c>
      <c r="O69" s="57">
        <v>0</v>
      </c>
      <c r="P69" s="58">
        <f t="shared" si="18"/>
        <v>-175115.74999999997</v>
      </c>
    </row>
    <row r="70" spans="2:16" ht="15" hidden="1" customHeight="1" outlineLevel="1">
      <c r="B70" s="54" t="s">
        <v>42</v>
      </c>
      <c r="C70" s="58" t="e">
        <f>SUM(#REF!)</f>
        <v>#REF!</v>
      </c>
      <c r="D70" s="55">
        <v>96397.43</v>
      </c>
      <c r="E70" s="56">
        <v>156574.70000000001</v>
      </c>
      <c r="F70" s="55">
        <v>-29057.57</v>
      </c>
      <c r="G70" s="55">
        <v>-199722.3</v>
      </c>
      <c r="H70" s="55">
        <v>19100.04</v>
      </c>
      <c r="I70" s="55">
        <v>137715.73000000001</v>
      </c>
      <c r="J70" s="55">
        <v>171277.74</v>
      </c>
      <c r="K70" s="55">
        <v>234535.8</v>
      </c>
      <c r="L70" s="55">
        <v>0</v>
      </c>
      <c r="M70" s="55">
        <v>0</v>
      </c>
      <c r="N70" s="55">
        <v>0</v>
      </c>
      <c r="O70" s="57">
        <v>0</v>
      </c>
      <c r="P70" s="58">
        <f t="shared" si="18"/>
        <v>586821.57000000007</v>
      </c>
    </row>
    <row r="71" spans="2:16" ht="15" hidden="1" customHeight="1" outlineLevel="1">
      <c r="B71" s="54" t="s">
        <v>43</v>
      </c>
      <c r="C71" s="58" t="e">
        <f>SUM(#REF!)</f>
        <v>#REF!</v>
      </c>
      <c r="D71" s="55">
        <v>0</v>
      </c>
      <c r="E71" s="56">
        <v>0</v>
      </c>
      <c r="F71" s="55">
        <v>0</v>
      </c>
      <c r="G71" s="55">
        <v>0</v>
      </c>
      <c r="H71" s="55">
        <v>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7">
        <v>0</v>
      </c>
      <c r="P71" s="58">
        <f t="shared" si="18"/>
        <v>0</v>
      </c>
    </row>
    <row r="72" spans="2:16" ht="15" hidden="1" customHeight="1" outlineLevel="1">
      <c r="B72" s="54" t="s">
        <v>44</v>
      </c>
      <c r="C72" s="58" t="e">
        <f>SUM(#REF!)</f>
        <v>#REF!</v>
      </c>
      <c r="D72" s="55">
        <v>7099.69</v>
      </c>
      <c r="E72" s="56">
        <v>3956.76</v>
      </c>
      <c r="F72" s="55">
        <v>278.65999999999997</v>
      </c>
      <c r="G72" s="55">
        <v>3735.65</v>
      </c>
      <c r="H72" s="55">
        <v>5898.69</v>
      </c>
      <c r="I72" s="55">
        <v>58.09</v>
      </c>
      <c r="J72" s="55">
        <v>300.49</v>
      </c>
      <c r="K72" s="55">
        <v>636.65</v>
      </c>
      <c r="L72" s="55">
        <v>3000</v>
      </c>
      <c r="M72" s="55">
        <v>3000</v>
      </c>
      <c r="N72" s="55">
        <v>3000</v>
      </c>
      <c r="O72" s="57">
        <v>3000</v>
      </c>
      <c r="P72" s="58">
        <f t="shared" si="18"/>
        <v>33964.680000000008</v>
      </c>
    </row>
    <row r="73" spans="2:16" ht="15" hidden="1" customHeight="1" outlineLevel="1">
      <c r="B73" s="54" t="s">
        <v>45</v>
      </c>
      <c r="C73" s="58" t="e">
        <f>SUM(#REF!)</f>
        <v>#REF!</v>
      </c>
      <c r="D73" s="55">
        <v>74250</v>
      </c>
      <c r="E73" s="56">
        <v>0</v>
      </c>
      <c r="F73" s="55">
        <v>0</v>
      </c>
      <c r="G73" s="55">
        <v>2800</v>
      </c>
      <c r="H73" s="55">
        <v>871.27</v>
      </c>
      <c r="I73" s="55">
        <v>1644.05</v>
      </c>
      <c r="J73" s="55">
        <v>-74.78</v>
      </c>
      <c r="K73" s="55">
        <v>0</v>
      </c>
      <c r="L73" s="55">
        <v>110195.1371347737</v>
      </c>
      <c r="M73" s="55">
        <v>93218.885349478558</v>
      </c>
      <c r="N73" s="55">
        <v>150694.6171142603</v>
      </c>
      <c r="O73" s="57">
        <v>152556.61224134336</v>
      </c>
      <c r="P73" s="58">
        <f t="shared" si="18"/>
        <v>586155.79183985596</v>
      </c>
    </row>
    <row r="74" spans="2:16" ht="15" hidden="1" customHeight="1" outlineLevel="1">
      <c r="B74" s="54" t="s">
        <v>46</v>
      </c>
      <c r="C74" s="58" t="e">
        <f>SUM(#REF!)</f>
        <v>#REF!</v>
      </c>
      <c r="D74" s="55">
        <v>-16530.82</v>
      </c>
      <c r="E74" s="56">
        <v>4983.4399999999996</v>
      </c>
      <c r="F74" s="55">
        <v>50836.28</v>
      </c>
      <c r="G74" s="55">
        <v>-31581.27</v>
      </c>
      <c r="H74" s="55">
        <v>3662.23</v>
      </c>
      <c r="I74" s="55">
        <v>35295.760000000002</v>
      </c>
      <c r="J74" s="55">
        <v>-14111.16</v>
      </c>
      <c r="K74" s="55">
        <v>-12721.4</v>
      </c>
      <c r="L74" s="55">
        <v>4983.4399999999996</v>
      </c>
      <c r="M74" s="55">
        <v>4983.4399999999996</v>
      </c>
      <c r="N74" s="55">
        <v>4983.4399999999996</v>
      </c>
      <c r="O74" s="57">
        <v>4983.4399999999996</v>
      </c>
      <c r="P74" s="58">
        <f t="shared" si="18"/>
        <v>39766.82</v>
      </c>
    </row>
    <row r="75" spans="2:16" ht="15" hidden="1" customHeight="1" outlineLevel="1">
      <c r="B75" s="54" t="s">
        <v>47</v>
      </c>
      <c r="C75" s="58" t="e">
        <f>SUM(#REF!)</f>
        <v>#REF!</v>
      </c>
      <c r="D75" s="55">
        <v>0</v>
      </c>
      <c r="E75" s="56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7">
        <v>0</v>
      </c>
      <c r="P75" s="58">
        <f t="shared" si="18"/>
        <v>0</v>
      </c>
    </row>
    <row r="76" spans="2:16" ht="15" hidden="1" customHeight="1" collapsed="1">
      <c r="B76" s="83" t="s">
        <v>48</v>
      </c>
      <c r="C76" s="86" t="e">
        <f>C65+C67</f>
        <v>#REF!</v>
      </c>
      <c r="D76" s="84">
        <f t="shared" ref="D76:P76" si="19">D65-D67</f>
        <v>-949616.01900000009</v>
      </c>
      <c r="E76" s="85">
        <f t="shared" si="19"/>
        <v>-553595.54640000034</v>
      </c>
      <c r="F76" s="84">
        <f t="shared" si="19"/>
        <v>41995.820200000249</v>
      </c>
      <c r="G76" s="84">
        <f t="shared" si="19"/>
        <v>-127540.63810000045</v>
      </c>
      <c r="H76" s="84">
        <f t="shared" si="19"/>
        <v>-267754.20409999939</v>
      </c>
      <c r="I76" s="84">
        <f t="shared" si="19"/>
        <v>-848316.39950000006</v>
      </c>
      <c r="J76" s="84">
        <f t="shared" si="19"/>
        <v>-655935.63690000051</v>
      </c>
      <c r="K76" s="84">
        <f t="shared" si="19"/>
        <v>-815700.72569999914</v>
      </c>
      <c r="L76" s="84">
        <f t="shared" si="19"/>
        <v>-549911.98905330477</v>
      </c>
      <c r="M76" s="84">
        <f t="shared" si="19"/>
        <v>-651471.06620071584</v>
      </c>
      <c r="N76" s="84">
        <f t="shared" si="19"/>
        <v>-863776.45982305403</v>
      </c>
      <c r="O76" s="101">
        <f t="shared" si="19"/>
        <v>-717748.38068528392</v>
      </c>
      <c r="P76" s="86">
        <f t="shared" si="19"/>
        <v>-6959371.2452623583</v>
      </c>
    </row>
    <row r="77" spans="2:16" ht="15" hidden="1" customHeight="1">
      <c r="B77" s="95" t="s">
        <v>24</v>
      </c>
      <c r="C77" s="103">
        <f t="shared" ref="C77:P77" si="20">IFERROR(C76/C$22,0)</f>
        <v>0</v>
      </c>
      <c r="D77" s="96">
        <f t="shared" si="20"/>
        <v>-0.80785380845644816</v>
      </c>
      <c r="E77" s="97">
        <f t="shared" si="20"/>
        <v>-0.51545530721653532</v>
      </c>
      <c r="F77" s="96">
        <f t="shared" si="20"/>
        <v>3.4342569909929885E-2</v>
      </c>
      <c r="G77" s="96">
        <f t="shared" si="20"/>
        <v>-8.748490824289358E-2</v>
      </c>
      <c r="H77" s="96">
        <f t="shared" si="20"/>
        <v>-0.15515049283279972</v>
      </c>
      <c r="I77" s="96">
        <f t="shared" si="20"/>
        <v>-0.62676962170282369</v>
      </c>
      <c r="J77" s="96">
        <f t="shared" si="20"/>
        <v>-0.47774591004274769</v>
      </c>
      <c r="K77" s="96">
        <f t="shared" si="20"/>
        <v>-0.73795769101521713</v>
      </c>
      <c r="L77" s="96">
        <f t="shared" si="20"/>
        <v>-0.36851690591602809</v>
      </c>
      <c r="M77" s="96">
        <f t="shared" si="20"/>
        <v>-0.40653502944393688</v>
      </c>
      <c r="N77" s="96">
        <f t="shared" si="20"/>
        <v>-0.30710936750906748</v>
      </c>
      <c r="O77" s="102">
        <f t="shared" si="20"/>
        <v>-0.25673167316473966</v>
      </c>
      <c r="P77" s="103">
        <f t="shared" si="20"/>
        <v>-0.36264103029553602</v>
      </c>
    </row>
    <row r="78" spans="2:16" collapsed="1">
      <c r="D78" s="44"/>
      <c r="E78" s="44"/>
      <c r="F78" s="44"/>
      <c r="G78" s="104"/>
      <c r="H78" s="44"/>
      <c r="I78" s="44"/>
      <c r="J78" s="44"/>
      <c r="K78" s="44"/>
    </row>
    <row r="80" spans="2:16">
      <c r="D80" s="134"/>
      <c r="E80" s="134"/>
      <c r="F80" s="134"/>
      <c r="G80" s="134"/>
      <c r="H80" s="135"/>
      <c r="I80" s="135"/>
      <c r="J80" s="135"/>
      <c r="K80" s="135"/>
      <c r="L80" s="134"/>
      <c r="M80" s="134"/>
      <c r="N80" s="134"/>
      <c r="O80" s="134"/>
      <c r="P80" s="134"/>
    </row>
    <row r="81" spans="4:20">
      <c r="D81" s="3"/>
      <c r="E81" s="3"/>
      <c r="F81" s="3"/>
      <c r="G81" s="104"/>
      <c r="H81" s="3"/>
      <c r="I81" s="3"/>
      <c r="J81" s="3"/>
      <c r="K81" s="3"/>
      <c r="L81" s="3"/>
      <c r="M81" s="3"/>
      <c r="N81" s="3"/>
      <c r="O81" s="3"/>
      <c r="T81" s="106"/>
    </row>
    <row r="82" spans="4:20" ht="16.5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S82" s="123"/>
    </row>
    <row r="83" spans="4:20" ht="16.5"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S83" s="123"/>
    </row>
    <row r="84" spans="4:20" ht="16.5">
      <c r="D84" s="133"/>
      <c r="E84" s="133"/>
      <c r="F84" s="133"/>
      <c r="G84" s="133"/>
      <c r="H84" s="133"/>
      <c r="I84" s="133"/>
      <c r="J84" s="133"/>
      <c r="K84" s="133"/>
      <c r="L84" s="44"/>
      <c r="M84" s="44"/>
      <c r="N84" s="44"/>
      <c r="O84" s="44"/>
      <c r="S84" s="123"/>
    </row>
    <row r="85" spans="4:20" ht="16.5"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S85" s="123"/>
    </row>
    <row r="86" spans="4:20" ht="16.5">
      <c r="S86" s="123"/>
    </row>
    <row r="87" spans="4:20" ht="16.5">
      <c r="I87" s="132"/>
      <c r="J87" s="132"/>
      <c r="S87" s="123"/>
    </row>
    <row r="88" spans="4:20" ht="16.5">
      <c r="I88" s="130"/>
      <c r="J88" s="130"/>
      <c r="K88" s="106"/>
      <c r="S88" s="123"/>
    </row>
    <row r="89" spans="4:20" ht="16.5">
      <c r="S89" s="123"/>
    </row>
    <row r="90" spans="4:20" ht="16.5">
      <c r="I90" s="133"/>
      <c r="J90" s="133"/>
      <c r="S90" s="123"/>
    </row>
    <row r="91" spans="4:20" ht="16.5">
      <c r="I91" s="132"/>
      <c r="J91" s="132"/>
      <c r="S91" s="123"/>
    </row>
    <row r="92" spans="4:20" ht="16.5">
      <c r="I92" s="131"/>
      <c r="J92" s="131"/>
      <c r="S92" s="123"/>
    </row>
    <row r="93" spans="4:20" ht="16.5">
      <c r="I93" s="130"/>
      <c r="J93" s="130"/>
      <c r="K93" s="106"/>
      <c r="S93" s="123"/>
    </row>
    <row r="94" spans="4:20" ht="16.5">
      <c r="I94" s="130"/>
      <c r="J94" s="130"/>
      <c r="K94" s="106"/>
      <c r="S94" s="123"/>
    </row>
    <row r="95" spans="4:20" ht="16.5">
      <c r="S95" s="123"/>
    </row>
    <row r="96" spans="4:20">
      <c r="I96" s="130"/>
      <c r="J96" s="130"/>
    </row>
    <row r="97" spans="3:11">
      <c r="I97" s="130"/>
      <c r="J97" s="130"/>
    </row>
    <row r="99" spans="3:11">
      <c r="I99" s="130"/>
      <c r="J99" s="130"/>
    </row>
    <row r="100" spans="3:11">
      <c r="I100" s="130"/>
      <c r="J100" s="130"/>
    </row>
    <row r="102" spans="3:11">
      <c r="I102" s="129"/>
      <c r="J102" s="129"/>
      <c r="K102" s="106"/>
    </row>
    <row r="104" spans="3:11">
      <c r="I104" s="129"/>
      <c r="J104" s="129"/>
      <c r="K104" s="106"/>
    </row>
    <row r="105" spans="3:11">
      <c r="I105" s="129"/>
      <c r="J105" s="129"/>
      <c r="K105" s="106"/>
    </row>
    <row r="107" spans="3:11">
      <c r="C107" s="1">
        <v>214773</v>
      </c>
      <c r="D107" s="128"/>
      <c r="E107" s="127"/>
    </row>
    <row r="108" spans="3:11">
      <c r="D108" s="128"/>
      <c r="E108" s="127"/>
    </row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38CB-A033-438D-8363-E8A5C14C59B1}">
  <sheetPr>
    <tabColor rgb="FFFFFF00"/>
  </sheetPr>
  <dimension ref="B2:V17953"/>
  <sheetViews>
    <sheetView topLeftCell="F1" workbookViewId="0">
      <selection activeCell="V25" sqref="V25"/>
    </sheetView>
  </sheetViews>
  <sheetFormatPr defaultColWidth="9" defaultRowHeight="13.5"/>
  <cols>
    <col min="1" max="1" width="2.625" style="1" customWidth="1"/>
    <col min="2" max="2" width="4.875" style="120" customWidth="1"/>
    <col min="3" max="3" width="30.625" style="1" customWidth="1"/>
    <col min="4" max="16" width="14.375" style="1" customWidth="1"/>
    <col min="17" max="21" width="9" style="1"/>
    <col min="22" max="22" width="9.25" style="1" bestFit="1" customWidth="1"/>
    <col min="23" max="16384" width="9" style="1"/>
  </cols>
  <sheetData>
    <row r="2" spans="3:22">
      <c r="C2" s="106" t="s">
        <v>49</v>
      </c>
    </row>
    <row r="5" spans="3:22">
      <c r="C5" s="107"/>
      <c r="D5" s="108" t="s">
        <v>3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/>
    </row>
    <row r="6" spans="3:22">
      <c r="C6" s="111" t="s">
        <v>50</v>
      </c>
      <c r="D6" s="12">
        <v>46023</v>
      </c>
      <c r="E6" s="12">
        <f>EDATE(D6,1)</f>
        <v>46054</v>
      </c>
      <c r="F6" s="12">
        <f t="shared" ref="F6:O6" si="0">EDATE(E6,1)</f>
        <v>46082</v>
      </c>
      <c r="G6" s="12">
        <f t="shared" si="0"/>
        <v>46113</v>
      </c>
      <c r="H6" s="12">
        <f t="shared" si="0"/>
        <v>46143</v>
      </c>
      <c r="I6" s="12">
        <f t="shared" si="0"/>
        <v>46174</v>
      </c>
      <c r="J6" s="12">
        <f t="shared" si="0"/>
        <v>46204</v>
      </c>
      <c r="K6" s="12">
        <f t="shared" si="0"/>
        <v>46235</v>
      </c>
      <c r="L6" s="12">
        <f t="shared" si="0"/>
        <v>46266</v>
      </c>
      <c r="M6" s="12">
        <f t="shared" si="0"/>
        <v>46296</v>
      </c>
      <c r="N6" s="12">
        <f t="shared" si="0"/>
        <v>46327</v>
      </c>
      <c r="O6" s="12">
        <f t="shared" si="0"/>
        <v>46357</v>
      </c>
      <c r="P6" s="12" t="s">
        <v>5</v>
      </c>
    </row>
    <row r="7" spans="3:22">
      <c r="C7" s="112" t="s">
        <v>51</v>
      </c>
      <c r="D7" s="113">
        <f>SUM(D8:D15)</f>
        <v>23133256</v>
      </c>
      <c r="E7" s="113">
        <f t="shared" ref="E7:O7" si="1">SUM(E8:E15)</f>
        <v>22519965.056941755</v>
      </c>
      <c r="F7" s="113">
        <f t="shared" si="1"/>
        <v>32767888.395359904</v>
      </c>
      <c r="G7" s="113">
        <f t="shared" si="1"/>
        <v>34711218.146814756</v>
      </c>
      <c r="H7" s="113">
        <f t="shared" si="1"/>
        <v>32809654.51202108</v>
      </c>
      <c r="I7" s="113">
        <f t="shared" si="1"/>
        <v>29415985.569995385</v>
      </c>
      <c r="J7" s="113">
        <f t="shared" si="1"/>
        <v>26863546.315469772</v>
      </c>
      <c r="K7" s="113">
        <f t="shared" si="1"/>
        <v>29224897.002354916</v>
      </c>
      <c r="L7" s="113">
        <f t="shared" si="1"/>
        <v>32642448.607022863</v>
      </c>
      <c r="M7" s="113">
        <f t="shared" si="1"/>
        <v>31102821.326060079</v>
      </c>
      <c r="N7" s="113">
        <f t="shared" si="1"/>
        <v>27274499.032393124</v>
      </c>
      <c r="O7" s="113">
        <f t="shared" si="1"/>
        <v>20791649.989064556</v>
      </c>
      <c r="P7" s="113"/>
    </row>
    <row r="8" spans="3:22">
      <c r="C8" s="114" t="s">
        <v>13</v>
      </c>
      <c r="D8" s="115">
        <v>1033345</v>
      </c>
      <c r="E8" s="116">
        <f t="shared" ref="E8:O15" si="2">D35</f>
        <v>935986.69353245571</v>
      </c>
      <c r="F8" s="116">
        <f t="shared" si="2"/>
        <v>898173.53030085994</v>
      </c>
      <c r="G8" s="116">
        <f t="shared" si="2"/>
        <v>858444.80463048443</v>
      </c>
      <c r="H8" s="116">
        <f t="shared" si="2"/>
        <v>831315.38475659152</v>
      </c>
      <c r="I8" s="116">
        <f t="shared" si="2"/>
        <v>940934.62591078423</v>
      </c>
      <c r="J8" s="116">
        <f t="shared" si="2"/>
        <v>914914.99039320624</v>
      </c>
      <c r="K8" s="116">
        <f t="shared" si="2"/>
        <v>898524.72243392165</v>
      </c>
      <c r="L8" s="116">
        <f t="shared" si="2"/>
        <v>1178577.4917766836</v>
      </c>
      <c r="M8" s="116">
        <f t="shared" si="2"/>
        <v>2300502.2717267666</v>
      </c>
      <c r="N8" s="116">
        <f t="shared" si="2"/>
        <v>2266185.0410695286</v>
      </c>
      <c r="O8" s="116">
        <f t="shared" si="2"/>
        <v>1802438.6808365835</v>
      </c>
      <c r="P8" s="116"/>
    </row>
    <row r="9" spans="3:22">
      <c r="C9" s="117" t="s">
        <v>52</v>
      </c>
      <c r="D9" s="118">
        <v>0</v>
      </c>
      <c r="E9" s="119">
        <f t="shared" si="2"/>
        <v>0</v>
      </c>
      <c r="F9" s="119">
        <f t="shared" si="2"/>
        <v>0</v>
      </c>
      <c r="G9" s="119">
        <f t="shared" si="2"/>
        <v>0</v>
      </c>
      <c r="H9" s="119">
        <f t="shared" si="2"/>
        <v>0</v>
      </c>
      <c r="I9" s="119">
        <f t="shared" si="2"/>
        <v>0</v>
      </c>
      <c r="J9" s="119">
        <f t="shared" si="2"/>
        <v>0</v>
      </c>
      <c r="K9" s="119">
        <f t="shared" si="2"/>
        <v>0</v>
      </c>
      <c r="L9" s="119">
        <f t="shared" si="2"/>
        <v>0</v>
      </c>
      <c r="M9" s="119">
        <f t="shared" si="2"/>
        <v>0</v>
      </c>
      <c r="N9" s="119">
        <f t="shared" si="2"/>
        <v>0</v>
      </c>
      <c r="O9" s="119">
        <f t="shared" si="2"/>
        <v>0</v>
      </c>
      <c r="P9" s="119"/>
    </row>
    <row r="10" spans="3:22">
      <c r="C10" s="117" t="s">
        <v>53</v>
      </c>
      <c r="D10" s="118">
        <v>0</v>
      </c>
      <c r="E10" s="119">
        <f t="shared" si="2"/>
        <v>0</v>
      </c>
      <c r="F10" s="119">
        <f t="shared" si="2"/>
        <v>0</v>
      </c>
      <c r="G10" s="119">
        <f t="shared" si="2"/>
        <v>0</v>
      </c>
      <c r="H10" s="119">
        <f t="shared" si="2"/>
        <v>0</v>
      </c>
      <c r="I10" s="119">
        <f t="shared" si="2"/>
        <v>0</v>
      </c>
      <c r="J10" s="119">
        <f t="shared" si="2"/>
        <v>0</v>
      </c>
      <c r="K10" s="119">
        <f t="shared" si="2"/>
        <v>0</v>
      </c>
      <c r="L10" s="119">
        <f t="shared" si="2"/>
        <v>0</v>
      </c>
      <c r="M10" s="119">
        <f t="shared" si="2"/>
        <v>0</v>
      </c>
      <c r="N10" s="119">
        <f t="shared" si="2"/>
        <v>0</v>
      </c>
      <c r="O10" s="119">
        <f t="shared" si="2"/>
        <v>0</v>
      </c>
      <c r="P10" s="119"/>
    </row>
    <row r="11" spans="3:22">
      <c r="C11" s="117" t="s">
        <v>8</v>
      </c>
      <c r="D11" s="118">
        <v>0</v>
      </c>
      <c r="E11" s="119">
        <f t="shared" si="2"/>
        <v>0</v>
      </c>
      <c r="F11" s="119">
        <f t="shared" si="2"/>
        <v>0</v>
      </c>
      <c r="G11" s="119">
        <f t="shared" si="2"/>
        <v>0</v>
      </c>
      <c r="H11" s="119">
        <f t="shared" si="2"/>
        <v>0</v>
      </c>
      <c r="I11" s="119">
        <f t="shared" si="2"/>
        <v>0</v>
      </c>
      <c r="J11" s="119">
        <f t="shared" si="2"/>
        <v>0</v>
      </c>
      <c r="K11" s="119">
        <f t="shared" si="2"/>
        <v>5417020.7600567443</v>
      </c>
      <c r="L11" s="119">
        <f t="shared" si="2"/>
        <v>10692508.760056745</v>
      </c>
      <c r="M11" s="119">
        <f t="shared" si="2"/>
        <v>10869305.760056745</v>
      </c>
      <c r="N11" s="119">
        <f t="shared" si="2"/>
        <v>9512084.7600567453</v>
      </c>
      <c r="O11" s="119">
        <f t="shared" si="2"/>
        <v>7765829.7600567453</v>
      </c>
      <c r="P11" s="119"/>
    </row>
    <row r="12" spans="3:22">
      <c r="C12" s="117" t="s">
        <v>9</v>
      </c>
      <c r="D12" s="118">
        <v>3695</v>
      </c>
      <c r="E12" s="119">
        <f t="shared" si="2"/>
        <v>1104015.7200324128</v>
      </c>
      <c r="F12" s="119">
        <f t="shared" si="2"/>
        <v>9639325.4483988993</v>
      </c>
      <c r="G12" s="119">
        <f t="shared" si="2"/>
        <v>13042106.735611238</v>
      </c>
      <c r="H12" s="119">
        <f t="shared" si="2"/>
        <v>12651587.809004508</v>
      </c>
      <c r="I12" s="119">
        <f t="shared" si="2"/>
        <v>11494386.722742528</v>
      </c>
      <c r="J12" s="119">
        <f t="shared" si="2"/>
        <v>10309978.226038693</v>
      </c>
      <c r="K12" s="119">
        <f t="shared" si="2"/>
        <v>8937271.9630944412</v>
      </c>
      <c r="L12" s="119">
        <f t="shared" si="2"/>
        <v>8113271.9630944412</v>
      </c>
      <c r="M12" s="119">
        <f t="shared" si="2"/>
        <v>7083271.9630944412</v>
      </c>
      <c r="N12" s="119">
        <f t="shared" si="2"/>
        <v>6207771.9630944412</v>
      </c>
      <c r="O12" s="119">
        <f t="shared" si="2"/>
        <v>4147771.9630944408</v>
      </c>
      <c r="P12" s="119"/>
    </row>
    <row r="13" spans="3:22">
      <c r="C13" s="117" t="s">
        <v>10</v>
      </c>
      <c r="D13" s="118">
        <v>13830447</v>
      </c>
      <c r="E13" s="119">
        <f t="shared" si="2"/>
        <v>13130776.711087819</v>
      </c>
      <c r="F13" s="119">
        <f t="shared" si="2"/>
        <v>15314117.741493462</v>
      </c>
      <c r="G13" s="119">
        <f t="shared" si="2"/>
        <v>14144217.504825253</v>
      </c>
      <c r="H13" s="119">
        <f t="shared" si="2"/>
        <v>13123671.680000922</v>
      </c>
      <c r="I13" s="119">
        <f t="shared" si="2"/>
        <v>11748218.672108855</v>
      </c>
      <c r="J13" s="119">
        <f t="shared" si="2"/>
        <v>10998079.446346475</v>
      </c>
      <c r="K13" s="119">
        <f t="shared" si="2"/>
        <v>10260245.274169659</v>
      </c>
      <c r="L13" s="119">
        <f t="shared" si="2"/>
        <v>9518360.5791649539</v>
      </c>
      <c r="M13" s="119">
        <f t="shared" si="2"/>
        <v>8281886.087490445</v>
      </c>
      <c r="N13" s="119">
        <f t="shared" si="2"/>
        <v>7292706.4941508388</v>
      </c>
      <c r="O13" s="119">
        <f t="shared" si="2"/>
        <v>5747113.3795577036</v>
      </c>
      <c r="P13" s="119"/>
    </row>
    <row r="14" spans="3:22">
      <c r="C14" s="117" t="s">
        <v>11</v>
      </c>
      <c r="D14" s="118">
        <v>6766574</v>
      </c>
      <c r="E14" s="119">
        <f t="shared" si="2"/>
        <v>5697810.5182513595</v>
      </c>
      <c r="F14" s="119">
        <f t="shared" si="2"/>
        <v>5267792.4405400213</v>
      </c>
      <c r="G14" s="119">
        <f t="shared" si="2"/>
        <v>5021693.9665102251</v>
      </c>
      <c r="H14" s="119">
        <f t="shared" si="2"/>
        <v>4562249.5557487067</v>
      </c>
      <c r="I14" s="119">
        <f t="shared" si="2"/>
        <v>3595953.1376317372</v>
      </c>
      <c r="J14" s="119">
        <f t="shared" si="2"/>
        <v>3006870.4211442615</v>
      </c>
      <c r="K14" s="119">
        <f t="shared" si="2"/>
        <v>2125977.2209208189</v>
      </c>
      <c r="L14" s="119">
        <f t="shared" si="2"/>
        <v>1649077.22460013</v>
      </c>
      <c r="M14" s="119">
        <f t="shared" si="2"/>
        <v>1172177.2282794411</v>
      </c>
      <c r="N14" s="119">
        <f t="shared" si="2"/>
        <v>695277.23195875227</v>
      </c>
      <c r="O14" s="119">
        <f t="shared" si="2"/>
        <v>122997.2363739257</v>
      </c>
      <c r="P14" s="119"/>
    </row>
    <row r="15" spans="3:22">
      <c r="C15" s="117" t="s">
        <v>12</v>
      </c>
      <c r="D15" s="118">
        <v>1499195</v>
      </c>
      <c r="E15" s="119">
        <f t="shared" si="2"/>
        <v>1651375.4140377063</v>
      </c>
      <c r="F15" s="119">
        <f t="shared" si="2"/>
        <v>1648479.2346266583</v>
      </c>
      <c r="G15" s="119">
        <f t="shared" si="2"/>
        <v>1644755.1352375539</v>
      </c>
      <c r="H15" s="119">
        <f t="shared" si="2"/>
        <v>1640830.082510354</v>
      </c>
      <c r="I15" s="119">
        <f t="shared" si="2"/>
        <v>1636492.4116014808</v>
      </c>
      <c r="J15" s="119">
        <f t="shared" si="2"/>
        <v>1633703.2315471342</v>
      </c>
      <c r="K15" s="119">
        <f t="shared" si="2"/>
        <v>1585857.0616793297</v>
      </c>
      <c r="L15" s="119">
        <f t="shared" si="2"/>
        <v>1490652.5883299066</v>
      </c>
      <c r="M15" s="119">
        <f t="shared" si="2"/>
        <v>1395678.0154122412</v>
      </c>
      <c r="N15" s="119">
        <f t="shared" si="2"/>
        <v>1300473.5420628185</v>
      </c>
      <c r="O15" s="119">
        <f t="shared" si="2"/>
        <v>1205498.9691451541</v>
      </c>
      <c r="P15" s="119"/>
    </row>
    <row r="16" spans="3:22">
      <c r="C16" s="112" t="s">
        <v>54</v>
      </c>
      <c r="D16" s="113">
        <f>SUM(D17:D24)</f>
        <v>1922444</v>
      </c>
      <c r="E16" s="113">
        <f t="shared" ref="E16:O16" si="3">SUM(E17:E24)</f>
        <v>12107718</v>
      </c>
      <c r="F16" s="113">
        <f t="shared" si="3"/>
        <v>3949394</v>
      </c>
      <c r="G16" s="113">
        <f t="shared" si="3"/>
        <v>349494</v>
      </c>
      <c r="H16" s="113">
        <f t="shared" si="3"/>
        <v>166720</v>
      </c>
      <c r="I16" s="113">
        <f t="shared" si="3"/>
        <v>0</v>
      </c>
      <c r="J16" s="113">
        <f t="shared" si="3"/>
        <v>5491532</v>
      </c>
      <c r="K16" s="113">
        <f t="shared" si="3"/>
        <v>6131427</v>
      </c>
      <c r="L16" s="113">
        <f t="shared" si="3"/>
        <v>2890740</v>
      </c>
      <c r="M16" s="113">
        <f t="shared" si="3"/>
        <v>0</v>
      </c>
      <c r="N16" s="113">
        <f t="shared" si="3"/>
        <v>0</v>
      </c>
      <c r="O16" s="113">
        <f t="shared" si="3"/>
        <v>0</v>
      </c>
      <c r="P16" s="113"/>
      <c r="U16" s="1" t="s">
        <v>147</v>
      </c>
      <c r="V16" s="1" t="s">
        <v>146</v>
      </c>
    </row>
    <row r="17" spans="2:22">
      <c r="B17" s="120" t="s">
        <v>55</v>
      </c>
      <c r="C17" s="114" t="s">
        <v>13</v>
      </c>
      <c r="D17" s="115">
        <v>0</v>
      </c>
      <c r="E17" s="115">
        <v>0</v>
      </c>
      <c r="F17" s="115">
        <v>0</v>
      </c>
      <c r="G17" s="115">
        <v>0</v>
      </c>
      <c r="H17" s="115">
        <v>166720</v>
      </c>
      <c r="I17" s="115">
        <v>0</v>
      </c>
      <c r="J17" s="115">
        <v>0</v>
      </c>
      <c r="K17" s="115">
        <v>314370</v>
      </c>
      <c r="L17" s="115">
        <v>1221299</v>
      </c>
      <c r="M17" s="115">
        <v>0</v>
      </c>
      <c r="N17" s="115">
        <v>0</v>
      </c>
      <c r="O17" s="115">
        <v>0</v>
      </c>
      <c r="P17" s="116">
        <f>+SUM(D17:O17)</f>
        <v>1702389</v>
      </c>
      <c r="R17" s="116">
        <f>+SUM(F17:Q17)</f>
        <v>3404778</v>
      </c>
      <c r="U17" s="104" t="s">
        <v>13</v>
      </c>
      <c r="V17" s="104">
        <v>1702389</v>
      </c>
    </row>
    <row r="18" spans="2:22">
      <c r="B18" s="120" t="s">
        <v>56</v>
      </c>
      <c r="C18" s="117" t="s">
        <v>52</v>
      </c>
      <c r="D18" s="118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18">
        <v>0</v>
      </c>
      <c r="L18" s="118">
        <v>0</v>
      </c>
      <c r="M18" s="118">
        <v>0</v>
      </c>
      <c r="N18" s="118">
        <v>0</v>
      </c>
      <c r="O18" s="118">
        <v>0</v>
      </c>
      <c r="P18" s="119">
        <f t="shared" ref="P18:R24" si="4">+SUM(D18:O18)</f>
        <v>0</v>
      </c>
      <c r="R18" s="119">
        <f t="shared" si="4"/>
        <v>0</v>
      </c>
      <c r="U18" s="104" t="s">
        <v>52</v>
      </c>
      <c r="V18" s="104">
        <v>0</v>
      </c>
    </row>
    <row r="19" spans="2:22">
      <c r="B19" s="120" t="s">
        <v>57</v>
      </c>
      <c r="C19" s="117" t="s">
        <v>53</v>
      </c>
      <c r="D19" s="118">
        <v>0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18">
        <v>0</v>
      </c>
      <c r="L19" s="118">
        <v>0</v>
      </c>
      <c r="M19" s="118">
        <v>0</v>
      </c>
      <c r="N19" s="118">
        <v>0</v>
      </c>
      <c r="O19" s="118">
        <v>0</v>
      </c>
      <c r="P19" s="119">
        <f t="shared" si="4"/>
        <v>0</v>
      </c>
      <c r="R19" s="119">
        <f t="shared" si="4"/>
        <v>0</v>
      </c>
      <c r="U19" s="104" t="s">
        <v>53</v>
      </c>
      <c r="V19" s="104">
        <v>0</v>
      </c>
    </row>
    <row r="20" spans="2:22">
      <c r="B20" s="120" t="s">
        <v>58</v>
      </c>
      <c r="C20" s="117" t="s">
        <v>8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5491532</v>
      </c>
      <c r="K20" s="118">
        <v>5817057</v>
      </c>
      <c r="L20" s="118">
        <v>1669441</v>
      </c>
      <c r="M20" s="118">
        <v>0</v>
      </c>
      <c r="N20" s="118">
        <v>0</v>
      </c>
      <c r="O20" s="118">
        <v>0</v>
      </c>
      <c r="P20" s="119">
        <f t="shared" si="4"/>
        <v>12978030</v>
      </c>
      <c r="R20" s="119">
        <f t="shared" si="4"/>
        <v>25956060</v>
      </c>
      <c r="U20" s="104" t="s">
        <v>8</v>
      </c>
      <c r="V20" s="104">
        <v>12978030</v>
      </c>
    </row>
    <row r="21" spans="2:22">
      <c r="B21" s="120" t="s">
        <v>59</v>
      </c>
      <c r="C21" s="117" t="s">
        <v>9</v>
      </c>
      <c r="D21" s="118">
        <v>1104280</v>
      </c>
      <c r="E21" s="118">
        <v>8960472</v>
      </c>
      <c r="F21" s="118">
        <v>3949394</v>
      </c>
      <c r="G21" s="118">
        <v>349494</v>
      </c>
      <c r="H21" s="118">
        <v>0</v>
      </c>
      <c r="I21" s="118">
        <v>0</v>
      </c>
      <c r="J21" s="118">
        <v>0</v>
      </c>
      <c r="K21" s="118">
        <v>0</v>
      </c>
      <c r="L21" s="118">
        <v>0</v>
      </c>
      <c r="M21" s="118">
        <v>0</v>
      </c>
      <c r="N21" s="118">
        <v>0</v>
      </c>
      <c r="O21" s="118">
        <v>0</v>
      </c>
      <c r="P21" s="119">
        <f t="shared" si="4"/>
        <v>14363640</v>
      </c>
      <c r="R21" s="119">
        <f t="shared" si="4"/>
        <v>18662528</v>
      </c>
      <c r="U21" s="104" t="s">
        <v>9</v>
      </c>
      <c r="V21" s="104">
        <v>14363640</v>
      </c>
    </row>
    <row r="22" spans="2:22">
      <c r="B22" s="120" t="s">
        <v>60</v>
      </c>
      <c r="C22" s="117" t="s">
        <v>10</v>
      </c>
      <c r="D22" s="118">
        <v>579730</v>
      </c>
      <c r="E22" s="118">
        <v>3147246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18">
        <v>0</v>
      </c>
      <c r="L22" s="118">
        <v>0</v>
      </c>
      <c r="M22" s="118">
        <v>0</v>
      </c>
      <c r="N22" s="118">
        <v>0</v>
      </c>
      <c r="O22" s="118">
        <v>0</v>
      </c>
      <c r="P22" s="119">
        <f t="shared" si="4"/>
        <v>3726976</v>
      </c>
      <c r="R22" s="119">
        <f t="shared" si="4"/>
        <v>3726976</v>
      </c>
      <c r="U22" s="104" t="s">
        <v>10</v>
      </c>
      <c r="V22" s="104">
        <v>3726976</v>
      </c>
    </row>
    <row r="23" spans="2:22">
      <c r="B23" s="120" t="s">
        <v>61</v>
      </c>
      <c r="C23" s="117" t="s">
        <v>11</v>
      </c>
      <c r="D23" s="118">
        <v>80654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18">
        <v>0</v>
      </c>
      <c r="L23" s="118">
        <v>0</v>
      </c>
      <c r="M23" s="118">
        <v>0</v>
      </c>
      <c r="N23" s="118">
        <v>0</v>
      </c>
      <c r="O23" s="118">
        <v>0</v>
      </c>
      <c r="P23" s="119">
        <f t="shared" si="4"/>
        <v>80654</v>
      </c>
      <c r="R23" s="119">
        <f t="shared" si="4"/>
        <v>80654</v>
      </c>
      <c r="U23" s="104" t="s">
        <v>11</v>
      </c>
      <c r="V23" s="104">
        <v>80654</v>
      </c>
    </row>
    <row r="24" spans="2:22">
      <c r="B24" s="120" t="s">
        <v>12</v>
      </c>
      <c r="C24" s="117" t="s">
        <v>12</v>
      </c>
      <c r="D24" s="118">
        <v>157780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18">
        <v>0</v>
      </c>
      <c r="L24" s="118">
        <v>0</v>
      </c>
      <c r="M24" s="118">
        <v>0</v>
      </c>
      <c r="N24" s="118">
        <v>0</v>
      </c>
      <c r="O24" s="118">
        <v>0</v>
      </c>
      <c r="P24" s="119">
        <f t="shared" si="4"/>
        <v>157780</v>
      </c>
      <c r="R24" s="119">
        <f t="shared" si="4"/>
        <v>157780</v>
      </c>
      <c r="U24" s="104" t="s">
        <v>12</v>
      </c>
      <c r="V24" s="104">
        <v>157780</v>
      </c>
    </row>
    <row r="25" spans="2:22">
      <c r="C25" s="112" t="s">
        <v>62</v>
      </c>
      <c r="D25" s="113">
        <f>SUM(D26:D33)</f>
        <v>-2535734.9430582458</v>
      </c>
      <c r="E25" s="113">
        <f t="shared" ref="E25:O25" si="5">SUM(E26:E33)</f>
        <v>-1859794.6615818532</v>
      </c>
      <c r="F25" s="113">
        <f t="shared" si="5"/>
        <v>-2006064.2485451468</v>
      </c>
      <c r="G25" s="113">
        <f t="shared" si="5"/>
        <v>-2251057.6347936736</v>
      </c>
      <c r="H25" s="113">
        <f t="shared" si="5"/>
        <v>-3560388.9420256978</v>
      </c>
      <c r="I25" s="113">
        <f t="shared" si="5"/>
        <v>-2552439.2545256149</v>
      </c>
      <c r="J25" s="113">
        <f t="shared" si="5"/>
        <v>-3130181.313114855</v>
      </c>
      <c r="K25" s="113">
        <f t="shared" si="5"/>
        <v>-2713875.3953320552</v>
      </c>
      <c r="L25" s="113">
        <f t="shared" si="5"/>
        <v>-4430367.2809627801</v>
      </c>
      <c r="M25" s="113">
        <f t="shared" si="5"/>
        <v>-3828322.2936669565</v>
      </c>
      <c r="N25" s="113">
        <f t="shared" si="5"/>
        <v>-6482849.0433285721</v>
      </c>
      <c r="O25" s="113">
        <f t="shared" si="5"/>
        <v>-6483078.9437603308</v>
      </c>
      <c r="P25" s="113"/>
      <c r="U25" s="1" t="s">
        <v>145</v>
      </c>
      <c r="V25" s="104">
        <f>SUM(V17:V24)</f>
        <v>33009469</v>
      </c>
    </row>
    <row r="26" spans="2:22">
      <c r="C26" s="114" t="s">
        <v>13</v>
      </c>
      <c r="D26" s="116">
        <f>-PL_before!D21-PL_before!D13</f>
        <v>-97358.306467544287</v>
      </c>
      <c r="E26" s="116">
        <f>-PL_before!E21-PL_before!E13</f>
        <v>-37813.163231595769</v>
      </c>
      <c r="F26" s="116">
        <f>-PL_before!F21-PL_before!F13</f>
        <v>-39728.725670375468</v>
      </c>
      <c r="G26" s="116">
        <f>-PL_before!G21-PL_before!G13</f>
        <v>-27129.41987389289</v>
      </c>
      <c r="H26" s="116">
        <f>-PL_before!H21-PL_before!H13</f>
        <v>-57100.758845807257</v>
      </c>
      <c r="I26" s="116">
        <f>-PL_before!I21-PL_before!I13</f>
        <v>-26019.635517578037</v>
      </c>
      <c r="J26" s="116">
        <f>-PL_before!J21-PL_before!J13</f>
        <v>-16390.2679592846</v>
      </c>
      <c r="K26" s="116">
        <f>-PL_before!K21-PL_before!K13</f>
        <v>-34317.230657237946</v>
      </c>
      <c r="L26" s="116">
        <f>-PL_before!L21-PL_before!L13</f>
        <v>-99374.220049916839</v>
      </c>
      <c r="M26" s="116">
        <f>-PL_before!M21-PL_before!M13</f>
        <v>-34317.230657237946</v>
      </c>
      <c r="N26" s="116">
        <f>-PL_before!N21-PL_before!N13</f>
        <v>-463746.36023294518</v>
      </c>
      <c r="O26" s="116">
        <f>-PL_before!O21-PL_before!O13</f>
        <v>-463746.36023294518</v>
      </c>
      <c r="P26" s="116"/>
    </row>
    <row r="27" spans="2:22">
      <c r="C27" s="117" t="s">
        <v>52</v>
      </c>
      <c r="D27" s="119">
        <v>0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/>
    </row>
    <row r="28" spans="2:22">
      <c r="C28" s="117" t="s">
        <v>53</v>
      </c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/>
    </row>
    <row r="29" spans="2:22">
      <c r="C29" s="117" t="s">
        <v>8</v>
      </c>
      <c r="D29" s="119">
        <f>-PL_before!D16-PL_before!D8</f>
        <v>0</v>
      </c>
      <c r="E29" s="119">
        <f>-PL_before!E16-PL_before!E8</f>
        <v>0</v>
      </c>
      <c r="F29" s="119">
        <f>-PL_before!F16-PL_before!F8</f>
        <v>0</v>
      </c>
      <c r="G29" s="119">
        <f>-PL_before!G16-PL_before!G8</f>
        <v>0</v>
      </c>
      <c r="H29" s="119">
        <f>-PL_before!H16-PL_before!H8</f>
        <v>0</v>
      </c>
      <c r="I29" s="119">
        <f>-PL_before!I16-PL_before!I8</f>
        <v>0</v>
      </c>
      <c r="J29" s="119">
        <f>-PL_before!J16-PL_before!J8</f>
        <v>-74511.239943255772</v>
      </c>
      <c r="K29" s="119">
        <f>-PL_before!K16-PL_before!K8</f>
        <v>-541569</v>
      </c>
      <c r="L29" s="119">
        <f>-PL_before!L16-PL_before!L8</f>
        <v>-1492644.0000000005</v>
      </c>
      <c r="M29" s="119">
        <f>-PL_before!M16-PL_before!M8</f>
        <v>-1357221.0000000002</v>
      </c>
      <c r="N29" s="119">
        <f>-PL_before!N16-PL_before!N8</f>
        <v>-1746255.0000000005</v>
      </c>
      <c r="O29" s="119">
        <f>-PL_before!O16-PL_before!O8</f>
        <v>-1746255.0000000005</v>
      </c>
      <c r="P29" s="119"/>
    </row>
    <row r="30" spans="2:22">
      <c r="C30" s="117" t="s">
        <v>9</v>
      </c>
      <c r="D30" s="119">
        <f>-PL_before!D17-PL_before!D9</f>
        <v>-3959.279967587283</v>
      </c>
      <c r="E30" s="119">
        <f>-PL_before!E17-PL_before!E9</f>
        <v>-425162.2716335135</v>
      </c>
      <c r="F30" s="119">
        <f>-PL_before!F17-PL_before!F9</f>
        <v>-546612.712787661</v>
      </c>
      <c r="G30" s="119">
        <f>-PL_before!G17-PL_before!G9</f>
        <v>-740012.92660673021</v>
      </c>
      <c r="H30" s="119">
        <f>-PL_before!H17-PL_before!H9</f>
        <v>-1157201.0862619807</v>
      </c>
      <c r="I30" s="119">
        <f>-PL_before!I17-PL_before!I9</f>
        <v>-1184408.4967038347</v>
      </c>
      <c r="J30" s="119">
        <f>-PL_before!J17-PL_before!J9</f>
        <v>-1372706.2629442513</v>
      </c>
      <c r="K30" s="119">
        <f>-PL_before!K17-PL_before!K9</f>
        <v>-824000.00000000012</v>
      </c>
      <c r="L30" s="119">
        <f>-PL_before!L17-PL_before!L9</f>
        <v>-1030000.0000000002</v>
      </c>
      <c r="M30" s="119">
        <f>-PL_before!M17-PL_before!M9</f>
        <v>-875500.00000000012</v>
      </c>
      <c r="N30" s="119">
        <f>-PL_before!N17-PL_before!N9</f>
        <v>-2060000.0000000005</v>
      </c>
      <c r="O30" s="119">
        <f>-PL_before!O17-PL_before!O9</f>
        <v>-2060000.0000000005</v>
      </c>
      <c r="P30" s="119"/>
    </row>
    <row r="31" spans="2:22">
      <c r="C31" s="117" t="s">
        <v>10</v>
      </c>
      <c r="D31" s="119">
        <f>-PL_before!D18-PL_before!D10</f>
        <v>-1279400.2889121801</v>
      </c>
      <c r="E31" s="119">
        <f>-PL_before!E18-PL_before!E10</f>
        <v>-963904.96959435754</v>
      </c>
      <c r="F31" s="119">
        <f>-PL_before!F18-PL_before!F10</f>
        <v>-1169900.2366682095</v>
      </c>
      <c r="G31" s="119">
        <f>-PL_before!G18-PL_before!G10</f>
        <v>-1020545.8248243317</v>
      </c>
      <c r="H31" s="119">
        <f>-PL_before!H18-PL_before!H10</f>
        <v>-1375453.0078920671</v>
      </c>
      <c r="I31" s="119">
        <f>-PL_before!I18-PL_before!I10</f>
        <v>-750139.22576237994</v>
      </c>
      <c r="J31" s="119">
        <f>-PL_before!J18-PL_before!J10</f>
        <v>-737834.1721768158</v>
      </c>
      <c r="K31" s="119">
        <f>-PL_before!K18-PL_before!K10</f>
        <v>-741884.69500470499</v>
      </c>
      <c r="L31" s="119">
        <f>-PL_before!L18-PL_before!L10</f>
        <v>-1236474.4916745084</v>
      </c>
      <c r="M31" s="119">
        <f>-PL_before!M18-PL_before!M10</f>
        <v>-989179.59333960654</v>
      </c>
      <c r="N31" s="119">
        <f>-PL_before!N18-PL_before!N10</f>
        <v>-1545593.1145931352</v>
      </c>
      <c r="O31" s="119">
        <f>-PL_before!O18-PL_before!O10-470000</f>
        <v>-2015593.1145931352</v>
      </c>
      <c r="P31" s="119"/>
    </row>
    <row r="32" spans="2:22">
      <c r="C32" s="117" t="s">
        <v>11</v>
      </c>
      <c r="D32" s="119">
        <f>-PL_before!D19-PL_before!D11</f>
        <v>-1149417.4817486405</v>
      </c>
      <c r="E32" s="119">
        <f>-PL_before!E19-PL_before!E11</f>
        <v>-430018.07771133841</v>
      </c>
      <c r="F32" s="119">
        <f>-PL_before!F19-PL_before!F11</f>
        <v>-246098.47402979617</v>
      </c>
      <c r="G32" s="119">
        <f>-PL_before!G19-PL_before!G11</f>
        <v>-459444.41076151864</v>
      </c>
      <c r="H32" s="119">
        <f>-PL_before!H19-PL_before!H11</f>
        <v>-966296.41811696941</v>
      </c>
      <c r="I32" s="119">
        <f>-PL_before!I19-PL_before!I11</f>
        <v>-589082.71648747579</v>
      </c>
      <c r="J32" s="119">
        <f>-PL_before!J19-PL_before!J11</f>
        <v>-880893.20022344287</v>
      </c>
      <c r="K32" s="119">
        <f>-PL_before!K19-PL_before!K11</f>
        <v>-476899.99632068886</v>
      </c>
      <c r="L32" s="119">
        <f>-PL_before!L19-PL_before!L11</f>
        <v>-476899.99632068886</v>
      </c>
      <c r="M32" s="119">
        <f>-PL_before!M19-PL_before!M11</f>
        <v>-476899.99632068886</v>
      </c>
      <c r="N32" s="119">
        <f>-PL_before!N19-PL_before!N11</f>
        <v>-572279.99558482657</v>
      </c>
      <c r="O32" s="119">
        <f>-PL_before!O19-PL_before!O11+470000</f>
        <v>-102279.99558482657</v>
      </c>
      <c r="P32" s="119"/>
    </row>
    <row r="33" spans="3:16">
      <c r="C33" s="117" t="s">
        <v>12</v>
      </c>
      <c r="D33" s="119">
        <f>-PL_before!D20-PL_before!D12</f>
        <v>-5599.5859622936932</v>
      </c>
      <c r="E33" s="119">
        <f>-PL_before!E20-PL_before!E12</f>
        <v>-2896.1794110481133</v>
      </c>
      <c r="F33" s="119">
        <f>-PL_before!F20-PL_before!F12</f>
        <v>-3724.0993891044582</v>
      </c>
      <c r="G33" s="119">
        <f>-PL_before!G20-PL_before!G12</f>
        <v>-3925.0527271998608</v>
      </c>
      <c r="H33" s="119">
        <f>-PL_before!H20-PL_before!H12</f>
        <v>-4337.6709088732196</v>
      </c>
      <c r="I33" s="119">
        <f>-PL_before!I20-PL_before!I12</f>
        <v>-2789.1800543466761</v>
      </c>
      <c r="J33" s="119">
        <f>-PL_before!J20-PL_before!J12</f>
        <v>-47846.169867804609</v>
      </c>
      <c r="K33" s="119">
        <f>-PL_before!K20-PL_before!K12</f>
        <v>-95204.473349423148</v>
      </c>
      <c r="L33" s="119">
        <f>-PL_before!L20-PL_before!L12</f>
        <v>-94974.572917665355</v>
      </c>
      <c r="M33" s="119">
        <f>-PL_before!M20-PL_before!M12</f>
        <v>-95204.473349422682</v>
      </c>
      <c r="N33" s="119">
        <f>-PL_before!N20-PL_before!N12</f>
        <v>-94974.572917664424</v>
      </c>
      <c r="O33" s="119">
        <f>-PL_before!O20-PL_before!O12</f>
        <v>-95204.473349423148</v>
      </c>
      <c r="P33" s="119"/>
    </row>
    <row r="34" spans="3:16">
      <c r="C34" s="112" t="s">
        <v>63</v>
      </c>
      <c r="D34" s="113">
        <f>SUM(D35:D42)</f>
        <v>22519965.056941755</v>
      </c>
      <c r="E34" s="113">
        <f t="shared" ref="E34:O34" si="6">SUM(E35:E42)</f>
        <v>32767888.395359904</v>
      </c>
      <c r="F34" s="113">
        <f t="shared" si="6"/>
        <v>34711218.146814756</v>
      </c>
      <c r="G34" s="113">
        <f t="shared" si="6"/>
        <v>32809654.51202108</v>
      </c>
      <c r="H34" s="113">
        <f t="shared" si="6"/>
        <v>29415985.569995385</v>
      </c>
      <c r="I34" s="113">
        <f t="shared" si="6"/>
        <v>26863546.315469772</v>
      </c>
      <c r="J34" s="113">
        <f t="shared" si="6"/>
        <v>29224897.002354916</v>
      </c>
      <c r="K34" s="113">
        <f t="shared" si="6"/>
        <v>32642448.607022863</v>
      </c>
      <c r="L34" s="113">
        <f t="shared" si="6"/>
        <v>31102821.326060079</v>
      </c>
      <c r="M34" s="113">
        <f t="shared" si="6"/>
        <v>27274499.032393124</v>
      </c>
      <c r="N34" s="113">
        <f t="shared" si="6"/>
        <v>20791649.989064556</v>
      </c>
      <c r="O34" s="113">
        <f t="shared" si="6"/>
        <v>14308571.045304222</v>
      </c>
      <c r="P34" s="113"/>
    </row>
    <row r="35" spans="3:16">
      <c r="C35" s="114" t="s">
        <v>13</v>
      </c>
      <c r="D35" s="116">
        <f t="shared" ref="D35:O42" si="7">D8+D17+D26</f>
        <v>935986.69353245571</v>
      </c>
      <c r="E35" s="116">
        <f t="shared" si="7"/>
        <v>898173.53030085994</v>
      </c>
      <c r="F35" s="116">
        <f t="shared" si="7"/>
        <v>858444.80463048443</v>
      </c>
      <c r="G35" s="116">
        <f t="shared" si="7"/>
        <v>831315.38475659152</v>
      </c>
      <c r="H35" s="116">
        <f t="shared" si="7"/>
        <v>940934.62591078423</v>
      </c>
      <c r="I35" s="116">
        <f t="shared" si="7"/>
        <v>914914.99039320624</v>
      </c>
      <c r="J35" s="116">
        <f t="shared" si="7"/>
        <v>898524.72243392165</v>
      </c>
      <c r="K35" s="116">
        <f t="shared" si="7"/>
        <v>1178577.4917766836</v>
      </c>
      <c r="L35" s="116">
        <f t="shared" si="7"/>
        <v>2300502.2717267666</v>
      </c>
      <c r="M35" s="116">
        <f t="shared" si="7"/>
        <v>2266185.0410695286</v>
      </c>
      <c r="N35" s="116">
        <f t="shared" si="7"/>
        <v>1802438.6808365835</v>
      </c>
      <c r="O35" s="116">
        <f t="shared" si="7"/>
        <v>1338692.3206036384</v>
      </c>
      <c r="P35" s="116"/>
    </row>
    <row r="36" spans="3:16">
      <c r="C36" s="117" t="s">
        <v>52</v>
      </c>
      <c r="D36" s="119">
        <f t="shared" si="7"/>
        <v>0</v>
      </c>
      <c r="E36" s="119">
        <f t="shared" si="7"/>
        <v>0</v>
      </c>
      <c r="F36" s="119">
        <f t="shared" si="7"/>
        <v>0</v>
      </c>
      <c r="G36" s="119">
        <f t="shared" si="7"/>
        <v>0</v>
      </c>
      <c r="H36" s="119">
        <f t="shared" si="7"/>
        <v>0</v>
      </c>
      <c r="I36" s="119">
        <f t="shared" si="7"/>
        <v>0</v>
      </c>
      <c r="J36" s="119">
        <f t="shared" si="7"/>
        <v>0</v>
      </c>
      <c r="K36" s="119">
        <f t="shared" si="7"/>
        <v>0</v>
      </c>
      <c r="L36" s="119">
        <f t="shared" si="7"/>
        <v>0</v>
      </c>
      <c r="M36" s="119">
        <f t="shared" si="7"/>
        <v>0</v>
      </c>
      <c r="N36" s="119">
        <f t="shared" si="7"/>
        <v>0</v>
      </c>
      <c r="O36" s="119">
        <f t="shared" si="7"/>
        <v>0</v>
      </c>
      <c r="P36" s="119"/>
    </row>
    <row r="37" spans="3:16">
      <c r="C37" s="117" t="s">
        <v>53</v>
      </c>
      <c r="D37" s="119">
        <f t="shared" si="7"/>
        <v>0</v>
      </c>
      <c r="E37" s="119">
        <f t="shared" si="7"/>
        <v>0</v>
      </c>
      <c r="F37" s="119">
        <f t="shared" si="7"/>
        <v>0</v>
      </c>
      <c r="G37" s="119">
        <f t="shared" si="7"/>
        <v>0</v>
      </c>
      <c r="H37" s="119">
        <f t="shared" si="7"/>
        <v>0</v>
      </c>
      <c r="I37" s="119">
        <f t="shared" si="7"/>
        <v>0</v>
      </c>
      <c r="J37" s="119">
        <f t="shared" si="7"/>
        <v>0</v>
      </c>
      <c r="K37" s="119">
        <f t="shared" si="7"/>
        <v>0</v>
      </c>
      <c r="L37" s="119">
        <f t="shared" si="7"/>
        <v>0</v>
      </c>
      <c r="M37" s="119">
        <f t="shared" si="7"/>
        <v>0</v>
      </c>
      <c r="N37" s="119">
        <f t="shared" si="7"/>
        <v>0</v>
      </c>
      <c r="O37" s="119">
        <f t="shared" si="7"/>
        <v>0</v>
      </c>
      <c r="P37" s="119"/>
    </row>
    <row r="38" spans="3:16">
      <c r="C38" s="117" t="s">
        <v>8</v>
      </c>
      <c r="D38" s="119">
        <f t="shared" si="7"/>
        <v>0</v>
      </c>
      <c r="E38" s="119">
        <f t="shared" si="7"/>
        <v>0</v>
      </c>
      <c r="F38" s="119">
        <f t="shared" si="7"/>
        <v>0</v>
      </c>
      <c r="G38" s="119">
        <f t="shared" si="7"/>
        <v>0</v>
      </c>
      <c r="H38" s="119">
        <f t="shared" si="7"/>
        <v>0</v>
      </c>
      <c r="I38" s="119">
        <f t="shared" si="7"/>
        <v>0</v>
      </c>
      <c r="J38" s="119">
        <f t="shared" si="7"/>
        <v>5417020.7600567443</v>
      </c>
      <c r="K38" s="119">
        <f t="shared" si="7"/>
        <v>10692508.760056745</v>
      </c>
      <c r="L38" s="119">
        <f t="shared" si="7"/>
        <v>10869305.760056745</v>
      </c>
      <c r="M38" s="119">
        <f t="shared" si="7"/>
        <v>9512084.7600567453</v>
      </c>
      <c r="N38" s="119">
        <f t="shared" si="7"/>
        <v>7765829.7600567453</v>
      </c>
      <c r="O38" s="119">
        <f t="shared" si="7"/>
        <v>6019574.7600567453</v>
      </c>
      <c r="P38" s="119"/>
    </row>
    <row r="39" spans="3:16">
      <c r="C39" s="117" t="s">
        <v>9</v>
      </c>
      <c r="D39" s="119">
        <f t="shared" si="7"/>
        <v>1104015.7200324128</v>
      </c>
      <c r="E39" s="119">
        <f t="shared" si="7"/>
        <v>9639325.4483988993</v>
      </c>
      <c r="F39" s="119">
        <f t="shared" si="7"/>
        <v>13042106.735611238</v>
      </c>
      <c r="G39" s="119">
        <f t="shared" si="7"/>
        <v>12651587.809004508</v>
      </c>
      <c r="H39" s="119">
        <f t="shared" si="7"/>
        <v>11494386.722742528</v>
      </c>
      <c r="I39" s="119">
        <f t="shared" si="7"/>
        <v>10309978.226038693</v>
      </c>
      <c r="J39" s="119">
        <f t="shared" si="7"/>
        <v>8937271.9630944412</v>
      </c>
      <c r="K39" s="119">
        <f t="shared" si="7"/>
        <v>8113271.9630944412</v>
      </c>
      <c r="L39" s="119">
        <f t="shared" si="7"/>
        <v>7083271.9630944412</v>
      </c>
      <c r="M39" s="119">
        <f t="shared" si="7"/>
        <v>6207771.9630944412</v>
      </c>
      <c r="N39" s="119">
        <f t="shared" si="7"/>
        <v>4147771.9630944408</v>
      </c>
      <c r="O39" s="119">
        <f t="shared" si="7"/>
        <v>2087771.9630944403</v>
      </c>
      <c r="P39" s="119"/>
    </row>
    <row r="40" spans="3:16">
      <c r="C40" s="117" t="s">
        <v>10</v>
      </c>
      <c r="D40" s="119">
        <f t="shared" si="7"/>
        <v>13130776.711087819</v>
      </c>
      <c r="E40" s="119">
        <f t="shared" si="7"/>
        <v>15314117.741493462</v>
      </c>
      <c r="F40" s="119">
        <f t="shared" si="7"/>
        <v>14144217.504825253</v>
      </c>
      <c r="G40" s="119">
        <f t="shared" si="7"/>
        <v>13123671.680000922</v>
      </c>
      <c r="H40" s="119">
        <f t="shared" si="7"/>
        <v>11748218.672108855</v>
      </c>
      <c r="I40" s="119">
        <f t="shared" si="7"/>
        <v>10998079.446346475</v>
      </c>
      <c r="J40" s="119">
        <f t="shared" si="7"/>
        <v>10260245.274169659</v>
      </c>
      <c r="K40" s="119">
        <f t="shared" si="7"/>
        <v>9518360.5791649539</v>
      </c>
      <c r="L40" s="119">
        <f t="shared" si="7"/>
        <v>8281886.087490445</v>
      </c>
      <c r="M40" s="119">
        <f t="shared" si="7"/>
        <v>7292706.4941508388</v>
      </c>
      <c r="N40" s="119">
        <f t="shared" si="7"/>
        <v>5747113.3795577036</v>
      </c>
      <c r="O40" s="119">
        <f t="shared" si="7"/>
        <v>3731520.2649645684</v>
      </c>
      <c r="P40" s="119"/>
    </row>
    <row r="41" spans="3:16">
      <c r="C41" s="117" t="s">
        <v>11</v>
      </c>
      <c r="D41" s="119">
        <f t="shared" si="7"/>
        <v>5697810.5182513595</v>
      </c>
      <c r="E41" s="119">
        <f t="shared" si="7"/>
        <v>5267792.4405400213</v>
      </c>
      <c r="F41" s="119">
        <f t="shared" si="7"/>
        <v>5021693.9665102251</v>
      </c>
      <c r="G41" s="119">
        <f t="shared" si="7"/>
        <v>4562249.5557487067</v>
      </c>
      <c r="H41" s="119">
        <f t="shared" si="7"/>
        <v>3595953.1376317372</v>
      </c>
      <c r="I41" s="119">
        <f t="shared" si="7"/>
        <v>3006870.4211442615</v>
      </c>
      <c r="J41" s="119">
        <f t="shared" si="7"/>
        <v>2125977.2209208189</v>
      </c>
      <c r="K41" s="119">
        <f t="shared" si="7"/>
        <v>1649077.22460013</v>
      </c>
      <c r="L41" s="119">
        <f t="shared" si="7"/>
        <v>1172177.2282794411</v>
      </c>
      <c r="M41" s="119">
        <f t="shared" si="7"/>
        <v>695277.23195875227</v>
      </c>
      <c r="N41" s="119">
        <f t="shared" si="7"/>
        <v>122997.2363739257</v>
      </c>
      <c r="O41" s="119">
        <f t="shared" si="7"/>
        <v>20717.240789099131</v>
      </c>
      <c r="P41" s="119"/>
    </row>
    <row r="42" spans="3:16">
      <c r="C42" s="121" t="s">
        <v>12</v>
      </c>
      <c r="D42" s="122">
        <f t="shared" si="7"/>
        <v>1651375.4140377063</v>
      </c>
      <c r="E42" s="122">
        <f t="shared" si="7"/>
        <v>1648479.2346266583</v>
      </c>
      <c r="F42" s="122">
        <f t="shared" si="7"/>
        <v>1644755.1352375539</v>
      </c>
      <c r="G42" s="122">
        <f t="shared" si="7"/>
        <v>1640830.082510354</v>
      </c>
      <c r="H42" s="122">
        <f t="shared" si="7"/>
        <v>1636492.4116014808</v>
      </c>
      <c r="I42" s="122">
        <f t="shared" si="7"/>
        <v>1633703.2315471342</v>
      </c>
      <c r="J42" s="122">
        <f t="shared" si="7"/>
        <v>1585857.0616793297</v>
      </c>
      <c r="K42" s="122">
        <f t="shared" si="7"/>
        <v>1490652.5883299066</v>
      </c>
      <c r="L42" s="122">
        <f t="shared" si="7"/>
        <v>1395678.0154122412</v>
      </c>
      <c r="M42" s="122">
        <f t="shared" si="7"/>
        <v>1300473.5420628185</v>
      </c>
      <c r="N42" s="122">
        <f t="shared" si="7"/>
        <v>1205498.9691451541</v>
      </c>
      <c r="O42" s="122">
        <f t="shared" si="7"/>
        <v>1110294.495795731</v>
      </c>
      <c r="P42" s="122"/>
    </row>
    <row r="43" spans="3:16" ht="16.5">
      <c r="E43" s="123"/>
    </row>
    <row r="44" spans="3:16">
      <c r="C44" s="124" t="s">
        <v>64</v>
      </c>
      <c r="D44" s="125"/>
      <c r="E44" s="125"/>
      <c r="F44" s="125"/>
      <c r="G44" s="125"/>
      <c r="H44" s="125"/>
      <c r="I44" s="125"/>
      <c r="J44" s="125"/>
      <c r="K44" s="125">
        <v>0</v>
      </c>
      <c r="L44" s="125">
        <v>0</v>
      </c>
      <c r="M44" s="125">
        <v>0</v>
      </c>
      <c r="N44" s="125">
        <v>0</v>
      </c>
      <c r="O44" s="125">
        <v>0</v>
      </c>
    </row>
    <row r="45" spans="3:16" ht="16.5">
      <c r="E45" s="123"/>
      <c r="G45" s="126"/>
      <c r="H45" s="126"/>
      <c r="I45" s="126"/>
      <c r="J45" s="126"/>
      <c r="K45" s="126"/>
      <c r="L45" s="126"/>
      <c r="M45" s="126"/>
      <c r="N45" s="126"/>
      <c r="O45" s="126"/>
    </row>
    <row r="46" spans="3:16" ht="16.5">
      <c r="E46" s="123"/>
      <c r="G46" s="43"/>
      <c r="H46" s="43"/>
      <c r="I46" s="43"/>
      <c r="J46" s="43"/>
    </row>
    <row r="47" spans="3:16" ht="16.5">
      <c r="E47" s="123"/>
      <c r="G47" s="43"/>
      <c r="H47" s="43"/>
      <c r="I47" s="43"/>
      <c r="J47" s="43"/>
    </row>
    <row r="48" spans="3:16" ht="16.5">
      <c r="C48" s="123"/>
      <c r="E48" s="123"/>
    </row>
    <row r="49" spans="3:5" ht="16.5">
      <c r="C49" s="123"/>
      <c r="E49" s="123"/>
    </row>
    <row r="50" spans="3:5" ht="16.5">
      <c r="C50" s="123"/>
      <c r="E50" s="123"/>
    </row>
    <row r="51" spans="3:5" ht="16.5">
      <c r="C51" s="123"/>
      <c r="E51" s="123"/>
    </row>
    <row r="52" spans="3:5" ht="16.5">
      <c r="C52" s="123"/>
      <c r="E52" s="123"/>
    </row>
    <row r="53" spans="3:5" ht="16.5">
      <c r="C53" s="123"/>
      <c r="E53" s="123"/>
    </row>
    <row r="54" spans="3:5" ht="16.5">
      <c r="C54" s="123"/>
      <c r="E54" s="123"/>
    </row>
    <row r="55" spans="3:5" ht="16.5">
      <c r="C55" s="123"/>
      <c r="E55" s="123"/>
    </row>
    <row r="56" spans="3:5" ht="16.5">
      <c r="C56" s="123"/>
      <c r="E56" s="123"/>
    </row>
    <row r="57" spans="3:5" ht="16.5">
      <c r="C57" s="123"/>
      <c r="E57" s="123"/>
    </row>
    <row r="58" spans="3:5" ht="16.5">
      <c r="C58" s="123"/>
      <c r="E58" s="123"/>
    </row>
    <row r="59" spans="3:5" ht="16.5">
      <c r="C59" s="123"/>
      <c r="E59" s="123"/>
    </row>
    <row r="60" spans="3:5" ht="16.5">
      <c r="C60" s="123"/>
      <c r="E60" s="123"/>
    </row>
    <row r="61" spans="3:5" ht="16.5">
      <c r="C61" s="123"/>
      <c r="E61" s="123"/>
    </row>
    <row r="62" spans="3:5" ht="16.5">
      <c r="C62" s="123"/>
      <c r="E62" s="123"/>
    </row>
    <row r="63" spans="3:5" ht="16.5">
      <c r="C63" s="123"/>
      <c r="E63" s="123"/>
    </row>
    <row r="64" spans="3:5" ht="16.5">
      <c r="C64" s="123"/>
      <c r="E64" s="123"/>
    </row>
    <row r="65" spans="3:5" ht="16.5">
      <c r="C65" s="123"/>
      <c r="E65" s="123"/>
    </row>
    <row r="66" spans="3:5" ht="16.5">
      <c r="C66" s="123"/>
      <c r="E66" s="123"/>
    </row>
    <row r="67" spans="3:5" ht="16.5">
      <c r="C67" s="123"/>
      <c r="E67" s="123"/>
    </row>
    <row r="68" spans="3:5" ht="16.5">
      <c r="C68" s="123"/>
      <c r="E68" s="123"/>
    </row>
    <row r="69" spans="3:5" ht="16.5">
      <c r="C69" s="123"/>
      <c r="E69" s="123"/>
    </row>
    <row r="70" spans="3:5" ht="16.5">
      <c r="C70" s="123"/>
      <c r="E70" s="123"/>
    </row>
    <row r="71" spans="3:5" ht="16.5">
      <c r="C71" s="123"/>
      <c r="E71" s="123"/>
    </row>
    <row r="72" spans="3:5" ht="16.5">
      <c r="C72" s="123"/>
      <c r="E72" s="123"/>
    </row>
    <row r="73" spans="3:5" ht="16.5">
      <c r="C73" s="123"/>
      <c r="E73" s="123"/>
    </row>
    <row r="74" spans="3:5" ht="16.5">
      <c r="C74" s="123"/>
      <c r="E74" s="123"/>
    </row>
    <row r="75" spans="3:5" ht="16.5">
      <c r="C75" s="123"/>
      <c r="E75" s="123"/>
    </row>
    <row r="76" spans="3:5" ht="16.5">
      <c r="C76" s="123"/>
      <c r="E76" s="123"/>
    </row>
    <row r="77" spans="3:5" ht="16.5">
      <c r="C77" s="123"/>
      <c r="E77" s="123"/>
    </row>
    <row r="78" spans="3:5" ht="16.5">
      <c r="C78" s="123"/>
      <c r="E78" s="123"/>
    </row>
    <row r="79" spans="3:5" ht="16.5">
      <c r="C79" s="123"/>
      <c r="E79" s="123"/>
    </row>
    <row r="80" spans="3:5" ht="16.5">
      <c r="C80" s="123"/>
      <c r="E80" s="123"/>
    </row>
    <row r="81" spans="3:5" ht="16.5">
      <c r="C81" s="123"/>
      <c r="E81" s="123"/>
    </row>
    <row r="82" spans="3:5" ht="16.5">
      <c r="C82" s="123"/>
      <c r="E82" s="123"/>
    </row>
    <row r="83" spans="3:5" ht="16.5">
      <c r="C83" s="123"/>
      <c r="E83" s="123"/>
    </row>
    <row r="84" spans="3:5" ht="16.5">
      <c r="C84" s="123"/>
      <c r="E84" s="123"/>
    </row>
    <row r="85" spans="3:5" ht="16.5">
      <c r="C85" s="123"/>
      <c r="E85" s="123"/>
    </row>
    <row r="86" spans="3:5" ht="16.5">
      <c r="C86" s="123"/>
      <c r="E86" s="123"/>
    </row>
    <row r="87" spans="3:5" ht="16.5">
      <c r="C87" s="123"/>
      <c r="E87" s="123"/>
    </row>
    <row r="88" spans="3:5" ht="16.5">
      <c r="C88" s="123"/>
      <c r="E88" s="123"/>
    </row>
    <row r="89" spans="3:5" ht="16.5">
      <c r="C89" s="123"/>
      <c r="E89" s="123"/>
    </row>
    <row r="90" spans="3:5" ht="16.5">
      <c r="C90" s="123"/>
      <c r="E90" s="123"/>
    </row>
    <row r="91" spans="3:5" ht="16.5">
      <c r="C91" s="123"/>
      <c r="E91" s="123"/>
    </row>
    <row r="92" spans="3:5" ht="16.5">
      <c r="C92" s="123"/>
      <c r="E92" s="123"/>
    </row>
    <row r="93" spans="3:5" ht="16.5">
      <c r="C93" s="123"/>
      <c r="E93" s="123"/>
    </row>
    <row r="94" spans="3:5" ht="16.5">
      <c r="C94" s="123"/>
      <c r="E94" s="123"/>
    </row>
    <row r="95" spans="3:5" ht="16.5">
      <c r="C95" s="123"/>
      <c r="E95" s="123"/>
    </row>
    <row r="96" spans="3:5" ht="16.5">
      <c r="C96" s="123"/>
      <c r="E96" s="123"/>
    </row>
    <row r="97" spans="3:5" ht="16.5">
      <c r="C97" s="123"/>
      <c r="E97" s="123"/>
    </row>
    <row r="98" spans="3:5" ht="16.5">
      <c r="C98" s="123"/>
      <c r="E98" s="123"/>
    </row>
    <row r="99" spans="3:5" ht="16.5">
      <c r="C99" s="123"/>
      <c r="E99" s="123"/>
    </row>
    <row r="100" spans="3:5" ht="16.5">
      <c r="C100" s="123"/>
      <c r="E100" s="123"/>
    </row>
    <row r="101" spans="3:5" ht="16.5">
      <c r="C101" s="123"/>
      <c r="E101" s="123"/>
    </row>
    <row r="102" spans="3:5" ht="16.5">
      <c r="C102" s="123"/>
      <c r="E102" s="123"/>
    </row>
    <row r="103" spans="3:5" ht="16.5">
      <c r="C103" s="123"/>
      <c r="E103" s="123"/>
    </row>
    <row r="104" spans="3:5" ht="16.5">
      <c r="C104" s="123"/>
      <c r="E104" s="123"/>
    </row>
    <row r="105" spans="3:5" ht="16.5">
      <c r="C105" s="123"/>
      <c r="E105" s="123"/>
    </row>
    <row r="106" spans="3:5" ht="16.5">
      <c r="C106" s="123"/>
      <c r="E106" s="123"/>
    </row>
    <row r="107" spans="3:5" ht="16.5">
      <c r="C107" s="123"/>
      <c r="E107" s="123"/>
    </row>
    <row r="108" spans="3:5" ht="16.5">
      <c r="C108" s="123"/>
      <c r="E108" s="123"/>
    </row>
    <row r="109" spans="3:5" ht="16.5">
      <c r="C109" s="123"/>
      <c r="E109" s="123"/>
    </row>
    <row r="110" spans="3:5" ht="16.5">
      <c r="C110" s="123"/>
      <c r="E110" s="123"/>
    </row>
    <row r="111" spans="3:5" ht="16.5">
      <c r="C111" s="123"/>
      <c r="E111" s="123"/>
    </row>
    <row r="112" spans="3:5" ht="16.5">
      <c r="C112" s="123"/>
      <c r="E112" s="123"/>
    </row>
    <row r="113" spans="3:5" ht="16.5">
      <c r="C113" s="123"/>
      <c r="E113" s="123"/>
    </row>
    <row r="114" spans="3:5" ht="16.5">
      <c r="C114" s="123"/>
      <c r="E114" s="123"/>
    </row>
    <row r="115" spans="3:5" ht="16.5">
      <c r="C115" s="123"/>
      <c r="E115" s="123"/>
    </row>
    <row r="116" spans="3:5" ht="16.5">
      <c r="C116" s="123"/>
      <c r="E116" s="123"/>
    </row>
    <row r="117" spans="3:5" ht="16.5">
      <c r="C117" s="123"/>
      <c r="E117" s="123"/>
    </row>
    <row r="118" spans="3:5" ht="16.5">
      <c r="C118" s="123"/>
      <c r="E118" s="123"/>
    </row>
    <row r="119" spans="3:5" ht="16.5">
      <c r="C119" s="123"/>
      <c r="E119" s="123"/>
    </row>
    <row r="120" spans="3:5" ht="16.5">
      <c r="C120" s="123"/>
      <c r="E120" s="123"/>
    </row>
    <row r="121" spans="3:5" ht="16.5">
      <c r="C121" s="123"/>
      <c r="E121" s="123"/>
    </row>
    <row r="122" spans="3:5" ht="16.5">
      <c r="C122" s="123"/>
      <c r="E122" s="123"/>
    </row>
    <row r="123" spans="3:5" ht="16.5">
      <c r="C123" s="123"/>
      <c r="E123" s="123"/>
    </row>
    <row r="124" spans="3:5" ht="16.5">
      <c r="C124" s="123"/>
      <c r="E124" s="123"/>
    </row>
    <row r="125" spans="3:5" ht="16.5">
      <c r="C125" s="123"/>
      <c r="E125" s="123"/>
    </row>
    <row r="126" spans="3:5" ht="16.5">
      <c r="C126" s="123"/>
      <c r="E126" s="123"/>
    </row>
    <row r="127" spans="3:5" ht="16.5">
      <c r="C127" s="123"/>
      <c r="E127" s="123"/>
    </row>
    <row r="128" spans="3:5" ht="16.5">
      <c r="C128" s="123"/>
      <c r="E128" s="123"/>
    </row>
    <row r="129" spans="3:5" ht="16.5">
      <c r="C129" s="123"/>
      <c r="E129" s="123"/>
    </row>
    <row r="130" spans="3:5" ht="16.5">
      <c r="C130" s="123"/>
      <c r="E130" s="123"/>
    </row>
    <row r="131" spans="3:5" ht="16.5">
      <c r="C131" s="123"/>
      <c r="E131" s="123"/>
    </row>
    <row r="132" spans="3:5" ht="16.5">
      <c r="C132" s="123"/>
      <c r="E132" s="123"/>
    </row>
    <row r="133" spans="3:5" ht="16.5">
      <c r="C133" s="123"/>
      <c r="E133" s="123"/>
    </row>
    <row r="134" spans="3:5" ht="16.5">
      <c r="C134" s="123"/>
      <c r="E134" s="123"/>
    </row>
    <row r="135" spans="3:5" ht="16.5">
      <c r="C135" s="123"/>
      <c r="E135" s="123"/>
    </row>
    <row r="136" spans="3:5" ht="16.5">
      <c r="C136" s="123"/>
      <c r="E136" s="123"/>
    </row>
    <row r="137" spans="3:5" ht="16.5">
      <c r="C137" s="123"/>
      <c r="E137" s="123"/>
    </row>
    <row r="138" spans="3:5" ht="16.5">
      <c r="C138" s="123"/>
      <c r="E138" s="123"/>
    </row>
    <row r="139" spans="3:5" ht="16.5">
      <c r="C139" s="123"/>
      <c r="E139" s="123"/>
    </row>
    <row r="140" spans="3:5" ht="16.5">
      <c r="C140" s="123"/>
      <c r="E140" s="123"/>
    </row>
    <row r="141" spans="3:5" ht="16.5">
      <c r="C141" s="123"/>
      <c r="E141" s="123"/>
    </row>
    <row r="142" spans="3:5" ht="16.5">
      <c r="C142" s="123"/>
      <c r="E142" s="123"/>
    </row>
    <row r="143" spans="3:5" ht="16.5">
      <c r="C143" s="123"/>
      <c r="E143" s="123"/>
    </row>
    <row r="144" spans="3:5" ht="16.5">
      <c r="C144" s="123"/>
      <c r="E144" s="123"/>
    </row>
    <row r="145" spans="3:5" ht="16.5">
      <c r="C145" s="123"/>
      <c r="E145" s="123"/>
    </row>
    <row r="146" spans="3:5" ht="16.5">
      <c r="C146" s="123"/>
      <c r="E146" s="123"/>
    </row>
    <row r="147" spans="3:5" ht="16.5">
      <c r="C147" s="123"/>
      <c r="E147" s="123"/>
    </row>
    <row r="148" spans="3:5" ht="16.5">
      <c r="C148" s="123"/>
      <c r="E148" s="123"/>
    </row>
    <row r="149" spans="3:5" ht="16.5">
      <c r="C149" s="123"/>
      <c r="E149" s="123"/>
    </row>
    <row r="150" spans="3:5" ht="16.5">
      <c r="C150" s="123"/>
      <c r="E150" s="123"/>
    </row>
    <row r="151" spans="3:5" ht="16.5">
      <c r="C151" s="123"/>
      <c r="E151" s="123"/>
    </row>
    <row r="152" spans="3:5" ht="16.5">
      <c r="C152" s="123"/>
      <c r="E152" s="123"/>
    </row>
    <row r="153" spans="3:5" ht="16.5">
      <c r="C153" s="123"/>
      <c r="E153" s="123"/>
    </row>
    <row r="154" spans="3:5" ht="16.5">
      <c r="C154" s="123"/>
      <c r="E154" s="123"/>
    </row>
    <row r="155" spans="3:5" ht="16.5">
      <c r="C155" s="123"/>
      <c r="E155" s="123"/>
    </row>
    <row r="156" spans="3:5" ht="16.5">
      <c r="C156" s="123"/>
      <c r="E156" s="123"/>
    </row>
    <row r="157" spans="3:5" ht="16.5">
      <c r="C157" s="123"/>
      <c r="E157" s="123"/>
    </row>
    <row r="158" spans="3:5" ht="16.5">
      <c r="C158" s="123"/>
      <c r="E158" s="123"/>
    </row>
    <row r="159" spans="3:5" ht="16.5">
      <c r="C159" s="123"/>
      <c r="E159" s="123"/>
    </row>
    <row r="160" spans="3:5" ht="16.5">
      <c r="C160" s="123"/>
      <c r="E160" s="123"/>
    </row>
    <row r="161" spans="3:5" ht="16.5">
      <c r="C161" s="123"/>
      <c r="E161" s="123"/>
    </row>
    <row r="162" spans="3:5" ht="16.5">
      <c r="C162" s="123"/>
      <c r="E162" s="123"/>
    </row>
    <row r="163" spans="3:5" ht="16.5">
      <c r="C163" s="123"/>
      <c r="E163" s="123"/>
    </row>
    <row r="164" spans="3:5" ht="16.5">
      <c r="C164" s="123"/>
      <c r="E164" s="123"/>
    </row>
    <row r="165" spans="3:5" ht="16.5">
      <c r="C165" s="123"/>
      <c r="E165" s="123"/>
    </row>
    <row r="166" spans="3:5" ht="16.5">
      <c r="C166" s="123"/>
      <c r="E166" s="123"/>
    </row>
    <row r="167" spans="3:5" ht="16.5">
      <c r="C167" s="123"/>
      <c r="E167" s="123"/>
    </row>
    <row r="168" spans="3:5" ht="16.5">
      <c r="C168" s="123"/>
      <c r="E168" s="123"/>
    </row>
    <row r="169" spans="3:5" ht="16.5">
      <c r="C169" s="123"/>
      <c r="E169" s="123"/>
    </row>
    <row r="170" spans="3:5" ht="16.5">
      <c r="C170" s="123"/>
      <c r="E170" s="123"/>
    </row>
    <row r="171" spans="3:5" ht="16.5">
      <c r="C171" s="123"/>
      <c r="E171" s="123"/>
    </row>
    <row r="172" spans="3:5" ht="16.5">
      <c r="C172" s="123"/>
      <c r="E172" s="123"/>
    </row>
    <row r="173" spans="3:5" ht="16.5">
      <c r="C173" s="123"/>
      <c r="E173" s="123"/>
    </row>
    <row r="174" spans="3:5" ht="16.5">
      <c r="C174" s="123"/>
      <c r="E174" s="123"/>
    </row>
    <row r="175" spans="3:5" ht="16.5">
      <c r="C175" s="123"/>
      <c r="E175" s="123"/>
    </row>
    <row r="176" spans="3:5" ht="16.5">
      <c r="C176" s="123"/>
      <c r="E176" s="123"/>
    </row>
    <row r="177" spans="3:5" ht="16.5">
      <c r="C177" s="123"/>
      <c r="E177" s="123"/>
    </row>
    <row r="178" spans="3:5" ht="16.5">
      <c r="C178" s="123"/>
      <c r="E178" s="123"/>
    </row>
    <row r="179" spans="3:5" ht="16.5">
      <c r="C179" s="123"/>
      <c r="E179" s="123"/>
    </row>
    <row r="180" spans="3:5" ht="16.5">
      <c r="C180" s="123"/>
      <c r="E180" s="123"/>
    </row>
    <row r="181" spans="3:5" ht="16.5">
      <c r="C181" s="123"/>
      <c r="E181" s="123"/>
    </row>
    <row r="182" spans="3:5" ht="16.5">
      <c r="C182" s="123"/>
      <c r="E182" s="123"/>
    </row>
    <row r="183" spans="3:5" ht="16.5">
      <c r="C183" s="123"/>
      <c r="E183" s="123"/>
    </row>
    <row r="184" spans="3:5" ht="16.5">
      <c r="C184" s="123"/>
      <c r="E184" s="123"/>
    </row>
    <row r="185" spans="3:5" ht="16.5">
      <c r="C185" s="123"/>
      <c r="E185" s="123"/>
    </row>
    <row r="186" spans="3:5" ht="16.5">
      <c r="C186" s="123"/>
      <c r="E186" s="123"/>
    </row>
    <row r="187" spans="3:5" ht="16.5">
      <c r="C187" s="123"/>
      <c r="E187" s="123"/>
    </row>
    <row r="188" spans="3:5" ht="16.5">
      <c r="C188" s="123"/>
      <c r="E188" s="123"/>
    </row>
    <row r="189" spans="3:5" ht="16.5">
      <c r="C189" s="123"/>
      <c r="E189" s="123"/>
    </row>
    <row r="190" spans="3:5" ht="16.5">
      <c r="C190" s="123"/>
      <c r="E190" s="123"/>
    </row>
    <row r="191" spans="3:5" ht="16.5">
      <c r="C191" s="123"/>
      <c r="E191" s="123"/>
    </row>
    <row r="192" spans="3:5" ht="16.5">
      <c r="C192" s="123"/>
      <c r="E192" s="123"/>
    </row>
    <row r="193" spans="3:5" ht="16.5">
      <c r="C193" s="123"/>
      <c r="E193" s="123"/>
    </row>
    <row r="194" spans="3:5" ht="16.5">
      <c r="C194" s="123"/>
      <c r="E194" s="123"/>
    </row>
    <row r="195" spans="3:5" ht="16.5">
      <c r="C195" s="123"/>
      <c r="E195" s="123"/>
    </row>
    <row r="196" spans="3:5" ht="16.5">
      <c r="C196" s="123"/>
      <c r="E196" s="123"/>
    </row>
    <row r="197" spans="3:5" ht="16.5">
      <c r="C197" s="123"/>
      <c r="E197" s="123"/>
    </row>
    <row r="198" spans="3:5" ht="16.5">
      <c r="C198" s="123"/>
      <c r="E198" s="123"/>
    </row>
    <row r="199" spans="3:5" ht="16.5">
      <c r="C199" s="123"/>
      <c r="E199" s="123"/>
    </row>
    <row r="200" spans="3:5" ht="16.5">
      <c r="C200" s="123"/>
      <c r="E200" s="123"/>
    </row>
    <row r="201" spans="3:5" ht="16.5">
      <c r="C201" s="123"/>
      <c r="E201" s="123"/>
    </row>
    <row r="202" spans="3:5" ht="16.5">
      <c r="C202" s="123"/>
      <c r="E202" s="123"/>
    </row>
    <row r="203" spans="3:5" ht="16.5">
      <c r="C203" s="123"/>
      <c r="E203" s="123"/>
    </row>
    <row r="204" spans="3:5" ht="16.5">
      <c r="C204" s="123"/>
      <c r="E204" s="123"/>
    </row>
    <row r="205" spans="3:5" ht="16.5">
      <c r="C205" s="123"/>
      <c r="E205" s="123"/>
    </row>
    <row r="206" spans="3:5" ht="16.5">
      <c r="C206" s="123"/>
      <c r="E206" s="123"/>
    </row>
    <row r="207" spans="3:5" ht="16.5">
      <c r="C207" s="123"/>
      <c r="E207" s="123"/>
    </row>
    <row r="208" spans="3:5" ht="16.5">
      <c r="C208" s="123"/>
      <c r="E208" s="123"/>
    </row>
    <row r="209" spans="3:5" ht="16.5">
      <c r="C209" s="123"/>
      <c r="E209" s="123"/>
    </row>
    <row r="210" spans="3:5" ht="16.5">
      <c r="C210" s="123"/>
      <c r="E210" s="123"/>
    </row>
    <row r="211" spans="3:5" ht="16.5">
      <c r="C211" s="123"/>
      <c r="E211" s="123"/>
    </row>
    <row r="212" spans="3:5" ht="16.5">
      <c r="C212" s="123"/>
      <c r="E212" s="123"/>
    </row>
    <row r="213" spans="3:5" ht="16.5">
      <c r="C213" s="123"/>
      <c r="E213" s="123"/>
    </row>
    <row r="214" spans="3:5" ht="16.5">
      <c r="C214" s="123"/>
      <c r="E214" s="123"/>
    </row>
    <row r="215" spans="3:5" ht="16.5">
      <c r="C215" s="123"/>
      <c r="E215" s="123"/>
    </row>
    <row r="216" spans="3:5" ht="16.5">
      <c r="C216" s="123"/>
      <c r="E216" s="123"/>
    </row>
    <row r="217" spans="3:5" ht="16.5">
      <c r="C217" s="123"/>
      <c r="E217" s="123"/>
    </row>
    <row r="218" spans="3:5" ht="16.5">
      <c r="C218" s="123"/>
      <c r="E218" s="123"/>
    </row>
    <row r="219" spans="3:5" ht="16.5">
      <c r="C219" s="123"/>
      <c r="E219" s="123"/>
    </row>
    <row r="220" spans="3:5" ht="16.5">
      <c r="C220" s="123"/>
      <c r="E220" s="123"/>
    </row>
    <row r="221" spans="3:5" ht="16.5">
      <c r="C221" s="123"/>
      <c r="E221" s="123"/>
    </row>
    <row r="222" spans="3:5" ht="16.5">
      <c r="C222" s="123"/>
      <c r="E222" s="123"/>
    </row>
    <row r="223" spans="3:5" ht="16.5">
      <c r="C223" s="123"/>
      <c r="E223" s="123"/>
    </row>
    <row r="224" spans="3:5" ht="16.5">
      <c r="C224" s="123"/>
      <c r="E224" s="123"/>
    </row>
    <row r="225" spans="3:5" ht="16.5">
      <c r="C225" s="123"/>
      <c r="E225" s="123"/>
    </row>
    <row r="226" spans="3:5" ht="16.5">
      <c r="C226" s="123"/>
      <c r="E226" s="123"/>
    </row>
    <row r="227" spans="3:5" ht="16.5">
      <c r="C227" s="123"/>
      <c r="E227" s="123"/>
    </row>
    <row r="228" spans="3:5" ht="16.5">
      <c r="C228" s="123"/>
      <c r="E228" s="123"/>
    </row>
    <row r="229" spans="3:5" ht="16.5">
      <c r="C229" s="123"/>
      <c r="E229" s="123"/>
    </row>
    <row r="230" spans="3:5" ht="16.5">
      <c r="C230" s="123"/>
      <c r="E230" s="123"/>
    </row>
    <row r="231" spans="3:5" ht="16.5">
      <c r="C231" s="123"/>
      <c r="E231" s="123"/>
    </row>
    <row r="232" spans="3:5" ht="16.5">
      <c r="C232" s="123"/>
      <c r="E232" s="123"/>
    </row>
    <row r="233" spans="3:5" ht="16.5">
      <c r="C233" s="123"/>
      <c r="E233" s="123"/>
    </row>
    <row r="234" spans="3:5" ht="16.5">
      <c r="C234" s="123"/>
      <c r="E234" s="123"/>
    </row>
    <row r="235" spans="3:5" ht="16.5">
      <c r="C235" s="123"/>
      <c r="E235" s="123"/>
    </row>
    <row r="236" spans="3:5" ht="16.5">
      <c r="C236" s="123"/>
      <c r="E236" s="123"/>
    </row>
    <row r="237" spans="3:5" ht="16.5">
      <c r="C237" s="123"/>
      <c r="E237" s="123"/>
    </row>
    <row r="238" spans="3:5" ht="16.5">
      <c r="C238" s="123"/>
      <c r="E238" s="123"/>
    </row>
    <row r="239" spans="3:5" ht="16.5">
      <c r="C239" s="123"/>
      <c r="E239" s="123"/>
    </row>
    <row r="240" spans="3:5" ht="16.5">
      <c r="C240" s="123"/>
      <c r="E240" s="123"/>
    </row>
    <row r="241" spans="3:5" ht="16.5">
      <c r="C241" s="123"/>
      <c r="E241" s="123"/>
    </row>
    <row r="242" spans="3:5" ht="16.5">
      <c r="C242" s="123"/>
      <c r="E242" s="123"/>
    </row>
    <row r="243" spans="3:5" ht="16.5">
      <c r="C243" s="123"/>
      <c r="E243" s="123"/>
    </row>
    <row r="244" spans="3:5" ht="16.5">
      <c r="C244" s="123"/>
      <c r="E244" s="123"/>
    </row>
    <row r="245" spans="3:5" ht="16.5">
      <c r="C245" s="123"/>
      <c r="E245" s="123"/>
    </row>
    <row r="246" spans="3:5" ht="16.5">
      <c r="C246" s="123"/>
      <c r="E246" s="123"/>
    </row>
    <row r="247" spans="3:5" ht="16.5">
      <c r="C247" s="123"/>
      <c r="E247" s="123"/>
    </row>
    <row r="248" spans="3:5" ht="16.5">
      <c r="C248" s="123"/>
      <c r="E248" s="123"/>
    </row>
    <row r="249" spans="3:5" ht="16.5">
      <c r="C249" s="123"/>
      <c r="E249" s="123"/>
    </row>
    <row r="250" spans="3:5" ht="16.5">
      <c r="C250" s="123"/>
      <c r="E250" s="123"/>
    </row>
    <row r="251" spans="3:5" ht="16.5">
      <c r="C251" s="123"/>
      <c r="E251" s="123"/>
    </row>
    <row r="252" spans="3:5" ht="16.5">
      <c r="C252" s="123"/>
      <c r="E252" s="123"/>
    </row>
    <row r="253" spans="3:5" ht="16.5">
      <c r="C253" s="123"/>
      <c r="E253" s="123"/>
    </row>
    <row r="254" spans="3:5" ht="16.5">
      <c r="C254" s="123"/>
      <c r="E254" s="123"/>
    </row>
    <row r="255" spans="3:5" ht="16.5">
      <c r="C255" s="123"/>
      <c r="E255" s="123"/>
    </row>
    <row r="256" spans="3:5" ht="16.5">
      <c r="C256" s="123"/>
      <c r="E256" s="123"/>
    </row>
    <row r="257" spans="3:5" ht="16.5">
      <c r="C257" s="123"/>
      <c r="E257" s="123"/>
    </row>
    <row r="258" spans="3:5" ht="16.5">
      <c r="C258" s="123"/>
      <c r="E258" s="123"/>
    </row>
    <row r="259" spans="3:5" ht="16.5">
      <c r="C259" s="123"/>
      <c r="E259" s="123"/>
    </row>
    <row r="260" spans="3:5" ht="16.5">
      <c r="C260" s="123"/>
      <c r="E260" s="123"/>
    </row>
    <row r="261" spans="3:5" ht="16.5">
      <c r="C261" s="123"/>
      <c r="E261" s="123"/>
    </row>
    <row r="262" spans="3:5" ht="16.5">
      <c r="C262" s="123"/>
      <c r="E262" s="123"/>
    </row>
    <row r="263" spans="3:5" ht="16.5">
      <c r="C263" s="123"/>
      <c r="E263" s="123"/>
    </row>
    <row r="264" spans="3:5" ht="16.5">
      <c r="C264" s="123"/>
      <c r="E264" s="123"/>
    </row>
    <row r="265" spans="3:5" ht="16.5">
      <c r="C265" s="123"/>
      <c r="E265" s="123"/>
    </row>
    <row r="266" spans="3:5" ht="16.5">
      <c r="C266" s="123"/>
      <c r="E266" s="123"/>
    </row>
    <row r="267" spans="3:5" ht="16.5">
      <c r="C267" s="123"/>
      <c r="E267" s="123"/>
    </row>
    <row r="268" spans="3:5" ht="16.5">
      <c r="C268" s="123"/>
      <c r="E268" s="123"/>
    </row>
    <row r="269" spans="3:5" ht="16.5">
      <c r="C269" s="123"/>
      <c r="E269" s="123"/>
    </row>
    <row r="270" spans="3:5" ht="16.5">
      <c r="C270" s="123"/>
      <c r="E270" s="123"/>
    </row>
    <row r="271" spans="3:5" ht="16.5">
      <c r="C271" s="123"/>
      <c r="E271" s="123"/>
    </row>
    <row r="272" spans="3:5" ht="16.5">
      <c r="C272" s="123"/>
      <c r="E272" s="123"/>
    </row>
    <row r="273" spans="3:5" ht="16.5">
      <c r="C273" s="123"/>
      <c r="E273" s="123"/>
    </row>
    <row r="274" spans="3:5" ht="16.5">
      <c r="C274" s="123"/>
      <c r="E274" s="123"/>
    </row>
    <row r="275" spans="3:5" ht="16.5">
      <c r="C275" s="123"/>
      <c r="E275" s="123"/>
    </row>
    <row r="276" spans="3:5" ht="16.5">
      <c r="C276" s="123"/>
      <c r="E276" s="123"/>
    </row>
    <row r="277" spans="3:5" ht="16.5">
      <c r="C277" s="123"/>
      <c r="E277" s="123"/>
    </row>
    <row r="278" spans="3:5" ht="16.5">
      <c r="C278" s="123"/>
      <c r="E278" s="123"/>
    </row>
    <row r="279" spans="3:5" ht="16.5">
      <c r="C279" s="123"/>
      <c r="E279" s="123"/>
    </row>
    <row r="280" spans="3:5" ht="16.5">
      <c r="C280" s="123"/>
      <c r="E280" s="123"/>
    </row>
    <row r="281" spans="3:5" ht="16.5">
      <c r="C281" s="123"/>
      <c r="E281" s="123"/>
    </row>
    <row r="282" spans="3:5" ht="16.5">
      <c r="C282" s="123"/>
      <c r="E282" s="123"/>
    </row>
    <row r="283" spans="3:5" ht="16.5">
      <c r="C283" s="123"/>
      <c r="E283" s="123"/>
    </row>
    <row r="284" spans="3:5" ht="16.5">
      <c r="C284" s="123"/>
      <c r="E284" s="123"/>
    </row>
    <row r="285" spans="3:5" ht="16.5">
      <c r="C285" s="123"/>
      <c r="E285" s="123"/>
    </row>
    <row r="286" spans="3:5" ht="16.5">
      <c r="C286" s="123"/>
      <c r="E286" s="123"/>
    </row>
    <row r="287" spans="3:5" ht="16.5">
      <c r="C287" s="123"/>
      <c r="E287" s="123"/>
    </row>
    <row r="288" spans="3:5" ht="16.5">
      <c r="C288" s="123"/>
      <c r="E288" s="123"/>
    </row>
    <row r="289" spans="3:5" ht="16.5">
      <c r="C289" s="123"/>
      <c r="E289" s="123"/>
    </row>
    <row r="290" spans="3:5" ht="16.5">
      <c r="C290" s="123"/>
      <c r="E290" s="123"/>
    </row>
    <row r="291" spans="3:5" ht="16.5">
      <c r="C291" s="123"/>
      <c r="E291" s="123"/>
    </row>
    <row r="292" spans="3:5" ht="16.5">
      <c r="C292" s="123"/>
      <c r="E292" s="123"/>
    </row>
    <row r="293" spans="3:5" ht="16.5">
      <c r="C293" s="123"/>
      <c r="E293" s="123"/>
    </row>
    <row r="294" spans="3:5" ht="16.5">
      <c r="C294" s="123"/>
      <c r="E294" s="123"/>
    </row>
    <row r="295" spans="3:5" ht="16.5">
      <c r="C295" s="123"/>
      <c r="E295" s="123"/>
    </row>
    <row r="296" spans="3:5" ht="16.5">
      <c r="C296" s="123"/>
      <c r="E296" s="123"/>
    </row>
    <row r="297" spans="3:5" ht="16.5">
      <c r="C297" s="123"/>
      <c r="E297" s="123"/>
    </row>
    <row r="298" spans="3:5" ht="16.5">
      <c r="C298" s="123"/>
      <c r="E298" s="123"/>
    </row>
    <row r="299" spans="3:5" ht="16.5">
      <c r="C299" s="123"/>
      <c r="E299" s="123"/>
    </row>
    <row r="300" spans="3:5" ht="16.5">
      <c r="C300" s="123"/>
      <c r="E300" s="123"/>
    </row>
    <row r="301" spans="3:5" ht="16.5">
      <c r="C301" s="123"/>
      <c r="E301" s="123"/>
    </row>
    <row r="302" spans="3:5" ht="16.5">
      <c r="C302" s="123"/>
      <c r="E302" s="123"/>
    </row>
    <row r="303" spans="3:5" ht="16.5">
      <c r="C303" s="123"/>
      <c r="E303" s="123"/>
    </row>
    <row r="304" spans="3:5" ht="16.5">
      <c r="C304" s="123"/>
      <c r="E304" s="123"/>
    </row>
    <row r="305" spans="3:5" ht="16.5">
      <c r="C305" s="123"/>
      <c r="E305" s="123"/>
    </row>
    <row r="306" spans="3:5" ht="16.5">
      <c r="C306" s="123"/>
      <c r="E306" s="123"/>
    </row>
    <row r="307" spans="3:5" ht="16.5">
      <c r="C307" s="123"/>
      <c r="E307" s="123"/>
    </row>
    <row r="308" spans="3:5" ht="16.5">
      <c r="C308" s="123"/>
      <c r="E308" s="123"/>
    </row>
    <row r="309" spans="3:5" ht="16.5">
      <c r="C309" s="123"/>
      <c r="E309" s="123"/>
    </row>
    <row r="310" spans="3:5" ht="16.5">
      <c r="C310" s="123"/>
      <c r="E310" s="123"/>
    </row>
    <row r="311" spans="3:5" ht="16.5">
      <c r="C311" s="123"/>
      <c r="E311" s="123"/>
    </row>
    <row r="312" spans="3:5" ht="16.5">
      <c r="C312" s="123"/>
      <c r="E312" s="123"/>
    </row>
    <row r="313" spans="3:5" ht="16.5">
      <c r="C313" s="123"/>
      <c r="E313" s="123"/>
    </row>
    <row r="314" spans="3:5" ht="16.5">
      <c r="C314" s="123"/>
      <c r="E314" s="123"/>
    </row>
    <row r="315" spans="3:5" ht="16.5">
      <c r="C315" s="123"/>
      <c r="E315" s="123"/>
    </row>
    <row r="316" spans="3:5" ht="16.5">
      <c r="C316" s="123"/>
      <c r="E316" s="123"/>
    </row>
    <row r="317" spans="3:5" ht="16.5">
      <c r="C317" s="123"/>
      <c r="E317" s="123"/>
    </row>
    <row r="318" spans="3:5" ht="16.5">
      <c r="C318" s="123"/>
      <c r="E318" s="123"/>
    </row>
    <row r="319" spans="3:5" ht="16.5">
      <c r="C319" s="123"/>
      <c r="E319" s="123"/>
    </row>
    <row r="320" spans="3:5" ht="16.5">
      <c r="C320" s="123"/>
      <c r="E320" s="123"/>
    </row>
    <row r="321" spans="3:5" ht="16.5">
      <c r="C321" s="123"/>
      <c r="E321" s="123"/>
    </row>
    <row r="322" spans="3:5" ht="16.5">
      <c r="C322" s="123"/>
      <c r="E322" s="123"/>
    </row>
    <row r="323" spans="3:5" ht="16.5">
      <c r="C323" s="123"/>
      <c r="E323" s="123"/>
    </row>
    <row r="324" spans="3:5" ht="16.5">
      <c r="C324" s="123"/>
      <c r="E324" s="123"/>
    </row>
    <row r="325" spans="3:5" ht="16.5">
      <c r="C325" s="123"/>
      <c r="E325" s="123"/>
    </row>
    <row r="326" spans="3:5" ht="16.5">
      <c r="C326" s="123"/>
      <c r="E326" s="123"/>
    </row>
    <row r="327" spans="3:5" ht="16.5">
      <c r="C327" s="123"/>
      <c r="E327" s="123"/>
    </row>
    <row r="328" spans="3:5" ht="16.5">
      <c r="C328" s="123"/>
      <c r="E328" s="123"/>
    </row>
    <row r="329" spans="3:5" ht="16.5">
      <c r="C329" s="123"/>
      <c r="E329" s="123"/>
    </row>
    <row r="330" spans="3:5" ht="16.5">
      <c r="C330" s="123"/>
      <c r="E330" s="123"/>
    </row>
    <row r="331" spans="3:5" ht="16.5">
      <c r="C331" s="123"/>
      <c r="E331" s="123"/>
    </row>
    <row r="332" spans="3:5" ht="16.5">
      <c r="C332" s="123"/>
      <c r="E332" s="123"/>
    </row>
    <row r="333" spans="3:5" ht="16.5">
      <c r="C333" s="123"/>
      <c r="E333" s="123"/>
    </row>
    <row r="334" spans="3:5" ht="16.5">
      <c r="C334" s="123"/>
      <c r="E334" s="123"/>
    </row>
    <row r="335" spans="3:5" ht="16.5">
      <c r="C335" s="123"/>
      <c r="E335" s="123"/>
    </row>
    <row r="336" spans="3:5" ht="16.5">
      <c r="C336" s="123"/>
      <c r="E336" s="123"/>
    </row>
    <row r="337" spans="3:5" ht="16.5">
      <c r="C337" s="123"/>
      <c r="E337" s="123"/>
    </row>
    <row r="338" spans="3:5" ht="16.5">
      <c r="C338" s="123"/>
      <c r="E338" s="123"/>
    </row>
    <row r="339" spans="3:5" ht="16.5">
      <c r="C339" s="123"/>
      <c r="E339" s="123"/>
    </row>
    <row r="340" spans="3:5" ht="16.5">
      <c r="C340" s="123"/>
      <c r="E340" s="123"/>
    </row>
    <row r="341" spans="3:5" ht="16.5">
      <c r="C341" s="123"/>
      <c r="E341" s="123"/>
    </row>
    <row r="342" spans="3:5" ht="16.5">
      <c r="C342" s="123"/>
      <c r="E342" s="123"/>
    </row>
    <row r="343" spans="3:5" ht="16.5">
      <c r="C343" s="123"/>
      <c r="E343" s="123"/>
    </row>
    <row r="344" spans="3:5" ht="16.5">
      <c r="C344" s="123"/>
      <c r="E344" s="123"/>
    </row>
    <row r="345" spans="3:5" ht="16.5">
      <c r="C345" s="123"/>
      <c r="E345" s="123"/>
    </row>
    <row r="346" spans="3:5" ht="16.5">
      <c r="C346" s="123"/>
      <c r="E346" s="123"/>
    </row>
    <row r="347" spans="3:5" ht="16.5">
      <c r="C347" s="123"/>
      <c r="E347" s="123"/>
    </row>
    <row r="348" spans="3:5" ht="16.5">
      <c r="C348" s="123"/>
      <c r="E348" s="123"/>
    </row>
    <row r="349" spans="3:5" ht="16.5">
      <c r="C349" s="123"/>
      <c r="E349" s="123"/>
    </row>
    <row r="350" spans="3:5" ht="16.5">
      <c r="C350" s="123"/>
      <c r="E350" s="123"/>
    </row>
    <row r="351" spans="3:5" ht="16.5">
      <c r="C351" s="123"/>
      <c r="E351" s="123"/>
    </row>
    <row r="352" spans="3:5" ht="16.5">
      <c r="C352" s="123"/>
      <c r="E352" s="123"/>
    </row>
    <row r="353" spans="3:5" ht="16.5">
      <c r="C353" s="123"/>
      <c r="E353" s="123"/>
    </row>
    <row r="354" spans="3:5" ht="16.5">
      <c r="C354" s="123"/>
      <c r="E354" s="123"/>
    </row>
    <row r="355" spans="3:5" ht="16.5">
      <c r="C355" s="123"/>
      <c r="E355" s="123"/>
    </row>
    <row r="356" spans="3:5" ht="16.5">
      <c r="C356" s="123"/>
      <c r="E356" s="123"/>
    </row>
    <row r="357" spans="3:5" ht="16.5">
      <c r="C357" s="123"/>
      <c r="E357" s="123"/>
    </row>
    <row r="358" spans="3:5" ht="16.5">
      <c r="C358" s="123"/>
      <c r="E358" s="123"/>
    </row>
    <row r="359" spans="3:5" ht="16.5">
      <c r="C359" s="123"/>
      <c r="E359" s="123"/>
    </row>
    <row r="360" spans="3:5" ht="16.5">
      <c r="C360" s="123"/>
      <c r="E360" s="123"/>
    </row>
    <row r="361" spans="3:5" ht="16.5">
      <c r="C361" s="123"/>
      <c r="E361" s="123"/>
    </row>
    <row r="362" spans="3:5" ht="16.5">
      <c r="C362" s="123"/>
      <c r="E362" s="123"/>
    </row>
    <row r="363" spans="3:5" ht="16.5">
      <c r="C363" s="123"/>
      <c r="E363" s="123"/>
    </row>
    <row r="364" spans="3:5" ht="16.5">
      <c r="C364" s="123"/>
      <c r="E364" s="123"/>
    </row>
    <row r="365" spans="3:5" ht="16.5">
      <c r="C365" s="123"/>
      <c r="E365" s="123"/>
    </row>
    <row r="366" spans="3:5" ht="16.5">
      <c r="C366" s="123"/>
      <c r="E366" s="123"/>
    </row>
    <row r="367" spans="3:5" ht="16.5">
      <c r="C367" s="123"/>
      <c r="E367" s="123"/>
    </row>
    <row r="368" spans="3:5" ht="16.5">
      <c r="C368" s="123"/>
      <c r="E368" s="123"/>
    </row>
    <row r="369" spans="3:5" ht="16.5">
      <c r="C369" s="123"/>
      <c r="E369" s="123"/>
    </row>
    <row r="370" spans="3:5" ht="16.5">
      <c r="C370" s="123"/>
      <c r="E370" s="123"/>
    </row>
    <row r="371" spans="3:5" ht="16.5">
      <c r="C371" s="123"/>
      <c r="E371" s="123"/>
    </row>
    <row r="372" spans="3:5" ht="16.5">
      <c r="C372" s="123"/>
      <c r="E372" s="123"/>
    </row>
    <row r="373" spans="3:5" ht="16.5">
      <c r="C373" s="123"/>
      <c r="E373" s="123"/>
    </row>
    <row r="374" spans="3:5" ht="16.5">
      <c r="C374" s="123"/>
      <c r="E374" s="123"/>
    </row>
    <row r="375" spans="3:5" ht="16.5">
      <c r="C375" s="123"/>
      <c r="E375" s="123"/>
    </row>
    <row r="376" spans="3:5" ht="16.5">
      <c r="C376" s="123"/>
      <c r="E376" s="123"/>
    </row>
    <row r="377" spans="3:5" ht="16.5">
      <c r="C377" s="123"/>
      <c r="E377" s="123"/>
    </row>
    <row r="378" spans="3:5" ht="16.5">
      <c r="C378" s="123"/>
      <c r="E378" s="123"/>
    </row>
    <row r="379" spans="3:5" ht="16.5">
      <c r="C379" s="123"/>
      <c r="E379" s="123"/>
    </row>
    <row r="380" spans="3:5" ht="16.5">
      <c r="C380" s="123"/>
      <c r="E380" s="123"/>
    </row>
    <row r="381" spans="3:5" ht="16.5">
      <c r="C381" s="123"/>
      <c r="E381" s="123"/>
    </row>
    <row r="382" spans="3:5" ht="16.5">
      <c r="C382" s="123"/>
      <c r="E382" s="123"/>
    </row>
    <row r="383" spans="3:5" ht="16.5">
      <c r="C383" s="123"/>
      <c r="E383" s="123"/>
    </row>
    <row r="384" spans="3:5" ht="16.5">
      <c r="C384" s="123"/>
      <c r="E384" s="123"/>
    </row>
    <row r="385" spans="3:5" ht="16.5">
      <c r="C385" s="123"/>
      <c r="E385" s="123"/>
    </row>
    <row r="386" spans="3:5" ht="16.5">
      <c r="C386" s="123"/>
      <c r="E386" s="123"/>
    </row>
    <row r="387" spans="3:5" ht="16.5">
      <c r="C387" s="123"/>
      <c r="E387" s="123"/>
    </row>
    <row r="388" spans="3:5" ht="16.5">
      <c r="C388" s="123"/>
      <c r="E388" s="123"/>
    </row>
    <row r="389" spans="3:5" ht="16.5">
      <c r="C389" s="123"/>
      <c r="E389" s="123"/>
    </row>
    <row r="390" spans="3:5" ht="16.5">
      <c r="C390" s="123"/>
      <c r="E390" s="123"/>
    </row>
    <row r="391" spans="3:5" ht="16.5">
      <c r="C391" s="123"/>
      <c r="E391" s="123"/>
    </row>
    <row r="392" spans="3:5" ht="16.5">
      <c r="C392" s="123"/>
      <c r="E392" s="123"/>
    </row>
    <row r="393" spans="3:5" ht="16.5">
      <c r="C393" s="123"/>
      <c r="E393" s="123"/>
    </row>
    <row r="394" spans="3:5" ht="16.5">
      <c r="C394" s="123"/>
      <c r="E394" s="123"/>
    </row>
    <row r="395" spans="3:5" ht="16.5">
      <c r="C395" s="123"/>
      <c r="E395" s="123"/>
    </row>
    <row r="396" spans="3:5" ht="16.5">
      <c r="C396" s="123"/>
      <c r="E396" s="123"/>
    </row>
    <row r="397" spans="3:5" ht="16.5">
      <c r="C397" s="123"/>
      <c r="E397" s="123"/>
    </row>
    <row r="398" spans="3:5" ht="16.5">
      <c r="C398" s="123"/>
      <c r="E398" s="123"/>
    </row>
    <row r="399" spans="3:5" ht="16.5">
      <c r="C399" s="123"/>
      <c r="E399" s="123"/>
    </row>
    <row r="400" spans="3:5" ht="16.5">
      <c r="C400" s="123"/>
      <c r="E400" s="123"/>
    </row>
    <row r="401" spans="3:5" ht="16.5">
      <c r="C401" s="123"/>
      <c r="E401" s="123"/>
    </row>
    <row r="402" spans="3:5" ht="16.5">
      <c r="C402" s="123"/>
      <c r="E402" s="123"/>
    </row>
    <row r="403" spans="3:5" ht="16.5">
      <c r="C403" s="123"/>
      <c r="E403" s="123"/>
    </row>
    <row r="404" spans="3:5" ht="16.5">
      <c r="C404" s="123"/>
      <c r="E404" s="123"/>
    </row>
    <row r="405" spans="3:5" ht="16.5">
      <c r="C405" s="123"/>
      <c r="E405" s="123"/>
    </row>
    <row r="406" spans="3:5" ht="16.5">
      <c r="C406" s="123"/>
      <c r="E406" s="123"/>
    </row>
    <row r="407" spans="3:5" ht="16.5">
      <c r="C407" s="123"/>
      <c r="E407" s="123"/>
    </row>
    <row r="408" spans="3:5" ht="16.5">
      <c r="C408" s="123"/>
      <c r="E408" s="123"/>
    </row>
    <row r="409" spans="3:5" ht="16.5">
      <c r="C409" s="123"/>
      <c r="E409" s="123"/>
    </row>
    <row r="410" spans="3:5" ht="16.5">
      <c r="C410" s="123"/>
      <c r="E410" s="123"/>
    </row>
    <row r="411" spans="3:5" ht="16.5">
      <c r="C411" s="123"/>
      <c r="E411" s="123"/>
    </row>
    <row r="412" spans="3:5" ht="16.5">
      <c r="C412" s="123"/>
      <c r="E412" s="123"/>
    </row>
    <row r="413" spans="3:5" ht="16.5">
      <c r="C413" s="123"/>
      <c r="E413" s="123"/>
    </row>
    <row r="414" spans="3:5" ht="16.5">
      <c r="C414" s="123"/>
      <c r="E414" s="123"/>
    </row>
    <row r="415" spans="3:5" ht="16.5">
      <c r="C415" s="123"/>
      <c r="E415" s="123"/>
    </row>
    <row r="416" spans="3:5" ht="16.5">
      <c r="C416" s="123"/>
      <c r="E416" s="123"/>
    </row>
    <row r="417" spans="3:5" ht="16.5">
      <c r="C417" s="123"/>
      <c r="E417" s="123"/>
    </row>
    <row r="418" spans="3:5" ht="16.5">
      <c r="C418" s="123"/>
      <c r="E418" s="123"/>
    </row>
    <row r="419" spans="3:5" ht="16.5">
      <c r="C419" s="123"/>
      <c r="E419" s="123"/>
    </row>
    <row r="420" spans="3:5" ht="16.5">
      <c r="C420" s="123"/>
      <c r="E420" s="123"/>
    </row>
    <row r="421" spans="3:5" ht="16.5">
      <c r="C421" s="123"/>
      <c r="E421" s="123"/>
    </row>
    <row r="422" spans="3:5" ht="16.5">
      <c r="C422" s="123"/>
      <c r="E422" s="123"/>
    </row>
    <row r="423" spans="3:5" ht="16.5">
      <c r="C423" s="123"/>
      <c r="E423" s="123"/>
    </row>
    <row r="424" spans="3:5" ht="16.5">
      <c r="C424" s="123"/>
      <c r="E424" s="123"/>
    </row>
    <row r="425" spans="3:5" ht="16.5">
      <c r="C425" s="123"/>
      <c r="E425" s="123"/>
    </row>
    <row r="426" spans="3:5" ht="16.5">
      <c r="C426" s="123"/>
      <c r="E426" s="123"/>
    </row>
    <row r="427" spans="3:5" ht="16.5">
      <c r="C427" s="123"/>
      <c r="E427" s="123"/>
    </row>
    <row r="428" spans="3:5" ht="16.5">
      <c r="C428" s="123"/>
      <c r="E428" s="123"/>
    </row>
    <row r="429" spans="3:5" ht="16.5">
      <c r="C429" s="123"/>
      <c r="E429" s="123"/>
    </row>
    <row r="430" spans="3:5" ht="16.5">
      <c r="C430" s="123"/>
      <c r="E430" s="123"/>
    </row>
    <row r="431" spans="3:5" ht="16.5">
      <c r="C431" s="123"/>
      <c r="E431" s="123"/>
    </row>
    <row r="432" spans="3:5" ht="16.5">
      <c r="C432" s="123"/>
      <c r="E432" s="123"/>
    </row>
    <row r="433" spans="3:5" ht="16.5">
      <c r="C433" s="123"/>
      <c r="E433" s="123"/>
    </row>
    <row r="434" spans="3:5" ht="16.5">
      <c r="C434" s="123"/>
      <c r="E434" s="123"/>
    </row>
    <row r="435" spans="3:5" ht="16.5">
      <c r="C435" s="123"/>
      <c r="E435" s="123"/>
    </row>
    <row r="436" spans="3:5" ht="16.5">
      <c r="C436" s="123"/>
      <c r="E436" s="123"/>
    </row>
    <row r="437" spans="3:5" ht="16.5">
      <c r="C437" s="123"/>
      <c r="E437" s="123"/>
    </row>
    <row r="438" spans="3:5" ht="16.5">
      <c r="C438" s="123"/>
      <c r="E438" s="123"/>
    </row>
    <row r="439" spans="3:5" ht="16.5">
      <c r="C439" s="123"/>
      <c r="E439" s="123"/>
    </row>
    <row r="440" spans="3:5" ht="16.5">
      <c r="C440" s="123"/>
      <c r="E440" s="123"/>
    </row>
    <row r="441" spans="3:5" ht="16.5">
      <c r="C441" s="123"/>
      <c r="E441" s="123"/>
    </row>
    <row r="442" spans="3:5" ht="16.5">
      <c r="C442" s="123"/>
      <c r="E442" s="123"/>
    </row>
    <row r="443" spans="3:5" ht="16.5">
      <c r="C443" s="123"/>
      <c r="E443" s="123"/>
    </row>
    <row r="444" spans="3:5" ht="16.5">
      <c r="C444" s="123"/>
      <c r="E444" s="123"/>
    </row>
    <row r="445" spans="3:5" ht="16.5">
      <c r="C445" s="123"/>
      <c r="E445" s="123"/>
    </row>
    <row r="446" spans="3:5" ht="16.5">
      <c r="C446" s="123"/>
      <c r="E446" s="123"/>
    </row>
    <row r="447" spans="3:5" ht="16.5">
      <c r="C447" s="123"/>
      <c r="E447" s="123"/>
    </row>
    <row r="448" spans="3:5" ht="16.5">
      <c r="C448" s="123"/>
      <c r="E448" s="123"/>
    </row>
    <row r="449" spans="3:5" ht="16.5">
      <c r="C449" s="123"/>
      <c r="E449" s="123"/>
    </row>
    <row r="450" spans="3:5" ht="16.5">
      <c r="C450" s="123"/>
      <c r="E450" s="123"/>
    </row>
    <row r="451" spans="3:5" ht="16.5">
      <c r="C451" s="123"/>
      <c r="E451" s="123"/>
    </row>
    <row r="452" spans="3:5" ht="16.5">
      <c r="C452" s="123"/>
      <c r="E452" s="123"/>
    </row>
    <row r="453" spans="3:5" ht="16.5">
      <c r="C453" s="123"/>
      <c r="E453" s="123"/>
    </row>
    <row r="454" spans="3:5" ht="16.5">
      <c r="C454" s="123"/>
      <c r="E454" s="123"/>
    </row>
    <row r="455" spans="3:5" ht="16.5">
      <c r="C455" s="123"/>
      <c r="E455" s="123"/>
    </row>
    <row r="456" spans="3:5" ht="16.5">
      <c r="C456" s="123"/>
      <c r="E456" s="123"/>
    </row>
    <row r="457" spans="3:5" ht="16.5">
      <c r="C457" s="123"/>
      <c r="E457" s="123"/>
    </row>
    <row r="458" spans="3:5" ht="16.5">
      <c r="C458" s="123"/>
      <c r="E458" s="123"/>
    </row>
    <row r="459" spans="3:5" ht="16.5">
      <c r="C459" s="123"/>
      <c r="E459" s="123"/>
    </row>
    <row r="460" spans="3:5" ht="16.5">
      <c r="C460" s="123"/>
      <c r="E460" s="123"/>
    </row>
    <row r="461" spans="3:5" ht="16.5">
      <c r="C461" s="123"/>
      <c r="E461" s="123"/>
    </row>
    <row r="462" spans="3:5" ht="16.5">
      <c r="C462" s="123"/>
      <c r="E462" s="123"/>
    </row>
    <row r="463" spans="3:5" ht="16.5">
      <c r="C463" s="123"/>
      <c r="E463" s="123"/>
    </row>
    <row r="464" spans="3:5" ht="16.5">
      <c r="C464" s="123"/>
      <c r="E464" s="123"/>
    </row>
    <row r="465" spans="3:5" ht="16.5">
      <c r="C465" s="123"/>
      <c r="E465" s="123"/>
    </row>
    <row r="466" spans="3:5" ht="16.5">
      <c r="C466" s="123"/>
      <c r="E466" s="123"/>
    </row>
    <row r="467" spans="3:5" ht="16.5">
      <c r="C467" s="123"/>
      <c r="E467" s="123"/>
    </row>
    <row r="468" spans="3:5" ht="16.5">
      <c r="C468" s="123"/>
      <c r="E468" s="123"/>
    </row>
    <row r="469" spans="3:5" ht="16.5">
      <c r="C469" s="123"/>
      <c r="E469" s="123"/>
    </row>
    <row r="470" spans="3:5" ht="16.5">
      <c r="C470" s="123"/>
      <c r="E470" s="123"/>
    </row>
    <row r="471" spans="3:5" ht="16.5">
      <c r="C471" s="123"/>
      <c r="E471" s="123"/>
    </row>
    <row r="472" spans="3:5" ht="16.5">
      <c r="C472" s="123"/>
      <c r="E472" s="123"/>
    </row>
    <row r="473" spans="3:5" ht="16.5">
      <c r="C473" s="123"/>
      <c r="E473" s="123"/>
    </row>
    <row r="474" spans="3:5" ht="16.5">
      <c r="C474" s="123"/>
      <c r="E474" s="123"/>
    </row>
    <row r="475" spans="3:5" ht="16.5">
      <c r="C475" s="123"/>
      <c r="E475" s="123"/>
    </row>
    <row r="476" spans="3:5" ht="16.5">
      <c r="C476" s="123"/>
      <c r="E476" s="123"/>
    </row>
    <row r="477" spans="3:5" ht="16.5">
      <c r="C477" s="123"/>
      <c r="E477" s="123"/>
    </row>
    <row r="478" spans="3:5" ht="16.5">
      <c r="C478" s="123"/>
      <c r="E478" s="123"/>
    </row>
    <row r="479" spans="3:5" ht="16.5">
      <c r="C479" s="123"/>
      <c r="E479" s="123"/>
    </row>
    <row r="480" spans="3:5" ht="16.5">
      <c r="C480" s="123"/>
      <c r="E480" s="123"/>
    </row>
    <row r="481" spans="3:5" ht="16.5">
      <c r="C481" s="123"/>
      <c r="E481" s="123"/>
    </row>
    <row r="482" spans="3:5" ht="16.5">
      <c r="C482" s="123"/>
      <c r="E482" s="123"/>
    </row>
    <row r="483" spans="3:5" ht="16.5">
      <c r="C483" s="123"/>
      <c r="E483" s="123"/>
    </row>
    <row r="484" spans="3:5" ht="16.5">
      <c r="C484" s="123"/>
      <c r="E484" s="123"/>
    </row>
    <row r="485" spans="3:5" ht="16.5">
      <c r="C485" s="123"/>
      <c r="E485" s="123"/>
    </row>
    <row r="486" spans="3:5" ht="16.5">
      <c r="C486" s="123"/>
      <c r="E486" s="123"/>
    </row>
    <row r="487" spans="3:5" ht="16.5">
      <c r="C487" s="123"/>
      <c r="E487" s="123"/>
    </row>
    <row r="488" spans="3:5" ht="16.5">
      <c r="C488" s="123"/>
      <c r="E488" s="123"/>
    </row>
    <row r="489" spans="3:5" ht="16.5">
      <c r="C489" s="123"/>
      <c r="E489" s="123"/>
    </row>
    <row r="490" spans="3:5" ht="16.5">
      <c r="C490" s="123"/>
      <c r="E490" s="123"/>
    </row>
    <row r="491" spans="3:5" ht="16.5">
      <c r="C491" s="123"/>
      <c r="E491" s="123"/>
    </row>
    <row r="492" spans="3:5" ht="16.5">
      <c r="C492" s="123"/>
      <c r="E492" s="123"/>
    </row>
    <row r="493" spans="3:5" ht="16.5">
      <c r="C493" s="123"/>
      <c r="E493" s="123"/>
    </row>
    <row r="494" spans="3:5" ht="16.5">
      <c r="C494" s="123"/>
      <c r="E494" s="123"/>
    </row>
    <row r="495" spans="3:5" ht="16.5">
      <c r="C495" s="123"/>
      <c r="E495" s="123"/>
    </row>
    <row r="496" spans="3:5" ht="16.5">
      <c r="C496" s="123"/>
      <c r="E496" s="123"/>
    </row>
    <row r="497" spans="3:5" ht="16.5">
      <c r="C497" s="123"/>
      <c r="E497" s="123"/>
    </row>
    <row r="498" spans="3:5" ht="16.5">
      <c r="C498" s="123"/>
      <c r="E498" s="123"/>
    </row>
    <row r="499" spans="3:5" ht="16.5">
      <c r="C499" s="123"/>
      <c r="E499" s="123"/>
    </row>
    <row r="500" spans="3:5" ht="16.5">
      <c r="C500" s="123"/>
      <c r="E500" s="123"/>
    </row>
    <row r="501" spans="3:5" ht="16.5">
      <c r="C501" s="123"/>
      <c r="E501" s="123"/>
    </row>
    <row r="502" spans="3:5" ht="16.5">
      <c r="C502" s="123"/>
      <c r="E502" s="123"/>
    </row>
    <row r="503" spans="3:5" ht="16.5">
      <c r="C503" s="123"/>
      <c r="E503" s="123"/>
    </row>
    <row r="504" spans="3:5" ht="16.5">
      <c r="C504" s="123"/>
      <c r="E504" s="123"/>
    </row>
    <row r="505" spans="3:5" ht="16.5">
      <c r="C505" s="123"/>
      <c r="E505" s="123"/>
    </row>
    <row r="506" spans="3:5" ht="16.5">
      <c r="C506" s="123"/>
      <c r="E506" s="123"/>
    </row>
    <row r="507" spans="3:5" ht="16.5">
      <c r="C507" s="123"/>
      <c r="E507" s="123"/>
    </row>
    <row r="508" spans="3:5" ht="16.5">
      <c r="C508" s="123"/>
      <c r="E508" s="123"/>
    </row>
    <row r="509" spans="3:5" ht="16.5">
      <c r="C509" s="123"/>
      <c r="E509" s="123"/>
    </row>
    <row r="510" spans="3:5" ht="16.5">
      <c r="C510" s="123"/>
      <c r="E510" s="123"/>
    </row>
    <row r="511" spans="3:5" ht="16.5">
      <c r="C511" s="123"/>
      <c r="E511" s="123"/>
    </row>
    <row r="512" spans="3:5" ht="16.5">
      <c r="C512" s="123"/>
      <c r="E512" s="123"/>
    </row>
    <row r="513" spans="3:5" ht="16.5">
      <c r="C513" s="123"/>
      <c r="E513" s="123"/>
    </row>
    <row r="514" spans="3:5" ht="16.5">
      <c r="C514" s="123"/>
      <c r="E514" s="123"/>
    </row>
    <row r="515" spans="3:5" ht="16.5">
      <c r="C515" s="123"/>
      <c r="E515" s="123"/>
    </row>
    <row r="516" spans="3:5" ht="16.5">
      <c r="C516" s="123"/>
      <c r="E516" s="123"/>
    </row>
    <row r="517" spans="3:5" ht="16.5">
      <c r="C517" s="123"/>
      <c r="E517" s="123"/>
    </row>
    <row r="518" spans="3:5" ht="16.5">
      <c r="C518" s="123"/>
      <c r="E518" s="123"/>
    </row>
    <row r="519" spans="3:5" ht="16.5">
      <c r="C519" s="123"/>
      <c r="E519" s="123"/>
    </row>
    <row r="520" spans="3:5" ht="16.5">
      <c r="C520" s="123"/>
      <c r="E520" s="123"/>
    </row>
    <row r="521" spans="3:5" ht="16.5">
      <c r="C521" s="123"/>
      <c r="E521" s="123"/>
    </row>
    <row r="522" spans="3:5" ht="16.5">
      <c r="C522" s="123"/>
      <c r="E522" s="123"/>
    </row>
    <row r="523" spans="3:5" ht="16.5">
      <c r="C523" s="123"/>
      <c r="E523" s="123"/>
    </row>
    <row r="524" spans="3:5" ht="16.5">
      <c r="C524" s="123"/>
      <c r="E524" s="123"/>
    </row>
    <row r="525" spans="3:5" ht="16.5">
      <c r="C525" s="123"/>
      <c r="E525" s="123"/>
    </row>
    <row r="526" spans="3:5" ht="16.5">
      <c r="C526" s="123"/>
      <c r="E526" s="123"/>
    </row>
    <row r="527" spans="3:5" ht="16.5">
      <c r="C527" s="123"/>
      <c r="E527" s="123"/>
    </row>
    <row r="528" spans="3:5" ht="16.5">
      <c r="C528" s="123"/>
      <c r="E528" s="123"/>
    </row>
    <row r="529" spans="3:5" ht="16.5">
      <c r="C529" s="123"/>
      <c r="E529" s="123"/>
    </row>
    <row r="530" spans="3:5" ht="16.5">
      <c r="C530" s="123"/>
      <c r="E530" s="123"/>
    </row>
    <row r="531" spans="3:5" ht="16.5">
      <c r="C531" s="123"/>
      <c r="E531" s="123"/>
    </row>
    <row r="532" spans="3:5" ht="16.5">
      <c r="C532" s="123"/>
      <c r="E532" s="123"/>
    </row>
    <row r="533" spans="3:5" ht="16.5">
      <c r="C533" s="123"/>
      <c r="E533" s="123"/>
    </row>
    <row r="534" spans="3:5" ht="16.5">
      <c r="C534" s="123"/>
      <c r="E534" s="123"/>
    </row>
    <row r="535" spans="3:5" ht="16.5">
      <c r="C535" s="123"/>
      <c r="E535" s="123"/>
    </row>
    <row r="536" spans="3:5" ht="16.5">
      <c r="C536" s="123"/>
      <c r="E536" s="123"/>
    </row>
    <row r="537" spans="3:5" ht="16.5">
      <c r="C537" s="123"/>
      <c r="E537" s="123"/>
    </row>
    <row r="538" spans="3:5" ht="16.5">
      <c r="C538" s="123"/>
      <c r="E538" s="123"/>
    </row>
    <row r="539" spans="3:5" ht="16.5">
      <c r="C539" s="123"/>
      <c r="E539" s="123"/>
    </row>
    <row r="540" spans="3:5" ht="16.5">
      <c r="C540" s="123"/>
      <c r="E540" s="123"/>
    </row>
    <row r="541" spans="3:5" ht="16.5">
      <c r="C541" s="123"/>
      <c r="E541" s="123"/>
    </row>
    <row r="542" spans="3:5" ht="16.5">
      <c r="C542" s="123"/>
      <c r="E542" s="123"/>
    </row>
    <row r="543" spans="3:5" ht="16.5">
      <c r="C543" s="123"/>
      <c r="E543" s="123"/>
    </row>
    <row r="544" spans="3:5" ht="16.5">
      <c r="C544" s="123"/>
      <c r="E544" s="123"/>
    </row>
    <row r="545" spans="3:5" ht="16.5">
      <c r="C545" s="123"/>
      <c r="E545" s="123"/>
    </row>
    <row r="546" spans="3:5" ht="16.5">
      <c r="C546" s="123"/>
      <c r="E546" s="123"/>
    </row>
    <row r="547" spans="3:5" ht="16.5">
      <c r="C547" s="123"/>
      <c r="E547" s="123"/>
    </row>
    <row r="548" spans="3:5" ht="16.5">
      <c r="C548" s="123"/>
      <c r="E548" s="123"/>
    </row>
    <row r="549" spans="3:5" ht="16.5">
      <c r="C549" s="123"/>
      <c r="E549" s="123"/>
    </row>
    <row r="550" spans="3:5" ht="16.5">
      <c r="C550" s="123"/>
      <c r="E550" s="123"/>
    </row>
    <row r="551" spans="3:5" ht="16.5">
      <c r="C551" s="123"/>
      <c r="E551" s="123"/>
    </row>
    <row r="552" spans="3:5" ht="16.5">
      <c r="C552" s="123"/>
      <c r="E552" s="123"/>
    </row>
    <row r="553" spans="3:5" ht="16.5">
      <c r="C553" s="123"/>
      <c r="E553" s="123"/>
    </row>
    <row r="554" spans="3:5" ht="16.5">
      <c r="C554" s="123"/>
      <c r="E554" s="123"/>
    </row>
    <row r="555" spans="3:5" ht="16.5">
      <c r="C555" s="123"/>
      <c r="E555" s="123"/>
    </row>
    <row r="556" spans="3:5" ht="16.5">
      <c r="C556" s="123"/>
      <c r="E556" s="123"/>
    </row>
    <row r="557" spans="3:5" ht="16.5">
      <c r="C557" s="123"/>
      <c r="E557" s="123"/>
    </row>
    <row r="558" spans="3:5" ht="16.5">
      <c r="C558" s="123"/>
      <c r="E558" s="123"/>
    </row>
    <row r="559" spans="3:5" ht="16.5">
      <c r="C559" s="123"/>
      <c r="E559" s="123"/>
    </row>
    <row r="560" spans="3:5" ht="16.5">
      <c r="C560" s="123"/>
      <c r="E560" s="123"/>
    </row>
    <row r="561" spans="3:5" ht="16.5">
      <c r="C561" s="123"/>
      <c r="E561" s="123"/>
    </row>
    <row r="562" spans="3:5" ht="16.5">
      <c r="C562" s="123"/>
      <c r="E562" s="123"/>
    </row>
    <row r="563" spans="3:5" ht="16.5">
      <c r="C563" s="123"/>
      <c r="E563" s="123"/>
    </row>
    <row r="564" spans="3:5" ht="16.5">
      <c r="C564" s="123"/>
      <c r="E564" s="123"/>
    </row>
    <row r="565" spans="3:5" ht="16.5">
      <c r="C565" s="123"/>
      <c r="E565" s="123"/>
    </row>
    <row r="566" spans="3:5" ht="16.5">
      <c r="C566" s="123"/>
      <c r="E566" s="123"/>
    </row>
    <row r="567" spans="3:5" ht="16.5">
      <c r="C567" s="123"/>
      <c r="E567" s="123"/>
    </row>
    <row r="568" spans="3:5" ht="16.5">
      <c r="C568" s="123"/>
      <c r="E568" s="123"/>
    </row>
    <row r="569" spans="3:5" ht="16.5">
      <c r="C569" s="123"/>
      <c r="E569" s="123"/>
    </row>
    <row r="570" spans="3:5" ht="16.5">
      <c r="C570" s="123"/>
      <c r="E570" s="123"/>
    </row>
    <row r="571" spans="3:5" ht="16.5">
      <c r="C571" s="123"/>
      <c r="E571" s="123"/>
    </row>
    <row r="572" spans="3:5" ht="16.5">
      <c r="C572" s="123"/>
      <c r="E572" s="123"/>
    </row>
    <row r="573" spans="3:5" ht="16.5">
      <c r="C573" s="123"/>
      <c r="E573" s="123"/>
    </row>
    <row r="574" spans="3:5" ht="16.5">
      <c r="C574" s="123"/>
      <c r="E574" s="123"/>
    </row>
    <row r="575" spans="3:5" ht="16.5">
      <c r="C575" s="123"/>
      <c r="E575" s="123"/>
    </row>
    <row r="576" spans="3:5" ht="16.5">
      <c r="C576" s="123"/>
      <c r="E576" s="123"/>
    </row>
    <row r="577" spans="3:5" ht="16.5">
      <c r="C577" s="123"/>
      <c r="E577" s="123"/>
    </row>
    <row r="578" spans="3:5" ht="16.5">
      <c r="C578" s="123"/>
      <c r="E578" s="123"/>
    </row>
    <row r="579" spans="3:5" ht="16.5">
      <c r="C579" s="123"/>
      <c r="E579" s="123"/>
    </row>
    <row r="580" spans="3:5" ht="16.5">
      <c r="C580" s="123"/>
      <c r="E580" s="123"/>
    </row>
    <row r="581" spans="3:5" ht="16.5">
      <c r="C581" s="123"/>
      <c r="E581" s="123"/>
    </row>
    <row r="582" spans="3:5" ht="16.5">
      <c r="C582" s="123"/>
      <c r="E582" s="123"/>
    </row>
    <row r="583" spans="3:5" ht="16.5">
      <c r="C583" s="123"/>
      <c r="E583" s="123"/>
    </row>
    <row r="584" spans="3:5" ht="16.5">
      <c r="C584" s="123"/>
      <c r="E584" s="123"/>
    </row>
    <row r="585" spans="3:5" ht="16.5">
      <c r="C585" s="123"/>
      <c r="E585" s="123"/>
    </row>
    <row r="586" spans="3:5" ht="16.5">
      <c r="C586" s="123"/>
      <c r="E586" s="123"/>
    </row>
    <row r="587" spans="3:5" ht="16.5">
      <c r="C587" s="123"/>
      <c r="E587" s="123"/>
    </row>
    <row r="588" spans="3:5" ht="16.5">
      <c r="C588" s="123"/>
      <c r="E588" s="123"/>
    </row>
    <row r="589" spans="3:5" ht="16.5">
      <c r="C589" s="123"/>
      <c r="E589" s="123"/>
    </row>
    <row r="590" spans="3:5" ht="16.5">
      <c r="C590" s="123"/>
      <c r="E590" s="123"/>
    </row>
    <row r="591" spans="3:5" ht="16.5">
      <c r="C591" s="123"/>
      <c r="E591" s="123"/>
    </row>
    <row r="592" spans="3:5" ht="16.5">
      <c r="C592" s="123"/>
      <c r="E592" s="123"/>
    </row>
    <row r="593" spans="3:5" ht="16.5">
      <c r="C593" s="123"/>
      <c r="E593" s="123"/>
    </row>
    <row r="594" spans="3:5" ht="16.5">
      <c r="C594" s="123"/>
      <c r="E594" s="123"/>
    </row>
    <row r="595" spans="3:5" ht="16.5">
      <c r="C595" s="123"/>
      <c r="E595" s="123"/>
    </row>
    <row r="596" spans="3:5" ht="16.5">
      <c r="C596" s="123"/>
      <c r="E596" s="123"/>
    </row>
    <row r="597" spans="3:5" ht="16.5">
      <c r="C597" s="123"/>
      <c r="E597" s="123"/>
    </row>
    <row r="598" spans="3:5" ht="16.5">
      <c r="C598" s="123"/>
      <c r="E598" s="123"/>
    </row>
    <row r="599" spans="3:5" ht="16.5">
      <c r="C599" s="123"/>
      <c r="E599" s="123"/>
    </row>
    <row r="600" spans="3:5" ht="16.5">
      <c r="C600" s="123"/>
      <c r="E600" s="123"/>
    </row>
    <row r="601" spans="3:5" ht="16.5">
      <c r="C601" s="123"/>
      <c r="E601" s="123"/>
    </row>
    <row r="602" spans="3:5" ht="16.5">
      <c r="C602" s="123"/>
      <c r="E602" s="123"/>
    </row>
    <row r="603" spans="3:5" ht="16.5">
      <c r="C603" s="123"/>
      <c r="E603" s="123"/>
    </row>
    <row r="604" spans="3:5" ht="16.5">
      <c r="C604" s="123"/>
      <c r="E604" s="123"/>
    </row>
    <row r="605" spans="3:5" ht="16.5">
      <c r="C605" s="123"/>
      <c r="E605" s="123"/>
    </row>
    <row r="606" spans="3:5" ht="16.5">
      <c r="C606" s="123"/>
      <c r="E606" s="123"/>
    </row>
    <row r="607" spans="3:5" ht="16.5">
      <c r="C607" s="123"/>
      <c r="E607" s="123"/>
    </row>
    <row r="608" spans="3:5" ht="16.5">
      <c r="C608" s="123"/>
      <c r="E608" s="123"/>
    </row>
    <row r="609" spans="3:5" ht="16.5">
      <c r="C609" s="123"/>
      <c r="E609" s="123"/>
    </row>
    <row r="610" spans="3:5" ht="16.5">
      <c r="C610" s="123"/>
      <c r="E610" s="123"/>
    </row>
    <row r="611" spans="3:5" ht="16.5">
      <c r="C611" s="123"/>
      <c r="E611" s="123"/>
    </row>
    <row r="612" spans="3:5" ht="16.5">
      <c r="C612" s="123"/>
      <c r="E612" s="123"/>
    </row>
    <row r="613" spans="3:5" ht="16.5">
      <c r="C613" s="123"/>
      <c r="E613" s="123"/>
    </row>
    <row r="614" spans="3:5" ht="16.5">
      <c r="C614" s="123"/>
      <c r="E614" s="123"/>
    </row>
    <row r="615" spans="3:5" ht="16.5">
      <c r="C615" s="123"/>
      <c r="E615" s="123"/>
    </row>
    <row r="616" spans="3:5" ht="16.5">
      <c r="C616" s="123"/>
      <c r="E616" s="123"/>
    </row>
    <row r="617" spans="3:5" ht="16.5">
      <c r="C617" s="123"/>
      <c r="E617" s="123"/>
    </row>
    <row r="618" spans="3:5" ht="16.5">
      <c r="C618" s="123"/>
      <c r="E618" s="123"/>
    </row>
    <row r="619" spans="3:5" ht="16.5">
      <c r="C619" s="123"/>
      <c r="E619" s="123"/>
    </row>
    <row r="620" spans="3:5" ht="16.5">
      <c r="C620" s="123"/>
      <c r="E620" s="123"/>
    </row>
    <row r="621" spans="3:5" ht="16.5">
      <c r="C621" s="123"/>
      <c r="E621" s="123"/>
    </row>
    <row r="622" spans="3:5" ht="16.5">
      <c r="C622" s="123"/>
      <c r="E622" s="123"/>
    </row>
    <row r="623" spans="3:5" ht="16.5">
      <c r="C623" s="123"/>
      <c r="E623" s="123"/>
    </row>
    <row r="624" spans="3:5" ht="16.5">
      <c r="C624" s="123"/>
      <c r="E624" s="123"/>
    </row>
    <row r="625" spans="3:5" ht="16.5">
      <c r="C625" s="123"/>
      <c r="E625" s="123"/>
    </row>
    <row r="626" spans="3:5" ht="16.5">
      <c r="C626" s="123"/>
      <c r="E626" s="123"/>
    </row>
    <row r="627" spans="3:5" ht="16.5">
      <c r="C627" s="123"/>
      <c r="E627" s="123"/>
    </row>
    <row r="628" spans="3:5" ht="16.5">
      <c r="C628" s="123"/>
      <c r="E628" s="123"/>
    </row>
    <row r="629" spans="3:5" ht="16.5">
      <c r="C629" s="123"/>
      <c r="E629" s="123"/>
    </row>
    <row r="630" spans="3:5" ht="16.5">
      <c r="C630" s="123"/>
      <c r="E630" s="123"/>
    </row>
    <row r="631" spans="3:5" ht="16.5">
      <c r="C631" s="123"/>
      <c r="E631" s="123"/>
    </row>
    <row r="632" spans="3:5" ht="16.5">
      <c r="C632" s="123"/>
      <c r="E632" s="123"/>
    </row>
    <row r="633" spans="3:5" ht="16.5">
      <c r="C633" s="123"/>
      <c r="E633" s="123"/>
    </row>
    <row r="634" spans="3:5" ht="16.5">
      <c r="C634" s="123"/>
      <c r="E634" s="123"/>
    </row>
    <row r="635" spans="3:5" ht="16.5">
      <c r="C635" s="123"/>
      <c r="E635" s="123"/>
    </row>
    <row r="636" spans="3:5" ht="16.5">
      <c r="C636" s="123"/>
      <c r="E636" s="123"/>
    </row>
    <row r="637" spans="3:5" ht="16.5">
      <c r="C637" s="123"/>
      <c r="E637" s="123"/>
    </row>
    <row r="638" spans="3:5" ht="16.5">
      <c r="C638" s="123"/>
      <c r="E638" s="123"/>
    </row>
    <row r="639" spans="3:5" ht="16.5">
      <c r="C639" s="123"/>
      <c r="E639" s="123"/>
    </row>
    <row r="640" spans="3:5" ht="16.5">
      <c r="C640" s="123"/>
      <c r="E640" s="123"/>
    </row>
    <row r="641" spans="3:5" ht="16.5">
      <c r="C641" s="123"/>
      <c r="E641" s="123"/>
    </row>
    <row r="642" spans="3:5" ht="16.5">
      <c r="C642" s="123"/>
      <c r="E642" s="123"/>
    </row>
    <row r="643" spans="3:5" ht="16.5">
      <c r="C643" s="123"/>
      <c r="E643" s="123"/>
    </row>
    <row r="644" spans="3:5" ht="16.5">
      <c r="C644" s="123"/>
      <c r="E644" s="123"/>
    </row>
    <row r="645" spans="3:5" ht="16.5">
      <c r="C645" s="123"/>
      <c r="E645" s="123"/>
    </row>
    <row r="646" spans="3:5" ht="16.5">
      <c r="C646" s="123"/>
      <c r="E646" s="123"/>
    </row>
    <row r="647" spans="3:5" ht="16.5">
      <c r="C647" s="123"/>
      <c r="E647" s="123"/>
    </row>
    <row r="648" spans="3:5" ht="16.5">
      <c r="C648" s="123"/>
      <c r="E648" s="123"/>
    </row>
    <row r="649" spans="3:5" ht="16.5">
      <c r="C649" s="123"/>
      <c r="E649" s="123"/>
    </row>
    <row r="650" spans="3:5" ht="16.5">
      <c r="C650" s="123"/>
      <c r="E650" s="123"/>
    </row>
    <row r="651" spans="3:5" ht="16.5">
      <c r="C651" s="123"/>
      <c r="E651" s="123"/>
    </row>
    <row r="652" spans="3:5" ht="16.5">
      <c r="C652" s="123"/>
      <c r="E652" s="123"/>
    </row>
    <row r="653" spans="3:5" ht="16.5">
      <c r="C653" s="123"/>
      <c r="E653" s="123"/>
    </row>
    <row r="654" spans="3:5" ht="16.5">
      <c r="C654" s="123"/>
      <c r="E654" s="123"/>
    </row>
    <row r="655" spans="3:5" ht="16.5">
      <c r="C655" s="123"/>
      <c r="E655" s="123"/>
    </row>
    <row r="656" spans="3:5" ht="16.5">
      <c r="C656" s="123"/>
      <c r="E656" s="123"/>
    </row>
    <row r="657" spans="3:5" ht="16.5">
      <c r="C657" s="123"/>
      <c r="E657" s="123"/>
    </row>
    <row r="658" spans="3:5" ht="16.5">
      <c r="C658" s="123"/>
      <c r="E658" s="123"/>
    </row>
    <row r="659" spans="3:5" ht="16.5">
      <c r="C659" s="123"/>
      <c r="E659" s="123"/>
    </row>
    <row r="660" spans="3:5" ht="16.5">
      <c r="C660" s="123"/>
      <c r="E660" s="123"/>
    </row>
    <row r="661" spans="3:5" ht="16.5">
      <c r="C661" s="123"/>
      <c r="E661" s="123"/>
    </row>
    <row r="662" spans="3:5" ht="16.5">
      <c r="C662" s="123"/>
      <c r="E662" s="123"/>
    </row>
    <row r="663" spans="3:5" ht="16.5">
      <c r="C663" s="123"/>
      <c r="E663" s="123"/>
    </row>
    <row r="664" spans="3:5" ht="16.5">
      <c r="C664" s="123"/>
      <c r="E664" s="123"/>
    </row>
    <row r="665" spans="3:5" ht="16.5">
      <c r="C665" s="123"/>
      <c r="E665" s="123"/>
    </row>
    <row r="666" spans="3:5" ht="16.5">
      <c r="C666" s="123"/>
      <c r="E666" s="123"/>
    </row>
    <row r="667" spans="3:5" ht="16.5">
      <c r="C667" s="123"/>
      <c r="E667" s="123"/>
    </row>
    <row r="668" spans="3:5" ht="16.5">
      <c r="C668" s="123"/>
      <c r="E668" s="123"/>
    </row>
    <row r="669" spans="3:5" ht="16.5">
      <c r="C669" s="123"/>
      <c r="E669" s="123"/>
    </row>
    <row r="670" spans="3:5" ht="16.5">
      <c r="C670" s="123"/>
      <c r="E670" s="123"/>
    </row>
    <row r="671" spans="3:5" ht="16.5">
      <c r="C671" s="123"/>
      <c r="E671" s="123"/>
    </row>
    <row r="672" spans="3:5" ht="16.5">
      <c r="C672" s="123"/>
      <c r="E672" s="123"/>
    </row>
    <row r="673" spans="3:5" ht="16.5">
      <c r="C673" s="123"/>
      <c r="E673" s="123"/>
    </row>
    <row r="674" spans="3:5" ht="16.5">
      <c r="C674" s="123"/>
      <c r="E674" s="123"/>
    </row>
    <row r="675" spans="3:5" ht="16.5">
      <c r="C675" s="123"/>
      <c r="E675" s="123"/>
    </row>
    <row r="676" spans="3:5" ht="16.5">
      <c r="C676" s="123"/>
      <c r="E676" s="123"/>
    </row>
    <row r="677" spans="3:5" ht="16.5">
      <c r="C677" s="123"/>
      <c r="E677" s="123"/>
    </row>
    <row r="678" spans="3:5" ht="16.5">
      <c r="C678" s="123"/>
      <c r="E678" s="123"/>
    </row>
    <row r="679" spans="3:5" ht="16.5">
      <c r="C679" s="123"/>
      <c r="E679" s="123"/>
    </row>
    <row r="680" spans="3:5" ht="16.5">
      <c r="C680" s="123"/>
      <c r="E680" s="123"/>
    </row>
    <row r="681" spans="3:5" ht="16.5">
      <c r="C681" s="123"/>
      <c r="E681" s="123"/>
    </row>
    <row r="682" spans="3:5" ht="16.5">
      <c r="C682" s="123"/>
      <c r="E682" s="123"/>
    </row>
    <row r="683" spans="3:5" ht="16.5">
      <c r="C683" s="123"/>
      <c r="E683" s="123"/>
    </row>
    <row r="684" spans="3:5" ht="16.5">
      <c r="C684" s="123"/>
      <c r="E684" s="123"/>
    </row>
    <row r="685" spans="3:5" ht="16.5">
      <c r="C685" s="123"/>
      <c r="E685" s="123"/>
    </row>
    <row r="686" spans="3:5" ht="16.5">
      <c r="C686" s="123"/>
      <c r="E686" s="123"/>
    </row>
    <row r="687" spans="3:5" ht="16.5">
      <c r="C687" s="123"/>
      <c r="E687" s="123"/>
    </row>
    <row r="688" spans="3:5" ht="16.5">
      <c r="C688" s="123"/>
      <c r="E688" s="123"/>
    </row>
    <row r="689" spans="3:5" ht="16.5">
      <c r="C689" s="123"/>
      <c r="E689" s="123"/>
    </row>
    <row r="690" spans="3:5" ht="16.5">
      <c r="C690" s="123"/>
      <c r="E690" s="123"/>
    </row>
    <row r="691" spans="3:5" ht="16.5">
      <c r="C691" s="123"/>
      <c r="E691" s="123"/>
    </row>
    <row r="692" spans="3:5" ht="16.5">
      <c r="C692" s="123"/>
      <c r="E692" s="123"/>
    </row>
    <row r="693" spans="3:5" ht="16.5">
      <c r="C693" s="123"/>
      <c r="E693" s="123"/>
    </row>
    <row r="694" spans="3:5" ht="16.5">
      <c r="C694" s="123"/>
      <c r="E694" s="123"/>
    </row>
    <row r="695" spans="3:5" ht="16.5">
      <c r="C695" s="123"/>
      <c r="E695" s="123"/>
    </row>
    <row r="696" spans="3:5" ht="16.5">
      <c r="C696" s="123"/>
      <c r="E696" s="123"/>
    </row>
    <row r="697" spans="3:5" ht="16.5">
      <c r="C697" s="123"/>
      <c r="E697" s="123"/>
    </row>
    <row r="698" spans="3:5" ht="16.5">
      <c r="C698" s="123"/>
      <c r="E698" s="123"/>
    </row>
    <row r="699" spans="3:5" ht="16.5">
      <c r="C699" s="123"/>
      <c r="E699" s="123"/>
    </row>
    <row r="700" spans="3:5" ht="16.5">
      <c r="C700" s="123"/>
      <c r="E700" s="123"/>
    </row>
    <row r="701" spans="3:5" ht="16.5">
      <c r="C701" s="123"/>
      <c r="E701" s="123"/>
    </row>
    <row r="702" spans="3:5" ht="16.5">
      <c r="C702" s="123"/>
      <c r="E702" s="123"/>
    </row>
    <row r="703" spans="3:5" ht="16.5">
      <c r="C703" s="123"/>
      <c r="E703" s="123"/>
    </row>
    <row r="704" spans="3:5" ht="16.5">
      <c r="C704" s="123"/>
      <c r="E704" s="123"/>
    </row>
    <row r="705" spans="3:5" ht="16.5">
      <c r="C705" s="123"/>
      <c r="E705" s="123"/>
    </row>
    <row r="706" spans="3:5" ht="16.5">
      <c r="C706" s="123"/>
      <c r="E706" s="123"/>
    </row>
    <row r="707" spans="3:5" ht="16.5">
      <c r="C707" s="123"/>
      <c r="E707" s="123"/>
    </row>
    <row r="708" spans="3:5" ht="16.5">
      <c r="C708" s="123"/>
      <c r="E708" s="123"/>
    </row>
    <row r="709" spans="3:5" ht="16.5">
      <c r="C709" s="123"/>
      <c r="E709" s="123"/>
    </row>
    <row r="710" spans="3:5" ht="16.5">
      <c r="C710" s="123"/>
      <c r="E710" s="123"/>
    </row>
    <row r="711" spans="3:5" ht="16.5">
      <c r="C711" s="123"/>
      <c r="E711" s="123"/>
    </row>
    <row r="712" spans="3:5" ht="16.5">
      <c r="C712" s="123"/>
      <c r="E712" s="123"/>
    </row>
    <row r="713" spans="3:5" ht="16.5">
      <c r="C713" s="123"/>
      <c r="E713" s="123"/>
    </row>
    <row r="714" spans="3:5" ht="16.5">
      <c r="C714" s="123"/>
      <c r="E714" s="123"/>
    </row>
    <row r="715" spans="3:5" ht="16.5">
      <c r="C715" s="123"/>
      <c r="E715" s="123"/>
    </row>
    <row r="716" spans="3:5" ht="16.5">
      <c r="C716" s="123"/>
      <c r="E716" s="123"/>
    </row>
    <row r="717" spans="3:5" ht="16.5">
      <c r="C717" s="123"/>
      <c r="E717" s="123"/>
    </row>
    <row r="718" spans="3:5" ht="16.5">
      <c r="C718" s="123"/>
      <c r="E718" s="123"/>
    </row>
    <row r="719" spans="3:5" ht="16.5">
      <c r="C719" s="123"/>
      <c r="E719" s="123"/>
    </row>
    <row r="720" spans="3:5" ht="16.5">
      <c r="C720" s="123"/>
      <c r="E720" s="123"/>
    </row>
    <row r="721" spans="3:5" ht="16.5">
      <c r="C721" s="123"/>
      <c r="E721" s="123"/>
    </row>
    <row r="722" spans="3:5" ht="16.5">
      <c r="C722" s="123"/>
      <c r="E722" s="123"/>
    </row>
    <row r="723" spans="3:5" ht="16.5">
      <c r="C723" s="123"/>
      <c r="E723" s="123"/>
    </row>
    <row r="724" spans="3:5" ht="16.5">
      <c r="C724" s="123"/>
      <c r="E724" s="123"/>
    </row>
    <row r="725" spans="3:5" ht="16.5">
      <c r="C725" s="123"/>
      <c r="E725" s="123"/>
    </row>
    <row r="726" spans="3:5" ht="16.5">
      <c r="C726" s="123"/>
      <c r="E726" s="123"/>
    </row>
    <row r="727" spans="3:5" ht="16.5">
      <c r="C727" s="123"/>
      <c r="E727" s="123"/>
    </row>
    <row r="728" spans="3:5" ht="16.5">
      <c r="C728" s="123"/>
      <c r="E728" s="123"/>
    </row>
    <row r="729" spans="3:5" ht="16.5">
      <c r="C729" s="123"/>
      <c r="E729" s="123"/>
    </row>
    <row r="730" spans="3:5" ht="16.5">
      <c r="C730" s="123"/>
      <c r="E730" s="123"/>
    </row>
    <row r="731" spans="3:5" ht="16.5">
      <c r="C731" s="123"/>
      <c r="E731" s="123"/>
    </row>
    <row r="732" spans="3:5" ht="16.5">
      <c r="C732" s="123"/>
      <c r="E732" s="123"/>
    </row>
    <row r="733" spans="3:5" ht="16.5">
      <c r="C733" s="123"/>
      <c r="E733" s="123"/>
    </row>
    <row r="734" spans="3:5" ht="16.5">
      <c r="C734" s="123"/>
      <c r="E734" s="123"/>
    </row>
    <row r="735" spans="3:5" ht="16.5">
      <c r="C735" s="123"/>
      <c r="E735" s="123"/>
    </row>
    <row r="736" spans="3:5" ht="16.5">
      <c r="C736" s="123"/>
      <c r="E736" s="123"/>
    </row>
    <row r="737" spans="3:5" ht="16.5">
      <c r="C737" s="123"/>
      <c r="E737" s="123"/>
    </row>
    <row r="738" spans="3:5" ht="16.5">
      <c r="C738" s="123"/>
      <c r="E738" s="123"/>
    </row>
    <row r="739" spans="3:5" ht="16.5">
      <c r="C739" s="123"/>
      <c r="E739" s="123"/>
    </row>
    <row r="740" spans="3:5" ht="16.5">
      <c r="C740" s="123"/>
      <c r="E740" s="123"/>
    </row>
    <row r="741" spans="3:5" ht="16.5">
      <c r="C741" s="123"/>
      <c r="E741" s="123"/>
    </row>
    <row r="742" spans="3:5" ht="16.5">
      <c r="C742" s="123"/>
      <c r="E742" s="123"/>
    </row>
    <row r="743" spans="3:5" ht="16.5">
      <c r="C743" s="123"/>
      <c r="E743" s="123"/>
    </row>
    <row r="744" spans="3:5" ht="16.5">
      <c r="C744" s="123"/>
      <c r="E744" s="123"/>
    </row>
    <row r="745" spans="3:5" ht="16.5">
      <c r="C745" s="123"/>
      <c r="E745" s="123"/>
    </row>
    <row r="746" spans="3:5" ht="16.5">
      <c r="C746" s="123"/>
      <c r="E746" s="123"/>
    </row>
    <row r="747" spans="3:5" ht="16.5">
      <c r="C747" s="123"/>
      <c r="E747" s="123"/>
    </row>
    <row r="748" spans="3:5" ht="16.5">
      <c r="C748" s="123"/>
      <c r="E748" s="123"/>
    </row>
    <row r="749" spans="3:5" ht="16.5">
      <c r="C749" s="123"/>
      <c r="E749" s="123"/>
    </row>
    <row r="750" spans="3:5" ht="16.5">
      <c r="C750" s="123"/>
      <c r="E750" s="123"/>
    </row>
    <row r="751" spans="3:5" ht="16.5">
      <c r="C751" s="123"/>
      <c r="E751" s="123"/>
    </row>
    <row r="752" spans="3:5" ht="16.5">
      <c r="C752" s="123"/>
      <c r="E752" s="123"/>
    </row>
    <row r="753" spans="3:5" ht="16.5">
      <c r="C753" s="123"/>
      <c r="E753" s="123"/>
    </row>
    <row r="754" spans="3:5" ht="16.5">
      <c r="C754" s="123"/>
      <c r="E754" s="123"/>
    </row>
    <row r="755" spans="3:5" ht="16.5">
      <c r="C755" s="123"/>
      <c r="E755" s="123"/>
    </row>
    <row r="756" spans="3:5" ht="16.5">
      <c r="C756" s="123"/>
      <c r="E756" s="123"/>
    </row>
    <row r="757" spans="3:5" ht="16.5">
      <c r="C757" s="123"/>
      <c r="E757" s="123"/>
    </row>
    <row r="758" spans="3:5" ht="16.5">
      <c r="C758" s="123"/>
      <c r="E758" s="123"/>
    </row>
    <row r="759" spans="3:5" ht="16.5">
      <c r="C759" s="123"/>
      <c r="E759" s="123"/>
    </row>
    <row r="760" spans="3:5" ht="16.5">
      <c r="C760" s="123"/>
      <c r="E760" s="123"/>
    </row>
    <row r="761" spans="3:5" ht="16.5">
      <c r="C761" s="123"/>
      <c r="E761" s="123"/>
    </row>
    <row r="762" spans="3:5" ht="16.5">
      <c r="C762" s="123"/>
      <c r="E762" s="123"/>
    </row>
    <row r="763" spans="3:5" ht="16.5">
      <c r="C763" s="123"/>
      <c r="E763" s="123"/>
    </row>
    <row r="764" spans="3:5" ht="16.5">
      <c r="C764" s="123"/>
      <c r="E764" s="123"/>
    </row>
    <row r="765" spans="3:5" ht="16.5">
      <c r="C765" s="123"/>
      <c r="E765" s="123"/>
    </row>
    <row r="766" spans="3:5" ht="16.5">
      <c r="C766" s="123"/>
      <c r="E766" s="123"/>
    </row>
    <row r="767" spans="3:5" ht="16.5">
      <c r="C767" s="123"/>
      <c r="E767" s="123"/>
    </row>
    <row r="768" spans="3:5" ht="16.5">
      <c r="C768" s="123"/>
      <c r="E768" s="123"/>
    </row>
    <row r="769" spans="3:5" ht="16.5">
      <c r="C769" s="123"/>
      <c r="E769" s="123"/>
    </row>
    <row r="770" spans="3:5" ht="16.5">
      <c r="C770" s="123"/>
      <c r="E770" s="123"/>
    </row>
    <row r="771" spans="3:5" ht="16.5">
      <c r="C771" s="123"/>
      <c r="E771" s="123"/>
    </row>
    <row r="772" spans="3:5" ht="16.5">
      <c r="C772" s="123"/>
      <c r="E772" s="123"/>
    </row>
    <row r="773" spans="3:5" ht="16.5">
      <c r="C773" s="123"/>
      <c r="E773" s="123"/>
    </row>
    <row r="774" spans="3:5" ht="16.5">
      <c r="C774" s="123"/>
      <c r="E774" s="123"/>
    </row>
    <row r="775" spans="3:5" ht="16.5">
      <c r="C775" s="123"/>
      <c r="E775" s="123"/>
    </row>
    <row r="776" spans="3:5" ht="16.5">
      <c r="C776" s="123"/>
      <c r="E776" s="123"/>
    </row>
    <row r="777" spans="3:5" ht="16.5">
      <c r="C777" s="123"/>
      <c r="E777" s="123"/>
    </row>
    <row r="778" spans="3:5" ht="16.5">
      <c r="C778" s="123"/>
      <c r="E778" s="123"/>
    </row>
    <row r="779" spans="3:5" ht="16.5">
      <c r="C779" s="123"/>
      <c r="E779" s="123"/>
    </row>
    <row r="780" spans="3:5" ht="16.5">
      <c r="C780" s="123"/>
      <c r="E780" s="123"/>
    </row>
    <row r="781" spans="3:5" ht="16.5">
      <c r="C781" s="123"/>
      <c r="E781" s="123"/>
    </row>
    <row r="782" spans="3:5" ht="16.5">
      <c r="C782" s="123"/>
      <c r="E782" s="123"/>
    </row>
    <row r="783" spans="3:5" ht="16.5">
      <c r="C783" s="123"/>
      <c r="E783" s="123"/>
    </row>
    <row r="784" spans="3:5" ht="16.5">
      <c r="C784" s="123"/>
      <c r="E784" s="123"/>
    </row>
    <row r="785" spans="3:5" ht="16.5">
      <c r="C785" s="123"/>
      <c r="E785" s="123"/>
    </row>
    <row r="786" spans="3:5" ht="16.5">
      <c r="C786" s="123"/>
      <c r="E786" s="123"/>
    </row>
    <row r="787" spans="3:5" ht="16.5">
      <c r="C787" s="123"/>
      <c r="E787" s="123"/>
    </row>
    <row r="788" spans="3:5" ht="16.5">
      <c r="C788" s="123"/>
      <c r="E788" s="123"/>
    </row>
    <row r="789" spans="3:5" ht="16.5">
      <c r="C789" s="123"/>
      <c r="E789" s="123"/>
    </row>
    <row r="790" spans="3:5" ht="16.5">
      <c r="C790" s="123"/>
      <c r="E790" s="123"/>
    </row>
    <row r="791" spans="3:5" ht="16.5">
      <c r="C791" s="123"/>
      <c r="E791" s="123"/>
    </row>
    <row r="792" spans="3:5" ht="16.5">
      <c r="C792" s="123"/>
      <c r="E792" s="123"/>
    </row>
    <row r="793" spans="3:5" ht="16.5">
      <c r="C793" s="123"/>
      <c r="E793" s="123"/>
    </row>
    <row r="794" spans="3:5" ht="16.5">
      <c r="C794" s="123"/>
      <c r="E794" s="123"/>
    </row>
    <row r="795" spans="3:5" ht="16.5">
      <c r="C795" s="123"/>
      <c r="E795" s="123"/>
    </row>
    <row r="796" spans="3:5" ht="16.5">
      <c r="C796" s="123"/>
      <c r="E796" s="123"/>
    </row>
    <row r="797" spans="3:5" ht="16.5">
      <c r="C797" s="123"/>
      <c r="E797" s="123"/>
    </row>
    <row r="798" spans="3:5" ht="16.5">
      <c r="C798" s="123"/>
      <c r="E798" s="123"/>
    </row>
    <row r="799" spans="3:5" ht="16.5">
      <c r="C799" s="123"/>
      <c r="E799" s="123"/>
    </row>
    <row r="800" spans="3:5" ht="16.5">
      <c r="C800" s="123"/>
      <c r="E800" s="123"/>
    </row>
    <row r="801" spans="3:5" ht="16.5">
      <c r="C801" s="123"/>
      <c r="E801" s="123"/>
    </row>
    <row r="802" spans="3:5" ht="16.5">
      <c r="C802" s="123"/>
      <c r="E802" s="123"/>
    </row>
    <row r="803" spans="3:5" ht="16.5">
      <c r="C803" s="123"/>
      <c r="E803" s="123"/>
    </row>
    <row r="804" spans="3:5" ht="16.5">
      <c r="C804" s="123"/>
      <c r="E804" s="123"/>
    </row>
    <row r="805" spans="3:5" ht="16.5">
      <c r="C805" s="123"/>
      <c r="E805" s="123"/>
    </row>
    <row r="806" spans="3:5" ht="16.5">
      <c r="C806" s="123"/>
      <c r="E806" s="123"/>
    </row>
    <row r="807" spans="3:5" ht="16.5">
      <c r="C807" s="123"/>
      <c r="E807" s="123"/>
    </row>
    <row r="808" spans="3:5" ht="16.5">
      <c r="C808" s="123"/>
      <c r="E808" s="123"/>
    </row>
    <row r="809" spans="3:5" ht="16.5">
      <c r="C809" s="123"/>
      <c r="E809" s="123"/>
    </row>
    <row r="810" spans="3:5" ht="16.5">
      <c r="C810" s="123"/>
      <c r="E810" s="123"/>
    </row>
    <row r="811" spans="3:5" ht="16.5">
      <c r="C811" s="123"/>
      <c r="E811" s="123"/>
    </row>
    <row r="812" spans="3:5" ht="16.5">
      <c r="C812" s="123"/>
      <c r="E812" s="123"/>
    </row>
    <row r="813" spans="3:5" ht="16.5">
      <c r="C813" s="123"/>
      <c r="E813" s="123"/>
    </row>
    <row r="814" spans="3:5" ht="16.5">
      <c r="C814" s="123"/>
      <c r="E814" s="123"/>
    </row>
    <row r="815" spans="3:5" ht="16.5">
      <c r="C815" s="123"/>
      <c r="E815" s="123"/>
    </row>
    <row r="816" spans="3:5" ht="16.5">
      <c r="C816" s="123"/>
      <c r="E816" s="123"/>
    </row>
    <row r="817" spans="3:5" ht="16.5">
      <c r="C817" s="123"/>
      <c r="E817" s="123"/>
    </row>
    <row r="818" spans="3:5" ht="16.5">
      <c r="C818" s="123"/>
      <c r="E818" s="123"/>
    </row>
    <row r="819" spans="3:5" ht="16.5">
      <c r="C819" s="123"/>
      <c r="E819" s="123"/>
    </row>
    <row r="820" spans="3:5" ht="16.5">
      <c r="C820" s="123"/>
      <c r="E820" s="123"/>
    </row>
    <row r="821" spans="3:5" ht="16.5">
      <c r="C821" s="123"/>
      <c r="E821" s="123"/>
    </row>
    <row r="822" spans="3:5" ht="16.5">
      <c r="C822" s="123"/>
      <c r="E822" s="123"/>
    </row>
    <row r="823" spans="3:5" ht="16.5">
      <c r="C823" s="123"/>
      <c r="E823" s="123"/>
    </row>
    <row r="824" spans="3:5" ht="16.5">
      <c r="C824" s="123"/>
      <c r="E824" s="123"/>
    </row>
    <row r="825" spans="3:5" ht="16.5">
      <c r="C825" s="123"/>
      <c r="E825" s="123"/>
    </row>
    <row r="826" spans="3:5" ht="16.5">
      <c r="C826" s="123"/>
      <c r="E826" s="123"/>
    </row>
    <row r="827" spans="3:5" ht="16.5">
      <c r="C827" s="123"/>
      <c r="E827" s="123"/>
    </row>
    <row r="828" spans="3:5" ht="16.5">
      <c r="C828" s="123"/>
      <c r="E828" s="123"/>
    </row>
    <row r="829" spans="3:5" ht="16.5">
      <c r="C829" s="123"/>
      <c r="E829" s="123"/>
    </row>
    <row r="830" spans="3:5" ht="16.5">
      <c r="C830" s="123"/>
      <c r="E830" s="123"/>
    </row>
    <row r="831" spans="3:5" ht="16.5">
      <c r="C831" s="123"/>
      <c r="E831" s="123"/>
    </row>
    <row r="832" spans="3:5" ht="16.5">
      <c r="C832" s="123"/>
      <c r="E832" s="123"/>
    </row>
    <row r="833" spans="3:5" ht="16.5">
      <c r="C833" s="123"/>
      <c r="E833" s="123"/>
    </row>
    <row r="834" spans="3:5" ht="16.5">
      <c r="C834" s="123"/>
      <c r="E834" s="123"/>
    </row>
    <row r="835" spans="3:5" ht="16.5">
      <c r="C835" s="123"/>
      <c r="E835" s="123"/>
    </row>
    <row r="836" spans="3:5" ht="16.5">
      <c r="C836" s="123"/>
      <c r="E836" s="123"/>
    </row>
    <row r="837" spans="3:5" ht="16.5">
      <c r="C837" s="123"/>
      <c r="E837" s="123"/>
    </row>
    <row r="838" spans="3:5" ht="16.5">
      <c r="C838" s="123"/>
      <c r="E838" s="123"/>
    </row>
    <row r="839" spans="3:5" ht="16.5">
      <c r="C839" s="123"/>
      <c r="E839" s="123"/>
    </row>
    <row r="840" spans="3:5" ht="16.5">
      <c r="C840" s="123"/>
      <c r="E840" s="123"/>
    </row>
    <row r="841" spans="3:5" ht="16.5">
      <c r="C841" s="123"/>
      <c r="E841" s="123"/>
    </row>
    <row r="842" spans="3:5" ht="16.5">
      <c r="C842" s="123"/>
      <c r="E842" s="123"/>
    </row>
    <row r="843" spans="3:5" ht="16.5">
      <c r="C843" s="123"/>
      <c r="E843" s="123"/>
    </row>
    <row r="844" spans="3:5" ht="16.5">
      <c r="C844" s="123"/>
      <c r="E844" s="123"/>
    </row>
    <row r="845" spans="3:5" ht="16.5">
      <c r="C845" s="123"/>
      <c r="E845" s="123"/>
    </row>
    <row r="846" spans="3:5" ht="16.5">
      <c r="C846" s="123"/>
      <c r="E846" s="123"/>
    </row>
    <row r="847" spans="3:5" ht="16.5">
      <c r="C847" s="123"/>
      <c r="E847" s="123"/>
    </row>
    <row r="848" spans="3:5" ht="16.5">
      <c r="C848" s="123"/>
      <c r="E848" s="123"/>
    </row>
    <row r="849" spans="3:5" ht="16.5">
      <c r="C849" s="123"/>
      <c r="E849" s="123"/>
    </row>
    <row r="850" spans="3:5" ht="16.5">
      <c r="C850" s="123"/>
      <c r="E850" s="123"/>
    </row>
    <row r="851" spans="3:5" ht="16.5">
      <c r="C851" s="123"/>
      <c r="E851" s="123"/>
    </row>
    <row r="852" spans="3:5" ht="16.5">
      <c r="C852" s="123"/>
      <c r="E852" s="123"/>
    </row>
    <row r="853" spans="3:5" ht="16.5">
      <c r="C853" s="123"/>
      <c r="E853" s="123"/>
    </row>
    <row r="854" spans="3:5" ht="16.5">
      <c r="C854" s="123"/>
      <c r="E854" s="123"/>
    </row>
    <row r="855" spans="3:5" ht="16.5">
      <c r="C855" s="123"/>
      <c r="E855" s="123"/>
    </row>
    <row r="856" spans="3:5" ht="16.5">
      <c r="C856" s="123"/>
      <c r="E856" s="123"/>
    </row>
    <row r="857" spans="3:5" ht="16.5">
      <c r="C857" s="123"/>
      <c r="E857" s="123"/>
    </row>
    <row r="858" spans="3:5" ht="16.5">
      <c r="C858" s="123"/>
      <c r="E858" s="123"/>
    </row>
    <row r="859" spans="3:5" ht="16.5">
      <c r="C859" s="123"/>
      <c r="E859" s="123"/>
    </row>
    <row r="860" spans="3:5" ht="16.5">
      <c r="C860" s="123"/>
      <c r="E860" s="123"/>
    </row>
    <row r="861" spans="3:5" ht="16.5">
      <c r="C861" s="123"/>
      <c r="E861" s="123"/>
    </row>
    <row r="862" spans="3:5" ht="16.5">
      <c r="C862" s="123"/>
      <c r="E862" s="123"/>
    </row>
    <row r="863" spans="3:5" ht="16.5">
      <c r="C863" s="123"/>
      <c r="E863" s="123"/>
    </row>
    <row r="864" spans="3:5" ht="16.5">
      <c r="C864" s="123"/>
      <c r="E864" s="123"/>
    </row>
    <row r="865" spans="3:5" ht="16.5">
      <c r="C865" s="123"/>
      <c r="E865" s="123"/>
    </row>
    <row r="866" spans="3:5" ht="16.5">
      <c r="C866" s="123"/>
      <c r="E866" s="123"/>
    </row>
    <row r="867" spans="3:5" ht="16.5">
      <c r="C867" s="123"/>
      <c r="E867" s="123"/>
    </row>
    <row r="868" spans="3:5" ht="16.5">
      <c r="C868" s="123"/>
      <c r="E868" s="123"/>
    </row>
    <row r="869" spans="3:5" ht="16.5">
      <c r="C869" s="123"/>
      <c r="E869" s="123"/>
    </row>
    <row r="870" spans="3:5" ht="16.5">
      <c r="C870" s="123"/>
      <c r="E870" s="123"/>
    </row>
    <row r="871" spans="3:5" ht="16.5">
      <c r="C871" s="123"/>
      <c r="E871" s="123"/>
    </row>
    <row r="872" spans="3:5" ht="16.5">
      <c r="C872" s="123"/>
      <c r="E872" s="123"/>
    </row>
    <row r="873" spans="3:5" ht="16.5">
      <c r="C873" s="123"/>
      <c r="E873" s="123"/>
    </row>
    <row r="874" spans="3:5" ht="16.5">
      <c r="C874" s="123"/>
      <c r="E874" s="123"/>
    </row>
    <row r="875" spans="3:5" ht="16.5">
      <c r="C875" s="123"/>
      <c r="E875" s="123"/>
    </row>
    <row r="876" spans="3:5" ht="16.5">
      <c r="C876" s="123"/>
      <c r="E876" s="123"/>
    </row>
    <row r="877" spans="3:5" ht="16.5">
      <c r="C877" s="123"/>
      <c r="E877" s="123"/>
    </row>
    <row r="878" spans="3:5" ht="16.5">
      <c r="C878" s="123"/>
      <c r="E878" s="123"/>
    </row>
    <row r="879" spans="3:5" ht="16.5">
      <c r="C879" s="123"/>
      <c r="E879" s="123"/>
    </row>
    <row r="880" spans="3:5" ht="16.5">
      <c r="C880" s="123"/>
      <c r="E880" s="123"/>
    </row>
    <row r="881" spans="3:5" ht="16.5">
      <c r="C881" s="123"/>
      <c r="E881" s="123"/>
    </row>
    <row r="882" spans="3:5" ht="16.5">
      <c r="C882" s="123"/>
      <c r="E882" s="123"/>
    </row>
    <row r="883" spans="3:5" ht="16.5">
      <c r="C883" s="123"/>
      <c r="E883" s="123"/>
    </row>
    <row r="884" spans="3:5" ht="16.5">
      <c r="C884" s="123"/>
      <c r="E884" s="123"/>
    </row>
    <row r="885" spans="3:5" ht="16.5">
      <c r="C885" s="123"/>
      <c r="E885" s="123"/>
    </row>
    <row r="886" spans="3:5" ht="16.5">
      <c r="C886" s="123"/>
      <c r="E886" s="123"/>
    </row>
    <row r="887" spans="3:5" ht="16.5">
      <c r="C887" s="123"/>
      <c r="E887" s="123"/>
    </row>
    <row r="888" spans="3:5" ht="16.5">
      <c r="C888" s="123"/>
      <c r="E888" s="123"/>
    </row>
    <row r="889" spans="3:5" ht="16.5">
      <c r="C889" s="123"/>
      <c r="E889" s="123"/>
    </row>
    <row r="890" spans="3:5" ht="16.5">
      <c r="C890" s="123"/>
      <c r="E890" s="123"/>
    </row>
    <row r="891" spans="3:5" ht="16.5">
      <c r="C891" s="123"/>
      <c r="E891" s="123"/>
    </row>
    <row r="892" spans="3:5" ht="16.5">
      <c r="C892" s="123"/>
      <c r="E892" s="123"/>
    </row>
    <row r="893" spans="3:5" ht="16.5">
      <c r="C893" s="123"/>
      <c r="E893" s="123"/>
    </row>
    <row r="894" spans="3:5" ht="16.5">
      <c r="C894" s="123"/>
      <c r="E894" s="123"/>
    </row>
    <row r="895" spans="3:5" ht="16.5">
      <c r="C895" s="123"/>
      <c r="E895" s="123"/>
    </row>
    <row r="896" spans="3:5" ht="16.5">
      <c r="C896" s="123"/>
      <c r="E896" s="123"/>
    </row>
    <row r="897" spans="3:5" ht="16.5">
      <c r="C897" s="123"/>
      <c r="E897" s="123"/>
    </row>
    <row r="898" spans="3:5" ht="16.5">
      <c r="C898" s="123"/>
      <c r="E898" s="123"/>
    </row>
    <row r="899" spans="3:5" ht="16.5">
      <c r="C899" s="123"/>
      <c r="E899" s="123"/>
    </row>
    <row r="900" spans="3:5" ht="16.5">
      <c r="C900" s="123"/>
      <c r="E900" s="123"/>
    </row>
    <row r="901" spans="3:5" ht="16.5">
      <c r="C901" s="123"/>
      <c r="E901" s="123"/>
    </row>
    <row r="902" spans="3:5" ht="16.5">
      <c r="C902" s="123"/>
      <c r="E902" s="123"/>
    </row>
    <row r="903" spans="3:5" ht="16.5">
      <c r="C903" s="123"/>
      <c r="E903" s="123"/>
    </row>
    <row r="904" spans="3:5" ht="16.5">
      <c r="C904" s="123"/>
      <c r="E904" s="123"/>
    </row>
    <row r="905" spans="3:5" ht="16.5">
      <c r="C905" s="123"/>
      <c r="E905" s="123"/>
    </row>
    <row r="906" spans="3:5" ht="16.5">
      <c r="C906" s="123"/>
      <c r="E906" s="123"/>
    </row>
    <row r="907" spans="3:5" ht="16.5">
      <c r="C907" s="123"/>
      <c r="E907" s="123"/>
    </row>
    <row r="908" spans="3:5" ht="16.5">
      <c r="C908" s="123"/>
      <c r="E908" s="123"/>
    </row>
    <row r="909" spans="3:5" ht="16.5">
      <c r="C909" s="123"/>
      <c r="E909" s="123"/>
    </row>
    <row r="910" spans="3:5" ht="16.5">
      <c r="C910" s="123"/>
      <c r="E910" s="123"/>
    </row>
    <row r="911" spans="3:5" ht="16.5">
      <c r="C911" s="123"/>
      <c r="E911" s="123"/>
    </row>
    <row r="912" spans="3:5" ht="16.5">
      <c r="C912" s="123"/>
      <c r="E912" s="123"/>
    </row>
    <row r="913" spans="3:5" ht="16.5">
      <c r="C913" s="123"/>
      <c r="E913" s="123"/>
    </row>
    <row r="914" spans="3:5" ht="16.5">
      <c r="C914" s="123"/>
      <c r="E914" s="123"/>
    </row>
    <row r="915" spans="3:5" ht="16.5">
      <c r="C915" s="123"/>
      <c r="E915" s="123"/>
    </row>
    <row r="916" spans="3:5" ht="16.5">
      <c r="C916" s="123"/>
      <c r="E916" s="123"/>
    </row>
    <row r="917" spans="3:5" ht="16.5">
      <c r="C917" s="123"/>
      <c r="E917" s="123"/>
    </row>
    <row r="918" spans="3:5" ht="16.5">
      <c r="C918" s="123"/>
      <c r="E918" s="123"/>
    </row>
    <row r="919" spans="3:5" ht="16.5">
      <c r="C919" s="123"/>
      <c r="E919" s="123"/>
    </row>
    <row r="920" spans="3:5" ht="16.5">
      <c r="C920" s="123"/>
      <c r="E920" s="123"/>
    </row>
    <row r="921" spans="3:5" ht="16.5">
      <c r="C921" s="123"/>
      <c r="E921" s="123"/>
    </row>
    <row r="922" spans="3:5" ht="16.5">
      <c r="C922" s="123"/>
      <c r="E922" s="123"/>
    </row>
    <row r="923" spans="3:5" ht="16.5">
      <c r="C923" s="123"/>
      <c r="E923" s="123"/>
    </row>
    <row r="924" spans="3:5" ht="16.5">
      <c r="C924" s="123"/>
      <c r="E924" s="123"/>
    </row>
    <row r="925" spans="3:5" ht="16.5">
      <c r="C925" s="123"/>
      <c r="E925" s="123"/>
    </row>
    <row r="926" spans="3:5" ht="16.5">
      <c r="C926" s="123"/>
      <c r="E926" s="123"/>
    </row>
    <row r="927" spans="3:5" ht="16.5">
      <c r="C927" s="123"/>
      <c r="E927" s="123"/>
    </row>
    <row r="928" spans="3:5" ht="16.5">
      <c r="C928" s="123"/>
      <c r="E928" s="123"/>
    </row>
    <row r="929" spans="3:5" ht="16.5">
      <c r="C929" s="123"/>
      <c r="E929" s="123"/>
    </row>
    <row r="930" spans="3:5" ht="16.5">
      <c r="C930" s="123"/>
      <c r="E930" s="123"/>
    </row>
    <row r="931" spans="3:5" ht="16.5">
      <c r="C931" s="123"/>
      <c r="E931" s="123"/>
    </row>
    <row r="932" spans="3:5" ht="16.5">
      <c r="C932" s="123"/>
      <c r="E932" s="123"/>
    </row>
    <row r="933" spans="3:5" ht="16.5">
      <c r="C933" s="123"/>
      <c r="E933" s="123"/>
    </row>
    <row r="934" spans="3:5" ht="16.5">
      <c r="C934" s="123"/>
      <c r="E934" s="123"/>
    </row>
    <row r="935" spans="3:5" ht="16.5">
      <c r="C935" s="123"/>
      <c r="E935" s="123"/>
    </row>
    <row r="936" spans="3:5" ht="16.5">
      <c r="C936" s="123"/>
      <c r="E936" s="123"/>
    </row>
    <row r="937" spans="3:5" ht="16.5">
      <c r="C937" s="123"/>
      <c r="E937" s="123"/>
    </row>
    <row r="938" spans="3:5" ht="16.5">
      <c r="C938" s="123"/>
      <c r="E938" s="123"/>
    </row>
    <row r="939" spans="3:5" ht="16.5">
      <c r="C939" s="123"/>
      <c r="E939" s="123"/>
    </row>
    <row r="940" spans="3:5" ht="16.5">
      <c r="C940" s="123"/>
      <c r="E940" s="123"/>
    </row>
    <row r="941" spans="3:5" ht="16.5">
      <c r="C941" s="123"/>
      <c r="E941" s="123"/>
    </row>
    <row r="942" spans="3:5" ht="16.5">
      <c r="C942" s="123"/>
      <c r="E942" s="123"/>
    </row>
    <row r="943" spans="3:5" ht="16.5">
      <c r="C943" s="123"/>
      <c r="E943" s="123"/>
    </row>
    <row r="944" spans="3:5" ht="16.5">
      <c r="C944" s="123"/>
      <c r="E944" s="123"/>
    </row>
    <row r="945" spans="3:5" ht="16.5">
      <c r="C945" s="123"/>
      <c r="E945" s="123"/>
    </row>
    <row r="946" spans="3:5" ht="16.5">
      <c r="C946" s="123"/>
      <c r="E946" s="123"/>
    </row>
    <row r="947" spans="3:5" ht="16.5">
      <c r="C947" s="123"/>
      <c r="E947" s="123"/>
    </row>
    <row r="948" spans="3:5" ht="16.5">
      <c r="C948" s="123"/>
      <c r="E948" s="123"/>
    </row>
    <row r="949" spans="3:5" ht="16.5">
      <c r="C949" s="123"/>
      <c r="E949" s="123"/>
    </row>
    <row r="950" spans="3:5" ht="16.5">
      <c r="C950" s="123"/>
      <c r="E950" s="123"/>
    </row>
    <row r="951" spans="3:5" ht="16.5">
      <c r="C951" s="123"/>
      <c r="E951" s="123"/>
    </row>
    <row r="952" spans="3:5" ht="16.5">
      <c r="C952" s="123"/>
      <c r="E952" s="123"/>
    </row>
    <row r="953" spans="3:5" ht="16.5">
      <c r="C953" s="123"/>
      <c r="E953" s="123"/>
    </row>
    <row r="954" spans="3:5" ht="16.5">
      <c r="C954" s="123"/>
      <c r="E954" s="123"/>
    </row>
    <row r="955" spans="3:5" ht="16.5">
      <c r="C955" s="123"/>
      <c r="E955" s="123"/>
    </row>
    <row r="956" spans="3:5" ht="16.5">
      <c r="C956" s="123"/>
      <c r="E956" s="123"/>
    </row>
    <row r="957" spans="3:5" ht="16.5">
      <c r="C957" s="123"/>
      <c r="E957" s="123"/>
    </row>
    <row r="958" spans="3:5" ht="16.5">
      <c r="C958" s="123"/>
      <c r="E958" s="123"/>
    </row>
    <row r="959" spans="3:5" ht="16.5">
      <c r="C959" s="123"/>
      <c r="E959" s="123"/>
    </row>
    <row r="960" spans="3:5" ht="16.5">
      <c r="C960" s="123"/>
      <c r="E960" s="123"/>
    </row>
    <row r="961" spans="3:5" ht="16.5">
      <c r="C961" s="123"/>
      <c r="E961" s="123"/>
    </row>
    <row r="962" spans="3:5" ht="16.5">
      <c r="C962" s="123"/>
      <c r="E962" s="123"/>
    </row>
    <row r="963" spans="3:5" ht="16.5">
      <c r="C963" s="123"/>
      <c r="E963" s="123"/>
    </row>
    <row r="964" spans="3:5" ht="16.5">
      <c r="C964" s="123"/>
      <c r="E964" s="123"/>
    </row>
    <row r="965" spans="3:5" ht="16.5">
      <c r="C965" s="123"/>
      <c r="E965" s="123"/>
    </row>
    <row r="966" spans="3:5" ht="16.5">
      <c r="C966" s="123"/>
      <c r="E966" s="123"/>
    </row>
    <row r="967" spans="3:5" ht="16.5">
      <c r="C967" s="123"/>
      <c r="E967" s="123"/>
    </row>
    <row r="968" spans="3:5" ht="16.5">
      <c r="C968" s="123"/>
      <c r="E968" s="123"/>
    </row>
    <row r="969" spans="3:5" ht="16.5">
      <c r="C969" s="123"/>
      <c r="E969" s="123"/>
    </row>
    <row r="970" spans="3:5" ht="16.5">
      <c r="C970" s="123"/>
      <c r="E970" s="123"/>
    </row>
    <row r="971" spans="3:5" ht="16.5">
      <c r="C971" s="123"/>
      <c r="E971" s="123"/>
    </row>
    <row r="972" spans="3:5" ht="16.5">
      <c r="C972" s="123"/>
      <c r="E972" s="123"/>
    </row>
    <row r="973" spans="3:5" ht="16.5">
      <c r="C973" s="123"/>
      <c r="E973" s="123"/>
    </row>
    <row r="974" spans="3:5" ht="16.5">
      <c r="C974" s="123"/>
      <c r="E974" s="123"/>
    </row>
    <row r="975" spans="3:5" ht="16.5">
      <c r="C975" s="123"/>
      <c r="E975" s="123"/>
    </row>
    <row r="976" spans="3:5" ht="16.5">
      <c r="C976" s="123"/>
      <c r="E976" s="123"/>
    </row>
    <row r="977" spans="3:5" ht="16.5">
      <c r="C977" s="123"/>
      <c r="E977" s="123"/>
    </row>
    <row r="978" spans="3:5" ht="16.5">
      <c r="C978" s="123"/>
      <c r="E978" s="123"/>
    </row>
    <row r="979" spans="3:5" ht="16.5">
      <c r="C979" s="123"/>
      <c r="E979" s="123"/>
    </row>
    <row r="980" spans="3:5" ht="16.5">
      <c r="C980" s="123"/>
      <c r="E980" s="123"/>
    </row>
    <row r="981" spans="3:5" ht="16.5">
      <c r="C981" s="123"/>
      <c r="E981" s="123"/>
    </row>
    <row r="982" spans="3:5" ht="16.5">
      <c r="C982" s="123"/>
      <c r="E982" s="123"/>
    </row>
    <row r="983" spans="3:5" ht="16.5">
      <c r="C983" s="123"/>
      <c r="E983" s="123"/>
    </row>
    <row r="984" spans="3:5" ht="16.5">
      <c r="C984" s="123"/>
      <c r="E984" s="123"/>
    </row>
    <row r="985" spans="3:5" ht="16.5">
      <c r="C985" s="123"/>
      <c r="E985" s="123"/>
    </row>
    <row r="986" spans="3:5" ht="16.5">
      <c r="C986" s="123"/>
      <c r="E986" s="123"/>
    </row>
    <row r="987" spans="3:5" ht="16.5">
      <c r="C987" s="123"/>
      <c r="E987" s="123"/>
    </row>
    <row r="988" spans="3:5" ht="16.5">
      <c r="C988" s="123"/>
      <c r="E988" s="123"/>
    </row>
    <row r="989" spans="3:5" ht="16.5">
      <c r="C989" s="123"/>
      <c r="E989" s="123"/>
    </row>
    <row r="990" spans="3:5" ht="16.5">
      <c r="C990" s="123"/>
      <c r="E990" s="123"/>
    </row>
    <row r="991" spans="3:5" ht="16.5">
      <c r="C991" s="123"/>
      <c r="E991" s="123"/>
    </row>
    <row r="992" spans="3:5" ht="16.5">
      <c r="C992" s="123"/>
      <c r="E992" s="123"/>
    </row>
    <row r="993" spans="3:5" ht="16.5">
      <c r="C993" s="123"/>
      <c r="E993" s="123"/>
    </row>
    <row r="994" spans="3:5" ht="16.5">
      <c r="C994" s="123"/>
      <c r="E994" s="123"/>
    </row>
    <row r="995" spans="3:5" ht="16.5">
      <c r="C995" s="123"/>
      <c r="E995" s="123"/>
    </row>
    <row r="996" spans="3:5" ht="16.5">
      <c r="C996" s="123"/>
      <c r="E996" s="123"/>
    </row>
    <row r="997" spans="3:5" ht="16.5">
      <c r="C997" s="123"/>
      <c r="E997" s="123"/>
    </row>
    <row r="998" spans="3:5" ht="16.5">
      <c r="C998" s="123"/>
      <c r="E998" s="123"/>
    </row>
    <row r="999" spans="3:5" ht="16.5">
      <c r="C999" s="123"/>
      <c r="E999" s="123"/>
    </row>
    <row r="1000" spans="3:5" ht="16.5">
      <c r="C1000" s="123"/>
      <c r="E1000" s="123"/>
    </row>
    <row r="1001" spans="3:5" ht="16.5">
      <c r="C1001" s="123"/>
      <c r="E1001" s="123"/>
    </row>
    <row r="1002" spans="3:5" ht="16.5">
      <c r="C1002" s="123"/>
      <c r="E1002" s="123"/>
    </row>
    <row r="1003" spans="3:5" ht="16.5">
      <c r="C1003" s="123"/>
      <c r="E1003" s="123"/>
    </row>
    <row r="1004" spans="3:5" ht="16.5">
      <c r="C1004" s="123"/>
      <c r="E1004" s="123"/>
    </row>
    <row r="1005" spans="3:5" ht="16.5">
      <c r="C1005" s="123"/>
      <c r="E1005" s="123"/>
    </row>
    <row r="1006" spans="3:5" ht="16.5">
      <c r="C1006" s="123"/>
      <c r="E1006" s="123"/>
    </row>
    <row r="1007" spans="3:5" ht="16.5">
      <c r="C1007" s="123"/>
      <c r="E1007" s="123"/>
    </row>
    <row r="1008" spans="3:5" ht="16.5">
      <c r="C1008" s="123"/>
      <c r="E1008" s="123"/>
    </row>
    <row r="1009" spans="3:5" ht="16.5">
      <c r="C1009" s="123"/>
      <c r="E1009" s="123"/>
    </row>
    <row r="1010" spans="3:5" ht="16.5">
      <c r="C1010" s="123"/>
      <c r="E1010" s="123"/>
    </row>
    <row r="1011" spans="3:5" ht="16.5">
      <c r="C1011" s="123"/>
      <c r="E1011" s="123"/>
    </row>
    <row r="1012" spans="3:5" ht="16.5">
      <c r="C1012" s="123"/>
      <c r="E1012" s="123"/>
    </row>
    <row r="1013" spans="3:5" ht="16.5">
      <c r="C1013" s="123"/>
      <c r="E1013" s="123"/>
    </row>
    <row r="1014" spans="3:5" ht="16.5">
      <c r="C1014" s="123"/>
      <c r="E1014" s="123"/>
    </row>
    <row r="1015" spans="3:5" ht="16.5">
      <c r="C1015" s="123"/>
      <c r="E1015" s="123"/>
    </row>
    <row r="1016" spans="3:5" ht="16.5">
      <c r="C1016" s="123"/>
      <c r="E1016" s="123"/>
    </row>
    <row r="1017" spans="3:5" ht="16.5">
      <c r="C1017" s="123"/>
      <c r="E1017" s="123"/>
    </row>
    <row r="1018" spans="3:5" ht="16.5">
      <c r="C1018" s="123"/>
      <c r="E1018" s="123"/>
    </row>
    <row r="1019" spans="3:5" ht="16.5">
      <c r="C1019" s="123"/>
      <c r="E1019" s="123"/>
    </row>
    <row r="1020" spans="3:5" ht="16.5">
      <c r="C1020" s="123"/>
      <c r="E1020" s="123"/>
    </row>
    <row r="1021" spans="3:5" ht="16.5">
      <c r="C1021" s="123"/>
      <c r="E1021" s="123"/>
    </row>
    <row r="1022" spans="3:5" ht="16.5">
      <c r="C1022" s="123"/>
      <c r="E1022" s="123"/>
    </row>
    <row r="1023" spans="3:5" ht="16.5">
      <c r="C1023" s="123"/>
      <c r="E1023" s="123"/>
    </row>
    <row r="1024" spans="3:5" ht="16.5">
      <c r="C1024" s="123"/>
      <c r="E1024" s="123"/>
    </row>
    <row r="1025" spans="3:5" ht="16.5">
      <c r="C1025" s="123"/>
      <c r="E1025" s="123"/>
    </row>
    <row r="1026" spans="3:5" ht="16.5">
      <c r="C1026" s="123"/>
      <c r="E1026" s="123"/>
    </row>
    <row r="1027" spans="3:5" ht="16.5">
      <c r="C1027" s="123"/>
      <c r="E1027" s="123"/>
    </row>
    <row r="1028" spans="3:5" ht="16.5">
      <c r="C1028" s="123"/>
      <c r="E1028" s="123"/>
    </row>
    <row r="1029" spans="3:5" ht="16.5">
      <c r="C1029" s="123"/>
      <c r="E1029" s="123"/>
    </row>
    <row r="1030" spans="3:5" ht="16.5">
      <c r="C1030" s="123"/>
      <c r="E1030" s="123"/>
    </row>
    <row r="1031" spans="3:5" ht="16.5">
      <c r="C1031" s="123"/>
      <c r="E1031" s="123"/>
    </row>
    <row r="1032" spans="3:5" ht="16.5">
      <c r="C1032" s="123"/>
      <c r="E1032" s="123"/>
    </row>
    <row r="1033" spans="3:5" ht="16.5">
      <c r="C1033" s="123"/>
      <c r="E1033" s="123"/>
    </row>
    <row r="1034" spans="3:5" ht="16.5">
      <c r="C1034" s="123"/>
      <c r="E1034" s="123"/>
    </row>
    <row r="1035" spans="3:5" ht="16.5">
      <c r="C1035" s="123"/>
      <c r="E1035" s="123"/>
    </row>
    <row r="1036" spans="3:5" ht="16.5">
      <c r="C1036" s="123"/>
      <c r="E1036" s="123"/>
    </row>
    <row r="1037" spans="3:5" ht="16.5">
      <c r="C1037" s="123"/>
      <c r="E1037" s="123"/>
    </row>
    <row r="1038" spans="3:5" ht="16.5">
      <c r="C1038" s="123"/>
      <c r="E1038" s="123"/>
    </row>
    <row r="1039" spans="3:5" ht="16.5">
      <c r="C1039" s="123"/>
      <c r="E1039" s="123"/>
    </row>
    <row r="1040" spans="3:5" ht="16.5">
      <c r="C1040" s="123"/>
      <c r="E1040" s="123"/>
    </row>
    <row r="1041" spans="3:5" ht="16.5">
      <c r="C1041" s="123"/>
      <c r="E1041" s="123"/>
    </row>
    <row r="1042" spans="3:5" ht="16.5">
      <c r="C1042" s="123"/>
      <c r="E1042" s="123"/>
    </row>
    <row r="1043" spans="3:5" ht="16.5">
      <c r="C1043" s="123"/>
      <c r="E1043" s="123"/>
    </row>
    <row r="1044" spans="3:5" ht="16.5">
      <c r="C1044" s="123"/>
      <c r="E1044" s="123"/>
    </row>
    <row r="1045" spans="3:5" ht="16.5">
      <c r="C1045" s="123"/>
      <c r="E1045" s="123"/>
    </row>
    <row r="1046" spans="3:5" ht="16.5">
      <c r="C1046" s="123"/>
      <c r="E1046" s="123"/>
    </row>
    <row r="1047" spans="3:5" ht="16.5">
      <c r="C1047" s="123"/>
      <c r="E1047" s="123"/>
    </row>
    <row r="1048" spans="3:5" ht="16.5">
      <c r="C1048" s="123"/>
      <c r="E1048" s="123"/>
    </row>
    <row r="1049" spans="3:5" ht="16.5">
      <c r="C1049" s="123"/>
      <c r="E1049" s="123"/>
    </row>
    <row r="1050" spans="3:5" ht="16.5">
      <c r="C1050" s="123"/>
      <c r="E1050" s="123"/>
    </row>
    <row r="1051" spans="3:5" ht="16.5">
      <c r="C1051" s="123"/>
      <c r="E1051" s="123"/>
    </row>
    <row r="1052" spans="3:5" ht="16.5">
      <c r="C1052" s="123"/>
      <c r="E1052" s="123"/>
    </row>
    <row r="1053" spans="3:5" ht="16.5">
      <c r="C1053" s="123"/>
      <c r="E1053" s="123"/>
    </row>
    <row r="1054" spans="3:5" ht="16.5">
      <c r="C1054" s="123"/>
      <c r="E1054" s="123"/>
    </row>
    <row r="1055" spans="3:5" ht="16.5">
      <c r="C1055" s="123"/>
      <c r="E1055" s="123"/>
    </row>
    <row r="1056" spans="3:5" ht="16.5">
      <c r="C1056" s="123"/>
      <c r="E1056" s="123"/>
    </row>
    <row r="1057" spans="3:5" ht="16.5">
      <c r="C1057" s="123"/>
      <c r="E1057" s="123"/>
    </row>
    <row r="1058" spans="3:5" ht="16.5">
      <c r="C1058" s="123"/>
      <c r="E1058" s="123"/>
    </row>
    <row r="1059" spans="3:5" ht="16.5">
      <c r="C1059" s="123"/>
      <c r="E1059" s="123"/>
    </row>
    <row r="1060" spans="3:5" ht="16.5">
      <c r="C1060" s="123"/>
      <c r="E1060" s="123"/>
    </row>
    <row r="1061" spans="3:5" ht="16.5">
      <c r="C1061" s="123"/>
      <c r="E1061" s="123"/>
    </row>
    <row r="1062" spans="3:5" ht="16.5">
      <c r="C1062" s="123"/>
      <c r="E1062" s="123"/>
    </row>
    <row r="1063" spans="3:5" ht="16.5">
      <c r="C1063" s="123"/>
      <c r="E1063" s="123"/>
    </row>
    <row r="1064" spans="3:5" ht="16.5">
      <c r="C1064" s="123"/>
      <c r="E1064" s="123"/>
    </row>
    <row r="1065" spans="3:5" ht="16.5">
      <c r="C1065" s="123"/>
      <c r="E1065" s="123"/>
    </row>
    <row r="1066" spans="3:5" ht="16.5">
      <c r="C1066" s="123"/>
      <c r="E1066" s="123"/>
    </row>
    <row r="1067" spans="3:5" ht="16.5">
      <c r="C1067" s="123"/>
      <c r="E1067" s="123"/>
    </row>
    <row r="1068" spans="3:5" ht="16.5">
      <c r="C1068" s="123"/>
      <c r="E1068" s="123"/>
    </row>
    <row r="1069" spans="3:5" ht="16.5">
      <c r="C1069" s="123"/>
      <c r="E1069" s="123"/>
    </row>
    <row r="1070" spans="3:5" ht="16.5">
      <c r="C1070" s="123"/>
      <c r="E1070" s="123"/>
    </row>
    <row r="1071" spans="3:5" ht="16.5">
      <c r="C1071" s="123"/>
      <c r="E1071" s="123"/>
    </row>
    <row r="1072" spans="3:5" ht="16.5">
      <c r="C1072" s="123"/>
      <c r="E1072" s="123"/>
    </row>
    <row r="1073" spans="3:5" ht="16.5">
      <c r="C1073" s="123"/>
      <c r="E1073" s="123"/>
    </row>
    <row r="1074" spans="3:5" ht="16.5">
      <c r="C1074" s="123"/>
      <c r="E1074" s="123"/>
    </row>
    <row r="1075" spans="3:5" ht="16.5">
      <c r="C1075" s="123"/>
      <c r="E1075" s="123"/>
    </row>
    <row r="1076" spans="3:5" ht="16.5">
      <c r="C1076" s="123"/>
      <c r="E1076" s="123"/>
    </row>
    <row r="1077" spans="3:5" ht="16.5">
      <c r="C1077" s="123"/>
      <c r="E1077" s="123"/>
    </row>
    <row r="1078" spans="3:5" ht="16.5">
      <c r="C1078" s="123"/>
      <c r="E1078" s="123"/>
    </row>
    <row r="1079" spans="3:5" ht="16.5">
      <c r="C1079" s="123"/>
      <c r="E1079" s="123"/>
    </row>
    <row r="1080" spans="3:5" ht="16.5">
      <c r="C1080" s="123"/>
      <c r="E1080" s="123"/>
    </row>
    <row r="1081" spans="3:5" ht="16.5">
      <c r="C1081" s="123"/>
      <c r="E1081" s="123"/>
    </row>
    <row r="1082" spans="3:5" ht="16.5">
      <c r="C1082" s="123"/>
      <c r="E1082" s="123"/>
    </row>
    <row r="1083" spans="3:5" ht="16.5">
      <c r="C1083" s="123"/>
      <c r="E1083" s="123"/>
    </row>
    <row r="1084" spans="3:5" ht="16.5">
      <c r="C1084" s="123"/>
      <c r="E1084" s="123"/>
    </row>
    <row r="1085" spans="3:5" ht="16.5">
      <c r="C1085" s="123"/>
      <c r="E1085" s="123"/>
    </row>
    <row r="1086" spans="3:5" ht="16.5">
      <c r="C1086" s="123"/>
      <c r="E1086" s="123"/>
    </row>
    <row r="1087" spans="3:5" ht="16.5">
      <c r="C1087" s="123"/>
      <c r="E1087" s="123"/>
    </row>
    <row r="1088" spans="3:5" ht="16.5">
      <c r="C1088" s="123"/>
      <c r="E1088" s="123"/>
    </row>
    <row r="1089" spans="3:5" ht="16.5">
      <c r="C1089" s="123"/>
      <c r="E1089" s="123"/>
    </row>
    <row r="1090" spans="3:5" ht="16.5">
      <c r="C1090" s="123"/>
      <c r="E1090" s="123"/>
    </row>
    <row r="1091" spans="3:5" ht="16.5">
      <c r="C1091" s="123"/>
      <c r="E1091" s="123"/>
    </row>
    <row r="1092" spans="3:5" ht="16.5">
      <c r="C1092" s="123"/>
      <c r="E1092" s="123"/>
    </row>
    <row r="1093" spans="3:5" ht="16.5">
      <c r="C1093" s="123"/>
      <c r="E1093" s="123"/>
    </row>
    <row r="1094" spans="3:5" ht="16.5">
      <c r="C1094" s="123"/>
      <c r="E1094" s="123"/>
    </row>
    <row r="1095" spans="3:5" ht="16.5">
      <c r="C1095" s="123"/>
      <c r="E1095" s="123"/>
    </row>
    <row r="1096" spans="3:5" ht="16.5">
      <c r="C1096" s="123"/>
      <c r="E1096" s="123"/>
    </row>
    <row r="1097" spans="3:5" ht="16.5">
      <c r="C1097" s="123"/>
      <c r="E1097" s="123"/>
    </row>
    <row r="1098" spans="3:5" ht="16.5">
      <c r="C1098" s="123"/>
      <c r="E1098" s="123"/>
    </row>
    <row r="1099" spans="3:5" ht="16.5">
      <c r="C1099" s="123"/>
      <c r="E1099" s="123"/>
    </row>
    <row r="1100" spans="3:5" ht="16.5">
      <c r="C1100" s="123"/>
      <c r="E1100" s="123"/>
    </row>
    <row r="1101" spans="3:5" ht="16.5">
      <c r="C1101" s="123"/>
      <c r="E1101" s="123"/>
    </row>
    <row r="1102" spans="3:5" ht="16.5">
      <c r="C1102" s="123"/>
      <c r="E1102" s="123"/>
    </row>
    <row r="1103" spans="3:5" ht="16.5">
      <c r="C1103" s="123"/>
      <c r="E1103" s="123"/>
    </row>
    <row r="1104" spans="3:5" ht="16.5">
      <c r="C1104" s="123"/>
      <c r="E1104" s="123"/>
    </row>
    <row r="1105" spans="3:5" ht="16.5">
      <c r="C1105" s="123"/>
      <c r="E1105" s="123"/>
    </row>
    <row r="1106" spans="3:5" ht="16.5">
      <c r="C1106" s="123"/>
      <c r="E1106" s="123"/>
    </row>
    <row r="1107" spans="3:5" ht="16.5">
      <c r="C1107" s="123"/>
      <c r="E1107" s="123"/>
    </row>
    <row r="1108" spans="3:5" ht="16.5">
      <c r="C1108" s="123"/>
      <c r="E1108" s="123"/>
    </row>
    <row r="1109" spans="3:5" ht="16.5">
      <c r="C1109" s="123"/>
      <c r="E1109" s="123"/>
    </row>
    <row r="1110" spans="3:5" ht="16.5">
      <c r="C1110" s="123"/>
      <c r="E1110" s="123"/>
    </row>
    <row r="1111" spans="3:5" ht="16.5">
      <c r="C1111" s="123"/>
      <c r="E1111" s="123"/>
    </row>
    <row r="1112" spans="3:5" ht="16.5">
      <c r="C1112" s="123"/>
      <c r="E1112" s="123"/>
    </row>
    <row r="1113" spans="3:5" ht="16.5">
      <c r="C1113" s="123"/>
      <c r="E1113" s="123"/>
    </row>
    <row r="1114" spans="3:5" ht="16.5">
      <c r="C1114" s="123"/>
      <c r="E1114" s="123"/>
    </row>
    <row r="1115" spans="3:5" ht="16.5">
      <c r="C1115" s="123"/>
      <c r="E1115" s="123"/>
    </row>
    <row r="1116" spans="3:5" ht="16.5">
      <c r="C1116" s="123"/>
      <c r="E1116" s="123"/>
    </row>
    <row r="1117" spans="3:5" ht="16.5">
      <c r="C1117" s="123"/>
      <c r="E1117" s="123"/>
    </row>
    <row r="1118" spans="3:5" ht="16.5">
      <c r="C1118" s="123"/>
      <c r="E1118" s="123"/>
    </row>
    <row r="1119" spans="3:5" ht="16.5">
      <c r="C1119" s="123"/>
      <c r="E1119" s="123"/>
    </row>
    <row r="1120" spans="3:5" ht="16.5">
      <c r="C1120" s="123"/>
      <c r="E1120" s="123"/>
    </row>
    <row r="1121" spans="3:5" ht="16.5">
      <c r="C1121" s="123"/>
      <c r="E1121" s="123"/>
    </row>
    <row r="1122" spans="3:5" ht="16.5">
      <c r="C1122" s="123"/>
      <c r="E1122" s="123"/>
    </row>
    <row r="1123" spans="3:5" ht="16.5">
      <c r="C1123" s="123"/>
      <c r="E1123" s="123"/>
    </row>
    <row r="1124" spans="3:5" ht="16.5">
      <c r="C1124" s="123"/>
      <c r="E1124" s="123"/>
    </row>
    <row r="1125" spans="3:5" ht="16.5">
      <c r="C1125" s="123"/>
      <c r="E1125" s="123"/>
    </row>
    <row r="1126" spans="3:5" ht="16.5">
      <c r="C1126" s="123"/>
      <c r="E1126" s="123"/>
    </row>
    <row r="1127" spans="3:5" ht="16.5">
      <c r="C1127" s="123"/>
      <c r="E1127" s="123"/>
    </row>
    <row r="1128" spans="3:5" ht="16.5">
      <c r="C1128" s="123"/>
      <c r="E1128" s="123"/>
    </row>
    <row r="1129" spans="3:5" ht="16.5">
      <c r="C1129" s="123"/>
      <c r="E1129" s="123"/>
    </row>
    <row r="1130" spans="3:5" ht="16.5">
      <c r="C1130" s="123"/>
      <c r="E1130" s="123"/>
    </row>
    <row r="1131" spans="3:5" ht="16.5">
      <c r="C1131" s="123"/>
      <c r="E1131" s="123"/>
    </row>
    <row r="1132" spans="3:5" ht="16.5">
      <c r="C1132" s="123"/>
      <c r="E1132" s="123"/>
    </row>
    <row r="1133" spans="3:5" ht="16.5">
      <c r="C1133" s="123"/>
      <c r="E1133" s="123"/>
    </row>
    <row r="1134" spans="3:5" ht="16.5">
      <c r="C1134" s="123"/>
      <c r="E1134" s="123"/>
    </row>
    <row r="1135" spans="3:5" ht="16.5">
      <c r="C1135" s="123"/>
      <c r="E1135" s="123"/>
    </row>
    <row r="1136" spans="3:5" ht="16.5">
      <c r="C1136" s="123"/>
      <c r="E1136" s="123"/>
    </row>
    <row r="1137" spans="3:5" ht="16.5">
      <c r="C1137" s="123"/>
      <c r="E1137" s="123"/>
    </row>
    <row r="1138" spans="3:5" ht="16.5">
      <c r="C1138" s="123"/>
      <c r="E1138" s="123"/>
    </row>
    <row r="1139" spans="3:5" ht="16.5">
      <c r="C1139" s="123"/>
      <c r="E1139" s="123"/>
    </row>
    <row r="1140" spans="3:5" ht="16.5">
      <c r="C1140" s="123"/>
      <c r="E1140" s="123"/>
    </row>
    <row r="1141" spans="3:5" ht="16.5">
      <c r="C1141" s="123"/>
      <c r="E1141" s="123"/>
    </row>
    <row r="1142" spans="3:5" ht="16.5">
      <c r="C1142" s="123"/>
      <c r="E1142" s="123"/>
    </row>
    <row r="1143" spans="3:5" ht="16.5">
      <c r="C1143" s="123"/>
      <c r="E1143" s="123"/>
    </row>
    <row r="1144" spans="3:5" ht="16.5">
      <c r="C1144" s="123"/>
      <c r="E1144" s="123"/>
    </row>
    <row r="1145" spans="3:5" ht="16.5">
      <c r="C1145" s="123"/>
      <c r="E1145" s="123"/>
    </row>
    <row r="1146" spans="3:5" ht="16.5">
      <c r="C1146" s="123"/>
      <c r="E1146" s="123"/>
    </row>
    <row r="1147" spans="3:5" ht="16.5">
      <c r="C1147" s="123"/>
      <c r="E1147" s="123"/>
    </row>
    <row r="1148" spans="3:5" ht="16.5">
      <c r="C1148" s="123"/>
      <c r="E1148" s="123"/>
    </row>
    <row r="1149" spans="3:5" ht="16.5">
      <c r="C1149" s="123"/>
      <c r="E1149" s="123"/>
    </row>
    <row r="1150" spans="3:5" ht="16.5">
      <c r="C1150" s="123"/>
      <c r="E1150" s="123"/>
    </row>
    <row r="1151" spans="3:5" ht="16.5">
      <c r="C1151" s="123"/>
      <c r="E1151" s="123"/>
    </row>
    <row r="1152" spans="3:5" ht="16.5">
      <c r="C1152" s="123"/>
      <c r="E1152" s="123"/>
    </row>
    <row r="1153" spans="3:5" ht="16.5">
      <c r="C1153" s="123"/>
      <c r="E1153" s="123"/>
    </row>
    <row r="1154" spans="3:5" ht="16.5">
      <c r="C1154" s="123"/>
      <c r="E1154" s="123"/>
    </row>
    <row r="1155" spans="3:5" ht="16.5">
      <c r="C1155" s="123"/>
      <c r="E1155" s="123"/>
    </row>
    <row r="1156" spans="3:5" ht="16.5">
      <c r="C1156" s="123"/>
      <c r="E1156" s="123"/>
    </row>
    <row r="1157" spans="3:5" ht="16.5">
      <c r="C1157" s="123"/>
      <c r="E1157" s="123"/>
    </row>
    <row r="1158" spans="3:5" ht="16.5">
      <c r="C1158" s="123"/>
      <c r="E1158" s="123"/>
    </row>
    <row r="1159" spans="3:5" ht="16.5">
      <c r="C1159" s="123"/>
      <c r="E1159" s="123"/>
    </row>
    <row r="1160" spans="3:5" ht="16.5">
      <c r="C1160" s="123"/>
      <c r="E1160" s="123"/>
    </row>
    <row r="1161" spans="3:5" ht="16.5">
      <c r="C1161" s="123"/>
      <c r="E1161" s="123"/>
    </row>
    <row r="1162" spans="3:5" ht="16.5">
      <c r="C1162" s="123"/>
      <c r="E1162" s="123"/>
    </row>
    <row r="1163" spans="3:5" ht="16.5">
      <c r="C1163" s="123"/>
      <c r="E1163" s="123"/>
    </row>
    <row r="1164" spans="3:5" ht="16.5">
      <c r="C1164" s="123"/>
      <c r="E1164" s="123"/>
    </row>
    <row r="1165" spans="3:5" ht="16.5">
      <c r="C1165" s="123"/>
      <c r="E1165" s="123"/>
    </row>
    <row r="1166" spans="3:5" ht="16.5">
      <c r="C1166" s="123"/>
      <c r="E1166" s="123"/>
    </row>
    <row r="1167" spans="3:5" ht="16.5">
      <c r="C1167" s="123"/>
      <c r="E1167" s="123"/>
    </row>
    <row r="1168" spans="3:5" ht="16.5">
      <c r="C1168" s="123"/>
      <c r="E1168" s="123"/>
    </row>
    <row r="1169" spans="3:5" ht="16.5">
      <c r="C1169" s="123"/>
      <c r="E1169" s="123"/>
    </row>
    <row r="1170" spans="3:5" ht="16.5">
      <c r="C1170" s="123"/>
      <c r="E1170" s="123"/>
    </row>
    <row r="1171" spans="3:5" ht="16.5">
      <c r="C1171" s="123"/>
      <c r="E1171" s="123"/>
    </row>
    <row r="1172" spans="3:5" ht="16.5">
      <c r="C1172" s="123"/>
      <c r="E1172" s="123"/>
    </row>
    <row r="1173" spans="3:5" ht="16.5">
      <c r="C1173" s="123"/>
      <c r="E1173" s="123"/>
    </row>
    <row r="1174" spans="3:5" ht="16.5">
      <c r="C1174" s="123"/>
      <c r="E1174" s="123"/>
    </row>
    <row r="1175" spans="3:5" ht="16.5">
      <c r="C1175" s="123"/>
      <c r="E1175" s="123"/>
    </row>
    <row r="1176" spans="3:5" ht="16.5">
      <c r="C1176" s="123"/>
      <c r="E1176" s="123"/>
    </row>
    <row r="1177" spans="3:5" ht="16.5">
      <c r="C1177" s="123"/>
      <c r="E1177" s="123"/>
    </row>
    <row r="1178" spans="3:5" ht="16.5">
      <c r="C1178" s="123"/>
      <c r="E1178" s="123"/>
    </row>
    <row r="1179" spans="3:5" ht="16.5">
      <c r="C1179" s="123"/>
      <c r="E1179" s="123"/>
    </row>
    <row r="1180" spans="3:5" ht="16.5">
      <c r="C1180" s="123"/>
      <c r="E1180" s="123"/>
    </row>
    <row r="1181" spans="3:5" ht="16.5">
      <c r="C1181" s="123"/>
      <c r="E1181" s="123"/>
    </row>
    <row r="1182" spans="3:5" ht="16.5">
      <c r="C1182" s="123"/>
      <c r="E1182" s="123"/>
    </row>
    <row r="1183" spans="3:5" ht="16.5">
      <c r="C1183" s="123"/>
      <c r="E1183" s="123"/>
    </row>
    <row r="1184" spans="3:5" ht="16.5">
      <c r="C1184" s="123"/>
      <c r="E1184" s="123"/>
    </row>
    <row r="1185" spans="3:5" ht="16.5">
      <c r="C1185" s="123"/>
      <c r="E1185" s="123"/>
    </row>
    <row r="1186" spans="3:5" ht="16.5">
      <c r="C1186" s="123"/>
      <c r="E1186" s="123"/>
    </row>
    <row r="1187" spans="3:5" ht="16.5">
      <c r="C1187" s="123"/>
      <c r="E1187" s="123"/>
    </row>
    <row r="1188" spans="3:5" ht="16.5">
      <c r="C1188" s="123"/>
      <c r="E1188" s="123"/>
    </row>
    <row r="1189" spans="3:5" ht="16.5">
      <c r="C1189" s="123"/>
      <c r="E1189" s="123"/>
    </row>
    <row r="1190" spans="3:5" ht="16.5">
      <c r="C1190" s="123"/>
      <c r="E1190" s="123"/>
    </row>
    <row r="1191" spans="3:5" ht="16.5">
      <c r="C1191" s="123"/>
      <c r="E1191" s="123"/>
    </row>
    <row r="1192" spans="3:5" ht="16.5">
      <c r="C1192" s="123"/>
      <c r="E1192" s="123"/>
    </row>
    <row r="1193" spans="3:5" ht="16.5">
      <c r="C1193" s="123"/>
      <c r="E1193" s="123"/>
    </row>
    <row r="1194" spans="3:5" ht="16.5">
      <c r="C1194" s="123"/>
      <c r="E1194" s="123"/>
    </row>
    <row r="1195" spans="3:5" ht="16.5">
      <c r="C1195" s="123"/>
      <c r="E1195" s="123"/>
    </row>
    <row r="1196" spans="3:5" ht="16.5">
      <c r="C1196" s="123"/>
      <c r="E1196" s="123"/>
    </row>
    <row r="1197" spans="3:5" ht="16.5">
      <c r="C1197" s="123"/>
      <c r="E1197" s="123"/>
    </row>
    <row r="1198" spans="3:5" ht="16.5">
      <c r="C1198" s="123"/>
      <c r="E1198" s="123"/>
    </row>
    <row r="1199" spans="3:5" ht="16.5">
      <c r="C1199" s="123"/>
      <c r="E1199" s="123"/>
    </row>
    <row r="1200" spans="3:5" ht="16.5">
      <c r="C1200" s="123"/>
      <c r="E1200" s="123"/>
    </row>
    <row r="1201" spans="3:5" ht="16.5">
      <c r="C1201" s="123"/>
      <c r="E1201" s="123"/>
    </row>
    <row r="1202" spans="3:5" ht="16.5">
      <c r="C1202" s="123"/>
      <c r="E1202" s="123"/>
    </row>
    <row r="1203" spans="3:5" ht="16.5">
      <c r="C1203" s="123"/>
      <c r="E1203" s="123"/>
    </row>
    <row r="1204" spans="3:5" ht="16.5">
      <c r="C1204" s="123"/>
      <c r="E1204" s="123"/>
    </row>
    <row r="1205" spans="3:5" ht="16.5">
      <c r="C1205" s="123"/>
      <c r="E1205" s="123"/>
    </row>
    <row r="1206" spans="3:5" ht="16.5">
      <c r="C1206" s="123"/>
      <c r="E1206" s="123"/>
    </row>
    <row r="1207" spans="3:5" ht="16.5">
      <c r="C1207" s="123"/>
      <c r="E1207" s="123"/>
    </row>
    <row r="1208" spans="3:5" ht="16.5">
      <c r="C1208" s="123"/>
      <c r="E1208" s="123"/>
    </row>
    <row r="1209" spans="3:5" ht="16.5">
      <c r="C1209" s="123"/>
      <c r="E1209" s="123"/>
    </row>
    <row r="1210" spans="3:5" ht="16.5">
      <c r="C1210" s="123"/>
      <c r="E1210" s="123"/>
    </row>
    <row r="1211" spans="3:5" ht="16.5">
      <c r="C1211" s="123"/>
      <c r="E1211" s="123"/>
    </row>
    <row r="1212" spans="3:5" ht="16.5">
      <c r="C1212" s="123"/>
      <c r="E1212" s="123"/>
    </row>
    <row r="1213" spans="3:5" ht="16.5">
      <c r="C1213" s="123"/>
      <c r="E1213" s="123"/>
    </row>
    <row r="1214" spans="3:5" ht="16.5">
      <c r="C1214" s="123"/>
      <c r="E1214" s="123"/>
    </row>
    <row r="1215" spans="3:5" ht="16.5">
      <c r="C1215" s="123"/>
      <c r="E1215" s="123"/>
    </row>
    <row r="1216" spans="3:5" ht="16.5">
      <c r="C1216" s="123"/>
      <c r="E1216" s="123"/>
    </row>
    <row r="1217" spans="3:5" ht="16.5">
      <c r="C1217" s="123"/>
      <c r="E1217" s="123"/>
    </row>
    <row r="1218" spans="3:5" ht="16.5">
      <c r="C1218" s="123"/>
      <c r="E1218" s="123"/>
    </row>
    <row r="1219" spans="3:5" ht="16.5">
      <c r="C1219" s="123"/>
      <c r="E1219" s="123"/>
    </row>
    <row r="1220" spans="3:5" ht="16.5">
      <c r="C1220" s="123"/>
      <c r="E1220" s="123"/>
    </row>
    <row r="1221" spans="3:5" ht="16.5">
      <c r="C1221" s="123"/>
      <c r="E1221" s="123"/>
    </row>
    <row r="1222" spans="3:5" ht="16.5">
      <c r="C1222" s="123"/>
      <c r="E1222" s="123"/>
    </row>
    <row r="1223" spans="3:5" ht="16.5">
      <c r="C1223" s="123"/>
      <c r="E1223" s="123"/>
    </row>
    <row r="1224" spans="3:5" ht="16.5">
      <c r="C1224" s="123"/>
      <c r="E1224" s="123"/>
    </row>
    <row r="1225" spans="3:5" ht="16.5">
      <c r="C1225" s="123"/>
      <c r="E1225" s="123"/>
    </row>
    <row r="1226" spans="3:5" ht="16.5">
      <c r="C1226" s="123"/>
      <c r="E1226" s="123"/>
    </row>
    <row r="1227" spans="3:5" ht="16.5">
      <c r="C1227" s="123"/>
      <c r="E1227" s="123"/>
    </row>
    <row r="1228" spans="3:5" ht="16.5">
      <c r="C1228" s="123"/>
      <c r="E1228" s="123"/>
    </row>
    <row r="1229" spans="3:5" ht="16.5">
      <c r="C1229" s="123"/>
      <c r="E1229" s="123"/>
    </row>
    <row r="1230" spans="3:5" ht="16.5">
      <c r="C1230" s="123"/>
      <c r="E1230" s="123"/>
    </row>
    <row r="1231" spans="3:5" ht="16.5">
      <c r="C1231" s="123"/>
      <c r="E1231" s="123"/>
    </row>
    <row r="1232" spans="3:5" ht="16.5">
      <c r="C1232" s="123"/>
      <c r="E1232" s="123"/>
    </row>
    <row r="1233" spans="3:5" ht="16.5">
      <c r="C1233" s="123"/>
      <c r="E1233" s="123"/>
    </row>
    <row r="1234" spans="3:5" ht="16.5">
      <c r="C1234" s="123"/>
      <c r="E1234" s="123"/>
    </row>
    <row r="1235" spans="3:5" ht="16.5">
      <c r="C1235" s="123"/>
      <c r="E1235" s="123"/>
    </row>
    <row r="1236" spans="3:5" ht="16.5">
      <c r="C1236" s="123"/>
      <c r="E1236" s="123"/>
    </row>
    <row r="1237" spans="3:5" ht="16.5">
      <c r="C1237" s="123"/>
      <c r="E1237" s="123"/>
    </row>
    <row r="1238" spans="3:5" ht="16.5">
      <c r="C1238" s="123"/>
      <c r="E1238" s="123"/>
    </row>
    <row r="1239" spans="3:5" ht="16.5">
      <c r="C1239" s="123"/>
      <c r="E1239" s="123"/>
    </row>
    <row r="1240" spans="3:5" ht="16.5">
      <c r="C1240" s="123"/>
      <c r="E1240" s="123"/>
    </row>
    <row r="1241" spans="3:5" ht="16.5">
      <c r="C1241" s="123"/>
      <c r="E1241" s="123"/>
    </row>
    <row r="1242" spans="3:5" ht="16.5">
      <c r="C1242" s="123"/>
      <c r="E1242" s="123"/>
    </row>
    <row r="1243" spans="3:5" ht="16.5">
      <c r="C1243" s="123"/>
      <c r="E1243" s="123"/>
    </row>
    <row r="1244" spans="3:5" ht="16.5">
      <c r="C1244" s="123"/>
      <c r="E1244" s="123"/>
    </row>
    <row r="1245" spans="3:5" ht="16.5">
      <c r="C1245" s="123"/>
      <c r="E1245" s="123"/>
    </row>
    <row r="1246" spans="3:5" ht="16.5">
      <c r="C1246" s="123"/>
      <c r="E1246" s="123"/>
    </row>
    <row r="1247" spans="3:5" ht="16.5">
      <c r="C1247" s="123"/>
      <c r="E1247" s="123"/>
    </row>
    <row r="1248" spans="3:5" ht="16.5">
      <c r="C1248" s="123"/>
      <c r="E1248" s="123"/>
    </row>
    <row r="1249" spans="3:5" ht="16.5">
      <c r="C1249" s="123"/>
      <c r="E1249" s="123"/>
    </row>
    <row r="1250" spans="3:5" ht="16.5">
      <c r="C1250" s="123"/>
      <c r="E1250" s="123"/>
    </row>
    <row r="1251" spans="3:5" ht="16.5">
      <c r="C1251" s="123"/>
      <c r="E1251" s="123"/>
    </row>
    <row r="1252" spans="3:5" ht="16.5">
      <c r="C1252" s="123"/>
      <c r="E1252" s="123"/>
    </row>
    <row r="1253" spans="3:5" ht="16.5">
      <c r="C1253" s="123"/>
      <c r="E1253" s="123"/>
    </row>
    <row r="1254" spans="3:5" ht="16.5">
      <c r="C1254" s="123"/>
      <c r="E1254" s="123"/>
    </row>
    <row r="1255" spans="3:5" ht="16.5">
      <c r="C1255" s="123"/>
      <c r="E1255" s="123"/>
    </row>
    <row r="1256" spans="3:5" ht="16.5">
      <c r="C1256" s="123"/>
      <c r="E1256" s="123"/>
    </row>
    <row r="1257" spans="3:5" ht="16.5">
      <c r="C1257" s="123"/>
      <c r="E1257" s="123"/>
    </row>
    <row r="1258" spans="3:5" ht="16.5">
      <c r="C1258" s="123"/>
      <c r="E1258" s="123"/>
    </row>
    <row r="1259" spans="3:5" ht="16.5">
      <c r="C1259" s="123"/>
      <c r="E1259" s="123"/>
    </row>
    <row r="1260" spans="3:5" ht="16.5">
      <c r="C1260" s="123"/>
      <c r="E1260" s="123"/>
    </row>
    <row r="1261" spans="3:5" ht="16.5">
      <c r="C1261" s="123"/>
      <c r="E1261" s="123"/>
    </row>
    <row r="1262" spans="3:5" ht="16.5">
      <c r="C1262" s="123"/>
      <c r="E1262" s="123"/>
    </row>
    <row r="1263" spans="3:5" ht="16.5">
      <c r="C1263" s="123"/>
      <c r="E1263" s="123"/>
    </row>
    <row r="1264" spans="3:5" ht="16.5">
      <c r="C1264" s="123"/>
      <c r="E1264" s="123"/>
    </row>
    <row r="1265" spans="3:5" ht="16.5">
      <c r="C1265" s="123"/>
      <c r="E1265" s="123"/>
    </row>
    <row r="1266" spans="3:5" ht="16.5">
      <c r="C1266" s="123"/>
      <c r="E1266" s="123"/>
    </row>
    <row r="1267" spans="3:5" ht="16.5">
      <c r="C1267" s="123"/>
      <c r="E1267" s="123"/>
    </row>
    <row r="1268" spans="3:5" ht="16.5">
      <c r="C1268" s="123"/>
      <c r="E1268" s="123"/>
    </row>
    <row r="1269" spans="3:5" ht="16.5">
      <c r="C1269" s="123"/>
      <c r="E1269" s="123"/>
    </row>
    <row r="1270" spans="3:5" ht="16.5">
      <c r="C1270" s="123"/>
      <c r="E1270" s="123"/>
    </row>
    <row r="1271" spans="3:5" ht="16.5">
      <c r="C1271" s="123"/>
      <c r="E1271" s="123"/>
    </row>
    <row r="1272" spans="3:5" ht="16.5">
      <c r="C1272" s="123"/>
      <c r="E1272" s="123"/>
    </row>
    <row r="1273" spans="3:5" ht="16.5">
      <c r="C1273" s="123"/>
      <c r="E1273" s="123"/>
    </row>
    <row r="1274" spans="3:5" ht="16.5">
      <c r="C1274" s="123"/>
      <c r="E1274" s="123"/>
    </row>
    <row r="1275" spans="3:5" ht="16.5">
      <c r="C1275" s="123"/>
      <c r="E1275" s="123"/>
    </row>
    <row r="1276" spans="3:5" ht="16.5">
      <c r="C1276" s="123"/>
      <c r="E1276" s="123"/>
    </row>
    <row r="1277" spans="3:5" ht="16.5">
      <c r="C1277" s="123"/>
      <c r="E1277" s="123"/>
    </row>
    <row r="1278" spans="3:5" ht="16.5">
      <c r="C1278" s="123"/>
      <c r="E1278" s="123"/>
    </row>
    <row r="1279" spans="3:5" ht="16.5">
      <c r="C1279" s="123"/>
      <c r="E1279" s="123"/>
    </row>
    <row r="1280" spans="3:5" ht="16.5">
      <c r="C1280" s="123"/>
      <c r="E1280" s="123"/>
    </row>
    <row r="1281" spans="3:5" ht="16.5">
      <c r="C1281" s="123"/>
      <c r="E1281" s="123"/>
    </row>
    <row r="1282" spans="3:5" ht="16.5">
      <c r="C1282" s="123"/>
      <c r="E1282" s="123"/>
    </row>
    <row r="1283" spans="3:5" ht="16.5">
      <c r="C1283" s="123"/>
      <c r="E1283" s="123"/>
    </row>
    <row r="1284" spans="3:5" ht="16.5">
      <c r="C1284" s="123"/>
      <c r="E1284" s="123"/>
    </row>
    <row r="1285" spans="3:5" ht="16.5">
      <c r="C1285" s="123"/>
      <c r="E1285" s="123"/>
    </row>
    <row r="1286" spans="3:5" ht="16.5">
      <c r="C1286" s="123"/>
      <c r="E1286" s="123"/>
    </row>
    <row r="1287" spans="3:5" ht="16.5">
      <c r="C1287" s="123"/>
      <c r="E1287" s="123"/>
    </row>
    <row r="1288" spans="3:5" ht="16.5">
      <c r="C1288" s="123"/>
      <c r="E1288" s="123"/>
    </row>
    <row r="1289" spans="3:5" ht="16.5">
      <c r="C1289" s="123"/>
      <c r="E1289" s="123"/>
    </row>
    <row r="1290" spans="3:5" ht="16.5">
      <c r="C1290" s="123"/>
      <c r="E1290" s="123"/>
    </row>
    <row r="1291" spans="3:5" ht="16.5">
      <c r="C1291" s="123"/>
      <c r="E1291" s="123"/>
    </row>
    <row r="1292" spans="3:5" ht="16.5">
      <c r="C1292" s="123"/>
      <c r="E1292" s="123"/>
    </row>
    <row r="1293" spans="3:5" ht="16.5">
      <c r="C1293" s="123"/>
      <c r="E1293" s="123"/>
    </row>
    <row r="1294" spans="3:5" ht="16.5">
      <c r="C1294" s="123"/>
      <c r="E1294" s="123"/>
    </row>
    <row r="1295" spans="3:5" ht="16.5">
      <c r="C1295" s="123"/>
      <c r="E1295" s="123"/>
    </row>
    <row r="1296" spans="3:5" ht="16.5">
      <c r="C1296" s="123"/>
      <c r="E1296" s="123"/>
    </row>
    <row r="1297" spans="3:5" ht="16.5">
      <c r="C1297" s="123"/>
      <c r="E1297" s="123"/>
    </row>
    <row r="1298" spans="3:5" ht="16.5">
      <c r="C1298" s="123"/>
      <c r="E1298" s="123"/>
    </row>
    <row r="1299" spans="3:5" ht="16.5">
      <c r="C1299" s="123"/>
      <c r="E1299" s="123"/>
    </row>
    <row r="1300" spans="3:5" ht="16.5">
      <c r="C1300" s="123"/>
      <c r="E1300" s="123"/>
    </row>
    <row r="1301" spans="3:5" ht="16.5">
      <c r="C1301" s="123"/>
      <c r="E1301" s="123"/>
    </row>
    <row r="1302" spans="3:5" ht="16.5">
      <c r="C1302" s="123"/>
      <c r="E1302" s="123"/>
    </row>
    <row r="1303" spans="3:5" ht="16.5">
      <c r="C1303" s="123"/>
      <c r="E1303" s="123"/>
    </row>
    <row r="1304" spans="3:5" ht="16.5">
      <c r="C1304" s="123"/>
      <c r="E1304" s="123"/>
    </row>
    <row r="1305" spans="3:5" ht="16.5">
      <c r="C1305" s="123"/>
      <c r="E1305" s="123"/>
    </row>
    <row r="1306" spans="3:5" ht="16.5">
      <c r="C1306" s="123"/>
      <c r="E1306" s="123"/>
    </row>
    <row r="1307" spans="3:5" ht="16.5">
      <c r="C1307" s="123"/>
      <c r="E1307" s="123"/>
    </row>
    <row r="1308" spans="3:5" ht="16.5">
      <c r="C1308" s="123"/>
      <c r="E1308" s="123"/>
    </row>
    <row r="1309" spans="3:5" ht="16.5">
      <c r="C1309" s="123"/>
      <c r="E1309" s="123"/>
    </row>
    <row r="1310" spans="3:5" ht="16.5">
      <c r="C1310" s="123"/>
      <c r="E1310" s="123"/>
    </row>
    <row r="1311" spans="3:5" ht="16.5">
      <c r="C1311" s="123"/>
      <c r="E1311" s="123"/>
    </row>
    <row r="1312" spans="3:5" ht="16.5">
      <c r="C1312" s="123"/>
      <c r="E1312" s="123"/>
    </row>
    <row r="1313" spans="3:5" ht="16.5">
      <c r="C1313" s="123"/>
      <c r="E1313" s="123"/>
    </row>
    <row r="1314" spans="3:5" ht="16.5">
      <c r="C1314" s="123"/>
      <c r="E1314" s="123"/>
    </row>
    <row r="1315" spans="3:5" ht="16.5">
      <c r="C1315" s="123"/>
      <c r="E1315" s="123"/>
    </row>
    <row r="1316" spans="3:5" ht="16.5">
      <c r="C1316" s="123"/>
      <c r="E1316" s="123"/>
    </row>
    <row r="1317" spans="3:5" ht="16.5">
      <c r="C1317" s="123"/>
      <c r="E1317" s="123"/>
    </row>
    <row r="1318" spans="3:5" ht="16.5">
      <c r="C1318" s="123"/>
      <c r="E1318" s="123"/>
    </row>
    <row r="1319" spans="3:5" ht="16.5">
      <c r="C1319" s="123"/>
      <c r="E1319" s="123"/>
    </row>
    <row r="1320" spans="3:5" ht="16.5">
      <c r="C1320" s="123"/>
      <c r="E1320" s="123"/>
    </row>
    <row r="1321" spans="3:5" ht="16.5">
      <c r="C1321" s="123"/>
      <c r="E1321" s="123"/>
    </row>
    <row r="1322" spans="3:5" ht="16.5">
      <c r="C1322" s="123"/>
      <c r="E1322" s="123"/>
    </row>
    <row r="1323" spans="3:5" ht="16.5">
      <c r="C1323" s="123"/>
      <c r="E1323" s="123"/>
    </row>
    <row r="1324" spans="3:5" ht="16.5">
      <c r="C1324" s="123"/>
      <c r="E1324" s="123"/>
    </row>
    <row r="1325" spans="3:5" ht="16.5">
      <c r="C1325" s="123"/>
      <c r="E1325" s="123"/>
    </row>
    <row r="1326" spans="3:5" ht="16.5">
      <c r="C1326" s="123"/>
      <c r="E1326" s="123"/>
    </row>
    <row r="1327" spans="3:5" ht="16.5">
      <c r="C1327" s="123"/>
      <c r="E1327" s="123"/>
    </row>
    <row r="1328" spans="3:5" ht="16.5">
      <c r="C1328" s="123"/>
      <c r="E1328" s="123"/>
    </row>
    <row r="1329" spans="3:5" ht="16.5">
      <c r="C1329" s="123"/>
      <c r="E1329" s="123"/>
    </row>
    <row r="1330" spans="3:5" ht="16.5">
      <c r="C1330" s="123"/>
      <c r="E1330" s="123"/>
    </row>
    <row r="1331" spans="3:5" ht="16.5">
      <c r="C1331" s="123"/>
      <c r="E1331" s="123"/>
    </row>
    <row r="1332" spans="3:5" ht="16.5">
      <c r="C1332" s="123"/>
      <c r="E1332" s="123"/>
    </row>
    <row r="1333" spans="3:5" ht="16.5">
      <c r="C1333" s="123"/>
      <c r="E1333" s="123"/>
    </row>
    <row r="1334" spans="3:5" ht="16.5">
      <c r="C1334" s="123"/>
      <c r="E1334" s="123"/>
    </row>
    <row r="1335" spans="3:5" ht="16.5">
      <c r="C1335" s="123"/>
      <c r="E1335" s="123"/>
    </row>
    <row r="1336" spans="3:5" ht="16.5">
      <c r="C1336" s="123"/>
      <c r="E1336" s="123"/>
    </row>
    <row r="1337" spans="3:5" ht="16.5">
      <c r="C1337" s="123"/>
      <c r="E1337" s="123"/>
    </row>
    <row r="1338" spans="3:5" ht="16.5">
      <c r="C1338" s="123"/>
      <c r="E1338" s="123"/>
    </row>
    <row r="1339" spans="3:5" ht="16.5">
      <c r="C1339" s="123"/>
      <c r="E1339" s="123"/>
    </row>
    <row r="1340" spans="3:5" ht="16.5">
      <c r="C1340" s="123"/>
      <c r="E1340" s="123"/>
    </row>
    <row r="1341" spans="3:5" ht="16.5">
      <c r="C1341" s="123"/>
      <c r="E1341" s="123"/>
    </row>
    <row r="1342" spans="3:5" ht="16.5">
      <c r="C1342" s="123"/>
      <c r="E1342" s="123"/>
    </row>
    <row r="1343" spans="3:5" ht="16.5">
      <c r="C1343" s="123"/>
      <c r="E1343" s="123"/>
    </row>
    <row r="1344" spans="3:5" ht="16.5">
      <c r="C1344" s="123"/>
      <c r="E1344" s="123"/>
    </row>
    <row r="1345" spans="3:5" ht="16.5">
      <c r="C1345" s="123"/>
      <c r="E1345" s="123"/>
    </row>
    <row r="1346" spans="3:5" ht="16.5">
      <c r="C1346" s="123"/>
      <c r="E1346" s="123"/>
    </row>
    <row r="1347" spans="3:5" ht="16.5">
      <c r="C1347" s="123"/>
      <c r="E1347" s="123"/>
    </row>
    <row r="1348" spans="3:5" ht="16.5">
      <c r="C1348" s="123"/>
      <c r="E1348" s="123"/>
    </row>
    <row r="1349" spans="3:5" ht="16.5">
      <c r="C1349" s="123"/>
      <c r="E1349" s="123"/>
    </row>
    <row r="1350" spans="3:5" ht="16.5">
      <c r="C1350" s="123"/>
      <c r="E1350" s="123"/>
    </row>
    <row r="1351" spans="3:5" ht="16.5">
      <c r="C1351" s="123"/>
      <c r="E1351" s="123"/>
    </row>
    <row r="1352" spans="3:5" ht="16.5">
      <c r="C1352" s="123"/>
      <c r="E1352" s="123"/>
    </row>
    <row r="1353" spans="3:5" ht="16.5">
      <c r="C1353" s="123"/>
      <c r="E1353" s="123"/>
    </row>
    <row r="1354" spans="3:5" ht="16.5">
      <c r="C1354" s="123"/>
      <c r="E1354" s="123"/>
    </row>
    <row r="1355" spans="3:5" ht="16.5">
      <c r="C1355" s="123"/>
      <c r="E1355" s="123"/>
    </row>
    <row r="1356" spans="3:5" ht="16.5">
      <c r="C1356" s="123"/>
      <c r="E1356" s="123"/>
    </row>
    <row r="1357" spans="3:5" ht="16.5">
      <c r="C1357" s="123"/>
      <c r="E1357" s="123"/>
    </row>
    <row r="1358" spans="3:5" ht="16.5">
      <c r="C1358" s="123"/>
      <c r="E1358" s="123"/>
    </row>
    <row r="1359" spans="3:5" ht="16.5">
      <c r="C1359" s="123"/>
      <c r="E1359" s="123"/>
    </row>
    <row r="1360" spans="3:5" ht="16.5">
      <c r="C1360" s="123"/>
      <c r="E1360" s="123"/>
    </row>
    <row r="1361" spans="3:5" ht="16.5">
      <c r="C1361" s="123"/>
      <c r="E1361" s="123"/>
    </row>
    <row r="1362" spans="3:5" ht="16.5">
      <c r="C1362" s="123"/>
      <c r="E1362" s="123"/>
    </row>
    <row r="1363" spans="3:5" ht="16.5">
      <c r="C1363" s="123"/>
      <c r="E1363" s="123"/>
    </row>
    <row r="1364" spans="3:5" ht="16.5">
      <c r="C1364" s="123"/>
      <c r="E1364" s="123"/>
    </row>
    <row r="1365" spans="3:5" ht="16.5">
      <c r="C1365" s="123"/>
      <c r="E1365" s="123"/>
    </row>
    <row r="1366" spans="3:5" ht="16.5">
      <c r="C1366" s="123"/>
      <c r="E1366" s="123"/>
    </row>
    <row r="1367" spans="3:5" ht="16.5">
      <c r="C1367" s="123"/>
      <c r="E1367" s="123"/>
    </row>
    <row r="1368" spans="3:5" ht="16.5">
      <c r="C1368" s="123"/>
      <c r="E1368" s="123"/>
    </row>
    <row r="1369" spans="3:5" ht="16.5">
      <c r="C1369" s="123"/>
      <c r="E1369" s="123"/>
    </row>
    <row r="1370" spans="3:5" ht="16.5">
      <c r="C1370" s="123"/>
      <c r="E1370" s="123"/>
    </row>
    <row r="1371" spans="3:5" ht="16.5">
      <c r="C1371" s="123"/>
      <c r="E1371" s="123"/>
    </row>
    <row r="1372" spans="3:5" ht="16.5">
      <c r="C1372" s="123"/>
      <c r="E1372" s="123"/>
    </row>
    <row r="1373" spans="3:5" ht="16.5">
      <c r="C1373" s="123"/>
      <c r="E1373" s="123"/>
    </row>
    <row r="1374" spans="3:5" ht="16.5">
      <c r="C1374" s="123"/>
      <c r="E1374" s="123"/>
    </row>
    <row r="1375" spans="3:5" ht="16.5">
      <c r="C1375" s="123"/>
      <c r="E1375" s="123"/>
    </row>
    <row r="1376" spans="3:5" ht="16.5">
      <c r="C1376" s="123"/>
      <c r="E1376" s="123"/>
    </row>
    <row r="1377" spans="3:5" ht="16.5">
      <c r="C1377" s="123"/>
      <c r="E1377" s="123"/>
    </row>
    <row r="1378" spans="3:5" ht="16.5">
      <c r="C1378" s="123"/>
      <c r="E1378" s="123"/>
    </row>
    <row r="1379" spans="3:5" ht="16.5">
      <c r="C1379" s="123"/>
      <c r="E1379" s="123"/>
    </row>
    <row r="1380" spans="3:5" ht="16.5">
      <c r="C1380" s="123"/>
      <c r="E1380" s="123"/>
    </row>
    <row r="1381" spans="3:5" ht="16.5">
      <c r="C1381" s="123"/>
      <c r="E1381" s="123"/>
    </row>
    <row r="1382" spans="3:5" ht="16.5">
      <c r="C1382" s="123"/>
      <c r="E1382" s="123"/>
    </row>
    <row r="1383" spans="3:5" ht="16.5">
      <c r="C1383" s="123"/>
      <c r="E1383" s="123"/>
    </row>
    <row r="1384" spans="3:5" ht="16.5">
      <c r="C1384" s="123"/>
      <c r="E1384" s="123"/>
    </row>
    <row r="1385" spans="3:5" ht="16.5">
      <c r="C1385" s="123"/>
      <c r="E1385" s="123"/>
    </row>
    <row r="1386" spans="3:5" ht="16.5">
      <c r="C1386" s="123"/>
      <c r="E1386" s="123"/>
    </row>
    <row r="1387" spans="3:5" ht="16.5">
      <c r="C1387" s="123"/>
      <c r="E1387" s="123"/>
    </row>
    <row r="1388" spans="3:5" ht="16.5">
      <c r="C1388" s="123"/>
      <c r="E1388" s="123"/>
    </row>
    <row r="1389" spans="3:5" ht="16.5">
      <c r="C1389" s="123"/>
      <c r="E1389" s="123"/>
    </row>
    <row r="1390" spans="3:5" ht="16.5">
      <c r="C1390" s="123"/>
      <c r="E1390" s="123"/>
    </row>
    <row r="1391" spans="3:5" ht="16.5">
      <c r="C1391" s="123"/>
      <c r="E1391" s="123"/>
    </row>
    <row r="1392" spans="3:5" ht="16.5">
      <c r="C1392" s="123"/>
      <c r="E1392" s="123"/>
    </row>
    <row r="1393" spans="3:5" ht="16.5">
      <c r="C1393" s="123"/>
      <c r="E1393" s="123"/>
    </row>
    <row r="1394" spans="3:5" ht="16.5">
      <c r="C1394" s="123"/>
      <c r="E1394" s="123"/>
    </row>
    <row r="1395" spans="3:5" ht="16.5">
      <c r="C1395" s="123"/>
      <c r="E1395" s="123"/>
    </row>
    <row r="1396" spans="3:5" ht="16.5">
      <c r="C1396" s="123"/>
      <c r="E1396" s="123"/>
    </row>
    <row r="1397" spans="3:5" ht="16.5">
      <c r="C1397" s="123"/>
      <c r="E1397" s="123"/>
    </row>
    <row r="1398" spans="3:5" ht="16.5">
      <c r="C1398" s="123"/>
      <c r="E1398" s="123"/>
    </row>
    <row r="1399" spans="3:5" ht="16.5">
      <c r="C1399" s="123"/>
      <c r="E1399" s="123"/>
    </row>
    <row r="1400" spans="3:5" ht="16.5">
      <c r="C1400" s="123"/>
      <c r="E1400" s="123"/>
    </row>
    <row r="1401" spans="3:5" ht="16.5">
      <c r="C1401" s="123"/>
      <c r="E1401" s="123"/>
    </row>
    <row r="1402" spans="3:5" ht="16.5">
      <c r="C1402" s="123"/>
      <c r="E1402" s="123"/>
    </row>
    <row r="1403" spans="3:5" ht="16.5">
      <c r="C1403" s="123"/>
      <c r="E1403" s="123"/>
    </row>
    <row r="1404" spans="3:5" ht="16.5">
      <c r="C1404" s="123"/>
      <c r="E1404" s="123"/>
    </row>
    <row r="1405" spans="3:5" ht="16.5">
      <c r="C1405" s="123"/>
      <c r="E1405" s="123"/>
    </row>
    <row r="1406" spans="3:5" ht="16.5">
      <c r="C1406" s="123"/>
      <c r="E1406" s="123"/>
    </row>
    <row r="1407" spans="3:5" ht="16.5">
      <c r="C1407" s="123"/>
      <c r="E1407" s="123"/>
    </row>
    <row r="1408" spans="3:5" ht="16.5">
      <c r="C1408" s="123"/>
      <c r="E1408" s="123"/>
    </row>
    <row r="1409" spans="3:5" ht="16.5">
      <c r="C1409" s="123"/>
      <c r="E1409" s="123"/>
    </row>
    <row r="1410" spans="3:5" ht="16.5">
      <c r="C1410" s="123"/>
      <c r="E1410" s="123"/>
    </row>
    <row r="1411" spans="3:5" ht="16.5">
      <c r="C1411" s="123"/>
      <c r="E1411" s="123"/>
    </row>
    <row r="1412" spans="3:5" ht="16.5">
      <c r="C1412" s="123"/>
      <c r="E1412" s="123"/>
    </row>
    <row r="1413" spans="3:5" ht="16.5">
      <c r="C1413" s="123"/>
      <c r="E1413" s="123"/>
    </row>
    <row r="1414" spans="3:5" ht="16.5">
      <c r="C1414" s="123"/>
      <c r="E1414" s="123"/>
    </row>
    <row r="1415" spans="3:5" ht="16.5">
      <c r="C1415" s="123"/>
      <c r="E1415" s="123"/>
    </row>
    <row r="1416" spans="3:5" ht="16.5">
      <c r="C1416" s="123"/>
      <c r="E1416" s="123"/>
    </row>
    <row r="1417" spans="3:5" ht="16.5">
      <c r="C1417" s="123"/>
      <c r="E1417" s="123"/>
    </row>
    <row r="1418" spans="3:5" ht="16.5">
      <c r="C1418" s="123"/>
      <c r="E1418" s="123"/>
    </row>
    <row r="1419" spans="3:5" ht="16.5">
      <c r="C1419" s="123"/>
      <c r="E1419" s="123"/>
    </row>
    <row r="1420" spans="3:5" ht="16.5">
      <c r="C1420" s="123"/>
      <c r="E1420" s="123"/>
    </row>
    <row r="1421" spans="3:5" ht="16.5">
      <c r="C1421" s="123"/>
      <c r="E1421" s="123"/>
    </row>
    <row r="1422" spans="3:5" ht="16.5">
      <c r="C1422" s="123"/>
      <c r="E1422" s="123"/>
    </row>
    <row r="1423" spans="3:5" ht="16.5">
      <c r="C1423" s="123"/>
      <c r="E1423" s="123"/>
    </row>
    <row r="1424" spans="3:5" ht="16.5">
      <c r="C1424" s="123"/>
      <c r="E1424" s="123"/>
    </row>
    <row r="1425" spans="3:5" ht="16.5">
      <c r="C1425" s="123"/>
      <c r="E1425" s="123"/>
    </row>
    <row r="1426" spans="3:5" ht="16.5">
      <c r="C1426" s="123"/>
      <c r="E1426" s="123"/>
    </row>
    <row r="1427" spans="3:5" ht="16.5">
      <c r="C1427" s="123"/>
      <c r="E1427" s="123"/>
    </row>
    <row r="1428" spans="3:5" ht="16.5">
      <c r="C1428" s="123"/>
      <c r="E1428" s="123"/>
    </row>
    <row r="1429" spans="3:5" ht="16.5">
      <c r="C1429" s="123"/>
      <c r="E1429" s="123"/>
    </row>
    <row r="1430" spans="3:5" ht="16.5">
      <c r="C1430" s="123"/>
      <c r="E1430" s="123"/>
    </row>
    <row r="1431" spans="3:5" ht="16.5">
      <c r="C1431" s="123"/>
      <c r="E1431" s="123"/>
    </row>
    <row r="1432" spans="3:5" ht="16.5">
      <c r="C1432" s="123"/>
      <c r="E1432" s="123"/>
    </row>
    <row r="1433" spans="3:5" ht="16.5">
      <c r="C1433" s="123"/>
      <c r="E1433" s="123"/>
    </row>
    <row r="1434" spans="3:5" ht="16.5">
      <c r="C1434" s="123"/>
      <c r="E1434" s="123"/>
    </row>
    <row r="1435" spans="3:5" ht="16.5">
      <c r="C1435" s="123"/>
      <c r="E1435" s="123"/>
    </row>
    <row r="1436" spans="3:5" ht="16.5">
      <c r="C1436" s="123"/>
      <c r="E1436" s="123"/>
    </row>
    <row r="1437" spans="3:5" ht="16.5">
      <c r="C1437" s="123"/>
      <c r="E1437" s="123"/>
    </row>
    <row r="1438" spans="3:5" ht="16.5">
      <c r="C1438" s="123"/>
      <c r="E1438" s="123"/>
    </row>
    <row r="1439" spans="3:5" ht="16.5">
      <c r="C1439" s="123"/>
      <c r="E1439" s="123"/>
    </row>
    <row r="1440" spans="3:5" ht="16.5">
      <c r="C1440" s="123"/>
      <c r="E1440" s="123"/>
    </row>
    <row r="1441" spans="3:5" ht="16.5">
      <c r="C1441" s="123"/>
      <c r="E1441" s="123"/>
    </row>
    <row r="1442" spans="3:5" ht="16.5">
      <c r="C1442" s="123"/>
      <c r="E1442" s="123"/>
    </row>
    <row r="1443" spans="3:5" ht="16.5">
      <c r="C1443" s="123"/>
      <c r="E1443" s="123"/>
    </row>
    <row r="1444" spans="3:5" ht="16.5">
      <c r="C1444" s="123"/>
      <c r="E1444" s="123"/>
    </row>
    <row r="1445" spans="3:5" ht="16.5">
      <c r="C1445" s="123"/>
      <c r="E1445" s="123"/>
    </row>
    <row r="1446" spans="3:5" ht="16.5">
      <c r="C1446" s="123"/>
      <c r="E1446" s="123"/>
    </row>
    <row r="1447" spans="3:5" ht="16.5">
      <c r="C1447" s="123"/>
      <c r="E1447" s="123"/>
    </row>
    <row r="1448" spans="3:5" ht="16.5">
      <c r="C1448" s="123"/>
      <c r="E1448" s="123"/>
    </row>
    <row r="1449" spans="3:5" ht="16.5">
      <c r="C1449" s="123"/>
      <c r="E1449" s="123"/>
    </row>
    <row r="1450" spans="3:5" ht="16.5">
      <c r="C1450" s="123"/>
      <c r="E1450" s="123"/>
    </row>
    <row r="1451" spans="3:5" ht="16.5">
      <c r="C1451" s="123"/>
      <c r="E1451" s="123"/>
    </row>
    <row r="1452" spans="3:5" ht="16.5">
      <c r="C1452" s="123"/>
      <c r="E1452" s="123"/>
    </row>
    <row r="1453" spans="3:5" ht="16.5">
      <c r="C1453" s="123"/>
      <c r="E1453" s="123"/>
    </row>
    <row r="1454" spans="3:5" ht="16.5">
      <c r="C1454" s="123"/>
      <c r="E1454" s="123"/>
    </row>
    <row r="1455" spans="3:5" ht="16.5">
      <c r="C1455" s="123"/>
      <c r="E1455" s="123"/>
    </row>
    <row r="1456" spans="3:5" ht="16.5">
      <c r="C1456" s="123"/>
      <c r="E1456" s="123"/>
    </row>
    <row r="1457" spans="3:5" ht="16.5">
      <c r="C1457" s="123"/>
      <c r="E1457" s="123"/>
    </row>
    <row r="1458" spans="3:5" ht="16.5">
      <c r="C1458" s="123"/>
      <c r="E1458" s="123"/>
    </row>
    <row r="1459" spans="3:5" ht="16.5">
      <c r="C1459" s="123"/>
      <c r="E1459" s="123"/>
    </row>
    <row r="1460" spans="3:5" ht="16.5">
      <c r="C1460" s="123"/>
      <c r="E1460" s="123"/>
    </row>
    <row r="1461" spans="3:5" ht="16.5">
      <c r="C1461" s="123"/>
      <c r="E1461" s="123"/>
    </row>
    <row r="1462" spans="3:5" ht="16.5">
      <c r="C1462" s="123"/>
      <c r="E1462" s="123"/>
    </row>
    <row r="1463" spans="3:5" ht="16.5">
      <c r="C1463" s="123"/>
      <c r="E1463" s="123"/>
    </row>
    <row r="1464" spans="3:5" ht="16.5">
      <c r="C1464" s="123"/>
      <c r="E1464" s="123"/>
    </row>
    <row r="1465" spans="3:5" ht="16.5">
      <c r="C1465" s="123"/>
      <c r="E1465" s="123"/>
    </row>
    <row r="1466" spans="3:5" ht="16.5">
      <c r="C1466" s="123"/>
      <c r="E1466" s="123"/>
    </row>
    <row r="1467" spans="3:5" ht="16.5">
      <c r="C1467" s="123"/>
      <c r="E1467" s="123"/>
    </row>
    <row r="1468" spans="3:5" ht="16.5">
      <c r="C1468" s="123"/>
      <c r="E1468" s="123"/>
    </row>
    <row r="1469" spans="3:5" ht="16.5">
      <c r="C1469" s="123"/>
      <c r="E1469" s="123"/>
    </row>
    <row r="1470" spans="3:5" ht="16.5">
      <c r="C1470" s="123"/>
      <c r="E1470" s="123"/>
    </row>
    <row r="1471" spans="3:5" ht="16.5">
      <c r="C1471" s="123"/>
      <c r="E1471" s="123"/>
    </row>
    <row r="1472" spans="3:5" ht="16.5">
      <c r="C1472" s="123"/>
      <c r="E1472" s="123"/>
    </row>
    <row r="1473" spans="3:5" ht="16.5">
      <c r="C1473" s="123"/>
      <c r="E1473" s="123"/>
    </row>
    <row r="1474" spans="3:5" ht="16.5">
      <c r="C1474" s="123"/>
      <c r="E1474" s="123"/>
    </row>
    <row r="1475" spans="3:5" ht="16.5">
      <c r="C1475" s="123"/>
      <c r="E1475" s="123"/>
    </row>
    <row r="1476" spans="3:5" ht="16.5">
      <c r="C1476" s="123"/>
      <c r="E1476" s="123"/>
    </row>
    <row r="1477" spans="3:5" ht="16.5">
      <c r="C1477" s="123"/>
      <c r="E1477" s="123"/>
    </row>
    <row r="1478" spans="3:5" ht="16.5">
      <c r="C1478" s="123"/>
      <c r="E1478" s="123"/>
    </row>
    <row r="1479" spans="3:5" ht="16.5">
      <c r="C1479" s="123"/>
      <c r="E1479" s="123"/>
    </row>
    <row r="1480" spans="3:5" ht="16.5">
      <c r="C1480" s="123"/>
      <c r="E1480" s="123"/>
    </row>
    <row r="1481" spans="3:5" ht="16.5">
      <c r="C1481" s="123"/>
      <c r="E1481" s="123"/>
    </row>
    <row r="1482" spans="3:5" ht="16.5">
      <c r="C1482" s="123"/>
      <c r="E1482" s="123"/>
    </row>
    <row r="1483" spans="3:5" ht="16.5">
      <c r="C1483" s="123"/>
      <c r="E1483" s="123"/>
    </row>
    <row r="1484" spans="3:5" ht="16.5">
      <c r="C1484" s="123"/>
      <c r="E1484" s="123"/>
    </row>
    <row r="1485" spans="3:5" ht="16.5">
      <c r="C1485" s="123"/>
      <c r="E1485" s="123"/>
    </row>
    <row r="1486" spans="3:5" ht="16.5">
      <c r="C1486" s="123"/>
      <c r="E1486" s="123"/>
    </row>
    <row r="1487" spans="3:5" ht="16.5">
      <c r="C1487" s="123"/>
      <c r="E1487" s="123"/>
    </row>
    <row r="1488" spans="3:5" ht="16.5">
      <c r="C1488" s="123"/>
      <c r="E1488" s="123"/>
    </row>
    <row r="1489" spans="3:5" ht="16.5">
      <c r="C1489" s="123"/>
      <c r="E1489" s="123"/>
    </row>
    <row r="1490" spans="3:5" ht="16.5">
      <c r="C1490" s="123"/>
      <c r="E1490" s="123"/>
    </row>
    <row r="1491" spans="3:5" ht="16.5">
      <c r="C1491" s="123"/>
      <c r="E1491" s="123"/>
    </row>
    <row r="1492" spans="3:5" ht="16.5">
      <c r="C1492" s="123"/>
      <c r="E1492" s="123"/>
    </row>
    <row r="1493" spans="3:5" ht="16.5">
      <c r="C1493" s="123"/>
      <c r="E1493" s="123"/>
    </row>
    <row r="1494" spans="3:5" ht="16.5">
      <c r="C1494" s="123"/>
      <c r="E1494" s="123"/>
    </row>
    <row r="1495" spans="3:5" ht="16.5">
      <c r="C1495" s="123"/>
      <c r="E1495" s="123"/>
    </row>
    <row r="1496" spans="3:5" ht="16.5">
      <c r="C1496" s="123"/>
      <c r="E1496" s="123"/>
    </row>
    <row r="1497" spans="3:5" ht="16.5">
      <c r="C1497" s="123"/>
      <c r="E1497" s="123"/>
    </row>
    <row r="1498" spans="3:5" ht="16.5">
      <c r="C1498" s="123"/>
      <c r="E1498" s="123"/>
    </row>
    <row r="1499" spans="3:5" ht="16.5">
      <c r="C1499" s="123"/>
      <c r="E1499" s="123"/>
    </row>
    <row r="1500" spans="3:5" ht="16.5">
      <c r="C1500" s="123"/>
      <c r="E1500" s="123"/>
    </row>
    <row r="1501" spans="3:5" ht="16.5">
      <c r="C1501" s="123"/>
      <c r="E1501" s="123"/>
    </row>
    <row r="1502" spans="3:5" ht="16.5">
      <c r="C1502" s="123"/>
      <c r="E1502" s="123"/>
    </row>
    <row r="1503" spans="3:5" ht="16.5">
      <c r="C1503" s="123"/>
      <c r="E1503" s="123"/>
    </row>
    <row r="1504" spans="3:5" ht="16.5">
      <c r="C1504" s="123"/>
      <c r="E1504" s="123"/>
    </row>
    <row r="1505" spans="3:5" ht="16.5">
      <c r="C1505" s="123"/>
      <c r="E1505" s="123"/>
    </row>
    <row r="1506" spans="3:5" ht="16.5">
      <c r="C1506" s="123"/>
      <c r="E1506" s="123"/>
    </row>
    <row r="1507" spans="3:5" ht="16.5">
      <c r="C1507" s="123"/>
      <c r="E1507" s="123"/>
    </row>
    <row r="1508" spans="3:5" ht="16.5">
      <c r="C1508" s="123"/>
      <c r="E1508" s="123"/>
    </row>
    <row r="1509" spans="3:5" ht="16.5">
      <c r="C1509" s="123"/>
      <c r="E1509" s="123"/>
    </row>
    <row r="1510" spans="3:5" ht="16.5">
      <c r="C1510" s="123"/>
      <c r="E1510" s="123"/>
    </row>
    <row r="1511" spans="3:5" ht="16.5">
      <c r="C1511" s="123"/>
      <c r="E1511" s="123"/>
    </row>
    <row r="1512" spans="3:5" ht="16.5">
      <c r="C1512" s="123"/>
      <c r="E1512" s="123"/>
    </row>
    <row r="1513" spans="3:5" ht="16.5">
      <c r="C1513" s="123"/>
      <c r="E1513" s="123"/>
    </row>
    <row r="1514" spans="3:5" ht="16.5">
      <c r="C1514" s="123"/>
      <c r="E1514" s="123"/>
    </row>
    <row r="1515" spans="3:5" ht="16.5">
      <c r="C1515" s="123"/>
      <c r="E1515" s="123"/>
    </row>
    <row r="1516" spans="3:5" ht="16.5">
      <c r="C1516" s="123"/>
      <c r="E1516" s="123"/>
    </row>
    <row r="1517" spans="3:5" ht="16.5">
      <c r="C1517" s="123"/>
      <c r="E1517" s="123"/>
    </row>
    <row r="1518" spans="3:5" ht="16.5">
      <c r="C1518" s="123"/>
      <c r="E1518" s="123"/>
    </row>
    <row r="1519" spans="3:5" ht="16.5">
      <c r="C1519" s="123"/>
      <c r="E1519" s="123"/>
    </row>
    <row r="1520" spans="3:5" ht="16.5">
      <c r="C1520" s="123"/>
      <c r="E1520" s="123"/>
    </row>
    <row r="1521" spans="3:5" ht="16.5">
      <c r="C1521" s="123"/>
      <c r="E1521" s="123"/>
    </row>
    <row r="1522" spans="3:5" ht="16.5">
      <c r="C1522" s="123"/>
      <c r="E1522" s="123"/>
    </row>
    <row r="1523" spans="3:5" ht="16.5">
      <c r="C1523" s="123"/>
      <c r="E1523" s="123"/>
    </row>
    <row r="1524" spans="3:5" ht="16.5">
      <c r="C1524" s="123"/>
      <c r="E1524" s="123"/>
    </row>
    <row r="1525" spans="3:5" ht="16.5">
      <c r="C1525" s="123"/>
      <c r="E1525" s="123"/>
    </row>
    <row r="1526" spans="3:5" ht="16.5">
      <c r="C1526" s="123"/>
      <c r="E1526" s="123"/>
    </row>
    <row r="1527" spans="3:5" ht="16.5">
      <c r="C1527" s="123"/>
      <c r="E1527" s="123"/>
    </row>
    <row r="1528" spans="3:5" ht="16.5">
      <c r="C1528" s="123"/>
      <c r="E1528" s="123"/>
    </row>
    <row r="1529" spans="3:5" ht="16.5">
      <c r="C1529" s="123"/>
      <c r="E1529" s="123"/>
    </row>
    <row r="1530" spans="3:5" ht="16.5">
      <c r="C1530" s="123"/>
      <c r="E1530" s="123"/>
    </row>
    <row r="1531" spans="3:5" ht="16.5">
      <c r="C1531" s="123"/>
      <c r="E1531" s="123"/>
    </row>
    <row r="1532" spans="3:5" ht="16.5">
      <c r="C1532" s="123"/>
      <c r="E1532" s="123"/>
    </row>
    <row r="1533" spans="3:5" ht="16.5">
      <c r="C1533" s="123"/>
      <c r="E1533" s="123"/>
    </row>
    <row r="1534" spans="3:5" ht="16.5">
      <c r="C1534" s="123"/>
      <c r="E1534" s="123"/>
    </row>
    <row r="1535" spans="3:5" ht="16.5">
      <c r="C1535" s="123"/>
      <c r="E1535" s="123"/>
    </row>
    <row r="1536" spans="3:5" ht="16.5">
      <c r="C1536" s="123"/>
      <c r="E1536" s="123"/>
    </row>
    <row r="1537" spans="3:5" ht="16.5">
      <c r="C1537" s="123"/>
      <c r="E1537" s="123"/>
    </row>
    <row r="1538" spans="3:5" ht="16.5">
      <c r="C1538" s="123"/>
      <c r="E1538" s="123"/>
    </row>
    <row r="1539" spans="3:5" ht="16.5">
      <c r="C1539" s="123"/>
      <c r="E1539" s="123"/>
    </row>
    <row r="1540" spans="3:5" ht="16.5">
      <c r="C1540" s="123"/>
      <c r="E1540" s="123"/>
    </row>
    <row r="1541" spans="3:5" ht="16.5">
      <c r="C1541" s="123"/>
      <c r="E1541" s="123"/>
    </row>
    <row r="1542" spans="3:5" ht="16.5">
      <c r="C1542" s="123"/>
      <c r="E1542" s="123"/>
    </row>
    <row r="1543" spans="3:5" ht="16.5">
      <c r="C1543" s="123"/>
      <c r="E1543" s="123"/>
    </row>
    <row r="1544" spans="3:5" ht="16.5">
      <c r="C1544" s="123"/>
      <c r="E1544" s="123"/>
    </row>
    <row r="1545" spans="3:5" ht="16.5">
      <c r="C1545" s="123"/>
      <c r="E1545" s="123"/>
    </row>
    <row r="1546" spans="3:5" ht="16.5">
      <c r="C1546" s="123"/>
      <c r="E1546" s="123"/>
    </row>
    <row r="1547" spans="3:5" ht="16.5">
      <c r="C1547" s="123"/>
      <c r="E1547" s="123"/>
    </row>
    <row r="1548" spans="3:5" ht="16.5">
      <c r="C1548" s="123"/>
      <c r="E1548" s="123"/>
    </row>
    <row r="1549" spans="3:5" ht="16.5">
      <c r="C1549" s="123"/>
      <c r="E1549" s="123"/>
    </row>
    <row r="1550" spans="3:5" ht="16.5">
      <c r="C1550" s="123"/>
      <c r="E1550" s="123"/>
    </row>
    <row r="1551" spans="3:5" ht="16.5">
      <c r="C1551" s="123"/>
      <c r="E1551" s="123"/>
    </row>
    <row r="1552" spans="3:5" ht="16.5">
      <c r="C1552" s="123"/>
      <c r="E1552" s="123"/>
    </row>
    <row r="1553" spans="3:5" ht="16.5">
      <c r="C1553" s="123"/>
      <c r="E1553" s="123"/>
    </row>
    <row r="1554" spans="3:5" ht="16.5">
      <c r="C1554" s="123"/>
      <c r="E1554" s="123"/>
    </row>
    <row r="1555" spans="3:5" ht="16.5">
      <c r="C1555" s="123"/>
      <c r="E1555" s="123"/>
    </row>
    <row r="1556" spans="3:5" ht="16.5">
      <c r="C1556" s="123"/>
      <c r="E1556" s="123"/>
    </row>
    <row r="1557" spans="3:5" ht="16.5">
      <c r="C1557" s="123"/>
      <c r="E1557" s="123"/>
    </row>
    <row r="1558" spans="3:5" ht="16.5">
      <c r="C1558" s="123"/>
      <c r="E1558" s="123"/>
    </row>
    <row r="1559" spans="3:5" ht="16.5">
      <c r="C1559" s="123"/>
      <c r="E1559" s="123"/>
    </row>
    <row r="1560" spans="3:5" ht="16.5">
      <c r="C1560" s="123"/>
      <c r="E1560" s="123"/>
    </row>
    <row r="1561" spans="3:5" ht="16.5">
      <c r="C1561" s="123"/>
      <c r="E1561" s="123"/>
    </row>
    <row r="1562" spans="3:5" ht="16.5">
      <c r="C1562" s="123"/>
      <c r="E1562" s="123"/>
    </row>
    <row r="1563" spans="3:5" ht="16.5">
      <c r="C1563" s="123"/>
      <c r="E1563" s="123"/>
    </row>
    <row r="1564" spans="3:5" ht="16.5">
      <c r="C1564" s="123"/>
      <c r="E1564" s="123"/>
    </row>
    <row r="1565" spans="3:5" ht="16.5">
      <c r="C1565" s="123"/>
      <c r="E1565" s="123"/>
    </row>
    <row r="1566" spans="3:5" ht="16.5">
      <c r="C1566" s="123"/>
      <c r="E1566" s="123"/>
    </row>
    <row r="1567" spans="3:5" ht="16.5">
      <c r="C1567" s="123"/>
      <c r="E1567" s="123"/>
    </row>
    <row r="1568" spans="3:5" ht="16.5">
      <c r="C1568" s="123"/>
      <c r="E1568" s="123"/>
    </row>
    <row r="1569" spans="3:5" ht="16.5">
      <c r="C1569" s="123"/>
      <c r="E1569" s="123"/>
    </row>
    <row r="1570" spans="3:5" ht="16.5">
      <c r="C1570" s="123"/>
      <c r="E1570" s="123"/>
    </row>
    <row r="1571" spans="3:5" ht="16.5">
      <c r="C1571" s="123"/>
      <c r="E1571" s="123"/>
    </row>
    <row r="1572" spans="3:5" ht="16.5">
      <c r="C1572" s="123"/>
      <c r="E1572" s="123"/>
    </row>
    <row r="1573" spans="3:5" ht="16.5">
      <c r="C1573" s="123"/>
      <c r="E1573" s="123"/>
    </row>
    <row r="1574" spans="3:5" ht="16.5">
      <c r="C1574" s="123"/>
      <c r="E1574" s="123"/>
    </row>
    <row r="1575" spans="3:5" ht="16.5">
      <c r="C1575" s="123"/>
      <c r="E1575" s="123"/>
    </row>
    <row r="1576" spans="3:5" ht="16.5">
      <c r="C1576" s="123"/>
      <c r="E1576" s="123"/>
    </row>
    <row r="1577" spans="3:5" ht="16.5">
      <c r="C1577" s="123"/>
      <c r="E1577" s="123"/>
    </row>
    <row r="1578" spans="3:5" ht="16.5">
      <c r="C1578" s="123"/>
      <c r="E1578" s="123"/>
    </row>
    <row r="1579" spans="3:5" ht="16.5">
      <c r="C1579" s="123"/>
      <c r="E1579" s="123"/>
    </row>
    <row r="1580" spans="3:5" ht="16.5">
      <c r="C1580" s="123"/>
      <c r="E1580" s="123"/>
    </row>
    <row r="1581" spans="3:5" ht="16.5">
      <c r="C1581" s="123"/>
      <c r="E1581" s="123"/>
    </row>
    <row r="1582" spans="3:5" ht="16.5">
      <c r="C1582" s="123"/>
      <c r="E1582" s="123"/>
    </row>
    <row r="1583" spans="3:5" ht="16.5">
      <c r="C1583" s="123"/>
      <c r="E1583" s="123"/>
    </row>
    <row r="1584" spans="3:5" ht="16.5">
      <c r="C1584" s="123"/>
      <c r="E1584" s="123"/>
    </row>
    <row r="1585" spans="3:5" ht="16.5">
      <c r="C1585" s="123"/>
      <c r="E1585" s="123"/>
    </row>
    <row r="1586" spans="3:5" ht="16.5">
      <c r="C1586" s="123"/>
      <c r="E1586" s="123"/>
    </row>
    <row r="1587" spans="3:5" ht="16.5">
      <c r="C1587" s="123"/>
      <c r="E1587" s="123"/>
    </row>
    <row r="1588" spans="3:5" ht="16.5">
      <c r="C1588" s="123"/>
      <c r="E1588" s="123"/>
    </row>
    <row r="1589" spans="3:5" ht="16.5">
      <c r="C1589" s="123"/>
      <c r="E1589" s="123"/>
    </row>
    <row r="1590" spans="3:5" ht="16.5">
      <c r="C1590" s="123"/>
      <c r="E1590" s="123"/>
    </row>
    <row r="1591" spans="3:5" ht="16.5">
      <c r="C1591" s="123"/>
      <c r="E1591" s="123"/>
    </row>
    <row r="1592" spans="3:5" ht="16.5">
      <c r="C1592" s="123"/>
      <c r="E1592" s="123"/>
    </row>
    <row r="1593" spans="3:5" ht="16.5">
      <c r="C1593" s="123"/>
      <c r="E1593" s="123"/>
    </row>
    <row r="1594" spans="3:5" ht="16.5">
      <c r="C1594" s="123"/>
      <c r="E1594" s="123"/>
    </row>
    <row r="1595" spans="3:5" ht="16.5">
      <c r="C1595" s="123"/>
      <c r="E1595" s="123"/>
    </row>
    <row r="1596" spans="3:5" ht="16.5">
      <c r="C1596" s="123"/>
      <c r="E1596" s="123"/>
    </row>
    <row r="1597" spans="3:5" ht="16.5">
      <c r="C1597" s="123"/>
      <c r="E1597" s="123"/>
    </row>
    <row r="1598" spans="3:5" ht="16.5">
      <c r="C1598" s="123"/>
      <c r="E1598" s="123"/>
    </row>
    <row r="1599" spans="3:5" ht="16.5">
      <c r="C1599" s="123"/>
      <c r="E1599" s="123"/>
    </row>
    <row r="1600" spans="3:5" ht="16.5">
      <c r="C1600" s="123"/>
      <c r="E1600" s="123"/>
    </row>
    <row r="1601" spans="3:5" ht="16.5">
      <c r="C1601" s="123"/>
      <c r="E1601" s="123"/>
    </row>
    <row r="1602" spans="3:5" ht="16.5">
      <c r="C1602" s="123"/>
      <c r="E1602" s="123"/>
    </row>
    <row r="1603" spans="3:5" ht="16.5">
      <c r="C1603" s="123"/>
      <c r="E1603" s="123"/>
    </row>
    <row r="1604" spans="3:5" ht="16.5">
      <c r="C1604" s="123"/>
      <c r="E1604" s="123"/>
    </row>
    <row r="1605" spans="3:5" ht="16.5">
      <c r="C1605" s="123"/>
      <c r="E1605" s="123"/>
    </row>
    <row r="1606" spans="3:5" ht="16.5">
      <c r="C1606" s="123"/>
      <c r="E1606" s="123"/>
    </row>
    <row r="1607" spans="3:5" ht="16.5">
      <c r="C1607" s="123"/>
      <c r="E1607" s="123"/>
    </row>
    <row r="1608" spans="3:5" ht="16.5">
      <c r="C1608" s="123"/>
      <c r="E1608" s="123"/>
    </row>
    <row r="1609" spans="3:5" ht="16.5">
      <c r="C1609" s="123"/>
      <c r="E1609" s="123"/>
    </row>
    <row r="1610" spans="3:5" ht="16.5">
      <c r="C1610" s="123"/>
      <c r="E1610" s="123"/>
    </row>
    <row r="1611" spans="3:5" ht="16.5">
      <c r="C1611" s="123"/>
      <c r="E1611" s="123"/>
    </row>
    <row r="1612" spans="3:5" ht="16.5">
      <c r="C1612" s="123"/>
      <c r="E1612" s="123"/>
    </row>
    <row r="1613" spans="3:5" ht="16.5">
      <c r="C1613" s="123"/>
      <c r="E1613" s="123"/>
    </row>
    <row r="1614" spans="3:5" ht="16.5">
      <c r="C1614" s="123"/>
      <c r="E1614" s="123"/>
    </row>
    <row r="1615" spans="3:5" ht="16.5">
      <c r="C1615" s="123"/>
      <c r="E1615" s="123"/>
    </row>
    <row r="1616" spans="3:5" ht="16.5">
      <c r="C1616" s="123"/>
      <c r="E1616" s="123"/>
    </row>
    <row r="1617" spans="3:5" ht="16.5">
      <c r="C1617" s="123"/>
      <c r="E1617" s="123"/>
    </row>
    <row r="1618" spans="3:5" ht="16.5">
      <c r="C1618" s="123"/>
      <c r="E1618" s="123"/>
    </row>
    <row r="1619" spans="3:5" ht="16.5">
      <c r="C1619" s="123"/>
      <c r="E1619" s="123"/>
    </row>
    <row r="1620" spans="3:5" ht="16.5">
      <c r="C1620" s="123"/>
      <c r="E1620" s="123"/>
    </row>
    <row r="1621" spans="3:5" ht="16.5">
      <c r="C1621" s="123"/>
      <c r="E1621" s="123"/>
    </row>
    <row r="1622" spans="3:5" ht="16.5">
      <c r="C1622" s="123"/>
      <c r="E1622" s="123"/>
    </row>
    <row r="1623" spans="3:5" ht="16.5">
      <c r="C1623" s="123"/>
      <c r="E1623" s="123"/>
    </row>
    <row r="1624" spans="3:5" ht="16.5">
      <c r="C1624" s="123"/>
      <c r="E1624" s="123"/>
    </row>
    <row r="1625" spans="3:5" ht="16.5">
      <c r="C1625" s="123"/>
      <c r="E1625" s="123"/>
    </row>
    <row r="1626" spans="3:5" ht="16.5">
      <c r="C1626" s="123"/>
      <c r="E1626" s="123"/>
    </row>
    <row r="1627" spans="3:5" ht="16.5">
      <c r="C1627" s="123"/>
      <c r="E1627" s="123"/>
    </row>
    <row r="1628" spans="3:5" ht="16.5">
      <c r="C1628" s="123"/>
      <c r="E1628" s="123"/>
    </row>
    <row r="1629" spans="3:5" ht="16.5">
      <c r="C1629" s="123"/>
      <c r="E1629" s="123"/>
    </row>
    <row r="1630" spans="3:5" ht="16.5">
      <c r="C1630" s="123"/>
      <c r="E1630" s="123"/>
    </row>
    <row r="1631" spans="3:5" ht="16.5">
      <c r="C1631" s="123"/>
      <c r="E1631" s="123"/>
    </row>
    <row r="1632" spans="3:5" ht="16.5">
      <c r="C1632" s="123"/>
      <c r="E1632" s="123"/>
    </row>
    <row r="1633" spans="3:5" ht="16.5">
      <c r="C1633" s="123"/>
      <c r="E1633" s="123"/>
    </row>
    <row r="1634" spans="3:5" ht="16.5">
      <c r="C1634" s="123"/>
      <c r="E1634" s="123"/>
    </row>
    <row r="1635" spans="3:5" ht="16.5">
      <c r="C1635" s="123"/>
      <c r="E1635" s="123"/>
    </row>
    <row r="1636" spans="3:5" ht="16.5">
      <c r="C1636" s="123"/>
      <c r="E1636" s="123"/>
    </row>
    <row r="1637" spans="3:5" ht="16.5">
      <c r="C1637" s="123"/>
      <c r="E1637" s="123"/>
    </row>
    <row r="1638" spans="3:5" ht="16.5">
      <c r="C1638" s="123"/>
      <c r="E1638" s="123"/>
    </row>
    <row r="1639" spans="3:5" ht="16.5">
      <c r="C1639" s="123"/>
      <c r="E1639" s="123"/>
    </row>
    <row r="1640" spans="3:5" ht="16.5">
      <c r="C1640" s="123"/>
      <c r="E1640" s="123"/>
    </row>
    <row r="1641" spans="3:5" ht="16.5">
      <c r="C1641" s="123"/>
      <c r="E1641" s="123"/>
    </row>
    <row r="1642" spans="3:5" ht="16.5">
      <c r="C1642" s="123"/>
      <c r="E1642" s="123"/>
    </row>
    <row r="1643" spans="3:5" ht="16.5">
      <c r="C1643" s="123"/>
      <c r="E1643" s="123"/>
    </row>
    <row r="1644" spans="3:5" ht="16.5">
      <c r="C1644" s="123"/>
      <c r="E1644" s="123"/>
    </row>
    <row r="1645" spans="3:5" ht="16.5">
      <c r="C1645" s="123"/>
      <c r="E1645" s="123"/>
    </row>
    <row r="1646" spans="3:5" ht="16.5">
      <c r="C1646" s="123"/>
      <c r="E1646" s="123"/>
    </row>
    <row r="1647" spans="3:5" ht="16.5">
      <c r="C1647" s="123"/>
      <c r="E1647" s="123"/>
    </row>
    <row r="1648" spans="3:5" ht="16.5">
      <c r="C1648" s="123"/>
      <c r="E1648" s="123"/>
    </row>
    <row r="1649" spans="3:5" ht="16.5">
      <c r="C1649" s="123"/>
      <c r="E1649" s="123"/>
    </row>
    <row r="1650" spans="3:5" ht="16.5">
      <c r="C1650" s="123"/>
      <c r="E1650" s="123"/>
    </row>
    <row r="1651" spans="3:5" ht="16.5">
      <c r="C1651" s="123"/>
      <c r="E1651" s="123"/>
    </row>
    <row r="1652" spans="3:5" ht="16.5">
      <c r="C1652" s="123"/>
      <c r="E1652" s="123"/>
    </row>
    <row r="1653" spans="3:5" ht="16.5">
      <c r="C1653" s="123"/>
      <c r="E1653" s="123"/>
    </row>
    <row r="1654" spans="3:5" ht="16.5">
      <c r="C1654" s="123"/>
      <c r="E1654" s="123"/>
    </row>
    <row r="1655" spans="3:5" ht="16.5">
      <c r="C1655" s="123"/>
      <c r="E1655" s="123"/>
    </row>
    <row r="1656" spans="3:5" ht="16.5">
      <c r="C1656" s="123"/>
      <c r="E1656" s="123"/>
    </row>
    <row r="1657" spans="3:5" ht="16.5">
      <c r="C1657" s="123"/>
      <c r="E1657" s="123"/>
    </row>
    <row r="1658" spans="3:5" ht="16.5">
      <c r="C1658" s="123"/>
      <c r="E1658" s="123"/>
    </row>
    <row r="1659" spans="3:5" ht="16.5">
      <c r="C1659" s="123"/>
      <c r="E1659" s="123"/>
    </row>
    <row r="1660" spans="3:5" ht="16.5">
      <c r="C1660" s="123"/>
      <c r="E1660" s="123"/>
    </row>
    <row r="1661" spans="3:5" ht="16.5">
      <c r="C1661" s="123"/>
      <c r="E1661" s="123"/>
    </row>
    <row r="1662" spans="3:5" ht="16.5">
      <c r="C1662" s="123"/>
      <c r="E1662" s="123"/>
    </row>
    <row r="1663" spans="3:5" ht="16.5">
      <c r="C1663" s="123"/>
      <c r="E1663" s="123"/>
    </row>
    <row r="1664" spans="3:5" ht="16.5">
      <c r="C1664" s="123"/>
      <c r="E1664" s="123"/>
    </row>
    <row r="1665" spans="3:5" ht="16.5">
      <c r="C1665" s="123"/>
      <c r="E1665" s="123"/>
    </row>
    <row r="1666" spans="3:5" ht="16.5">
      <c r="C1666" s="123"/>
      <c r="E1666" s="123"/>
    </row>
    <row r="1667" spans="3:5" ht="16.5">
      <c r="C1667" s="123"/>
      <c r="E1667" s="123"/>
    </row>
    <row r="1668" spans="3:5" ht="16.5">
      <c r="C1668" s="123"/>
      <c r="E1668" s="123"/>
    </row>
    <row r="1669" spans="3:5" ht="16.5">
      <c r="C1669" s="123"/>
      <c r="E1669" s="123"/>
    </row>
    <row r="1670" spans="3:5" ht="16.5">
      <c r="C1670" s="123"/>
      <c r="E1670" s="123"/>
    </row>
    <row r="1671" spans="3:5" ht="16.5">
      <c r="C1671" s="123"/>
      <c r="E1671" s="123"/>
    </row>
    <row r="1672" spans="3:5" ht="16.5">
      <c r="C1672" s="123"/>
      <c r="E1672" s="123"/>
    </row>
    <row r="1673" spans="3:5" ht="16.5">
      <c r="C1673" s="123"/>
      <c r="E1673" s="123"/>
    </row>
    <row r="1674" spans="3:5" ht="16.5">
      <c r="C1674" s="123"/>
      <c r="E1674" s="123"/>
    </row>
    <row r="1675" spans="3:5" ht="16.5">
      <c r="C1675" s="123"/>
      <c r="E1675" s="123"/>
    </row>
    <row r="1676" spans="3:5" ht="16.5">
      <c r="C1676" s="123"/>
      <c r="E1676" s="123"/>
    </row>
    <row r="1677" spans="3:5" ht="16.5">
      <c r="C1677" s="123"/>
      <c r="E1677" s="123"/>
    </row>
    <row r="1678" spans="3:5" ht="16.5">
      <c r="C1678" s="123"/>
      <c r="E1678" s="123"/>
    </row>
    <row r="1679" spans="3:5" ht="16.5">
      <c r="C1679" s="123"/>
      <c r="E1679" s="123"/>
    </row>
    <row r="1680" spans="3:5" ht="16.5">
      <c r="C1680" s="123"/>
      <c r="E1680" s="123"/>
    </row>
    <row r="1681" spans="3:5" ht="16.5">
      <c r="C1681" s="123"/>
      <c r="E1681" s="123"/>
    </row>
    <row r="1682" spans="3:5" ht="16.5">
      <c r="C1682" s="123"/>
      <c r="E1682" s="123"/>
    </row>
    <row r="1683" spans="3:5" ht="16.5">
      <c r="C1683" s="123"/>
      <c r="E1683" s="123"/>
    </row>
    <row r="1684" spans="3:5" ht="16.5">
      <c r="C1684" s="123"/>
      <c r="E1684" s="123"/>
    </row>
    <row r="1685" spans="3:5" ht="16.5">
      <c r="C1685" s="123"/>
      <c r="E1685" s="123"/>
    </row>
    <row r="1686" spans="3:5" ht="16.5">
      <c r="C1686" s="123"/>
      <c r="E1686" s="123"/>
    </row>
    <row r="1687" spans="3:5" ht="16.5">
      <c r="C1687" s="123"/>
      <c r="E1687" s="123"/>
    </row>
    <row r="1688" spans="3:5" ht="16.5">
      <c r="C1688" s="123"/>
      <c r="E1688" s="123"/>
    </row>
    <row r="1689" spans="3:5" ht="16.5">
      <c r="C1689" s="123"/>
      <c r="E1689" s="123"/>
    </row>
    <row r="1690" spans="3:5" ht="16.5">
      <c r="C1690" s="123"/>
      <c r="E1690" s="123"/>
    </row>
    <row r="1691" spans="3:5" ht="16.5">
      <c r="C1691" s="123"/>
      <c r="E1691" s="123"/>
    </row>
    <row r="1692" spans="3:5" ht="16.5">
      <c r="C1692" s="123"/>
      <c r="E1692" s="123"/>
    </row>
    <row r="1693" spans="3:5" ht="16.5">
      <c r="C1693" s="123"/>
      <c r="E1693" s="123"/>
    </row>
    <row r="1694" spans="3:5" ht="16.5">
      <c r="C1694" s="123"/>
      <c r="E1694" s="123"/>
    </row>
    <row r="1695" spans="3:5" ht="16.5">
      <c r="C1695" s="123"/>
      <c r="E1695" s="123"/>
    </row>
    <row r="1696" spans="3:5" ht="16.5">
      <c r="C1696" s="123"/>
      <c r="E1696" s="123"/>
    </row>
    <row r="1697" spans="3:5" ht="16.5">
      <c r="C1697" s="123"/>
      <c r="E1697" s="123"/>
    </row>
    <row r="1698" spans="3:5" ht="16.5">
      <c r="C1698" s="123"/>
      <c r="E1698" s="123"/>
    </row>
    <row r="1699" spans="3:5" ht="16.5">
      <c r="C1699" s="123"/>
      <c r="E1699" s="123"/>
    </row>
    <row r="1700" spans="3:5" ht="16.5">
      <c r="C1700" s="123"/>
      <c r="E1700" s="123"/>
    </row>
    <row r="1701" spans="3:5" ht="16.5">
      <c r="C1701" s="123"/>
      <c r="E1701" s="123"/>
    </row>
    <row r="1702" spans="3:5" ht="16.5">
      <c r="C1702" s="123"/>
      <c r="E1702" s="123"/>
    </row>
    <row r="1703" spans="3:5" ht="16.5">
      <c r="C1703" s="123"/>
      <c r="E1703" s="123"/>
    </row>
    <row r="1704" spans="3:5" ht="16.5">
      <c r="C1704" s="123"/>
      <c r="E1704" s="123"/>
    </row>
    <row r="1705" spans="3:5" ht="16.5">
      <c r="C1705" s="123"/>
      <c r="E1705" s="123"/>
    </row>
    <row r="1706" spans="3:5" ht="16.5">
      <c r="C1706" s="123"/>
      <c r="E1706" s="123"/>
    </row>
    <row r="1707" spans="3:5" ht="16.5">
      <c r="C1707" s="123"/>
      <c r="E1707" s="123"/>
    </row>
    <row r="1708" spans="3:5" ht="16.5">
      <c r="C1708" s="123"/>
      <c r="E1708" s="123"/>
    </row>
    <row r="1709" spans="3:5" ht="16.5">
      <c r="C1709" s="123"/>
      <c r="E1709" s="123"/>
    </row>
    <row r="1710" spans="3:5" ht="16.5">
      <c r="C1710" s="123"/>
      <c r="E1710" s="123"/>
    </row>
    <row r="1711" spans="3:5" ht="16.5">
      <c r="C1711" s="123"/>
      <c r="E1711" s="123"/>
    </row>
    <row r="1712" spans="3:5" ht="16.5">
      <c r="C1712" s="123"/>
      <c r="E1712" s="123"/>
    </row>
    <row r="1713" spans="3:5" ht="16.5">
      <c r="C1713" s="123"/>
      <c r="E1713" s="123"/>
    </row>
    <row r="1714" spans="3:5" ht="16.5">
      <c r="C1714" s="123"/>
      <c r="E1714" s="123"/>
    </row>
    <row r="1715" spans="3:5" ht="16.5">
      <c r="C1715" s="123"/>
      <c r="E1715" s="123"/>
    </row>
    <row r="1716" spans="3:5" ht="16.5">
      <c r="C1716" s="123"/>
      <c r="E1716" s="123"/>
    </row>
    <row r="1717" spans="3:5" ht="16.5">
      <c r="C1717" s="123"/>
      <c r="E1717" s="123"/>
    </row>
    <row r="1718" spans="3:5" ht="16.5">
      <c r="C1718" s="123"/>
      <c r="E1718" s="123"/>
    </row>
    <row r="1719" spans="3:5" ht="16.5">
      <c r="C1719" s="123"/>
      <c r="E1719" s="123"/>
    </row>
    <row r="1720" spans="3:5" ht="16.5">
      <c r="C1720" s="123"/>
      <c r="E1720" s="123"/>
    </row>
    <row r="1721" spans="3:5" ht="16.5">
      <c r="C1721" s="123"/>
      <c r="E1721" s="123"/>
    </row>
    <row r="1722" spans="3:5" ht="16.5">
      <c r="C1722" s="123"/>
      <c r="E1722" s="123"/>
    </row>
    <row r="1723" spans="3:5" ht="16.5">
      <c r="C1723" s="123"/>
      <c r="E1723" s="123"/>
    </row>
    <row r="1724" spans="3:5" ht="16.5">
      <c r="C1724" s="123"/>
      <c r="E1724" s="123"/>
    </row>
    <row r="1725" spans="3:5" ht="16.5">
      <c r="C1725" s="123"/>
      <c r="E1725" s="123"/>
    </row>
    <row r="1726" spans="3:5" ht="16.5">
      <c r="C1726" s="123"/>
      <c r="E1726" s="123"/>
    </row>
    <row r="1727" spans="3:5" ht="16.5">
      <c r="C1727" s="123"/>
      <c r="E1727" s="123"/>
    </row>
    <row r="1728" spans="3:5" ht="16.5">
      <c r="C1728" s="123"/>
      <c r="E1728" s="123"/>
    </row>
    <row r="1729" spans="3:5" ht="16.5">
      <c r="C1729" s="123"/>
      <c r="E1729" s="123"/>
    </row>
    <row r="1730" spans="3:5" ht="16.5">
      <c r="C1730" s="123"/>
      <c r="E1730" s="123"/>
    </row>
    <row r="1731" spans="3:5" ht="16.5">
      <c r="C1731" s="123"/>
      <c r="E1731" s="123"/>
    </row>
    <row r="1732" spans="3:5" ht="16.5">
      <c r="C1732" s="123"/>
      <c r="E1732" s="123"/>
    </row>
    <row r="1733" spans="3:5" ht="16.5">
      <c r="C1733" s="123"/>
      <c r="E1733" s="123"/>
    </row>
    <row r="1734" spans="3:5" ht="16.5">
      <c r="C1734" s="123"/>
      <c r="E1734" s="123"/>
    </row>
    <row r="1735" spans="3:5" ht="16.5">
      <c r="C1735" s="123"/>
      <c r="E1735" s="123"/>
    </row>
    <row r="1736" spans="3:5" ht="16.5">
      <c r="C1736" s="123"/>
      <c r="E1736" s="123"/>
    </row>
    <row r="1737" spans="3:5" ht="16.5">
      <c r="C1737" s="123"/>
      <c r="E1737" s="123"/>
    </row>
    <row r="1738" spans="3:5" ht="16.5">
      <c r="C1738" s="123"/>
      <c r="E1738" s="123"/>
    </row>
    <row r="1739" spans="3:5" ht="16.5">
      <c r="C1739" s="123"/>
      <c r="E1739" s="123"/>
    </row>
    <row r="1740" spans="3:5" ht="16.5">
      <c r="C1740" s="123"/>
      <c r="E1740" s="123"/>
    </row>
    <row r="1741" spans="3:5" ht="16.5">
      <c r="C1741" s="123"/>
      <c r="E1741" s="123"/>
    </row>
    <row r="1742" spans="3:5" ht="16.5">
      <c r="C1742" s="123"/>
      <c r="E1742" s="123"/>
    </row>
    <row r="1743" spans="3:5" ht="16.5">
      <c r="C1743" s="123"/>
      <c r="E1743" s="123"/>
    </row>
    <row r="1744" spans="3:5" ht="16.5">
      <c r="C1744" s="123"/>
      <c r="E1744" s="123"/>
    </row>
    <row r="1745" spans="3:5" ht="16.5">
      <c r="C1745" s="123"/>
      <c r="E1745" s="123"/>
    </row>
    <row r="1746" spans="3:5" ht="16.5">
      <c r="C1746" s="123"/>
      <c r="E1746" s="123"/>
    </row>
    <row r="1747" spans="3:5" ht="16.5">
      <c r="C1747" s="123"/>
      <c r="E1747" s="123"/>
    </row>
    <row r="1748" spans="3:5" ht="16.5">
      <c r="C1748" s="123"/>
      <c r="E1748" s="123"/>
    </row>
    <row r="1749" spans="3:5" ht="16.5">
      <c r="C1749" s="123"/>
      <c r="E1749" s="123"/>
    </row>
    <row r="1750" spans="3:5" ht="16.5">
      <c r="C1750" s="123"/>
      <c r="E1750" s="123"/>
    </row>
    <row r="1751" spans="3:5" ht="16.5">
      <c r="C1751" s="123"/>
      <c r="E1751" s="123"/>
    </row>
    <row r="1752" spans="3:5" ht="16.5">
      <c r="C1752" s="123"/>
      <c r="E1752" s="123"/>
    </row>
    <row r="1753" spans="3:5" ht="16.5">
      <c r="C1753" s="123"/>
      <c r="E1753" s="123"/>
    </row>
    <row r="1754" spans="3:5" ht="16.5">
      <c r="C1754" s="123"/>
      <c r="E1754" s="123"/>
    </row>
    <row r="1755" spans="3:5" ht="16.5">
      <c r="C1755" s="123"/>
      <c r="E1755" s="123"/>
    </row>
    <row r="1756" spans="3:5" ht="16.5">
      <c r="C1756" s="123"/>
      <c r="E1756" s="123"/>
    </row>
    <row r="1757" spans="3:5" ht="16.5">
      <c r="C1757" s="123"/>
      <c r="E1757" s="123"/>
    </row>
    <row r="1758" spans="3:5" ht="16.5">
      <c r="C1758" s="123"/>
      <c r="E1758" s="123"/>
    </row>
    <row r="1759" spans="3:5" ht="16.5">
      <c r="C1759" s="123"/>
      <c r="E1759" s="123"/>
    </row>
    <row r="1760" spans="3:5" ht="16.5">
      <c r="C1760" s="123"/>
      <c r="E1760" s="123"/>
    </row>
    <row r="1761" spans="3:5" ht="16.5">
      <c r="C1761" s="123"/>
      <c r="E1761" s="123"/>
    </row>
    <row r="1762" spans="3:5" ht="16.5">
      <c r="C1762" s="123"/>
      <c r="E1762" s="123"/>
    </row>
    <row r="1763" spans="3:5" ht="16.5">
      <c r="C1763" s="123"/>
      <c r="E1763" s="123"/>
    </row>
    <row r="1764" spans="3:5" ht="16.5">
      <c r="C1764" s="123"/>
      <c r="E1764" s="123"/>
    </row>
    <row r="1765" spans="3:5" ht="16.5">
      <c r="C1765" s="123"/>
      <c r="E1765" s="123"/>
    </row>
    <row r="1766" spans="3:5" ht="16.5">
      <c r="C1766" s="123"/>
      <c r="E1766" s="123"/>
    </row>
    <row r="1767" spans="3:5" ht="16.5">
      <c r="C1767" s="123"/>
      <c r="E1767" s="123"/>
    </row>
    <row r="1768" spans="3:5" ht="16.5">
      <c r="C1768" s="123"/>
      <c r="E1768" s="123"/>
    </row>
    <row r="1769" spans="3:5" ht="16.5">
      <c r="C1769" s="123"/>
      <c r="E1769" s="123"/>
    </row>
    <row r="1770" spans="3:5" ht="16.5">
      <c r="C1770" s="123"/>
      <c r="E1770" s="123"/>
    </row>
    <row r="1771" spans="3:5" ht="16.5">
      <c r="C1771" s="123"/>
      <c r="E1771" s="123"/>
    </row>
    <row r="1772" spans="3:5" ht="16.5">
      <c r="C1772" s="123"/>
      <c r="E1772" s="123"/>
    </row>
    <row r="1773" spans="3:5" ht="16.5">
      <c r="C1773" s="123"/>
      <c r="E1773" s="123"/>
    </row>
    <row r="1774" spans="3:5" ht="16.5">
      <c r="C1774" s="123"/>
      <c r="E1774" s="123"/>
    </row>
    <row r="1775" spans="3:5" ht="16.5">
      <c r="C1775" s="123"/>
      <c r="E1775" s="123"/>
    </row>
    <row r="1776" spans="3:5" ht="16.5">
      <c r="C1776" s="123"/>
      <c r="E1776" s="123"/>
    </row>
    <row r="1777" spans="3:5" ht="16.5">
      <c r="C1777" s="123"/>
      <c r="E1777" s="123"/>
    </row>
    <row r="1778" spans="3:5" ht="16.5">
      <c r="C1778" s="123"/>
      <c r="E1778" s="123"/>
    </row>
    <row r="1779" spans="3:5" ht="16.5">
      <c r="C1779" s="123"/>
      <c r="E1779" s="123"/>
    </row>
    <row r="1780" spans="3:5" ht="16.5">
      <c r="C1780" s="123"/>
      <c r="E1780" s="123"/>
    </row>
    <row r="1781" spans="3:5" ht="16.5">
      <c r="C1781" s="123"/>
      <c r="E1781" s="123"/>
    </row>
    <row r="1782" spans="3:5" ht="16.5">
      <c r="C1782" s="123"/>
      <c r="E1782" s="123"/>
    </row>
    <row r="1783" spans="3:5" ht="16.5">
      <c r="C1783" s="123"/>
      <c r="E1783" s="123"/>
    </row>
    <row r="1784" spans="3:5" ht="16.5">
      <c r="C1784" s="123"/>
      <c r="E1784" s="123"/>
    </row>
    <row r="1785" spans="3:5" ht="16.5">
      <c r="C1785" s="123"/>
      <c r="E1785" s="123"/>
    </row>
    <row r="1786" spans="3:5" ht="16.5">
      <c r="C1786" s="123"/>
      <c r="E1786" s="123"/>
    </row>
    <row r="1787" spans="3:5" ht="16.5">
      <c r="C1787" s="123"/>
      <c r="E1787" s="123"/>
    </row>
    <row r="1788" spans="3:5" ht="16.5">
      <c r="C1788" s="123"/>
      <c r="E1788" s="123"/>
    </row>
    <row r="1789" spans="3:5" ht="16.5">
      <c r="C1789" s="123"/>
      <c r="E1789" s="123"/>
    </row>
    <row r="1790" spans="3:5" ht="16.5">
      <c r="C1790" s="123"/>
      <c r="E1790" s="123"/>
    </row>
    <row r="1791" spans="3:5" ht="16.5">
      <c r="C1791" s="123"/>
      <c r="E1791" s="123"/>
    </row>
    <row r="1792" spans="3:5" ht="16.5">
      <c r="C1792" s="123"/>
      <c r="E1792" s="123"/>
    </row>
    <row r="1793" spans="3:5" ht="16.5">
      <c r="C1793" s="123"/>
      <c r="E1793" s="123"/>
    </row>
    <row r="1794" spans="3:5" ht="16.5">
      <c r="C1794" s="123"/>
      <c r="E1794" s="123"/>
    </row>
    <row r="1795" spans="3:5" ht="16.5">
      <c r="C1795" s="123"/>
      <c r="E1795" s="123"/>
    </row>
    <row r="1796" spans="3:5" ht="16.5">
      <c r="C1796" s="123"/>
      <c r="E1796" s="123"/>
    </row>
    <row r="1797" spans="3:5" ht="16.5">
      <c r="C1797" s="123"/>
      <c r="E1797" s="123"/>
    </row>
    <row r="1798" spans="3:5" ht="16.5">
      <c r="C1798" s="123"/>
      <c r="E1798" s="123"/>
    </row>
    <row r="1799" spans="3:5" ht="16.5">
      <c r="C1799" s="123"/>
      <c r="E1799" s="123"/>
    </row>
    <row r="1800" spans="3:5" ht="16.5">
      <c r="C1800" s="123"/>
      <c r="E1800" s="123"/>
    </row>
    <row r="1801" spans="3:5" ht="16.5">
      <c r="C1801" s="123"/>
      <c r="E1801" s="123"/>
    </row>
    <row r="1802" spans="3:5" ht="16.5">
      <c r="C1802" s="123"/>
      <c r="E1802" s="123"/>
    </row>
    <row r="1803" spans="3:5" ht="16.5">
      <c r="C1803" s="123"/>
      <c r="E1803" s="123"/>
    </row>
    <row r="1804" spans="3:5" ht="16.5">
      <c r="C1804" s="123"/>
      <c r="E1804" s="123"/>
    </row>
    <row r="1805" spans="3:5" ht="16.5">
      <c r="C1805" s="123"/>
      <c r="E1805" s="123"/>
    </row>
    <row r="1806" spans="3:5" ht="16.5">
      <c r="C1806" s="123"/>
      <c r="E1806" s="123"/>
    </row>
    <row r="1807" spans="3:5" ht="16.5">
      <c r="C1807" s="123"/>
      <c r="E1807" s="123"/>
    </row>
    <row r="1808" spans="3:5" ht="16.5">
      <c r="C1808" s="123"/>
      <c r="E1808" s="123"/>
    </row>
    <row r="1809" spans="3:5" ht="16.5">
      <c r="C1809" s="123"/>
      <c r="E1809" s="123"/>
    </row>
    <row r="1810" spans="3:5" ht="16.5">
      <c r="C1810" s="123"/>
      <c r="E1810" s="123"/>
    </row>
    <row r="1811" spans="3:5" ht="16.5">
      <c r="C1811" s="123"/>
      <c r="E1811" s="123"/>
    </row>
    <row r="1812" spans="3:5" ht="16.5">
      <c r="C1812" s="123"/>
      <c r="E1812" s="123"/>
    </row>
    <row r="1813" spans="3:5" ht="16.5">
      <c r="C1813" s="123"/>
      <c r="E1813" s="123"/>
    </row>
    <row r="1814" spans="3:5" ht="16.5">
      <c r="C1814" s="123"/>
      <c r="E1814" s="123"/>
    </row>
    <row r="1815" spans="3:5" ht="16.5">
      <c r="C1815" s="123"/>
      <c r="E1815" s="123"/>
    </row>
    <row r="1816" spans="3:5" ht="16.5">
      <c r="C1816" s="123"/>
      <c r="E1816" s="123"/>
    </row>
    <row r="1817" spans="3:5" ht="16.5">
      <c r="C1817" s="123"/>
      <c r="E1817" s="123"/>
    </row>
    <row r="1818" spans="3:5" ht="16.5">
      <c r="C1818" s="123"/>
      <c r="E1818" s="123"/>
    </row>
    <row r="1819" spans="3:5" ht="16.5">
      <c r="C1819" s="123"/>
      <c r="E1819" s="123"/>
    </row>
    <row r="1820" spans="3:5" ht="16.5">
      <c r="C1820" s="123"/>
      <c r="E1820" s="123"/>
    </row>
    <row r="1821" spans="3:5" ht="16.5">
      <c r="C1821" s="123"/>
      <c r="E1821" s="123"/>
    </row>
    <row r="1822" spans="3:5" ht="16.5">
      <c r="C1822" s="123"/>
      <c r="E1822" s="123"/>
    </row>
    <row r="1823" spans="3:5" ht="16.5">
      <c r="C1823" s="123"/>
      <c r="E1823" s="123"/>
    </row>
    <row r="1824" spans="3:5" ht="16.5">
      <c r="C1824" s="123"/>
      <c r="E1824" s="123"/>
    </row>
    <row r="1825" spans="3:5" ht="16.5">
      <c r="C1825" s="123"/>
      <c r="E1825" s="123"/>
    </row>
    <row r="1826" spans="3:5" ht="16.5">
      <c r="C1826" s="123"/>
      <c r="E1826" s="123"/>
    </row>
    <row r="1827" spans="3:5" ht="16.5">
      <c r="C1827" s="123"/>
      <c r="E1827" s="123"/>
    </row>
    <row r="1828" spans="3:5" ht="16.5">
      <c r="C1828" s="123"/>
      <c r="E1828" s="123"/>
    </row>
    <row r="1829" spans="3:5" ht="16.5">
      <c r="C1829" s="123"/>
      <c r="E1829" s="123"/>
    </row>
    <row r="1830" spans="3:5" ht="16.5">
      <c r="C1830" s="123"/>
      <c r="E1830" s="123"/>
    </row>
    <row r="1831" spans="3:5" ht="16.5">
      <c r="C1831" s="123"/>
      <c r="E1831" s="123"/>
    </row>
    <row r="1832" spans="3:5" ht="16.5">
      <c r="C1832" s="123"/>
      <c r="E1832" s="123"/>
    </row>
    <row r="1833" spans="3:5" ht="16.5">
      <c r="C1833" s="123"/>
      <c r="E1833" s="123"/>
    </row>
    <row r="1834" spans="3:5" ht="16.5">
      <c r="C1834" s="123"/>
      <c r="E1834" s="123"/>
    </row>
    <row r="1835" spans="3:5" ht="16.5">
      <c r="C1835" s="123"/>
      <c r="E1835" s="123"/>
    </row>
    <row r="1836" spans="3:5" ht="16.5">
      <c r="C1836" s="123"/>
      <c r="E1836" s="123"/>
    </row>
    <row r="1837" spans="3:5" ht="16.5">
      <c r="C1837" s="123"/>
      <c r="E1837" s="123"/>
    </row>
    <row r="1838" spans="3:5" ht="16.5">
      <c r="C1838" s="123"/>
      <c r="E1838" s="123"/>
    </row>
    <row r="1839" spans="3:5" ht="16.5">
      <c r="C1839" s="123"/>
      <c r="E1839" s="123"/>
    </row>
    <row r="1840" spans="3:5" ht="16.5">
      <c r="C1840" s="123"/>
      <c r="E1840" s="123"/>
    </row>
    <row r="1841" spans="3:5" ht="16.5">
      <c r="C1841" s="123"/>
      <c r="E1841" s="123"/>
    </row>
    <row r="1842" spans="3:5" ht="16.5">
      <c r="C1842" s="123"/>
      <c r="E1842" s="123"/>
    </row>
    <row r="1843" spans="3:5" ht="16.5">
      <c r="C1843" s="123"/>
      <c r="E1843" s="123"/>
    </row>
    <row r="1844" spans="3:5" ht="16.5">
      <c r="C1844" s="123"/>
      <c r="E1844" s="123"/>
    </row>
    <row r="1845" spans="3:5" ht="16.5">
      <c r="C1845" s="123"/>
      <c r="E1845" s="123"/>
    </row>
    <row r="1846" spans="3:5" ht="16.5">
      <c r="C1846" s="123"/>
      <c r="E1846" s="123"/>
    </row>
    <row r="1847" spans="3:5" ht="16.5">
      <c r="C1847" s="123"/>
      <c r="E1847" s="123"/>
    </row>
    <row r="1848" spans="3:5" ht="16.5">
      <c r="C1848" s="123"/>
      <c r="E1848" s="123"/>
    </row>
    <row r="1849" spans="3:5" ht="16.5">
      <c r="C1849" s="123"/>
      <c r="E1849" s="123"/>
    </row>
    <row r="1850" spans="3:5" ht="16.5">
      <c r="C1850" s="123"/>
      <c r="E1850" s="123"/>
    </row>
    <row r="1851" spans="3:5" ht="16.5">
      <c r="C1851" s="123"/>
      <c r="E1851" s="123"/>
    </row>
    <row r="1852" spans="3:5" ht="16.5">
      <c r="C1852" s="123"/>
      <c r="E1852" s="123"/>
    </row>
    <row r="1853" spans="3:5" ht="16.5">
      <c r="C1853" s="123"/>
      <c r="E1853" s="123"/>
    </row>
    <row r="1854" spans="3:5" ht="16.5">
      <c r="C1854" s="123"/>
      <c r="E1854" s="123"/>
    </row>
    <row r="1855" spans="3:5" ht="16.5">
      <c r="C1855" s="123"/>
      <c r="E1855" s="123"/>
    </row>
    <row r="1856" spans="3:5" ht="16.5">
      <c r="C1856" s="123"/>
      <c r="E1856" s="123"/>
    </row>
    <row r="1857" spans="3:5" ht="16.5">
      <c r="C1857" s="123"/>
      <c r="E1857" s="123"/>
    </row>
    <row r="1858" spans="3:5" ht="16.5">
      <c r="C1858" s="123"/>
      <c r="E1858" s="123"/>
    </row>
    <row r="1859" spans="3:5" ht="16.5">
      <c r="C1859" s="123"/>
      <c r="E1859" s="123"/>
    </row>
    <row r="1860" spans="3:5" ht="16.5">
      <c r="C1860" s="123"/>
      <c r="E1860" s="123"/>
    </row>
    <row r="1861" spans="3:5" ht="16.5">
      <c r="C1861" s="123"/>
      <c r="E1861" s="123"/>
    </row>
    <row r="1862" spans="3:5" ht="16.5">
      <c r="C1862" s="123"/>
      <c r="E1862" s="123"/>
    </row>
    <row r="1863" spans="3:5" ht="16.5">
      <c r="C1863" s="123"/>
      <c r="E1863" s="123"/>
    </row>
    <row r="1864" spans="3:5" ht="16.5">
      <c r="C1864" s="123"/>
      <c r="E1864" s="123"/>
    </row>
    <row r="1865" spans="3:5" ht="16.5">
      <c r="C1865" s="123"/>
      <c r="E1865" s="123"/>
    </row>
    <row r="1866" spans="3:5" ht="16.5">
      <c r="C1866" s="123"/>
      <c r="E1866" s="123"/>
    </row>
    <row r="1867" spans="3:5" ht="16.5">
      <c r="C1867" s="123"/>
      <c r="E1867" s="123"/>
    </row>
    <row r="1868" spans="3:5" ht="16.5">
      <c r="C1868" s="123"/>
      <c r="E1868" s="123"/>
    </row>
    <row r="1869" spans="3:5" ht="16.5">
      <c r="C1869" s="123"/>
      <c r="E1869" s="123"/>
    </row>
    <row r="1870" spans="3:5" ht="16.5">
      <c r="C1870" s="123"/>
      <c r="E1870" s="123"/>
    </row>
    <row r="1871" spans="3:5" ht="16.5">
      <c r="C1871" s="123"/>
      <c r="E1871" s="123"/>
    </row>
    <row r="1872" spans="3:5" ht="16.5">
      <c r="C1872" s="123"/>
      <c r="E1872" s="123"/>
    </row>
    <row r="1873" spans="3:5" ht="16.5">
      <c r="C1873" s="123"/>
      <c r="E1873" s="123"/>
    </row>
    <row r="1874" spans="3:5" ht="16.5">
      <c r="C1874" s="123"/>
      <c r="E1874" s="123"/>
    </row>
    <row r="1875" spans="3:5" ht="16.5">
      <c r="C1875" s="123"/>
      <c r="E1875" s="123"/>
    </row>
    <row r="1876" spans="3:5" ht="16.5">
      <c r="C1876" s="123"/>
      <c r="E1876" s="123"/>
    </row>
    <row r="1877" spans="3:5" ht="16.5">
      <c r="C1877" s="123"/>
      <c r="E1877" s="123"/>
    </row>
    <row r="1878" spans="3:5" ht="16.5">
      <c r="C1878" s="123"/>
      <c r="E1878" s="123"/>
    </row>
    <row r="1879" spans="3:5" ht="16.5">
      <c r="C1879" s="123"/>
      <c r="E1879" s="123"/>
    </row>
    <row r="1880" spans="3:5" ht="16.5">
      <c r="C1880" s="123"/>
      <c r="E1880" s="123"/>
    </row>
    <row r="1881" spans="3:5" ht="16.5">
      <c r="C1881" s="123"/>
      <c r="E1881" s="123"/>
    </row>
    <row r="1882" spans="3:5" ht="16.5">
      <c r="C1882" s="123"/>
      <c r="E1882" s="123"/>
    </row>
    <row r="1883" spans="3:5" ht="16.5">
      <c r="C1883" s="123"/>
      <c r="E1883" s="123"/>
    </row>
    <row r="1884" spans="3:5" ht="16.5">
      <c r="C1884" s="123"/>
      <c r="E1884" s="123"/>
    </row>
    <row r="1885" spans="3:5" ht="16.5">
      <c r="C1885" s="123"/>
      <c r="E1885" s="123"/>
    </row>
    <row r="1886" spans="3:5" ht="16.5">
      <c r="C1886" s="123"/>
      <c r="E1886" s="123"/>
    </row>
    <row r="1887" spans="3:5" ht="16.5">
      <c r="C1887" s="123"/>
      <c r="E1887" s="123"/>
    </row>
    <row r="1888" spans="3:5" ht="16.5">
      <c r="C1888" s="123"/>
      <c r="E1888" s="123"/>
    </row>
    <row r="1889" spans="3:5" ht="16.5">
      <c r="C1889" s="123"/>
      <c r="E1889" s="123"/>
    </row>
    <row r="1890" spans="3:5" ht="16.5">
      <c r="C1890" s="123"/>
      <c r="E1890" s="123"/>
    </row>
    <row r="1891" spans="3:5" ht="16.5">
      <c r="C1891" s="123"/>
      <c r="E1891" s="123"/>
    </row>
    <row r="1892" spans="3:5" ht="16.5">
      <c r="C1892" s="123"/>
      <c r="E1892" s="123"/>
    </row>
    <row r="1893" spans="3:5" ht="16.5">
      <c r="C1893" s="123"/>
      <c r="E1893" s="123"/>
    </row>
    <row r="1894" spans="3:5" ht="16.5">
      <c r="C1894" s="123"/>
      <c r="E1894" s="123"/>
    </row>
    <row r="1895" spans="3:5" ht="16.5">
      <c r="C1895" s="123"/>
      <c r="E1895" s="123"/>
    </row>
    <row r="1896" spans="3:5" ht="16.5">
      <c r="C1896" s="123"/>
      <c r="E1896" s="123"/>
    </row>
    <row r="1897" spans="3:5" ht="16.5">
      <c r="C1897" s="123"/>
      <c r="E1897" s="123"/>
    </row>
    <row r="1898" spans="3:5" ht="16.5">
      <c r="C1898" s="123"/>
      <c r="E1898" s="123"/>
    </row>
    <row r="1899" spans="3:5" ht="16.5">
      <c r="C1899" s="123"/>
      <c r="E1899" s="123"/>
    </row>
    <row r="1900" spans="3:5" ht="16.5">
      <c r="C1900" s="123"/>
      <c r="E1900" s="123"/>
    </row>
    <row r="1901" spans="3:5" ht="16.5">
      <c r="C1901" s="123"/>
      <c r="E1901" s="123"/>
    </row>
    <row r="1902" spans="3:5" ht="16.5">
      <c r="C1902" s="123"/>
      <c r="E1902" s="123"/>
    </row>
    <row r="1903" spans="3:5" ht="16.5">
      <c r="C1903" s="123"/>
      <c r="E1903" s="123"/>
    </row>
    <row r="1904" spans="3:5" ht="16.5">
      <c r="C1904" s="123"/>
      <c r="E1904" s="123"/>
    </row>
    <row r="1905" spans="3:5" ht="16.5">
      <c r="C1905" s="123"/>
      <c r="E1905" s="123"/>
    </row>
    <row r="1906" spans="3:5" ht="16.5">
      <c r="C1906" s="123"/>
      <c r="E1906" s="123"/>
    </row>
    <row r="1907" spans="3:5" ht="16.5">
      <c r="C1907" s="123"/>
      <c r="E1907" s="123"/>
    </row>
    <row r="1908" spans="3:5" ht="16.5">
      <c r="C1908" s="123"/>
      <c r="E1908" s="123"/>
    </row>
    <row r="1909" spans="3:5" ht="16.5">
      <c r="C1909" s="123"/>
      <c r="E1909" s="123"/>
    </row>
    <row r="1910" spans="3:5" ht="16.5">
      <c r="C1910" s="123"/>
      <c r="E1910" s="123"/>
    </row>
    <row r="1911" spans="3:5" ht="16.5">
      <c r="C1911" s="123"/>
      <c r="E1911" s="123"/>
    </row>
    <row r="1912" spans="3:5" ht="16.5">
      <c r="C1912" s="123"/>
      <c r="E1912" s="123"/>
    </row>
    <row r="1913" spans="3:5" ht="16.5">
      <c r="C1913" s="123"/>
      <c r="E1913" s="123"/>
    </row>
    <row r="1914" spans="3:5" ht="16.5">
      <c r="C1914" s="123"/>
      <c r="E1914" s="123"/>
    </row>
    <row r="1915" spans="3:5" ht="16.5">
      <c r="C1915" s="123"/>
      <c r="E1915" s="123"/>
    </row>
    <row r="1916" spans="3:5" ht="16.5">
      <c r="C1916" s="123"/>
      <c r="E1916" s="123"/>
    </row>
    <row r="1917" spans="3:5" ht="16.5">
      <c r="C1917" s="123"/>
      <c r="E1917" s="123"/>
    </row>
    <row r="1918" spans="3:5" ht="16.5">
      <c r="C1918" s="123"/>
      <c r="E1918" s="123"/>
    </row>
    <row r="1919" spans="3:5" ht="16.5">
      <c r="C1919" s="123"/>
      <c r="E1919" s="123"/>
    </row>
    <row r="1920" spans="3:5" ht="16.5">
      <c r="C1920" s="123"/>
      <c r="E1920" s="123"/>
    </row>
    <row r="1921" spans="3:5" ht="16.5">
      <c r="C1921" s="123"/>
      <c r="E1921" s="123"/>
    </row>
    <row r="1922" spans="3:5" ht="16.5">
      <c r="C1922" s="123"/>
      <c r="E1922" s="123"/>
    </row>
    <row r="1923" spans="3:5" ht="16.5">
      <c r="C1923" s="123"/>
      <c r="E1923" s="123"/>
    </row>
    <row r="1924" spans="3:5" ht="16.5">
      <c r="C1924" s="123"/>
      <c r="E1924" s="123"/>
    </row>
    <row r="1925" spans="3:5" ht="16.5">
      <c r="C1925" s="123"/>
      <c r="E1925" s="123"/>
    </row>
    <row r="1926" spans="3:5" ht="16.5">
      <c r="C1926" s="123"/>
      <c r="E1926" s="123"/>
    </row>
    <row r="1927" spans="3:5" ht="16.5">
      <c r="C1927" s="123"/>
      <c r="E1927" s="123"/>
    </row>
    <row r="1928" spans="3:5" ht="16.5">
      <c r="C1928" s="123"/>
      <c r="E1928" s="123"/>
    </row>
    <row r="1929" spans="3:5" ht="16.5">
      <c r="C1929" s="123"/>
      <c r="E1929" s="123"/>
    </row>
    <row r="1930" spans="3:5" ht="16.5">
      <c r="C1930" s="123"/>
      <c r="E1930" s="123"/>
    </row>
    <row r="1931" spans="3:5" ht="16.5">
      <c r="C1931" s="123"/>
      <c r="E1931" s="123"/>
    </row>
    <row r="1932" spans="3:5" ht="16.5">
      <c r="C1932" s="123"/>
      <c r="E1932" s="123"/>
    </row>
    <row r="1933" spans="3:5" ht="16.5">
      <c r="C1933" s="123"/>
      <c r="E1933" s="123"/>
    </row>
    <row r="1934" spans="3:5" ht="16.5">
      <c r="C1934" s="123"/>
      <c r="E1934" s="123"/>
    </row>
    <row r="1935" spans="3:5" ht="16.5">
      <c r="C1935" s="123"/>
      <c r="E1935" s="123"/>
    </row>
    <row r="1936" spans="3:5" ht="16.5">
      <c r="C1936" s="123"/>
      <c r="E1936" s="123"/>
    </row>
    <row r="1937" spans="3:5" ht="16.5">
      <c r="C1937" s="123"/>
      <c r="E1937" s="123"/>
    </row>
    <row r="1938" spans="3:5" ht="16.5">
      <c r="C1938" s="123"/>
      <c r="E1938" s="123"/>
    </row>
    <row r="1939" spans="3:5" ht="16.5">
      <c r="C1939" s="123"/>
      <c r="E1939" s="123"/>
    </row>
    <row r="1940" spans="3:5" ht="16.5">
      <c r="C1940" s="123"/>
      <c r="E1940" s="123"/>
    </row>
    <row r="1941" spans="3:5" ht="16.5">
      <c r="C1941" s="123"/>
      <c r="E1941" s="123"/>
    </row>
    <row r="1942" spans="3:5" ht="16.5">
      <c r="C1942" s="123"/>
      <c r="E1942" s="123"/>
    </row>
    <row r="1943" spans="3:5" ht="16.5">
      <c r="C1943" s="123"/>
      <c r="E1943" s="123"/>
    </row>
    <row r="1944" spans="3:5" ht="16.5">
      <c r="C1944" s="123"/>
      <c r="E1944" s="123"/>
    </row>
    <row r="1945" spans="3:5" ht="16.5">
      <c r="C1945" s="123"/>
      <c r="E1945" s="123"/>
    </row>
    <row r="1946" spans="3:5" ht="16.5">
      <c r="C1946" s="123"/>
      <c r="E1946" s="123"/>
    </row>
    <row r="1947" spans="3:5" ht="16.5">
      <c r="C1947" s="123"/>
      <c r="E1947" s="123"/>
    </row>
    <row r="1948" spans="3:5" ht="16.5">
      <c r="C1948" s="123"/>
      <c r="E1948" s="123"/>
    </row>
    <row r="1949" spans="3:5" ht="16.5">
      <c r="C1949" s="123"/>
      <c r="E1949" s="123"/>
    </row>
    <row r="1950" spans="3:5" ht="16.5">
      <c r="C1950" s="123"/>
      <c r="E1950" s="123"/>
    </row>
    <row r="1951" spans="3:5" ht="16.5">
      <c r="C1951" s="123"/>
      <c r="E1951" s="123"/>
    </row>
    <row r="1952" spans="3:5" ht="16.5">
      <c r="C1952" s="123"/>
      <c r="E1952" s="123"/>
    </row>
    <row r="1953" spans="3:5" ht="16.5">
      <c r="C1953" s="123"/>
      <c r="E1953" s="123"/>
    </row>
    <row r="1954" spans="3:5" ht="16.5">
      <c r="C1954" s="123"/>
      <c r="E1954" s="123"/>
    </row>
    <row r="1955" spans="3:5" ht="16.5">
      <c r="C1955" s="123"/>
      <c r="E1955" s="123"/>
    </row>
    <row r="1956" spans="3:5" ht="16.5">
      <c r="C1956" s="123"/>
      <c r="E1956" s="123"/>
    </row>
    <row r="1957" spans="3:5" ht="16.5">
      <c r="C1957" s="123"/>
      <c r="E1957" s="123"/>
    </row>
    <row r="1958" spans="3:5" ht="16.5">
      <c r="C1958" s="123"/>
      <c r="E1958" s="123"/>
    </row>
    <row r="1959" spans="3:5" ht="16.5">
      <c r="C1959" s="123"/>
      <c r="E1959" s="123"/>
    </row>
    <row r="1960" spans="3:5" ht="16.5">
      <c r="C1960" s="123"/>
      <c r="E1960" s="123"/>
    </row>
    <row r="1961" spans="3:5" ht="16.5">
      <c r="C1961" s="123"/>
      <c r="E1961" s="123"/>
    </row>
    <row r="1962" spans="3:5" ht="16.5">
      <c r="C1962" s="123"/>
      <c r="E1962" s="123"/>
    </row>
    <row r="1963" spans="3:5" ht="16.5">
      <c r="C1963" s="123"/>
      <c r="E1963" s="123"/>
    </row>
    <row r="1964" spans="3:5" ht="16.5">
      <c r="C1964" s="123"/>
      <c r="E1964" s="123"/>
    </row>
    <row r="1965" spans="3:5" ht="16.5">
      <c r="C1965" s="123"/>
      <c r="E1965" s="123"/>
    </row>
    <row r="1966" spans="3:5" ht="16.5">
      <c r="C1966" s="123"/>
      <c r="E1966" s="123"/>
    </row>
    <row r="1967" spans="3:5" ht="16.5">
      <c r="C1967" s="123"/>
      <c r="E1967" s="123"/>
    </row>
    <row r="1968" spans="3:5" ht="16.5">
      <c r="C1968" s="123"/>
      <c r="E1968" s="123"/>
    </row>
    <row r="1969" spans="3:5" ht="16.5">
      <c r="C1969" s="123"/>
      <c r="E1969" s="123"/>
    </row>
    <row r="1970" spans="3:5" ht="16.5">
      <c r="C1970" s="123"/>
      <c r="E1970" s="123"/>
    </row>
    <row r="1971" spans="3:5" ht="16.5">
      <c r="C1971" s="123"/>
      <c r="E1971" s="123"/>
    </row>
    <row r="1972" spans="3:5" ht="16.5">
      <c r="C1972" s="123"/>
      <c r="E1972" s="123"/>
    </row>
    <row r="1973" spans="3:5" ht="16.5">
      <c r="C1973" s="123"/>
      <c r="E1973" s="123"/>
    </row>
    <row r="1974" spans="3:5" ht="16.5">
      <c r="C1974" s="123"/>
      <c r="E1974" s="123"/>
    </row>
    <row r="1975" spans="3:5" ht="16.5">
      <c r="C1975" s="123"/>
      <c r="E1975" s="123"/>
    </row>
    <row r="1976" spans="3:5" ht="16.5">
      <c r="C1976" s="123"/>
      <c r="E1976" s="123"/>
    </row>
    <row r="1977" spans="3:5" ht="16.5">
      <c r="C1977" s="123"/>
      <c r="E1977" s="123"/>
    </row>
    <row r="1978" spans="3:5" ht="16.5">
      <c r="C1978" s="123"/>
      <c r="E1978" s="123"/>
    </row>
    <row r="1979" spans="3:5" ht="16.5">
      <c r="C1979" s="123"/>
      <c r="E1979" s="123"/>
    </row>
    <row r="1980" spans="3:5" ht="16.5">
      <c r="C1980" s="123"/>
      <c r="E1980" s="123"/>
    </row>
    <row r="1981" spans="3:5" ht="16.5">
      <c r="C1981" s="123"/>
      <c r="E1981" s="123"/>
    </row>
    <row r="1982" spans="3:5" ht="16.5">
      <c r="C1982" s="123"/>
      <c r="E1982" s="123"/>
    </row>
    <row r="1983" spans="3:5" ht="16.5">
      <c r="C1983" s="123"/>
      <c r="E1983" s="123"/>
    </row>
    <row r="1984" spans="3:5" ht="16.5">
      <c r="C1984" s="123"/>
      <c r="E1984" s="123"/>
    </row>
    <row r="1985" spans="3:5" ht="16.5">
      <c r="C1985" s="123"/>
      <c r="E1985" s="123"/>
    </row>
    <row r="1986" spans="3:5" ht="16.5">
      <c r="C1986" s="123"/>
      <c r="E1986" s="123"/>
    </row>
    <row r="1987" spans="3:5" ht="16.5">
      <c r="C1987" s="123"/>
      <c r="E1987" s="123"/>
    </row>
    <row r="1988" spans="3:5" ht="16.5">
      <c r="C1988" s="123"/>
      <c r="E1988" s="123"/>
    </row>
    <row r="1989" spans="3:5" ht="16.5">
      <c r="C1989" s="123"/>
      <c r="E1989" s="123"/>
    </row>
    <row r="1990" spans="3:5" ht="16.5">
      <c r="C1990" s="123"/>
      <c r="E1990" s="123"/>
    </row>
    <row r="1991" spans="3:5" ht="16.5">
      <c r="C1991" s="123"/>
      <c r="E1991" s="123"/>
    </row>
    <row r="1992" spans="3:5" ht="16.5">
      <c r="C1992" s="123"/>
      <c r="E1992" s="123"/>
    </row>
    <row r="1993" spans="3:5" ht="16.5">
      <c r="C1993" s="123"/>
      <c r="E1993" s="123"/>
    </row>
    <row r="1994" spans="3:5" ht="16.5">
      <c r="C1994" s="123"/>
      <c r="E1994" s="123"/>
    </row>
    <row r="1995" spans="3:5" ht="16.5">
      <c r="C1995" s="123"/>
      <c r="E1995" s="123"/>
    </row>
    <row r="1996" spans="3:5" ht="16.5">
      <c r="C1996" s="123"/>
      <c r="E1996" s="123"/>
    </row>
    <row r="1997" spans="3:5" ht="16.5">
      <c r="C1997" s="123"/>
      <c r="E1997" s="123"/>
    </row>
    <row r="1998" spans="3:5" ht="16.5">
      <c r="C1998" s="123"/>
      <c r="E1998" s="123"/>
    </row>
    <row r="1999" spans="3:5" ht="16.5">
      <c r="C1999" s="123"/>
      <c r="E1999" s="123"/>
    </row>
    <row r="2000" spans="3:5" ht="16.5">
      <c r="C2000" s="123"/>
      <c r="E2000" s="123"/>
    </row>
    <row r="2001" spans="3:5" ht="16.5">
      <c r="C2001" s="123"/>
      <c r="E2001" s="123"/>
    </row>
    <row r="2002" spans="3:5" ht="16.5">
      <c r="C2002" s="123"/>
      <c r="E2002" s="123"/>
    </row>
    <row r="2003" spans="3:5" ht="16.5">
      <c r="C2003" s="123"/>
      <c r="E2003" s="123"/>
    </row>
    <row r="2004" spans="3:5" ht="16.5">
      <c r="C2004" s="123"/>
      <c r="E2004" s="123"/>
    </row>
    <row r="2005" spans="3:5" ht="16.5">
      <c r="C2005" s="123"/>
      <c r="E2005" s="123"/>
    </row>
    <row r="2006" spans="3:5" ht="16.5">
      <c r="C2006" s="123"/>
      <c r="E2006" s="123"/>
    </row>
    <row r="2007" spans="3:5" ht="16.5">
      <c r="C2007" s="123"/>
      <c r="E2007" s="123"/>
    </row>
    <row r="2008" spans="3:5" ht="16.5">
      <c r="C2008" s="123"/>
      <c r="E2008" s="123"/>
    </row>
    <row r="2009" spans="3:5" ht="16.5">
      <c r="C2009" s="123"/>
      <c r="E2009" s="123"/>
    </row>
    <row r="2010" spans="3:5" ht="16.5">
      <c r="C2010" s="123"/>
      <c r="E2010" s="123"/>
    </row>
    <row r="2011" spans="3:5" ht="16.5">
      <c r="C2011" s="123"/>
      <c r="E2011" s="123"/>
    </row>
    <row r="2012" spans="3:5" ht="16.5">
      <c r="C2012" s="123"/>
      <c r="E2012" s="123"/>
    </row>
    <row r="2013" spans="3:5" ht="16.5">
      <c r="C2013" s="123"/>
      <c r="E2013" s="123"/>
    </row>
    <row r="2014" spans="3:5" ht="16.5">
      <c r="C2014" s="123"/>
      <c r="E2014" s="123"/>
    </row>
    <row r="2015" spans="3:5" ht="16.5">
      <c r="C2015" s="123"/>
      <c r="E2015" s="123"/>
    </row>
    <row r="2016" spans="3:5" ht="16.5">
      <c r="C2016" s="123"/>
      <c r="E2016" s="123"/>
    </row>
    <row r="2017" spans="3:5" ht="16.5">
      <c r="C2017" s="123"/>
      <c r="E2017" s="123"/>
    </row>
    <row r="2018" spans="3:5" ht="16.5">
      <c r="C2018" s="123"/>
      <c r="E2018" s="123"/>
    </row>
    <row r="2019" spans="3:5" ht="16.5">
      <c r="C2019" s="123"/>
      <c r="E2019" s="123"/>
    </row>
    <row r="2020" spans="3:5" ht="16.5">
      <c r="C2020" s="123"/>
      <c r="E2020" s="123"/>
    </row>
    <row r="2021" spans="3:5" ht="16.5">
      <c r="C2021" s="123"/>
      <c r="E2021" s="123"/>
    </row>
    <row r="2022" spans="3:5" ht="16.5">
      <c r="C2022" s="123"/>
      <c r="E2022" s="123"/>
    </row>
    <row r="2023" spans="3:5" ht="16.5">
      <c r="C2023" s="123"/>
      <c r="E2023" s="123"/>
    </row>
    <row r="2024" spans="3:5" ht="16.5">
      <c r="C2024" s="123"/>
      <c r="E2024" s="123"/>
    </row>
    <row r="2025" spans="3:5" ht="16.5">
      <c r="C2025" s="123"/>
      <c r="E2025" s="123"/>
    </row>
    <row r="2026" spans="3:5" ht="16.5">
      <c r="C2026" s="123"/>
      <c r="E2026" s="123"/>
    </row>
    <row r="2027" spans="3:5" ht="16.5">
      <c r="C2027" s="123"/>
      <c r="E2027" s="123"/>
    </row>
    <row r="2028" spans="3:5" ht="16.5">
      <c r="C2028" s="123"/>
      <c r="E2028" s="123"/>
    </row>
    <row r="2029" spans="3:5" ht="16.5">
      <c r="C2029" s="123"/>
      <c r="E2029" s="123"/>
    </row>
    <row r="2030" spans="3:5" ht="16.5">
      <c r="C2030" s="123"/>
      <c r="E2030" s="123"/>
    </row>
    <row r="2031" spans="3:5" ht="16.5">
      <c r="C2031" s="123"/>
      <c r="E2031" s="123"/>
    </row>
    <row r="2032" spans="3:5" ht="16.5">
      <c r="C2032" s="123"/>
      <c r="E2032" s="123"/>
    </row>
    <row r="2033" spans="3:5" ht="16.5">
      <c r="C2033" s="123"/>
      <c r="E2033" s="123"/>
    </row>
    <row r="2034" spans="3:5" ht="16.5">
      <c r="C2034" s="123"/>
      <c r="E2034" s="123"/>
    </row>
    <row r="2035" spans="3:5" ht="16.5">
      <c r="C2035" s="123"/>
      <c r="E2035" s="123"/>
    </row>
    <row r="2036" spans="3:5" ht="16.5">
      <c r="C2036" s="123"/>
      <c r="E2036" s="123"/>
    </row>
    <row r="2037" spans="3:5" ht="16.5">
      <c r="C2037" s="123"/>
      <c r="E2037" s="123"/>
    </row>
    <row r="2038" spans="3:5" ht="16.5">
      <c r="C2038" s="123"/>
      <c r="E2038" s="123"/>
    </row>
    <row r="2039" spans="3:5" ht="16.5">
      <c r="C2039" s="123"/>
      <c r="E2039" s="123"/>
    </row>
    <row r="2040" spans="3:5" ht="16.5">
      <c r="C2040" s="123"/>
      <c r="E2040" s="123"/>
    </row>
    <row r="2041" spans="3:5" ht="16.5">
      <c r="C2041" s="123"/>
      <c r="E2041" s="123"/>
    </row>
    <row r="2042" spans="3:5" ht="16.5">
      <c r="C2042" s="123"/>
      <c r="E2042" s="123"/>
    </row>
    <row r="2043" spans="3:5" ht="16.5">
      <c r="C2043" s="123"/>
      <c r="E2043" s="123"/>
    </row>
    <row r="2044" spans="3:5" ht="16.5">
      <c r="C2044" s="123"/>
      <c r="E2044" s="123"/>
    </row>
    <row r="2045" spans="3:5" ht="16.5">
      <c r="C2045" s="123"/>
      <c r="E2045" s="123"/>
    </row>
    <row r="2046" spans="3:5" ht="16.5">
      <c r="C2046" s="123"/>
      <c r="E2046" s="123"/>
    </row>
    <row r="2047" spans="3:5" ht="16.5">
      <c r="C2047" s="123"/>
      <c r="E2047" s="123"/>
    </row>
    <row r="2048" spans="3:5" ht="16.5">
      <c r="C2048" s="123"/>
      <c r="E2048" s="123"/>
    </row>
    <row r="2049" spans="3:5" ht="16.5">
      <c r="C2049" s="123"/>
      <c r="E2049" s="123"/>
    </row>
    <row r="2050" spans="3:5" ht="16.5">
      <c r="C2050" s="123"/>
      <c r="E2050" s="123"/>
    </row>
    <row r="2051" spans="3:5" ht="16.5">
      <c r="C2051" s="123"/>
      <c r="E2051" s="123"/>
    </row>
    <row r="2052" spans="3:5" ht="16.5">
      <c r="C2052" s="123"/>
      <c r="E2052" s="123"/>
    </row>
    <row r="2053" spans="3:5" ht="16.5">
      <c r="C2053" s="123"/>
      <c r="E2053" s="123"/>
    </row>
    <row r="2054" spans="3:5" ht="16.5">
      <c r="C2054" s="123"/>
      <c r="E2054" s="123"/>
    </row>
    <row r="2055" spans="3:5" ht="16.5">
      <c r="C2055" s="123"/>
      <c r="E2055" s="123"/>
    </row>
    <row r="2056" spans="3:5" ht="16.5">
      <c r="C2056" s="123"/>
      <c r="E2056" s="123"/>
    </row>
    <row r="2057" spans="3:5" ht="16.5">
      <c r="C2057" s="123"/>
      <c r="E2057" s="123"/>
    </row>
    <row r="2058" spans="3:5" ht="16.5">
      <c r="C2058" s="123"/>
      <c r="E2058" s="123"/>
    </row>
    <row r="2059" spans="3:5" ht="16.5">
      <c r="C2059" s="123"/>
      <c r="E2059" s="123"/>
    </row>
    <row r="2060" spans="3:5" ht="16.5">
      <c r="C2060" s="123"/>
      <c r="E2060" s="123"/>
    </row>
    <row r="2061" spans="3:5" ht="16.5">
      <c r="C2061" s="123"/>
      <c r="E2061" s="123"/>
    </row>
    <row r="2062" spans="3:5" ht="16.5">
      <c r="C2062" s="123"/>
      <c r="E2062" s="123"/>
    </row>
    <row r="2063" spans="3:5" ht="16.5">
      <c r="C2063" s="123"/>
      <c r="E2063" s="123"/>
    </row>
    <row r="2064" spans="3:5" ht="16.5">
      <c r="C2064" s="123"/>
      <c r="E2064" s="123"/>
    </row>
    <row r="2065" spans="3:5" ht="16.5">
      <c r="C2065" s="123"/>
      <c r="E2065" s="123"/>
    </row>
    <row r="2066" spans="3:5" ht="16.5">
      <c r="C2066" s="123"/>
      <c r="E2066" s="123"/>
    </row>
    <row r="2067" spans="3:5" ht="16.5">
      <c r="C2067" s="123"/>
      <c r="E2067" s="123"/>
    </row>
    <row r="2068" spans="3:5" ht="16.5">
      <c r="C2068" s="123"/>
      <c r="E2068" s="123"/>
    </row>
    <row r="2069" spans="3:5" ht="16.5">
      <c r="C2069" s="123"/>
      <c r="E2069" s="123"/>
    </row>
    <row r="2070" spans="3:5" ht="16.5">
      <c r="C2070" s="123"/>
      <c r="E2070" s="123"/>
    </row>
    <row r="2071" spans="3:5" ht="16.5">
      <c r="C2071" s="123"/>
      <c r="E2071" s="123"/>
    </row>
    <row r="2072" spans="3:5" ht="16.5">
      <c r="C2072" s="123"/>
      <c r="E2072" s="123"/>
    </row>
    <row r="2073" spans="3:5" ht="16.5">
      <c r="C2073" s="123"/>
      <c r="E2073" s="123"/>
    </row>
    <row r="2074" spans="3:5" ht="16.5">
      <c r="C2074" s="123"/>
      <c r="E2074" s="123"/>
    </row>
    <row r="2075" spans="3:5" ht="16.5">
      <c r="C2075" s="123"/>
      <c r="E2075" s="123"/>
    </row>
    <row r="2076" spans="3:5" ht="16.5">
      <c r="C2076" s="123"/>
      <c r="E2076" s="123"/>
    </row>
    <row r="2077" spans="3:5" ht="16.5">
      <c r="C2077" s="123"/>
      <c r="E2077" s="123"/>
    </row>
    <row r="2078" spans="3:5" ht="16.5">
      <c r="C2078" s="123"/>
      <c r="E2078" s="123"/>
    </row>
    <row r="2079" spans="3:5" ht="16.5">
      <c r="C2079" s="123"/>
      <c r="E2079" s="123"/>
    </row>
    <row r="2080" spans="3:5" ht="16.5">
      <c r="C2080" s="123"/>
      <c r="E2080" s="123"/>
    </row>
    <row r="2081" spans="3:5" ht="16.5">
      <c r="C2081" s="123"/>
      <c r="E2081" s="123"/>
    </row>
    <row r="2082" spans="3:5" ht="16.5">
      <c r="C2082" s="123"/>
      <c r="E2082" s="123"/>
    </row>
    <row r="2083" spans="3:5" ht="16.5">
      <c r="C2083" s="123"/>
      <c r="E2083" s="123"/>
    </row>
    <row r="2084" spans="3:5" ht="16.5">
      <c r="C2084" s="123"/>
      <c r="E2084" s="123"/>
    </row>
    <row r="2085" spans="3:5" ht="16.5">
      <c r="C2085" s="123"/>
      <c r="E2085" s="123"/>
    </row>
    <row r="2086" spans="3:5" ht="16.5">
      <c r="C2086" s="123"/>
      <c r="E2086" s="123"/>
    </row>
    <row r="2087" spans="3:5" ht="16.5">
      <c r="C2087" s="123"/>
      <c r="E2087" s="123"/>
    </row>
    <row r="2088" spans="3:5" ht="16.5">
      <c r="C2088" s="123"/>
      <c r="E2088" s="123"/>
    </row>
    <row r="2089" spans="3:5" ht="16.5">
      <c r="C2089" s="123"/>
      <c r="E2089" s="123"/>
    </row>
    <row r="2090" spans="3:5" ht="16.5">
      <c r="C2090" s="123"/>
      <c r="E2090" s="123"/>
    </row>
    <row r="2091" spans="3:5" ht="16.5">
      <c r="C2091" s="123"/>
      <c r="E2091" s="123"/>
    </row>
    <row r="2092" spans="3:5" ht="16.5">
      <c r="C2092" s="123"/>
      <c r="E2092" s="123"/>
    </row>
    <row r="2093" spans="3:5" ht="16.5">
      <c r="C2093" s="123"/>
      <c r="E2093" s="123"/>
    </row>
    <row r="2094" spans="3:5" ht="16.5">
      <c r="C2094" s="123"/>
      <c r="E2094" s="123"/>
    </row>
    <row r="2095" spans="3:5" ht="16.5">
      <c r="C2095" s="123"/>
      <c r="E2095" s="123"/>
    </row>
    <row r="2096" spans="3:5" ht="16.5">
      <c r="C2096" s="123"/>
      <c r="E2096" s="123"/>
    </row>
    <row r="2097" spans="3:5" ht="16.5">
      <c r="C2097" s="123"/>
      <c r="E2097" s="123"/>
    </row>
    <row r="2098" spans="3:5" ht="16.5">
      <c r="C2098" s="123"/>
      <c r="E2098" s="123"/>
    </row>
    <row r="2099" spans="3:5" ht="16.5">
      <c r="C2099" s="123"/>
      <c r="E2099" s="123"/>
    </row>
    <row r="2100" spans="3:5" ht="16.5">
      <c r="C2100" s="123"/>
      <c r="E2100" s="123"/>
    </row>
    <row r="2101" spans="3:5" ht="16.5">
      <c r="C2101" s="123"/>
      <c r="E2101" s="123"/>
    </row>
    <row r="2102" spans="3:5" ht="16.5">
      <c r="C2102" s="123"/>
      <c r="E2102" s="123"/>
    </row>
    <row r="2103" spans="3:5" ht="16.5">
      <c r="C2103" s="123"/>
      <c r="E2103" s="123"/>
    </row>
    <row r="2104" spans="3:5" ht="16.5">
      <c r="C2104" s="123"/>
      <c r="E2104" s="123"/>
    </row>
    <row r="2105" spans="3:5" ht="16.5">
      <c r="C2105" s="123"/>
      <c r="E2105" s="123"/>
    </row>
    <row r="2106" spans="3:5" ht="16.5">
      <c r="C2106" s="123"/>
      <c r="E2106" s="123"/>
    </row>
    <row r="2107" spans="3:5" ht="16.5">
      <c r="C2107" s="123"/>
      <c r="E2107" s="123"/>
    </row>
    <row r="2108" spans="3:5" ht="16.5">
      <c r="C2108" s="123"/>
      <c r="E2108" s="123"/>
    </row>
    <row r="2109" spans="3:5" ht="16.5">
      <c r="C2109" s="123"/>
      <c r="E2109" s="123"/>
    </row>
    <row r="2110" spans="3:5" ht="16.5">
      <c r="C2110" s="123"/>
      <c r="E2110" s="123"/>
    </row>
    <row r="2111" spans="3:5" ht="16.5">
      <c r="C2111" s="123"/>
      <c r="E2111" s="123"/>
    </row>
    <row r="2112" spans="3:5" ht="16.5">
      <c r="C2112" s="123"/>
      <c r="E2112" s="123"/>
    </row>
    <row r="2113" spans="3:5" ht="16.5">
      <c r="C2113" s="123"/>
      <c r="E2113" s="123"/>
    </row>
    <row r="2114" spans="3:5" ht="16.5">
      <c r="C2114" s="123"/>
      <c r="E2114" s="123"/>
    </row>
    <row r="2115" spans="3:5" ht="16.5">
      <c r="C2115" s="123"/>
      <c r="E2115" s="123"/>
    </row>
    <row r="2116" spans="3:5" ht="16.5">
      <c r="C2116" s="123"/>
      <c r="E2116" s="123"/>
    </row>
    <row r="2117" spans="3:5" ht="16.5">
      <c r="C2117" s="123"/>
      <c r="E2117" s="123"/>
    </row>
    <row r="2118" spans="3:5" ht="16.5">
      <c r="C2118" s="123"/>
      <c r="E2118" s="123"/>
    </row>
    <row r="2119" spans="3:5" ht="16.5">
      <c r="C2119" s="123"/>
      <c r="E2119" s="123"/>
    </row>
    <row r="2120" spans="3:5" ht="16.5">
      <c r="C2120" s="123"/>
      <c r="E2120" s="123"/>
    </row>
    <row r="2121" spans="3:5" ht="16.5">
      <c r="C2121" s="123"/>
      <c r="E2121" s="123"/>
    </row>
    <row r="2122" spans="3:5" ht="16.5">
      <c r="C2122" s="123"/>
      <c r="E2122" s="123"/>
    </row>
    <row r="2123" spans="3:5" ht="16.5">
      <c r="C2123" s="123"/>
      <c r="E2123" s="123"/>
    </row>
    <row r="2124" spans="3:5" ht="16.5">
      <c r="C2124" s="123"/>
      <c r="E2124" s="123"/>
    </row>
    <row r="2125" spans="3:5" ht="16.5">
      <c r="C2125" s="123"/>
      <c r="E2125" s="123"/>
    </row>
    <row r="2126" spans="3:5" ht="16.5">
      <c r="C2126" s="123"/>
      <c r="E2126" s="123"/>
    </row>
    <row r="2127" spans="3:5" ht="16.5">
      <c r="C2127" s="123"/>
      <c r="E2127" s="123"/>
    </row>
    <row r="2128" spans="3:5" ht="16.5">
      <c r="C2128" s="123"/>
      <c r="E2128" s="123"/>
    </row>
    <row r="2129" spans="3:5" ht="16.5">
      <c r="C2129" s="123"/>
      <c r="E2129" s="123"/>
    </row>
    <row r="2130" spans="3:5" ht="16.5">
      <c r="C2130" s="123"/>
      <c r="E2130" s="123"/>
    </row>
    <row r="2131" spans="3:5" ht="16.5">
      <c r="C2131" s="123"/>
      <c r="E2131" s="123"/>
    </row>
    <row r="2132" spans="3:5" ht="16.5">
      <c r="C2132" s="123"/>
      <c r="E2132" s="123"/>
    </row>
    <row r="2133" spans="3:5" ht="16.5">
      <c r="C2133" s="123"/>
      <c r="E2133" s="123"/>
    </row>
    <row r="2134" spans="3:5" ht="16.5">
      <c r="C2134" s="123"/>
      <c r="E2134" s="123"/>
    </row>
    <row r="2135" spans="3:5" ht="16.5">
      <c r="C2135" s="123"/>
      <c r="E2135" s="123"/>
    </row>
    <row r="2136" spans="3:5" ht="16.5">
      <c r="C2136" s="123"/>
      <c r="E2136" s="123"/>
    </row>
    <row r="2137" spans="3:5" ht="16.5">
      <c r="C2137" s="123"/>
      <c r="E2137" s="123"/>
    </row>
    <row r="2138" spans="3:5" ht="16.5">
      <c r="C2138" s="123"/>
      <c r="E2138" s="123"/>
    </row>
    <row r="2139" spans="3:5" ht="16.5">
      <c r="C2139" s="123"/>
      <c r="E2139" s="123"/>
    </row>
    <row r="2140" spans="3:5" ht="16.5">
      <c r="C2140" s="123"/>
      <c r="E2140" s="123"/>
    </row>
    <row r="2141" spans="3:5" ht="16.5">
      <c r="C2141" s="123"/>
      <c r="E2141" s="123"/>
    </row>
    <row r="2142" spans="3:5" ht="16.5">
      <c r="C2142" s="123"/>
      <c r="E2142" s="123"/>
    </row>
    <row r="2143" spans="3:5" ht="16.5">
      <c r="C2143" s="123"/>
      <c r="E2143" s="123"/>
    </row>
    <row r="2144" spans="3:5" ht="16.5">
      <c r="C2144" s="123"/>
      <c r="E2144" s="123"/>
    </row>
    <row r="2145" spans="3:5" ht="16.5">
      <c r="C2145" s="123"/>
      <c r="E2145" s="123"/>
    </row>
    <row r="2146" spans="3:5" ht="16.5">
      <c r="C2146" s="123"/>
      <c r="E2146" s="123"/>
    </row>
    <row r="2147" spans="3:5" ht="16.5">
      <c r="C2147" s="123"/>
      <c r="E2147" s="123"/>
    </row>
    <row r="2148" spans="3:5" ht="16.5">
      <c r="C2148" s="123"/>
      <c r="E2148" s="123"/>
    </row>
    <row r="2149" spans="3:5" ht="16.5">
      <c r="C2149" s="123"/>
      <c r="E2149" s="123"/>
    </row>
    <row r="2150" spans="3:5" ht="16.5">
      <c r="C2150" s="123"/>
      <c r="E2150" s="123"/>
    </row>
    <row r="2151" spans="3:5" ht="16.5">
      <c r="C2151" s="123"/>
      <c r="E2151" s="123"/>
    </row>
    <row r="2152" spans="3:5" ht="16.5">
      <c r="C2152" s="123"/>
      <c r="E2152" s="123"/>
    </row>
    <row r="2153" spans="3:5" ht="16.5">
      <c r="C2153" s="123"/>
      <c r="E2153" s="123"/>
    </row>
    <row r="2154" spans="3:5" ht="16.5">
      <c r="C2154" s="123"/>
      <c r="E2154" s="123"/>
    </row>
    <row r="2155" spans="3:5" ht="16.5">
      <c r="C2155" s="123"/>
      <c r="E2155" s="123"/>
    </row>
    <row r="2156" spans="3:5" ht="16.5">
      <c r="C2156" s="123"/>
      <c r="E2156" s="123"/>
    </row>
    <row r="2157" spans="3:5" ht="16.5">
      <c r="C2157" s="123"/>
      <c r="E2157" s="123"/>
    </row>
    <row r="2158" spans="3:5" ht="16.5">
      <c r="C2158" s="123"/>
      <c r="E2158" s="123"/>
    </row>
    <row r="2159" spans="3:5" ht="16.5">
      <c r="C2159" s="123"/>
      <c r="E2159" s="123"/>
    </row>
    <row r="2160" spans="3:5" ht="16.5">
      <c r="C2160" s="123"/>
      <c r="E2160" s="123"/>
    </row>
    <row r="2161" spans="3:5" ht="16.5">
      <c r="C2161" s="123"/>
      <c r="E2161" s="123"/>
    </row>
    <row r="2162" spans="3:5" ht="16.5">
      <c r="C2162" s="123"/>
      <c r="E2162" s="123"/>
    </row>
    <row r="2163" spans="3:5" ht="16.5">
      <c r="C2163" s="123"/>
      <c r="E2163" s="123"/>
    </row>
    <row r="2164" spans="3:5" ht="16.5">
      <c r="C2164" s="123"/>
      <c r="E2164" s="123"/>
    </row>
    <row r="2165" spans="3:5" ht="16.5">
      <c r="C2165" s="123"/>
      <c r="E2165" s="123"/>
    </row>
    <row r="2166" spans="3:5" ht="16.5">
      <c r="C2166" s="123"/>
      <c r="E2166" s="123"/>
    </row>
    <row r="2167" spans="3:5" ht="16.5">
      <c r="C2167" s="123"/>
      <c r="E2167" s="123"/>
    </row>
    <row r="2168" spans="3:5" ht="16.5">
      <c r="C2168" s="123"/>
      <c r="E2168" s="123"/>
    </row>
    <row r="2169" spans="3:5" ht="16.5">
      <c r="C2169" s="123"/>
      <c r="E2169" s="123"/>
    </row>
    <row r="2170" spans="3:5" ht="16.5">
      <c r="C2170" s="123"/>
      <c r="E2170" s="123"/>
    </row>
    <row r="2171" spans="3:5" ht="16.5">
      <c r="C2171" s="123"/>
      <c r="E2171" s="123"/>
    </row>
    <row r="2172" spans="3:5" ht="16.5">
      <c r="C2172" s="123"/>
      <c r="E2172" s="123"/>
    </row>
    <row r="2173" spans="3:5" ht="16.5">
      <c r="C2173" s="123"/>
      <c r="E2173" s="123"/>
    </row>
    <row r="2174" spans="3:5" ht="16.5">
      <c r="C2174" s="123"/>
      <c r="E2174" s="123"/>
    </row>
    <row r="2175" spans="3:5" ht="16.5">
      <c r="C2175" s="123"/>
      <c r="E2175" s="123"/>
    </row>
    <row r="2176" spans="3:5" ht="16.5">
      <c r="C2176" s="123"/>
      <c r="E2176" s="123"/>
    </row>
    <row r="2177" spans="3:5" ht="16.5">
      <c r="C2177" s="123"/>
      <c r="E2177" s="123"/>
    </row>
    <row r="2178" spans="3:5" ht="16.5">
      <c r="C2178" s="123"/>
      <c r="E2178" s="123"/>
    </row>
    <row r="2179" spans="3:5" ht="16.5">
      <c r="C2179" s="123"/>
      <c r="E2179" s="123"/>
    </row>
    <row r="2180" spans="3:5" ht="16.5">
      <c r="C2180" s="123"/>
      <c r="E2180" s="123"/>
    </row>
    <row r="2181" spans="3:5" ht="16.5">
      <c r="C2181" s="123"/>
      <c r="E2181" s="123"/>
    </row>
    <row r="2182" spans="3:5" ht="16.5">
      <c r="C2182" s="123"/>
      <c r="E2182" s="123"/>
    </row>
    <row r="2183" spans="3:5" ht="16.5">
      <c r="C2183" s="123"/>
      <c r="E2183" s="123"/>
    </row>
    <row r="2184" spans="3:5" ht="16.5">
      <c r="C2184" s="123"/>
      <c r="E2184" s="123"/>
    </row>
    <row r="2185" spans="3:5" ht="16.5">
      <c r="C2185" s="123"/>
      <c r="E2185" s="123"/>
    </row>
    <row r="2186" spans="3:5" ht="16.5">
      <c r="C2186" s="123"/>
      <c r="E2186" s="123"/>
    </row>
    <row r="2187" spans="3:5" ht="16.5">
      <c r="C2187" s="123"/>
      <c r="E2187" s="123"/>
    </row>
    <row r="2188" spans="3:5" ht="16.5">
      <c r="C2188" s="123"/>
      <c r="E2188" s="123"/>
    </row>
    <row r="2189" spans="3:5" ht="16.5">
      <c r="C2189" s="123"/>
      <c r="E2189" s="123"/>
    </row>
    <row r="2190" spans="3:5" ht="16.5">
      <c r="C2190" s="123"/>
      <c r="E2190" s="123"/>
    </row>
    <row r="2191" spans="3:5" ht="16.5">
      <c r="C2191" s="123"/>
      <c r="E2191" s="123"/>
    </row>
    <row r="2192" spans="3:5" ht="16.5">
      <c r="C2192" s="123"/>
      <c r="E2192" s="123"/>
    </row>
    <row r="2193" spans="3:5" ht="16.5">
      <c r="C2193" s="123"/>
      <c r="E2193" s="123"/>
    </row>
    <row r="2194" spans="3:5" ht="16.5">
      <c r="C2194" s="123"/>
      <c r="E2194" s="123"/>
    </row>
    <row r="2195" spans="3:5" ht="16.5">
      <c r="C2195" s="123"/>
      <c r="E2195" s="123"/>
    </row>
    <row r="2196" spans="3:5" ht="16.5">
      <c r="C2196" s="123"/>
      <c r="E2196" s="123"/>
    </row>
    <row r="2197" spans="3:5" ht="16.5">
      <c r="C2197" s="123"/>
      <c r="E2197" s="123"/>
    </row>
    <row r="2198" spans="3:5" ht="16.5">
      <c r="C2198" s="123"/>
      <c r="E2198" s="123"/>
    </row>
    <row r="2199" spans="3:5" ht="16.5">
      <c r="C2199" s="123"/>
      <c r="E2199" s="123"/>
    </row>
    <row r="2200" spans="3:5" ht="16.5">
      <c r="C2200" s="123"/>
      <c r="E2200" s="123"/>
    </row>
    <row r="2201" spans="3:5" ht="16.5">
      <c r="C2201" s="123"/>
      <c r="E2201" s="123"/>
    </row>
    <row r="2202" spans="3:5" ht="16.5">
      <c r="C2202" s="123"/>
      <c r="E2202" s="123"/>
    </row>
    <row r="2203" spans="3:5" ht="16.5">
      <c r="C2203" s="123"/>
      <c r="E2203" s="123"/>
    </row>
    <row r="2204" spans="3:5" ht="16.5">
      <c r="C2204" s="123"/>
      <c r="E2204" s="123"/>
    </row>
    <row r="2205" spans="3:5" ht="16.5">
      <c r="C2205" s="123"/>
      <c r="E2205" s="123"/>
    </row>
    <row r="2206" spans="3:5" ht="16.5">
      <c r="C2206" s="123"/>
      <c r="E2206" s="123"/>
    </row>
    <row r="2207" spans="3:5" ht="16.5">
      <c r="C2207" s="123"/>
      <c r="E2207" s="123"/>
    </row>
    <row r="2208" spans="3:5" ht="16.5">
      <c r="C2208" s="123"/>
      <c r="E2208" s="123"/>
    </row>
    <row r="2209" spans="3:5" ht="16.5">
      <c r="C2209" s="123"/>
      <c r="E2209" s="123"/>
    </row>
    <row r="2210" spans="3:5" ht="16.5">
      <c r="C2210" s="123"/>
      <c r="E2210" s="123"/>
    </row>
    <row r="2211" spans="3:5" ht="16.5">
      <c r="C2211" s="123"/>
      <c r="E2211" s="123"/>
    </row>
    <row r="2212" spans="3:5" ht="16.5">
      <c r="C2212" s="123"/>
      <c r="E2212" s="123"/>
    </row>
    <row r="2213" spans="3:5" ht="16.5">
      <c r="C2213" s="123"/>
      <c r="E2213" s="123"/>
    </row>
    <row r="2214" spans="3:5" ht="16.5">
      <c r="C2214" s="123"/>
      <c r="E2214" s="123"/>
    </row>
    <row r="2215" spans="3:5" ht="16.5">
      <c r="C2215" s="123"/>
      <c r="E2215" s="123"/>
    </row>
    <row r="2216" spans="3:5" ht="16.5">
      <c r="C2216" s="123"/>
      <c r="E2216" s="123"/>
    </row>
    <row r="2217" spans="3:5" ht="16.5">
      <c r="C2217" s="123"/>
      <c r="E2217" s="123"/>
    </row>
    <row r="2218" spans="3:5" ht="16.5">
      <c r="C2218" s="123"/>
      <c r="E2218" s="123"/>
    </row>
    <row r="2219" spans="3:5" ht="16.5">
      <c r="C2219" s="123"/>
      <c r="E2219" s="123"/>
    </row>
    <row r="2220" spans="3:5" ht="16.5">
      <c r="C2220" s="123"/>
      <c r="E2220" s="123"/>
    </row>
    <row r="2221" spans="3:5" ht="16.5">
      <c r="C2221" s="123"/>
      <c r="E2221" s="123"/>
    </row>
    <row r="2222" spans="3:5" ht="16.5">
      <c r="C2222" s="123"/>
      <c r="E2222" s="123"/>
    </row>
    <row r="2223" spans="3:5" ht="16.5">
      <c r="C2223" s="123"/>
      <c r="E2223" s="123"/>
    </row>
    <row r="2224" spans="3:5" ht="16.5">
      <c r="C2224" s="123"/>
      <c r="E2224" s="123"/>
    </row>
    <row r="2225" spans="3:5" ht="16.5">
      <c r="C2225" s="123"/>
      <c r="E2225" s="123"/>
    </row>
    <row r="2226" spans="3:5" ht="16.5">
      <c r="C2226" s="123"/>
      <c r="E2226" s="123"/>
    </row>
    <row r="2227" spans="3:5" ht="16.5">
      <c r="C2227" s="123"/>
      <c r="E2227" s="123"/>
    </row>
    <row r="2228" spans="3:5" ht="16.5">
      <c r="C2228" s="123"/>
      <c r="E2228" s="123"/>
    </row>
    <row r="2229" spans="3:5" ht="16.5">
      <c r="C2229" s="123"/>
      <c r="E2229" s="123"/>
    </row>
    <row r="2230" spans="3:5" ht="16.5">
      <c r="C2230" s="123"/>
      <c r="E2230" s="123"/>
    </row>
    <row r="2231" spans="3:5" ht="16.5">
      <c r="C2231" s="123"/>
      <c r="E2231" s="123"/>
    </row>
    <row r="2232" spans="3:5" ht="16.5">
      <c r="C2232" s="123"/>
      <c r="E2232" s="123"/>
    </row>
    <row r="2233" spans="3:5" ht="16.5">
      <c r="C2233" s="123"/>
      <c r="E2233" s="123"/>
    </row>
    <row r="2234" spans="3:5" ht="16.5">
      <c r="C2234" s="123"/>
      <c r="E2234" s="123"/>
    </row>
    <row r="2235" spans="3:5" ht="16.5">
      <c r="C2235" s="123"/>
      <c r="E2235" s="123"/>
    </row>
    <row r="2236" spans="3:5" ht="16.5">
      <c r="C2236" s="123"/>
      <c r="E2236" s="123"/>
    </row>
    <row r="2237" spans="3:5" ht="16.5">
      <c r="C2237" s="123"/>
      <c r="E2237" s="123"/>
    </row>
    <row r="2238" spans="3:5" ht="16.5">
      <c r="C2238" s="123"/>
      <c r="E2238" s="123"/>
    </row>
    <row r="2239" spans="3:5" ht="16.5">
      <c r="C2239" s="123"/>
      <c r="E2239" s="123"/>
    </row>
    <row r="2240" spans="3:5" ht="16.5">
      <c r="C2240" s="123"/>
      <c r="E2240" s="123"/>
    </row>
    <row r="2241" spans="3:5" ht="16.5">
      <c r="C2241" s="123"/>
      <c r="E2241" s="123"/>
    </row>
    <row r="2242" spans="3:5" ht="16.5">
      <c r="C2242" s="123"/>
      <c r="E2242" s="123"/>
    </row>
    <row r="2243" spans="3:5" ht="16.5">
      <c r="C2243" s="123"/>
      <c r="E2243" s="123"/>
    </row>
    <row r="2244" spans="3:5" ht="16.5">
      <c r="C2244" s="123"/>
      <c r="E2244" s="123"/>
    </row>
    <row r="2245" spans="3:5" ht="16.5">
      <c r="C2245" s="123"/>
      <c r="E2245" s="123"/>
    </row>
    <row r="2246" spans="3:5" ht="16.5">
      <c r="C2246" s="123"/>
      <c r="E2246" s="123"/>
    </row>
    <row r="2247" spans="3:5" ht="16.5">
      <c r="C2247" s="123"/>
      <c r="E2247" s="123"/>
    </row>
    <row r="2248" spans="3:5" ht="16.5">
      <c r="C2248" s="123"/>
      <c r="E2248" s="123"/>
    </row>
    <row r="2249" spans="3:5" ht="16.5">
      <c r="C2249" s="123"/>
      <c r="E2249" s="123"/>
    </row>
    <row r="2250" spans="3:5" ht="16.5">
      <c r="C2250" s="123"/>
      <c r="E2250" s="123"/>
    </row>
    <row r="2251" spans="3:5" ht="16.5">
      <c r="C2251" s="123"/>
      <c r="E2251" s="123"/>
    </row>
    <row r="2252" spans="3:5" ht="16.5">
      <c r="C2252" s="123"/>
      <c r="E2252" s="123"/>
    </row>
    <row r="2253" spans="3:5" ht="16.5">
      <c r="C2253" s="123"/>
      <c r="E2253" s="123"/>
    </row>
    <row r="2254" spans="3:5" ht="16.5">
      <c r="C2254" s="123"/>
      <c r="E2254" s="123"/>
    </row>
    <row r="2255" spans="3:5" ht="16.5">
      <c r="C2255" s="123"/>
      <c r="E2255" s="123"/>
    </row>
    <row r="2256" spans="3:5" ht="16.5">
      <c r="C2256" s="123"/>
      <c r="E2256" s="123"/>
    </row>
    <row r="2257" spans="3:5" ht="16.5">
      <c r="C2257" s="123"/>
      <c r="E2257" s="123"/>
    </row>
    <row r="2258" spans="3:5" ht="16.5">
      <c r="C2258" s="123"/>
      <c r="E2258" s="123"/>
    </row>
    <row r="2259" spans="3:5" ht="16.5">
      <c r="C2259" s="123"/>
      <c r="E2259" s="123"/>
    </row>
    <row r="2260" spans="3:5" ht="16.5">
      <c r="C2260" s="123"/>
      <c r="E2260" s="123"/>
    </row>
    <row r="2261" spans="3:5" ht="16.5">
      <c r="C2261" s="123"/>
      <c r="E2261" s="123"/>
    </row>
    <row r="2262" spans="3:5" ht="16.5">
      <c r="C2262" s="123"/>
      <c r="E2262" s="123"/>
    </row>
    <row r="2263" spans="3:5" ht="16.5">
      <c r="C2263" s="123"/>
      <c r="E2263" s="123"/>
    </row>
    <row r="2264" spans="3:5" ht="16.5">
      <c r="C2264" s="123"/>
      <c r="E2264" s="123"/>
    </row>
    <row r="2265" spans="3:5" ht="16.5">
      <c r="C2265" s="123"/>
      <c r="E2265" s="123"/>
    </row>
    <row r="2266" spans="3:5" ht="16.5">
      <c r="C2266" s="123"/>
      <c r="E2266" s="123"/>
    </row>
    <row r="2267" spans="3:5" ht="16.5">
      <c r="C2267" s="123"/>
      <c r="E2267" s="123"/>
    </row>
    <row r="2268" spans="3:5" ht="16.5">
      <c r="C2268" s="123"/>
      <c r="E2268" s="123"/>
    </row>
    <row r="2269" spans="3:5" ht="16.5">
      <c r="C2269" s="123"/>
      <c r="E2269" s="123"/>
    </row>
    <row r="2270" spans="3:5" ht="16.5">
      <c r="C2270" s="123"/>
      <c r="E2270" s="123"/>
    </row>
    <row r="2271" spans="3:5" ht="16.5">
      <c r="C2271" s="123"/>
      <c r="E2271" s="123"/>
    </row>
    <row r="2272" spans="3:5" ht="16.5">
      <c r="C2272" s="123"/>
      <c r="E2272" s="123"/>
    </row>
    <row r="2273" spans="3:5" ht="16.5">
      <c r="C2273" s="123"/>
      <c r="E2273" s="123"/>
    </row>
    <row r="2274" spans="3:5" ht="16.5">
      <c r="C2274" s="123"/>
      <c r="E2274" s="123"/>
    </row>
    <row r="2275" spans="3:5" ht="16.5">
      <c r="C2275" s="123"/>
      <c r="E2275" s="123"/>
    </row>
    <row r="2276" spans="3:5" ht="16.5">
      <c r="C2276" s="123"/>
      <c r="E2276" s="123"/>
    </row>
    <row r="2277" spans="3:5" ht="16.5">
      <c r="C2277" s="123"/>
      <c r="E2277" s="123"/>
    </row>
    <row r="2278" spans="3:5" ht="16.5">
      <c r="C2278" s="123"/>
      <c r="E2278" s="123"/>
    </row>
    <row r="2279" spans="3:5" ht="16.5">
      <c r="C2279" s="123"/>
      <c r="E2279" s="123"/>
    </row>
    <row r="2280" spans="3:5" ht="16.5">
      <c r="C2280" s="123"/>
      <c r="E2280" s="123"/>
    </row>
    <row r="2281" spans="3:5" ht="16.5">
      <c r="C2281" s="123"/>
      <c r="E2281" s="123"/>
    </row>
    <row r="2282" spans="3:5" ht="16.5">
      <c r="C2282" s="123"/>
      <c r="E2282" s="123"/>
    </row>
    <row r="2283" spans="3:5" ht="16.5">
      <c r="C2283" s="123"/>
      <c r="E2283" s="123"/>
    </row>
    <row r="2284" spans="3:5" ht="16.5">
      <c r="C2284" s="123"/>
      <c r="E2284" s="123"/>
    </row>
    <row r="2285" spans="3:5" ht="16.5">
      <c r="C2285" s="123"/>
      <c r="E2285" s="123"/>
    </row>
    <row r="2286" spans="3:5" ht="16.5">
      <c r="C2286" s="123"/>
      <c r="E2286" s="123"/>
    </row>
    <row r="2287" spans="3:5" ht="16.5">
      <c r="C2287" s="123"/>
      <c r="E2287" s="123"/>
    </row>
    <row r="2288" spans="3:5" ht="16.5">
      <c r="C2288" s="123"/>
      <c r="E2288" s="123"/>
    </row>
    <row r="2289" spans="3:5" ht="16.5">
      <c r="C2289" s="123"/>
      <c r="E2289" s="123"/>
    </row>
    <row r="2290" spans="3:5" ht="16.5">
      <c r="C2290" s="123"/>
      <c r="E2290" s="123"/>
    </row>
    <row r="2291" spans="3:5" ht="16.5">
      <c r="C2291" s="123"/>
      <c r="E2291" s="123"/>
    </row>
    <row r="2292" spans="3:5" ht="16.5">
      <c r="C2292" s="123"/>
      <c r="E2292" s="123"/>
    </row>
    <row r="2293" spans="3:5" ht="16.5">
      <c r="C2293" s="123"/>
      <c r="E2293" s="123"/>
    </row>
    <row r="2294" spans="3:5" ht="16.5">
      <c r="C2294" s="123"/>
      <c r="E2294" s="123"/>
    </row>
    <row r="2295" spans="3:5" ht="16.5">
      <c r="C2295" s="123"/>
      <c r="E2295" s="123"/>
    </row>
    <row r="2296" spans="3:5" ht="16.5">
      <c r="C2296" s="123"/>
      <c r="E2296" s="123"/>
    </row>
    <row r="2297" spans="3:5" ht="16.5">
      <c r="C2297" s="123"/>
      <c r="E2297" s="123"/>
    </row>
    <row r="2298" spans="3:5" ht="16.5">
      <c r="C2298" s="123"/>
      <c r="E2298" s="123"/>
    </row>
    <row r="2299" spans="3:5" ht="16.5">
      <c r="C2299" s="123"/>
      <c r="E2299" s="123"/>
    </row>
    <row r="2300" spans="3:5" ht="16.5">
      <c r="C2300" s="123"/>
      <c r="E2300" s="123"/>
    </row>
    <row r="2301" spans="3:5" ht="16.5">
      <c r="C2301" s="123"/>
      <c r="E2301" s="123"/>
    </row>
    <row r="2302" spans="3:5" ht="16.5">
      <c r="C2302" s="123"/>
      <c r="E2302" s="123"/>
    </row>
    <row r="2303" spans="3:5" ht="16.5">
      <c r="C2303" s="123"/>
      <c r="E2303" s="123"/>
    </row>
    <row r="2304" spans="3:5" ht="16.5">
      <c r="C2304" s="123"/>
      <c r="E2304" s="123"/>
    </row>
    <row r="2305" spans="3:5" ht="16.5">
      <c r="C2305" s="123"/>
      <c r="E2305" s="123"/>
    </row>
    <row r="2306" spans="3:5" ht="16.5">
      <c r="C2306" s="123"/>
      <c r="E2306" s="123"/>
    </row>
    <row r="2307" spans="3:5" ht="16.5">
      <c r="C2307" s="123"/>
      <c r="E2307" s="123"/>
    </row>
    <row r="2308" spans="3:5" ht="16.5">
      <c r="C2308" s="123"/>
      <c r="E2308" s="123"/>
    </row>
    <row r="2309" spans="3:5" ht="16.5">
      <c r="C2309" s="123"/>
      <c r="E2309" s="123"/>
    </row>
    <row r="2310" spans="3:5" ht="16.5">
      <c r="C2310" s="123"/>
      <c r="E2310" s="123"/>
    </row>
    <row r="2311" spans="3:5" ht="16.5">
      <c r="C2311" s="123"/>
      <c r="E2311" s="123"/>
    </row>
    <row r="2312" spans="3:5" ht="16.5">
      <c r="C2312" s="123"/>
      <c r="E2312" s="123"/>
    </row>
    <row r="2313" spans="3:5" ht="16.5">
      <c r="C2313" s="123"/>
      <c r="E2313" s="123"/>
    </row>
    <row r="2314" spans="3:5" ht="16.5">
      <c r="C2314" s="123"/>
      <c r="E2314" s="123"/>
    </row>
    <row r="2315" spans="3:5" ht="16.5">
      <c r="C2315" s="123"/>
      <c r="E2315" s="123"/>
    </row>
    <row r="2316" spans="3:5" ht="16.5">
      <c r="C2316" s="123"/>
      <c r="E2316" s="123"/>
    </row>
    <row r="2317" spans="3:5" ht="16.5">
      <c r="C2317" s="123"/>
      <c r="E2317" s="123"/>
    </row>
    <row r="2318" spans="3:5" ht="16.5">
      <c r="C2318" s="123"/>
      <c r="E2318" s="123"/>
    </row>
    <row r="2319" spans="3:5" ht="16.5">
      <c r="C2319" s="123"/>
      <c r="E2319" s="123"/>
    </row>
    <row r="2320" spans="3:5" ht="16.5">
      <c r="C2320" s="123"/>
      <c r="E2320" s="123"/>
    </row>
    <row r="2321" spans="3:5" ht="16.5">
      <c r="C2321" s="123"/>
      <c r="E2321" s="123"/>
    </row>
    <row r="2322" spans="3:5" ht="16.5">
      <c r="C2322" s="123"/>
      <c r="E2322" s="123"/>
    </row>
    <row r="2323" spans="3:5" ht="16.5">
      <c r="C2323" s="123"/>
      <c r="E2323" s="123"/>
    </row>
    <row r="2324" spans="3:5" ht="16.5">
      <c r="C2324" s="123"/>
      <c r="E2324" s="123"/>
    </row>
    <row r="2325" spans="3:5" ht="16.5">
      <c r="C2325" s="123"/>
      <c r="E2325" s="123"/>
    </row>
    <row r="2326" spans="3:5" ht="16.5">
      <c r="C2326" s="123"/>
      <c r="E2326" s="123"/>
    </row>
    <row r="2327" spans="3:5" ht="16.5">
      <c r="C2327" s="123"/>
      <c r="E2327" s="123"/>
    </row>
    <row r="2328" spans="3:5" ht="16.5">
      <c r="C2328" s="123"/>
      <c r="E2328" s="123"/>
    </row>
    <row r="2329" spans="3:5" ht="16.5">
      <c r="C2329" s="123"/>
      <c r="E2329" s="123"/>
    </row>
    <row r="2330" spans="3:5" ht="16.5">
      <c r="C2330" s="123"/>
      <c r="E2330" s="123"/>
    </row>
    <row r="2331" spans="3:5" ht="16.5">
      <c r="C2331" s="123"/>
      <c r="E2331" s="123"/>
    </row>
    <row r="2332" spans="3:5" ht="16.5">
      <c r="C2332" s="123"/>
      <c r="E2332" s="123"/>
    </row>
    <row r="2333" spans="3:5" ht="16.5">
      <c r="C2333" s="123"/>
      <c r="E2333" s="123"/>
    </row>
    <row r="2334" spans="3:5" ht="16.5">
      <c r="C2334" s="123"/>
      <c r="E2334" s="123"/>
    </row>
    <row r="2335" spans="3:5" ht="16.5">
      <c r="C2335" s="123"/>
      <c r="E2335" s="123"/>
    </row>
    <row r="2336" spans="3:5" ht="16.5">
      <c r="C2336" s="123"/>
      <c r="E2336" s="123"/>
    </row>
    <row r="2337" spans="3:5" ht="16.5">
      <c r="C2337" s="123"/>
      <c r="E2337" s="123"/>
    </row>
    <row r="2338" spans="3:5" ht="16.5">
      <c r="C2338" s="123"/>
      <c r="E2338" s="123"/>
    </row>
    <row r="2339" spans="3:5" ht="16.5">
      <c r="C2339" s="123"/>
      <c r="E2339" s="123"/>
    </row>
    <row r="2340" spans="3:5" ht="16.5">
      <c r="C2340" s="123"/>
      <c r="E2340" s="123"/>
    </row>
    <row r="2341" spans="3:5" ht="16.5">
      <c r="C2341" s="123"/>
      <c r="E2341" s="123"/>
    </row>
    <row r="2342" spans="3:5" ht="16.5">
      <c r="C2342" s="123"/>
      <c r="E2342" s="123"/>
    </row>
    <row r="2343" spans="3:5" ht="16.5">
      <c r="C2343" s="123"/>
      <c r="E2343" s="123"/>
    </row>
    <row r="2344" spans="3:5" ht="16.5">
      <c r="C2344" s="123"/>
      <c r="E2344" s="123"/>
    </row>
    <row r="2345" spans="3:5" ht="16.5">
      <c r="C2345" s="123"/>
      <c r="E2345" s="123"/>
    </row>
    <row r="2346" spans="3:5" ht="16.5">
      <c r="C2346" s="123"/>
      <c r="E2346" s="123"/>
    </row>
    <row r="2347" spans="3:5" ht="16.5">
      <c r="C2347" s="123"/>
      <c r="E2347" s="123"/>
    </row>
    <row r="2348" spans="3:5" ht="16.5">
      <c r="C2348" s="123"/>
      <c r="E2348" s="123"/>
    </row>
    <row r="2349" spans="3:5" ht="16.5">
      <c r="C2349" s="123"/>
      <c r="E2349" s="123"/>
    </row>
    <row r="2350" spans="3:5" ht="16.5">
      <c r="C2350" s="123"/>
      <c r="E2350" s="123"/>
    </row>
    <row r="2351" spans="3:5" ht="16.5">
      <c r="C2351" s="123"/>
      <c r="E2351" s="123"/>
    </row>
    <row r="2352" spans="3:5" ht="16.5">
      <c r="C2352" s="123"/>
      <c r="E2352" s="123"/>
    </row>
    <row r="2353" spans="3:5" ht="16.5">
      <c r="C2353" s="123"/>
      <c r="E2353" s="123"/>
    </row>
    <row r="2354" spans="3:5" ht="16.5">
      <c r="C2354" s="123"/>
      <c r="E2354" s="123"/>
    </row>
    <row r="2355" spans="3:5" ht="16.5">
      <c r="C2355" s="123"/>
      <c r="E2355" s="123"/>
    </row>
    <row r="2356" spans="3:5" ht="16.5">
      <c r="C2356" s="123"/>
      <c r="E2356" s="123"/>
    </row>
    <row r="2357" spans="3:5" ht="16.5">
      <c r="C2357" s="123"/>
      <c r="E2357" s="123"/>
    </row>
    <row r="2358" spans="3:5" ht="16.5">
      <c r="C2358" s="123"/>
      <c r="E2358" s="123"/>
    </row>
    <row r="2359" spans="3:5" ht="16.5">
      <c r="C2359" s="123"/>
      <c r="E2359" s="123"/>
    </row>
    <row r="2360" spans="3:5" ht="16.5">
      <c r="C2360" s="123"/>
      <c r="E2360" s="123"/>
    </row>
    <row r="2361" spans="3:5" ht="16.5">
      <c r="C2361" s="123"/>
      <c r="E2361" s="123"/>
    </row>
    <row r="2362" spans="3:5" ht="16.5">
      <c r="C2362" s="123"/>
      <c r="E2362" s="123"/>
    </row>
    <row r="2363" spans="3:5" ht="16.5">
      <c r="C2363" s="123"/>
      <c r="E2363" s="123"/>
    </row>
    <row r="2364" spans="3:5" ht="16.5">
      <c r="C2364" s="123"/>
      <c r="E2364" s="123"/>
    </row>
    <row r="2365" spans="3:5" ht="16.5">
      <c r="C2365" s="123"/>
      <c r="E2365" s="123"/>
    </row>
    <row r="2366" spans="3:5" ht="16.5">
      <c r="C2366" s="123"/>
      <c r="E2366" s="123"/>
    </row>
    <row r="2367" spans="3:5" ht="16.5">
      <c r="C2367" s="123"/>
      <c r="E2367" s="123"/>
    </row>
    <row r="2368" spans="3:5" ht="16.5">
      <c r="C2368" s="123"/>
      <c r="E2368" s="123"/>
    </row>
    <row r="2369" spans="3:5" ht="16.5">
      <c r="C2369" s="123"/>
      <c r="E2369" s="123"/>
    </row>
    <row r="2370" spans="3:5" ht="16.5">
      <c r="C2370" s="123"/>
      <c r="E2370" s="123"/>
    </row>
    <row r="2371" spans="3:5" ht="16.5">
      <c r="C2371" s="123"/>
      <c r="E2371" s="123"/>
    </row>
    <row r="2372" spans="3:5" ht="16.5">
      <c r="C2372" s="123"/>
      <c r="E2372" s="123"/>
    </row>
    <row r="2373" spans="3:5" ht="16.5">
      <c r="C2373" s="123"/>
      <c r="E2373" s="123"/>
    </row>
    <row r="2374" spans="3:5" ht="16.5">
      <c r="C2374" s="123"/>
      <c r="E2374" s="123"/>
    </row>
    <row r="2375" spans="3:5" ht="16.5">
      <c r="C2375" s="123"/>
      <c r="E2375" s="123"/>
    </row>
    <row r="2376" spans="3:5" ht="16.5">
      <c r="C2376" s="123"/>
      <c r="E2376" s="123"/>
    </row>
    <row r="2377" spans="3:5" ht="16.5">
      <c r="C2377" s="123"/>
      <c r="E2377" s="123"/>
    </row>
    <row r="2378" spans="3:5" ht="16.5">
      <c r="C2378" s="123"/>
      <c r="E2378" s="123"/>
    </row>
    <row r="2379" spans="3:5" ht="16.5">
      <c r="C2379" s="123"/>
      <c r="E2379" s="123"/>
    </row>
    <row r="2380" spans="3:5" ht="16.5">
      <c r="C2380" s="123"/>
      <c r="E2380" s="123"/>
    </row>
    <row r="2381" spans="3:5" ht="16.5">
      <c r="C2381" s="123"/>
      <c r="E2381" s="123"/>
    </row>
    <row r="2382" spans="3:5" ht="16.5">
      <c r="C2382" s="123"/>
      <c r="E2382" s="123"/>
    </row>
    <row r="2383" spans="3:5" ht="16.5">
      <c r="C2383" s="123"/>
      <c r="E2383" s="123"/>
    </row>
    <row r="2384" spans="3:5" ht="16.5">
      <c r="C2384" s="123"/>
      <c r="E2384" s="123"/>
    </row>
    <row r="2385" spans="3:5" ht="16.5">
      <c r="C2385" s="123"/>
      <c r="E2385" s="123"/>
    </row>
    <row r="2386" spans="3:5" ht="16.5">
      <c r="C2386" s="123"/>
      <c r="E2386" s="123"/>
    </row>
    <row r="2387" spans="3:5" ht="16.5">
      <c r="C2387" s="123"/>
      <c r="E2387" s="123"/>
    </row>
    <row r="2388" spans="3:5" ht="16.5">
      <c r="C2388" s="123"/>
      <c r="E2388" s="123"/>
    </row>
    <row r="2389" spans="3:5" ht="16.5">
      <c r="C2389" s="123"/>
      <c r="E2389" s="123"/>
    </row>
    <row r="2390" spans="3:5" ht="16.5">
      <c r="C2390" s="123"/>
      <c r="E2390" s="123"/>
    </row>
    <row r="2391" spans="3:5" ht="16.5">
      <c r="C2391" s="123"/>
      <c r="E2391" s="123"/>
    </row>
    <row r="2392" spans="3:5" ht="16.5">
      <c r="C2392" s="123"/>
      <c r="E2392" s="123"/>
    </row>
    <row r="2393" spans="3:5" ht="16.5">
      <c r="C2393" s="123"/>
      <c r="E2393" s="123"/>
    </row>
    <row r="2394" spans="3:5" ht="16.5">
      <c r="C2394" s="123"/>
      <c r="E2394" s="123"/>
    </row>
    <row r="2395" spans="3:5" ht="16.5">
      <c r="C2395" s="123"/>
      <c r="E2395" s="123"/>
    </row>
    <row r="2396" spans="3:5" ht="16.5">
      <c r="C2396" s="123"/>
      <c r="E2396" s="123"/>
    </row>
    <row r="2397" spans="3:5" ht="16.5">
      <c r="C2397" s="123"/>
      <c r="E2397" s="123"/>
    </row>
    <row r="2398" spans="3:5" ht="16.5">
      <c r="C2398" s="123"/>
      <c r="E2398" s="123"/>
    </row>
    <row r="2399" spans="3:5" ht="16.5">
      <c r="C2399" s="123"/>
      <c r="E2399" s="123"/>
    </row>
    <row r="2400" spans="3:5" ht="16.5">
      <c r="C2400" s="123"/>
      <c r="E2400" s="123"/>
    </row>
    <row r="2401" spans="3:5" ht="16.5">
      <c r="C2401" s="123"/>
      <c r="E2401" s="123"/>
    </row>
    <row r="2402" spans="3:5" ht="16.5">
      <c r="C2402" s="123"/>
      <c r="E2402" s="123"/>
    </row>
    <row r="2403" spans="3:5" ht="16.5">
      <c r="C2403" s="123"/>
      <c r="E2403" s="123"/>
    </row>
    <row r="2404" spans="3:5" ht="16.5">
      <c r="C2404" s="123"/>
      <c r="E2404" s="123"/>
    </row>
    <row r="2405" spans="3:5" ht="16.5">
      <c r="C2405" s="123"/>
      <c r="E2405" s="123"/>
    </row>
    <row r="2406" spans="3:5" ht="16.5">
      <c r="C2406" s="123"/>
      <c r="E2406" s="123"/>
    </row>
    <row r="2407" spans="3:5" ht="16.5">
      <c r="C2407" s="123"/>
      <c r="E2407" s="123"/>
    </row>
    <row r="2408" spans="3:5" ht="16.5">
      <c r="C2408" s="123"/>
      <c r="E2408" s="123"/>
    </row>
    <row r="2409" spans="3:5" ht="16.5">
      <c r="C2409" s="123"/>
      <c r="E2409" s="123"/>
    </row>
    <row r="2410" spans="3:5" ht="16.5">
      <c r="C2410" s="123"/>
      <c r="E2410" s="123"/>
    </row>
    <row r="2411" spans="3:5" ht="16.5">
      <c r="C2411" s="123"/>
      <c r="E2411" s="123"/>
    </row>
    <row r="2412" spans="3:5" ht="16.5">
      <c r="C2412" s="123"/>
      <c r="E2412" s="123"/>
    </row>
    <row r="2413" spans="3:5" ht="16.5">
      <c r="C2413" s="123"/>
      <c r="E2413" s="123"/>
    </row>
    <row r="2414" spans="3:5" ht="16.5">
      <c r="C2414" s="123"/>
      <c r="E2414" s="123"/>
    </row>
    <row r="2415" spans="3:5" ht="16.5">
      <c r="C2415" s="123"/>
      <c r="E2415" s="123"/>
    </row>
    <row r="2416" spans="3:5" ht="16.5">
      <c r="C2416" s="123"/>
      <c r="E2416" s="123"/>
    </row>
    <row r="2417" spans="3:5" ht="16.5">
      <c r="C2417" s="123"/>
      <c r="E2417" s="123"/>
    </row>
    <row r="2418" spans="3:5" ht="16.5">
      <c r="C2418" s="123"/>
      <c r="E2418" s="123"/>
    </row>
    <row r="2419" spans="3:5" ht="16.5">
      <c r="C2419" s="123"/>
      <c r="E2419" s="123"/>
    </row>
    <row r="2420" spans="3:5" ht="16.5">
      <c r="C2420" s="123"/>
      <c r="E2420" s="123"/>
    </row>
    <row r="2421" spans="3:5" ht="16.5">
      <c r="C2421" s="123"/>
      <c r="E2421" s="123"/>
    </row>
    <row r="2422" spans="3:5" ht="16.5">
      <c r="C2422" s="123"/>
      <c r="E2422" s="123"/>
    </row>
    <row r="2423" spans="3:5" ht="16.5">
      <c r="C2423" s="123"/>
      <c r="E2423" s="123"/>
    </row>
    <row r="2424" spans="3:5" ht="16.5">
      <c r="C2424" s="123"/>
      <c r="E2424" s="123"/>
    </row>
    <row r="2425" spans="3:5" ht="16.5">
      <c r="C2425" s="123"/>
      <c r="E2425" s="123"/>
    </row>
    <row r="2426" spans="3:5" ht="16.5">
      <c r="C2426" s="123"/>
      <c r="E2426" s="123"/>
    </row>
    <row r="2427" spans="3:5" ht="16.5">
      <c r="C2427" s="123"/>
      <c r="E2427" s="123"/>
    </row>
    <row r="2428" spans="3:5" ht="16.5">
      <c r="C2428" s="123"/>
      <c r="E2428" s="123"/>
    </row>
    <row r="2429" spans="3:5" ht="16.5">
      <c r="C2429" s="123"/>
      <c r="E2429" s="123"/>
    </row>
    <row r="2430" spans="3:5" ht="16.5">
      <c r="C2430" s="123"/>
      <c r="E2430" s="123"/>
    </row>
    <row r="2431" spans="3:5" ht="16.5">
      <c r="C2431" s="123"/>
      <c r="E2431" s="123"/>
    </row>
    <row r="2432" spans="3:5" ht="16.5">
      <c r="C2432" s="123"/>
      <c r="E2432" s="123"/>
    </row>
    <row r="2433" spans="3:5" ht="16.5">
      <c r="C2433" s="123"/>
      <c r="E2433" s="123"/>
    </row>
    <row r="2434" spans="3:5" ht="16.5">
      <c r="C2434" s="123"/>
      <c r="E2434" s="123"/>
    </row>
    <row r="2435" spans="3:5" ht="16.5">
      <c r="C2435" s="123"/>
      <c r="E2435" s="123"/>
    </row>
    <row r="2436" spans="3:5" ht="16.5">
      <c r="C2436" s="123"/>
      <c r="E2436" s="123"/>
    </row>
    <row r="2437" spans="3:5" ht="16.5">
      <c r="C2437" s="123"/>
      <c r="E2437" s="123"/>
    </row>
    <row r="2438" spans="3:5" ht="16.5">
      <c r="C2438" s="123"/>
      <c r="E2438" s="123"/>
    </row>
    <row r="2439" spans="3:5" ht="16.5">
      <c r="C2439" s="123"/>
      <c r="E2439" s="123"/>
    </row>
    <row r="2440" spans="3:5" ht="16.5">
      <c r="C2440" s="123"/>
      <c r="E2440" s="123"/>
    </row>
    <row r="2441" spans="3:5" ht="16.5">
      <c r="C2441" s="123"/>
      <c r="E2441" s="123"/>
    </row>
    <row r="2442" spans="3:5" ht="16.5">
      <c r="C2442" s="123"/>
      <c r="E2442" s="123"/>
    </row>
    <row r="2443" spans="3:5" ht="16.5">
      <c r="C2443" s="123"/>
      <c r="E2443" s="123"/>
    </row>
    <row r="2444" spans="3:5" ht="16.5">
      <c r="C2444" s="123"/>
      <c r="E2444" s="123"/>
    </row>
    <row r="2445" spans="3:5" ht="16.5">
      <c r="C2445" s="123"/>
      <c r="E2445" s="123"/>
    </row>
    <row r="2446" spans="3:5" ht="16.5">
      <c r="C2446" s="123"/>
      <c r="E2446" s="123"/>
    </row>
    <row r="2447" spans="3:5" ht="16.5">
      <c r="C2447" s="123"/>
      <c r="E2447" s="123"/>
    </row>
    <row r="2448" spans="3:5" ht="16.5">
      <c r="C2448" s="123"/>
      <c r="E2448" s="123"/>
    </row>
    <row r="2449" spans="3:5" ht="16.5">
      <c r="C2449" s="123"/>
      <c r="E2449" s="123"/>
    </row>
    <row r="2450" spans="3:5" ht="16.5">
      <c r="C2450" s="123"/>
      <c r="E2450" s="123"/>
    </row>
    <row r="2451" spans="3:5" ht="16.5">
      <c r="C2451" s="123"/>
      <c r="E2451" s="123"/>
    </row>
    <row r="2452" spans="3:5" ht="16.5">
      <c r="C2452" s="123"/>
      <c r="E2452" s="123"/>
    </row>
    <row r="2453" spans="3:5" ht="16.5">
      <c r="C2453" s="123"/>
      <c r="E2453" s="123"/>
    </row>
    <row r="2454" spans="3:5" ht="16.5">
      <c r="C2454" s="123"/>
      <c r="E2454" s="123"/>
    </row>
    <row r="2455" spans="3:5" ht="16.5">
      <c r="C2455" s="123"/>
      <c r="E2455" s="123"/>
    </row>
    <row r="2456" spans="3:5" ht="16.5">
      <c r="C2456" s="123"/>
      <c r="E2456" s="123"/>
    </row>
    <row r="2457" spans="3:5" ht="16.5">
      <c r="C2457" s="123"/>
      <c r="E2457" s="123"/>
    </row>
    <row r="2458" spans="3:5" ht="16.5">
      <c r="C2458" s="123"/>
      <c r="E2458" s="123"/>
    </row>
    <row r="2459" spans="3:5" ht="16.5">
      <c r="C2459" s="123"/>
      <c r="E2459" s="123"/>
    </row>
    <row r="2460" spans="3:5" ht="16.5">
      <c r="C2460" s="123"/>
      <c r="E2460" s="123"/>
    </row>
    <row r="2461" spans="3:5" ht="16.5">
      <c r="C2461" s="123"/>
      <c r="E2461" s="123"/>
    </row>
    <row r="2462" spans="3:5" ht="16.5">
      <c r="C2462" s="123"/>
      <c r="E2462" s="123"/>
    </row>
    <row r="2463" spans="3:5" ht="16.5">
      <c r="C2463" s="123"/>
      <c r="E2463" s="123"/>
    </row>
    <row r="2464" spans="3:5" ht="16.5">
      <c r="C2464" s="123"/>
      <c r="E2464" s="123"/>
    </row>
    <row r="2465" spans="3:5" ht="16.5">
      <c r="C2465" s="123"/>
      <c r="E2465" s="123"/>
    </row>
    <row r="2466" spans="3:5" ht="16.5">
      <c r="C2466" s="123"/>
      <c r="E2466" s="123"/>
    </row>
    <row r="2467" spans="3:5" ht="16.5">
      <c r="C2467" s="123"/>
      <c r="E2467" s="123"/>
    </row>
    <row r="2468" spans="3:5" ht="16.5">
      <c r="C2468" s="123"/>
      <c r="E2468" s="123"/>
    </row>
    <row r="2469" spans="3:5" ht="16.5">
      <c r="C2469" s="123"/>
      <c r="E2469" s="123"/>
    </row>
    <row r="2470" spans="3:5" ht="16.5">
      <c r="C2470" s="123"/>
      <c r="E2470" s="123"/>
    </row>
    <row r="2471" spans="3:5" ht="16.5">
      <c r="C2471" s="123"/>
      <c r="E2471" s="123"/>
    </row>
    <row r="2472" spans="3:5" ht="16.5">
      <c r="C2472" s="123"/>
      <c r="E2472" s="123"/>
    </row>
    <row r="2473" spans="3:5" ht="16.5">
      <c r="C2473" s="123"/>
      <c r="E2473" s="123"/>
    </row>
    <row r="2474" spans="3:5" ht="16.5">
      <c r="C2474" s="123"/>
      <c r="E2474" s="123"/>
    </row>
    <row r="2475" spans="3:5" ht="16.5">
      <c r="C2475" s="123"/>
      <c r="E2475" s="123"/>
    </row>
    <row r="2476" spans="3:5" ht="16.5">
      <c r="C2476" s="123"/>
      <c r="E2476" s="123"/>
    </row>
    <row r="2477" spans="3:5" ht="16.5">
      <c r="C2477" s="123"/>
      <c r="E2477" s="123"/>
    </row>
    <row r="2478" spans="3:5" ht="16.5">
      <c r="C2478" s="123"/>
      <c r="E2478" s="123"/>
    </row>
    <row r="2479" spans="3:5" ht="16.5">
      <c r="C2479" s="123"/>
      <c r="E2479" s="123"/>
    </row>
    <row r="2480" spans="3:5" ht="16.5">
      <c r="C2480" s="123"/>
      <c r="E2480" s="123"/>
    </row>
    <row r="2481" spans="3:5" ht="16.5">
      <c r="C2481" s="123"/>
      <c r="E2481" s="123"/>
    </row>
    <row r="2482" spans="3:5" ht="16.5">
      <c r="C2482" s="123"/>
      <c r="E2482" s="123"/>
    </row>
    <row r="2483" spans="3:5" ht="16.5">
      <c r="C2483" s="123"/>
      <c r="E2483" s="123"/>
    </row>
    <row r="2484" spans="3:5" ht="16.5">
      <c r="C2484" s="123"/>
      <c r="E2484" s="123"/>
    </row>
    <row r="2485" spans="3:5" ht="16.5">
      <c r="C2485" s="123"/>
      <c r="E2485" s="123"/>
    </row>
    <row r="2486" spans="3:5" ht="16.5">
      <c r="C2486" s="123"/>
      <c r="E2486" s="123"/>
    </row>
    <row r="2487" spans="3:5" ht="16.5">
      <c r="C2487" s="123"/>
      <c r="E2487" s="123"/>
    </row>
    <row r="2488" spans="3:5" ht="16.5">
      <c r="C2488" s="123"/>
      <c r="E2488" s="123"/>
    </row>
    <row r="2489" spans="3:5" ht="16.5">
      <c r="C2489" s="123"/>
      <c r="E2489" s="123"/>
    </row>
    <row r="2490" spans="3:5" ht="16.5">
      <c r="C2490" s="123"/>
      <c r="E2490" s="123"/>
    </row>
    <row r="2491" spans="3:5" ht="16.5">
      <c r="C2491" s="123"/>
      <c r="E2491" s="123"/>
    </row>
    <row r="2492" spans="3:5" ht="16.5">
      <c r="C2492" s="123"/>
      <c r="E2492" s="123"/>
    </row>
    <row r="2493" spans="3:5" ht="16.5">
      <c r="C2493" s="123"/>
      <c r="E2493" s="123"/>
    </row>
    <row r="2494" spans="3:5" ht="16.5">
      <c r="C2494" s="123"/>
      <c r="E2494" s="123"/>
    </row>
    <row r="2495" spans="3:5" ht="16.5">
      <c r="C2495" s="123"/>
      <c r="E2495" s="123"/>
    </row>
    <row r="2496" spans="3:5" ht="16.5">
      <c r="C2496" s="123"/>
      <c r="E2496" s="123"/>
    </row>
    <row r="2497" spans="3:5" ht="16.5">
      <c r="C2497" s="123"/>
      <c r="E2497" s="123"/>
    </row>
    <row r="2498" spans="3:5" ht="16.5">
      <c r="C2498" s="123"/>
      <c r="E2498" s="123"/>
    </row>
    <row r="2499" spans="3:5" ht="16.5">
      <c r="C2499" s="123"/>
      <c r="E2499" s="123"/>
    </row>
    <row r="2500" spans="3:5" ht="16.5">
      <c r="C2500" s="123"/>
      <c r="E2500" s="123"/>
    </row>
    <row r="2501" spans="3:5" ht="16.5">
      <c r="C2501" s="123"/>
      <c r="E2501" s="123"/>
    </row>
    <row r="2502" spans="3:5" ht="16.5">
      <c r="C2502" s="123"/>
      <c r="E2502" s="123"/>
    </row>
    <row r="2503" spans="3:5" ht="16.5">
      <c r="C2503" s="123"/>
      <c r="E2503" s="123"/>
    </row>
    <row r="2504" spans="3:5" ht="16.5">
      <c r="C2504" s="123"/>
      <c r="E2504" s="123"/>
    </row>
    <row r="2505" spans="3:5" ht="16.5">
      <c r="C2505" s="123"/>
      <c r="E2505" s="123"/>
    </row>
    <row r="2506" spans="3:5" ht="16.5">
      <c r="C2506" s="123"/>
      <c r="E2506" s="123"/>
    </row>
    <row r="2507" spans="3:5" ht="16.5">
      <c r="C2507" s="123"/>
      <c r="E2507" s="123"/>
    </row>
    <row r="2508" spans="3:5" ht="16.5">
      <c r="C2508" s="123"/>
      <c r="E2508" s="123"/>
    </row>
    <row r="2509" spans="3:5" ht="16.5">
      <c r="C2509" s="123"/>
      <c r="E2509" s="123"/>
    </row>
    <row r="2510" spans="3:5" ht="16.5">
      <c r="C2510" s="123"/>
      <c r="E2510" s="123"/>
    </row>
    <row r="2511" spans="3:5" ht="16.5">
      <c r="C2511" s="123"/>
      <c r="E2511" s="123"/>
    </row>
    <row r="2512" spans="3:5" ht="16.5">
      <c r="C2512" s="123"/>
      <c r="E2512" s="123"/>
    </row>
    <row r="2513" spans="3:5" ht="16.5">
      <c r="C2513" s="123"/>
      <c r="E2513" s="123"/>
    </row>
    <row r="2514" spans="3:5" ht="16.5">
      <c r="C2514" s="123"/>
      <c r="E2514" s="123"/>
    </row>
    <row r="2515" spans="3:5" ht="16.5">
      <c r="C2515" s="123"/>
      <c r="E2515" s="123"/>
    </row>
    <row r="2516" spans="3:5" ht="16.5">
      <c r="C2516" s="123"/>
      <c r="E2516" s="123"/>
    </row>
    <row r="2517" spans="3:5" ht="16.5">
      <c r="C2517" s="123"/>
      <c r="E2517" s="123"/>
    </row>
    <row r="2518" spans="3:5" ht="16.5">
      <c r="C2518" s="123"/>
      <c r="E2518" s="123"/>
    </row>
    <row r="2519" spans="3:5" ht="16.5">
      <c r="C2519" s="123"/>
      <c r="E2519" s="123"/>
    </row>
    <row r="2520" spans="3:5" ht="16.5">
      <c r="C2520" s="123"/>
      <c r="E2520" s="123"/>
    </row>
    <row r="2521" spans="3:5" ht="16.5">
      <c r="C2521" s="123"/>
      <c r="E2521" s="123"/>
    </row>
    <row r="2522" spans="3:5" ht="16.5">
      <c r="C2522" s="123"/>
      <c r="E2522" s="123"/>
    </row>
    <row r="2523" spans="3:5" ht="16.5">
      <c r="C2523" s="123"/>
      <c r="E2523" s="123"/>
    </row>
    <row r="2524" spans="3:5" ht="16.5">
      <c r="C2524" s="123"/>
      <c r="E2524" s="123"/>
    </row>
    <row r="2525" spans="3:5" ht="16.5">
      <c r="C2525" s="123"/>
      <c r="E2525" s="123"/>
    </row>
    <row r="2526" spans="3:5" ht="16.5">
      <c r="C2526" s="123"/>
      <c r="E2526" s="123"/>
    </row>
    <row r="2527" spans="3:5" ht="16.5">
      <c r="C2527" s="123"/>
      <c r="E2527" s="123"/>
    </row>
    <row r="2528" spans="3:5" ht="16.5">
      <c r="C2528" s="123"/>
      <c r="E2528" s="123"/>
    </row>
    <row r="2529" spans="3:5" ht="16.5">
      <c r="C2529" s="123"/>
      <c r="E2529" s="123"/>
    </row>
    <row r="2530" spans="3:5" ht="16.5">
      <c r="C2530" s="123"/>
      <c r="E2530" s="123"/>
    </row>
    <row r="2531" spans="3:5" ht="16.5">
      <c r="C2531" s="123"/>
      <c r="E2531" s="123"/>
    </row>
    <row r="2532" spans="3:5" ht="16.5">
      <c r="C2532" s="123"/>
      <c r="E2532" s="123"/>
    </row>
    <row r="2533" spans="3:5" ht="16.5">
      <c r="C2533" s="123"/>
      <c r="E2533" s="123"/>
    </row>
    <row r="2534" spans="3:5" ht="16.5">
      <c r="C2534" s="123"/>
      <c r="E2534" s="123"/>
    </row>
    <row r="2535" spans="3:5" ht="16.5">
      <c r="C2535" s="123"/>
      <c r="E2535" s="123"/>
    </row>
    <row r="2536" spans="3:5" ht="16.5">
      <c r="C2536" s="123"/>
      <c r="E2536" s="123"/>
    </row>
    <row r="2537" spans="3:5" ht="16.5">
      <c r="C2537" s="123"/>
      <c r="E2537" s="123"/>
    </row>
    <row r="2538" spans="3:5" ht="16.5">
      <c r="C2538" s="123"/>
      <c r="E2538" s="123"/>
    </row>
    <row r="2539" spans="3:5" ht="16.5">
      <c r="C2539" s="123"/>
      <c r="E2539" s="123"/>
    </row>
    <row r="2540" spans="3:5" ht="16.5">
      <c r="C2540" s="123"/>
      <c r="E2540" s="123"/>
    </row>
    <row r="2541" spans="3:5" ht="16.5">
      <c r="C2541" s="123"/>
      <c r="E2541" s="123"/>
    </row>
    <row r="2542" spans="3:5" ht="16.5">
      <c r="C2542" s="123"/>
      <c r="E2542" s="123"/>
    </row>
    <row r="2543" spans="3:5" ht="16.5">
      <c r="C2543" s="123"/>
      <c r="E2543" s="123"/>
    </row>
    <row r="2544" spans="3:5" ht="16.5">
      <c r="C2544" s="123"/>
      <c r="E2544" s="123"/>
    </row>
    <row r="2545" spans="3:5" ht="16.5">
      <c r="C2545" s="123"/>
      <c r="E2545" s="123"/>
    </row>
    <row r="2546" spans="3:5" ht="16.5">
      <c r="C2546" s="123"/>
      <c r="E2546" s="123"/>
    </row>
    <row r="2547" spans="3:5" ht="16.5">
      <c r="C2547" s="123"/>
      <c r="E2547" s="123"/>
    </row>
    <row r="2548" spans="3:5" ht="16.5">
      <c r="C2548" s="123"/>
      <c r="E2548" s="123"/>
    </row>
    <row r="2549" spans="3:5" ht="16.5">
      <c r="C2549" s="123"/>
      <c r="E2549" s="123"/>
    </row>
    <row r="2550" spans="3:5" ht="16.5">
      <c r="C2550" s="123"/>
      <c r="E2550" s="123"/>
    </row>
    <row r="2551" spans="3:5" ht="16.5">
      <c r="C2551" s="123"/>
      <c r="E2551" s="123"/>
    </row>
    <row r="2552" spans="3:5" ht="16.5">
      <c r="C2552" s="123"/>
      <c r="E2552" s="123"/>
    </row>
    <row r="2553" spans="3:5" ht="16.5">
      <c r="C2553" s="123"/>
      <c r="E2553" s="123"/>
    </row>
    <row r="2554" spans="3:5" ht="16.5">
      <c r="C2554" s="123"/>
      <c r="E2554" s="123"/>
    </row>
    <row r="2555" spans="3:5" ht="16.5">
      <c r="C2555" s="123"/>
      <c r="E2555" s="123"/>
    </row>
    <row r="2556" spans="3:5" ht="16.5">
      <c r="C2556" s="123"/>
      <c r="E2556" s="123"/>
    </row>
    <row r="2557" spans="3:5" ht="16.5">
      <c r="C2557" s="123"/>
      <c r="E2557" s="123"/>
    </row>
    <row r="2558" spans="3:5" ht="16.5">
      <c r="C2558" s="123"/>
      <c r="E2558" s="123"/>
    </row>
    <row r="2559" spans="3:5" ht="16.5">
      <c r="C2559" s="123"/>
      <c r="E2559" s="123"/>
    </row>
    <row r="2560" spans="3:5" ht="16.5">
      <c r="C2560" s="123"/>
      <c r="E2560" s="123"/>
    </row>
    <row r="2561" spans="3:5" ht="16.5">
      <c r="C2561" s="123"/>
      <c r="E2561" s="123"/>
    </row>
    <row r="2562" spans="3:5" ht="16.5">
      <c r="C2562" s="123"/>
      <c r="E2562" s="123"/>
    </row>
    <row r="2563" spans="3:5" ht="16.5">
      <c r="C2563" s="123"/>
      <c r="E2563" s="123"/>
    </row>
    <row r="2564" spans="3:5" ht="16.5">
      <c r="C2564" s="123"/>
      <c r="E2564" s="123"/>
    </row>
    <row r="2565" spans="3:5" ht="16.5">
      <c r="C2565" s="123"/>
      <c r="E2565" s="123"/>
    </row>
    <row r="2566" spans="3:5" ht="16.5">
      <c r="C2566" s="123"/>
      <c r="E2566" s="123"/>
    </row>
    <row r="2567" spans="3:5" ht="16.5">
      <c r="C2567" s="123"/>
      <c r="E2567" s="123"/>
    </row>
    <row r="2568" spans="3:5" ht="16.5">
      <c r="C2568" s="123"/>
      <c r="E2568" s="123"/>
    </row>
    <row r="2569" spans="3:5" ht="16.5">
      <c r="C2569" s="123"/>
      <c r="E2569" s="123"/>
    </row>
    <row r="2570" spans="3:5" ht="16.5">
      <c r="C2570" s="123"/>
      <c r="E2570" s="123"/>
    </row>
    <row r="2571" spans="3:5" ht="16.5">
      <c r="C2571" s="123"/>
      <c r="E2571" s="123"/>
    </row>
    <row r="2572" spans="3:5" ht="16.5">
      <c r="C2572" s="123"/>
      <c r="E2572" s="123"/>
    </row>
    <row r="2573" spans="3:5" ht="16.5">
      <c r="C2573" s="123"/>
      <c r="E2573" s="123"/>
    </row>
    <row r="2574" spans="3:5" ht="16.5">
      <c r="C2574" s="123"/>
      <c r="E2574" s="123"/>
    </row>
    <row r="2575" spans="3:5" ht="16.5">
      <c r="C2575" s="123"/>
      <c r="E2575" s="123"/>
    </row>
    <row r="2576" spans="3:5" ht="16.5">
      <c r="C2576" s="123"/>
      <c r="E2576" s="123"/>
    </row>
    <row r="2577" spans="3:5" ht="16.5">
      <c r="C2577" s="123"/>
      <c r="E2577" s="123"/>
    </row>
    <row r="2578" spans="3:5" ht="16.5">
      <c r="C2578" s="123"/>
      <c r="E2578" s="123"/>
    </row>
    <row r="2579" spans="3:5" ht="16.5">
      <c r="C2579" s="123"/>
      <c r="E2579" s="123"/>
    </row>
    <row r="2580" spans="3:5" ht="16.5">
      <c r="C2580" s="123"/>
      <c r="E2580" s="123"/>
    </row>
    <row r="2581" spans="3:5" ht="16.5">
      <c r="C2581" s="123"/>
      <c r="E2581" s="123"/>
    </row>
    <row r="2582" spans="3:5" ht="16.5">
      <c r="C2582" s="123"/>
      <c r="E2582" s="123"/>
    </row>
    <row r="2583" spans="3:5" ht="16.5">
      <c r="C2583" s="123"/>
      <c r="E2583" s="123"/>
    </row>
    <row r="2584" spans="3:5" ht="16.5">
      <c r="C2584" s="123"/>
      <c r="E2584" s="123"/>
    </row>
    <row r="2585" spans="3:5" ht="16.5">
      <c r="C2585" s="123"/>
      <c r="E2585" s="123"/>
    </row>
    <row r="2586" spans="3:5" ht="16.5">
      <c r="C2586" s="123"/>
      <c r="E2586" s="123"/>
    </row>
    <row r="2587" spans="3:5" ht="16.5">
      <c r="C2587" s="123"/>
      <c r="E2587" s="123"/>
    </row>
    <row r="2588" spans="3:5" ht="16.5">
      <c r="C2588" s="123"/>
      <c r="E2588" s="123"/>
    </row>
    <row r="2589" spans="3:5" ht="16.5">
      <c r="C2589" s="123"/>
      <c r="E2589" s="123"/>
    </row>
    <row r="2590" spans="3:5" ht="16.5">
      <c r="C2590" s="123"/>
      <c r="E2590" s="123"/>
    </row>
    <row r="2591" spans="3:5" ht="16.5">
      <c r="C2591" s="123"/>
      <c r="E2591" s="123"/>
    </row>
    <row r="2592" spans="3:5" ht="16.5">
      <c r="C2592" s="123"/>
      <c r="E2592" s="123"/>
    </row>
    <row r="2593" spans="3:5" ht="16.5">
      <c r="C2593" s="123"/>
      <c r="E2593" s="123"/>
    </row>
    <row r="2594" spans="3:5" ht="16.5">
      <c r="C2594" s="123"/>
      <c r="E2594" s="123"/>
    </row>
    <row r="2595" spans="3:5" ht="16.5">
      <c r="C2595" s="123"/>
      <c r="E2595" s="123"/>
    </row>
    <row r="2596" spans="3:5" ht="16.5">
      <c r="C2596" s="123"/>
      <c r="E2596" s="123"/>
    </row>
    <row r="2597" spans="3:5" ht="16.5">
      <c r="C2597" s="123"/>
      <c r="E2597" s="123"/>
    </row>
    <row r="2598" spans="3:5" ht="16.5">
      <c r="C2598" s="123"/>
      <c r="E2598" s="123"/>
    </row>
    <row r="2599" spans="3:5" ht="16.5">
      <c r="C2599" s="123"/>
      <c r="E2599" s="123"/>
    </row>
    <row r="2600" spans="3:5" ht="16.5">
      <c r="C2600" s="123"/>
      <c r="E2600" s="123"/>
    </row>
    <row r="2601" spans="3:5" ht="16.5">
      <c r="C2601" s="123"/>
      <c r="E2601" s="123"/>
    </row>
    <row r="2602" spans="3:5" ht="16.5">
      <c r="C2602" s="123"/>
      <c r="E2602" s="123"/>
    </row>
    <row r="2603" spans="3:5" ht="16.5">
      <c r="C2603" s="123"/>
      <c r="E2603" s="123"/>
    </row>
    <row r="2604" spans="3:5" ht="16.5">
      <c r="C2604" s="123"/>
      <c r="E2604" s="123"/>
    </row>
    <row r="2605" spans="3:5" ht="16.5">
      <c r="C2605" s="123"/>
      <c r="E2605" s="123"/>
    </row>
    <row r="2606" spans="3:5" ht="16.5">
      <c r="C2606" s="123"/>
      <c r="E2606" s="123"/>
    </row>
    <row r="2607" spans="3:5" ht="16.5">
      <c r="C2607" s="123"/>
      <c r="E2607" s="123"/>
    </row>
    <row r="2608" spans="3:5" ht="16.5">
      <c r="C2608" s="123"/>
      <c r="E2608" s="123"/>
    </row>
    <row r="2609" spans="3:5" ht="16.5">
      <c r="C2609" s="123"/>
      <c r="E2609" s="123"/>
    </row>
    <row r="2610" spans="3:5" ht="16.5">
      <c r="C2610" s="123"/>
      <c r="E2610" s="123"/>
    </row>
    <row r="2611" spans="3:5" ht="16.5">
      <c r="C2611" s="123"/>
      <c r="E2611" s="123"/>
    </row>
    <row r="2612" spans="3:5" ht="16.5">
      <c r="C2612" s="123"/>
      <c r="E2612" s="123"/>
    </row>
    <row r="2613" spans="3:5" ht="16.5">
      <c r="C2613" s="123"/>
      <c r="E2613" s="123"/>
    </row>
    <row r="2614" spans="3:5" ht="16.5">
      <c r="C2614" s="123"/>
      <c r="E2614" s="123"/>
    </row>
    <row r="2615" spans="3:5" ht="16.5">
      <c r="C2615" s="123"/>
      <c r="E2615" s="123"/>
    </row>
    <row r="2616" spans="3:5" ht="16.5">
      <c r="C2616" s="123"/>
      <c r="E2616" s="123"/>
    </row>
    <row r="2617" spans="3:5" ht="16.5">
      <c r="C2617" s="123"/>
      <c r="E2617" s="123"/>
    </row>
    <row r="2618" spans="3:5" ht="16.5">
      <c r="C2618" s="123"/>
      <c r="E2618" s="123"/>
    </row>
    <row r="2619" spans="3:5" ht="16.5">
      <c r="C2619" s="123"/>
      <c r="E2619" s="123"/>
    </row>
    <row r="2620" spans="3:5" ht="16.5">
      <c r="C2620" s="123"/>
      <c r="E2620" s="123"/>
    </row>
    <row r="2621" spans="3:5" ht="16.5">
      <c r="C2621" s="123"/>
      <c r="E2621" s="123"/>
    </row>
    <row r="2622" spans="3:5" ht="16.5">
      <c r="C2622" s="123"/>
      <c r="E2622" s="123"/>
    </row>
    <row r="2623" spans="3:5" ht="16.5">
      <c r="C2623" s="123"/>
      <c r="E2623" s="123"/>
    </row>
    <row r="2624" spans="3:5" ht="16.5">
      <c r="C2624" s="123"/>
      <c r="E2624" s="123"/>
    </row>
    <row r="2625" spans="3:5" ht="16.5">
      <c r="C2625" s="123"/>
      <c r="E2625" s="123"/>
    </row>
    <row r="2626" spans="3:5" ht="16.5">
      <c r="C2626" s="123"/>
      <c r="E2626" s="123"/>
    </row>
    <row r="2627" spans="3:5" ht="16.5">
      <c r="C2627" s="123"/>
      <c r="E2627" s="123"/>
    </row>
    <row r="2628" spans="3:5" ht="16.5">
      <c r="C2628" s="123"/>
      <c r="E2628" s="123"/>
    </row>
    <row r="2629" spans="3:5" ht="16.5">
      <c r="C2629" s="123"/>
      <c r="E2629" s="123"/>
    </row>
    <row r="2630" spans="3:5" ht="16.5">
      <c r="C2630" s="123"/>
      <c r="E2630" s="123"/>
    </row>
    <row r="2631" spans="3:5" ht="16.5">
      <c r="C2631" s="123"/>
      <c r="E2631" s="123"/>
    </row>
    <row r="2632" spans="3:5" ht="16.5">
      <c r="C2632" s="123"/>
      <c r="E2632" s="123"/>
    </row>
    <row r="2633" spans="3:5" ht="16.5">
      <c r="C2633" s="123"/>
      <c r="E2633" s="123"/>
    </row>
    <row r="2634" spans="3:5" ht="16.5">
      <c r="C2634" s="123"/>
      <c r="E2634" s="123"/>
    </row>
    <row r="2635" spans="3:5" ht="16.5">
      <c r="C2635" s="123"/>
      <c r="E2635" s="123"/>
    </row>
    <row r="2636" spans="3:5" ht="16.5">
      <c r="C2636" s="123"/>
      <c r="E2636" s="123"/>
    </row>
    <row r="2637" spans="3:5" ht="16.5">
      <c r="C2637" s="123"/>
      <c r="E2637" s="123"/>
    </row>
    <row r="2638" spans="3:5" ht="16.5">
      <c r="C2638" s="123"/>
      <c r="E2638" s="123"/>
    </row>
    <row r="2639" spans="3:5" ht="16.5">
      <c r="C2639" s="123"/>
      <c r="E2639" s="123"/>
    </row>
    <row r="2640" spans="3:5" ht="16.5">
      <c r="C2640" s="123"/>
      <c r="E2640" s="123"/>
    </row>
    <row r="2641" spans="3:5" ht="16.5">
      <c r="C2641" s="123"/>
      <c r="E2641" s="123"/>
    </row>
    <row r="2642" spans="3:5" ht="16.5">
      <c r="C2642" s="123"/>
      <c r="E2642" s="123"/>
    </row>
    <row r="2643" spans="3:5" ht="16.5">
      <c r="C2643" s="123"/>
      <c r="E2643" s="123"/>
    </row>
    <row r="2644" spans="3:5" ht="16.5">
      <c r="C2644" s="123"/>
      <c r="E2644" s="123"/>
    </row>
    <row r="2645" spans="3:5" ht="16.5">
      <c r="C2645" s="123"/>
      <c r="E2645" s="123"/>
    </row>
    <row r="2646" spans="3:5" ht="16.5">
      <c r="C2646" s="123"/>
      <c r="E2646" s="123"/>
    </row>
    <row r="2647" spans="3:5" ht="16.5">
      <c r="C2647" s="123"/>
      <c r="E2647" s="123"/>
    </row>
    <row r="2648" spans="3:5" ht="16.5">
      <c r="C2648" s="123"/>
      <c r="E2648" s="123"/>
    </row>
    <row r="2649" spans="3:5" ht="16.5">
      <c r="E2649" s="123"/>
    </row>
    <row r="2650" spans="3:5" ht="16.5">
      <c r="E2650" s="123"/>
    </row>
    <row r="2651" spans="3:5" ht="16.5">
      <c r="E2651" s="123"/>
    </row>
    <row r="2652" spans="3:5" ht="16.5">
      <c r="E2652" s="123"/>
    </row>
    <row r="2653" spans="3:5" ht="16.5">
      <c r="E2653" s="123"/>
    </row>
    <row r="2654" spans="3:5" ht="16.5">
      <c r="E2654" s="123"/>
    </row>
    <row r="2655" spans="3:5" ht="16.5">
      <c r="E2655" s="123"/>
    </row>
    <row r="2656" spans="3:5" ht="16.5">
      <c r="E2656" s="123"/>
    </row>
    <row r="2657" spans="5:5" ht="16.5">
      <c r="E2657" s="123"/>
    </row>
    <row r="2658" spans="5:5" ht="16.5">
      <c r="E2658" s="123"/>
    </row>
    <row r="2659" spans="5:5" ht="16.5">
      <c r="E2659" s="123"/>
    </row>
    <row r="2660" spans="5:5" ht="16.5">
      <c r="E2660" s="123"/>
    </row>
    <row r="2661" spans="5:5" ht="16.5">
      <c r="E2661" s="123"/>
    </row>
    <row r="2662" spans="5:5" ht="16.5">
      <c r="E2662" s="123"/>
    </row>
    <row r="2663" spans="5:5" ht="16.5">
      <c r="E2663" s="123"/>
    </row>
    <row r="2664" spans="5:5" ht="16.5">
      <c r="E2664" s="123"/>
    </row>
    <row r="2665" spans="5:5" ht="16.5">
      <c r="E2665" s="123"/>
    </row>
    <row r="2666" spans="5:5" ht="16.5">
      <c r="E2666" s="123"/>
    </row>
    <row r="2667" spans="5:5" ht="16.5">
      <c r="E2667" s="123"/>
    </row>
    <row r="2668" spans="5:5" ht="16.5">
      <c r="E2668" s="123"/>
    </row>
    <row r="2669" spans="5:5" ht="16.5">
      <c r="E2669" s="123"/>
    </row>
    <row r="2670" spans="5:5" ht="16.5">
      <c r="E2670" s="123"/>
    </row>
    <row r="2671" spans="5:5" ht="16.5">
      <c r="E2671" s="123"/>
    </row>
    <row r="2672" spans="5:5" ht="16.5">
      <c r="E2672" s="123"/>
    </row>
    <row r="2673" spans="5:5" ht="16.5">
      <c r="E2673" s="123"/>
    </row>
    <row r="2674" spans="5:5" ht="16.5">
      <c r="E2674" s="123"/>
    </row>
    <row r="2675" spans="5:5" ht="16.5">
      <c r="E2675" s="123"/>
    </row>
    <row r="2676" spans="5:5" ht="16.5">
      <c r="E2676" s="123"/>
    </row>
    <row r="2677" spans="5:5" ht="16.5">
      <c r="E2677" s="123"/>
    </row>
    <row r="2678" spans="5:5" ht="16.5">
      <c r="E2678" s="123"/>
    </row>
    <row r="2679" spans="5:5" ht="16.5">
      <c r="E2679" s="123"/>
    </row>
    <row r="2680" spans="5:5" ht="16.5">
      <c r="E2680" s="123"/>
    </row>
    <row r="2681" spans="5:5" ht="16.5">
      <c r="E2681" s="123"/>
    </row>
    <row r="2682" spans="5:5" ht="16.5">
      <c r="E2682" s="123"/>
    </row>
    <row r="2683" spans="5:5" ht="16.5">
      <c r="E2683" s="123"/>
    </row>
    <row r="2684" spans="5:5" ht="16.5">
      <c r="E2684" s="123"/>
    </row>
    <row r="2685" spans="5:5" ht="16.5">
      <c r="E2685" s="123"/>
    </row>
    <row r="2686" spans="5:5" ht="16.5">
      <c r="E2686" s="123"/>
    </row>
    <row r="2687" spans="5:5" ht="16.5">
      <c r="E2687" s="123"/>
    </row>
    <row r="2688" spans="5:5" ht="16.5">
      <c r="E2688" s="123"/>
    </row>
    <row r="2689" spans="5:5" ht="16.5">
      <c r="E2689" s="123"/>
    </row>
    <row r="2690" spans="5:5" ht="16.5">
      <c r="E2690" s="123"/>
    </row>
    <row r="2691" spans="5:5" ht="16.5">
      <c r="E2691" s="123"/>
    </row>
    <row r="2692" spans="5:5" ht="16.5">
      <c r="E2692" s="123"/>
    </row>
    <row r="2693" spans="5:5" ht="16.5">
      <c r="E2693" s="123"/>
    </row>
    <row r="2694" spans="5:5" ht="16.5">
      <c r="E2694" s="123"/>
    </row>
    <row r="2695" spans="5:5" ht="16.5">
      <c r="E2695" s="123"/>
    </row>
    <row r="2696" spans="5:5" ht="16.5">
      <c r="E2696" s="123"/>
    </row>
    <row r="2697" spans="5:5" ht="16.5">
      <c r="E2697" s="123"/>
    </row>
    <row r="2698" spans="5:5" ht="16.5">
      <c r="E2698" s="123"/>
    </row>
    <row r="2699" spans="5:5" ht="16.5">
      <c r="E2699" s="123"/>
    </row>
    <row r="2700" spans="5:5" ht="16.5">
      <c r="E2700" s="123"/>
    </row>
    <row r="2701" spans="5:5" ht="16.5">
      <c r="E2701" s="123"/>
    </row>
    <row r="2702" spans="5:5" ht="16.5">
      <c r="E2702" s="123"/>
    </row>
    <row r="2703" spans="5:5" ht="16.5">
      <c r="E2703" s="123"/>
    </row>
    <row r="2704" spans="5:5" ht="16.5">
      <c r="E2704" s="123"/>
    </row>
    <row r="2705" spans="5:5" ht="16.5">
      <c r="E2705" s="123"/>
    </row>
    <row r="2706" spans="5:5" ht="16.5">
      <c r="E2706" s="123"/>
    </row>
    <row r="2707" spans="5:5" ht="16.5">
      <c r="E2707" s="123"/>
    </row>
    <row r="2708" spans="5:5" ht="16.5">
      <c r="E2708" s="123"/>
    </row>
    <row r="2709" spans="5:5" ht="16.5">
      <c r="E2709" s="123"/>
    </row>
    <row r="2710" spans="5:5" ht="16.5">
      <c r="E2710" s="123"/>
    </row>
    <row r="2711" spans="5:5" ht="16.5">
      <c r="E2711" s="123"/>
    </row>
    <row r="2712" spans="5:5" ht="16.5">
      <c r="E2712" s="123"/>
    </row>
    <row r="2713" spans="5:5" ht="16.5">
      <c r="E2713" s="123"/>
    </row>
    <row r="2714" spans="5:5" ht="16.5">
      <c r="E2714" s="123"/>
    </row>
    <row r="2715" spans="5:5" ht="16.5">
      <c r="E2715" s="123"/>
    </row>
    <row r="2716" spans="5:5" ht="16.5">
      <c r="E2716" s="123"/>
    </row>
    <row r="2717" spans="5:5" ht="16.5">
      <c r="E2717" s="123"/>
    </row>
    <row r="2718" spans="5:5" ht="16.5">
      <c r="E2718" s="123"/>
    </row>
    <row r="2719" spans="5:5" ht="16.5">
      <c r="E2719" s="123"/>
    </row>
    <row r="2720" spans="5:5" ht="16.5">
      <c r="E2720" s="123"/>
    </row>
    <row r="2721" spans="5:5" ht="16.5">
      <c r="E2721" s="123"/>
    </row>
    <row r="2722" spans="5:5" ht="16.5">
      <c r="E2722" s="123"/>
    </row>
    <row r="2723" spans="5:5" ht="16.5">
      <c r="E2723" s="123"/>
    </row>
    <row r="2724" spans="5:5" ht="16.5">
      <c r="E2724" s="123"/>
    </row>
    <row r="2725" spans="5:5" ht="16.5">
      <c r="E2725" s="123"/>
    </row>
    <row r="2726" spans="5:5" ht="16.5">
      <c r="E2726" s="123"/>
    </row>
    <row r="2727" spans="5:5" ht="16.5">
      <c r="E2727" s="123"/>
    </row>
    <row r="2728" spans="5:5" ht="16.5">
      <c r="E2728" s="123"/>
    </row>
    <row r="2729" spans="5:5" ht="16.5">
      <c r="E2729" s="123"/>
    </row>
    <row r="2730" spans="5:5" ht="16.5">
      <c r="E2730" s="123"/>
    </row>
    <row r="2731" spans="5:5" ht="16.5">
      <c r="E2731" s="123"/>
    </row>
    <row r="2732" spans="5:5" ht="16.5">
      <c r="E2732" s="123"/>
    </row>
    <row r="2733" spans="5:5" ht="16.5">
      <c r="E2733" s="123"/>
    </row>
    <row r="2734" spans="5:5" ht="16.5">
      <c r="E2734" s="123"/>
    </row>
    <row r="2735" spans="5:5" ht="16.5">
      <c r="E2735" s="123"/>
    </row>
    <row r="2736" spans="5:5" ht="16.5">
      <c r="E2736" s="123"/>
    </row>
    <row r="2737" spans="5:5" ht="16.5">
      <c r="E2737" s="123"/>
    </row>
    <row r="2738" spans="5:5" ht="16.5">
      <c r="E2738" s="123"/>
    </row>
    <row r="2739" spans="5:5" ht="16.5">
      <c r="E2739" s="123"/>
    </row>
    <row r="2740" spans="5:5" ht="16.5">
      <c r="E2740" s="123"/>
    </row>
    <row r="2741" spans="5:5" ht="16.5">
      <c r="E2741" s="123"/>
    </row>
    <row r="2742" spans="5:5" ht="16.5">
      <c r="E2742" s="123"/>
    </row>
    <row r="2743" spans="5:5" ht="16.5">
      <c r="E2743" s="123"/>
    </row>
    <row r="2744" spans="5:5" ht="16.5">
      <c r="E2744" s="123"/>
    </row>
    <row r="2745" spans="5:5" ht="16.5">
      <c r="E2745" s="123"/>
    </row>
    <row r="2746" spans="5:5" ht="16.5">
      <c r="E2746" s="123"/>
    </row>
    <row r="2747" spans="5:5" ht="16.5">
      <c r="E2747" s="123"/>
    </row>
    <row r="2748" spans="5:5" ht="16.5">
      <c r="E2748" s="123"/>
    </row>
    <row r="2749" spans="5:5" ht="16.5">
      <c r="E2749" s="123"/>
    </row>
    <row r="2750" spans="5:5" ht="16.5">
      <c r="E2750" s="123"/>
    </row>
    <row r="2751" spans="5:5" ht="16.5">
      <c r="E2751" s="123"/>
    </row>
    <row r="2752" spans="5:5" ht="16.5">
      <c r="E2752" s="123"/>
    </row>
    <row r="2753" spans="5:5" ht="16.5">
      <c r="E2753" s="123"/>
    </row>
    <row r="2754" spans="5:5" ht="16.5">
      <c r="E2754" s="123"/>
    </row>
    <row r="2755" spans="5:5" ht="16.5">
      <c r="E2755" s="123"/>
    </row>
    <row r="2756" spans="5:5" ht="16.5">
      <c r="E2756" s="123"/>
    </row>
    <row r="2757" spans="5:5" ht="16.5">
      <c r="E2757" s="123"/>
    </row>
    <row r="2758" spans="5:5" ht="16.5">
      <c r="E2758" s="123"/>
    </row>
    <row r="2759" spans="5:5" ht="16.5">
      <c r="E2759" s="123"/>
    </row>
    <row r="2760" spans="5:5" ht="16.5">
      <c r="E2760" s="123"/>
    </row>
    <row r="2761" spans="5:5" ht="16.5">
      <c r="E2761" s="123"/>
    </row>
    <row r="2762" spans="5:5" ht="16.5">
      <c r="E2762" s="123"/>
    </row>
    <row r="2763" spans="5:5" ht="16.5">
      <c r="E2763" s="123"/>
    </row>
    <row r="2764" spans="5:5" ht="16.5">
      <c r="E2764" s="123"/>
    </row>
    <row r="2765" spans="5:5" ht="16.5">
      <c r="E2765" s="123"/>
    </row>
    <row r="2766" spans="5:5" ht="16.5">
      <c r="E2766" s="123"/>
    </row>
    <row r="2767" spans="5:5" ht="16.5">
      <c r="E2767" s="123"/>
    </row>
    <row r="2768" spans="5:5" ht="16.5">
      <c r="E2768" s="123"/>
    </row>
    <row r="2769" spans="5:5" ht="16.5">
      <c r="E2769" s="123"/>
    </row>
    <row r="2770" spans="5:5" ht="16.5">
      <c r="E2770" s="123"/>
    </row>
    <row r="2771" spans="5:5" ht="16.5">
      <c r="E2771" s="123"/>
    </row>
    <row r="2772" spans="5:5" ht="16.5">
      <c r="E2772" s="123"/>
    </row>
    <row r="2773" spans="5:5" ht="16.5">
      <c r="E2773" s="123"/>
    </row>
    <row r="2774" spans="5:5" ht="16.5">
      <c r="E2774" s="123"/>
    </row>
    <row r="2775" spans="5:5" ht="16.5">
      <c r="E2775" s="123"/>
    </row>
    <row r="2776" spans="5:5" ht="16.5">
      <c r="E2776" s="123"/>
    </row>
    <row r="2777" spans="5:5" ht="16.5">
      <c r="E2777" s="123"/>
    </row>
    <row r="2778" spans="5:5" ht="16.5">
      <c r="E2778" s="123"/>
    </row>
    <row r="2779" spans="5:5" ht="16.5">
      <c r="E2779" s="123"/>
    </row>
    <row r="2780" spans="5:5" ht="16.5">
      <c r="E2780" s="123"/>
    </row>
    <row r="2781" spans="5:5" ht="16.5">
      <c r="E2781" s="123"/>
    </row>
    <row r="2782" spans="5:5" ht="16.5">
      <c r="E2782" s="123"/>
    </row>
    <row r="2783" spans="5:5" ht="16.5">
      <c r="E2783" s="123"/>
    </row>
    <row r="2784" spans="5:5" ht="16.5">
      <c r="E2784" s="123"/>
    </row>
    <row r="2785" spans="5:5" ht="16.5">
      <c r="E2785" s="123"/>
    </row>
    <row r="2786" spans="5:5" ht="16.5">
      <c r="E2786" s="123"/>
    </row>
    <row r="2787" spans="5:5" ht="16.5">
      <c r="E2787" s="123"/>
    </row>
    <row r="2788" spans="5:5" ht="16.5">
      <c r="E2788" s="123"/>
    </row>
    <row r="2789" spans="5:5" ht="16.5">
      <c r="E2789" s="123"/>
    </row>
    <row r="2790" spans="5:5" ht="16.5">
      <c r="E2790" s="123"/>
    </row>
    <row r="2791" spans="5:5" ht="16.5">
      <c r="E2791" s="123"/>
    </row>
    <row r="2792" spans="5:5" ht="16.5">
      <c r="E2792" s="123"/>
    </row>
    <row r="2793" spans="5:5" ht="16.5">
      <c r="E2793" s="123"/>
    </row>
    <row r="2794" spans="5:5" ht="16.5">
      <c r="E2794" s="123"/>
    </row>
    <row r="2795" spans="5:5" ht="16.5">
      <c r="E2795" s="123"/>
    </row>
    <row r="2796" spans="5:5" ht="16.5">
      <c r="E2796" s="123"/>
    </row>
    <row r="2797" spans="5:5" ht="16.5">
      <c r="E2797" s="123"/>
    </row>
    <row r="2798" spans="5:5" ht="16.5">
      <c r="E2798" s="123"/>
    </row>
    <row r="2799" spans="5:5" ht="16.5">
      <c r="E2799" s="123"/>
    </row>
    <row r="2800" spans="5:5" ht="16.5">
      <c r="E2800" s="123"/>
    </row>
    <row r="2801" spans="5:5" ht="16.5">
      <c r="E2801" s="123"/>
    </row>
    <row r="2802" spans="5:5" ht="16.5">
      <c r="E2802" s="123"/>
    </row>
    <row r="2803" spans="5:5" ht="16.5">
      <c r="E2803" s="123"/>
    </row>
    <row r="2804" spans="5:5" ht="16.5">
      <c r="E2804" s="123"/>
    </row>
    <row r="2805" spans="5:5" ht="16.5">
      <c r="E2805" s="123"/>
    </row>
    <row r="2806" spans="5:5" ht="16.5">
      <c r="E2806" s="123"/>
    </row>
    <row r="2807" spans="5:5" ht="16.5">
      <c r="E2807" s="123"/>
    </row>
    <row r="2808" spans="5:5" ht="16.5">
      <c r="E2808" s="123"/>
    </row>
    <row r="2809" spans="5:5" ht="16.5">
      <c r="E2809" s="123"/>
    </row>
    <row r="2810" spans="5:5" ht="16.5">
      <c r="E2810" s="123"/>
    </row>
    <row r="2811" spans="5:5" ht="16.5">
      <c r="E2811" s="123"/>
    </row>
    <row r="2812" spans="5:5" ht="16.5">
      <c r="E2812" s="123"/>
    </row>
    <row r="2813" spans="5:5" ht="16.5">
      <c r="E2813" s="123"/>
    </row>
    <row r="2814" spans="5:5" ht="16.5">
      <c r="E2814" s="123"/>
    </row>
    <row r="2815" spans="5:5" ht="16.5">
      <c r="E2815" s="123"/>
    </row>
    <row r="2816" spans="5:5" ht="16.5">
      <c r="E2816" s="123"/>
    </row>
    <row r="2817" spans="5:5" ht="16.5">
      <c r="E2817" s="123"/>
    </row>
    <row r="2818" spans="5:5" ht="16.5">
      <c r="E2818" s="123"/>
    </row>
    <row r="2819" spans="5:5" ht="16.5">
      <c r="E2819" s="123"/>
    </row>
    <row r="2820" spans="5:5" ht="16.5">
      <c r="E2820" s="123"/>
    </row>
    <row r="2821" spans="5:5" ht="16.5">
      <c r="E2821" s="123"/>
    </row>
    <row r="2822" spans="5:5" ht="16.5">
      <c r="E2822" s="123"/>
    </row>
    <row r="2823" spans="5:5" ht="16.5">
      <c r="E2823" s="123"/>
    </row>
    <row r="2824" spans="5:5" ht="16.5">
      <c r="E2824" s="123"/>
    </row>
    <row r="2825" spans="5:5" ht="16.5">
      <c r="E2825" s="123"/>
    </row>
    <row r="2826" spans="5:5" ht="16.5">
      <c r="E2826" s="123"/>
    </row>
    <row r="2827" spans="5:5" ht="16.5">
      <c r="E2827" s="123"/>
    </row>
    <row r="2828" spans="5:5" ht="16.5">
      <c r="E2828" s="123"/>
    </row>
    <row r="2829" spans="5:5" ht="16.5">
      <c r="E2829" s="123"/>
    </row>
    <row r="2830" spans="5:5" ht="16.5">
      <c r="E2830" s="123"/>
    </row>
    <row r="2831" spans="5:5" ht="16.5">
      <c r="E2831" s="123"/>
    </row>
    <row r="2832" spans="5:5" ht="16.5">
      <c r="E2832" s="123"/>
    </row>
    <row r="2833" spans="5:5" ht="16.5">
      <c r="E2833" s="123"/>
    </row>
    <row r="2834" spans="5:5" ht="16.5">
      <c r="E2834" s="123"/>
    </row>
    <row r="2835" spans="5:5" ht="16.5">
      <c r="E2835" s="123"/>
    </row>
    <row r="2836" spans="5:5" ht="16.5">
      <c r="E2836" s="123"/>
    </row>
    <row r="2837" spans="5:5" ht="16.5">
      <c r="E2837" s="123"/>
    </row>
    <row r="2838" spans="5:5" ht="16.5">
      <c r="E2838" s="123"/>
    </row>
    <row r="2839" spans="5:5" ht="16.5">
      <c r="E2839" s="123"/>
    </row>
    <row r="2840" spans="5:5" ht="16.5">
      <c r="E2840" s="123"/>
    </row>
    <row r="2841" spans="5:5" ht="16.5">
      <c r="E2841" s="123"/>
    </row>
    <row r="2842" spans="5:5" ht="16.5">
      <c r="E2842" s="123"/>
    </row>
    <row r="2843" spans="5:5" ht="16.5">
      <c r="E2843" s="123"/>
    </row>
    <row r="2844" spans="5:5" ht="16.5">
      <c r="E2844" s="123"/>
    </row>
    <row r="2845" spans="5:5" ht="16.5">
      <c r="E2845" s="123"/>
    </row>
    <row r="2846" spans="5:5" ht="16.5">
      <c r="E2846" s="123"/>
    </row>
    <row r="2847" spans="5:5" ht="16.5">
      <c r="E2847" s="123"/>
    </row>
    <row r="2848" spans="5:5" ht="16.5">
      <c r="E2848" s="123"/>
    </row>
    <row r="2849" spans="5:5" ht="16.5">
      <c r="E2849" s="123"/>
    </row>
    <row r="2850" spans="5:5" ht="16.5">
      <c r="E2850" s="123"/>
    </row>
    <row r="2851" spans="5:5" ht="16.5">
      <c r="E2851" s="123"/>
    </row>
    <row r="2852" spans="5:5" ht="16.5">
      <c r="E2852" s="123"/>
    </row>
    <row r="2853" spans="5:5" ht="16.5">
      <c r="E2853" s="123"/>
    </row>
    <row r="2854" spans="5:5" ht="16.5">
      <c r="E2854" s="123"/>
    </row>
    <row r="2855" spans="5:5" ht="16.5">
      <c r="E2855" s="123"/>
    </row>
    <row r="2856" spans="5:5" ht="16.5">
      <c r="E2856" s="123"/>
    </row>
    <row r="2857" spans="5:5" ht="16.5">
      <c r="E2857" s="123"/>
    </row>
    <row r="2858" spans="5:5" ht="16.5">
      <c r="E2858" s="123"/>
    </row>
    <row r="2859" spans="5:5" ht="16.5">
      <c r="E2859" s="123"/>
    </row>
    <row r="2860" spans="5:5" ht="16.5">
      <c r="E2860" s="123"/>
    </row>
    <row r="2861" spans="5:5" ht="16.5">
      <c r="E2861" s="123"/>
    </row>
    <row r="2862" spans="5:5" ht="16.5">
      <c r="E2862" s="123"/>
    </row>
    <row r="2863" spans="5:5" ht="16.5">
      <c r="E2863" s="123"/>
    </row>
    <row r="2864" spans="5:5" ht="16.5">
      <c r="E2864" s="123"/>
    </row>
    <row r="2865" spans="5:5" ht="16.5">
      <c r="E2865" s="123"/>
    </row>
    <row r="2866" spans="5:5" ht="16.5">
      <c r="E2866" s="123"/>
    </row>
    <row r="2867" spans="5:5" ht="16.5">
      <c r="E2867" s="123"/>
    </row>
    <row r="2868" spans="5:5" ht="16.5">
      <c r="E2868" s="123"/>
    </row>
    <row r="2869" spans="5:5" ht="16.5">
      <c r="E2869" s="123"/>
    </row>
    <row r="2870" spans="5:5" ht="16.5">
      <c r="E2870" s="123"/>
    </row>
    <row r="2871" spans="5:5" ht="16.5">
      <c r="E2871" s="123"/>
    </row>
    <row r="2872" spans="5:5" ht="16.5">
      <c r="E2872" s="123"/>
    </row>
    <row r="2873" spans="5:5" ht="16.5">
      <c r="E2873" s="123"/>
    </row>
    <row r="2874" spans="5:5" ht="16.5">
      <c r="E2874" s="123"/>
    </row>
    <row r="2875" spans="5:5" ht="16.5">
      <c r="E2875" s="123"/>
    </row>
    <row r="2876" spans="5:5" ht="16.5">
      <c r="E2876" s="123"/>
    </row>
    <row r="2877" spans="5:5" ht="16.5">
      <c r="E2877" s="123"/>
    </row>
    <row r="2878" spans="5:5" ht="16.5">
      <c r="E2878" s="123"/>
    </row>
    <row r="2879" spans="5:5" ht="16.5">
      <c r="E2879" s="123"/>
    </row>
    <row r="2880" spans="5:5" ht="16.5">
      <c r="E2880" s="123"/>
    </row>
    <row r="2881" spans="5:5" ht="16.5">
      <c r="E2881" s="123"/>
    </row>
    <row r="2882" spans="5:5" ht="16.5">
      <c r="E2882" s="123"/>
    </row>
    <row r="2883" spans="5:5" ht="16.5">
      <c r="E2883" s="123"/>
    </row>
    <row r="2884" spans="5:5" ht="16.5">
      <c r="E2884" s="123"/>
    </row>
    <row r="2885" spans="5:5" ht="16.5">
      <c r="E2885" s="123"/>
    </row>
    <row r="2886" spans="5:5" ht="16.5">
      <c r="E2886" s="123"/>
    </row>
    <row r="2887" spans="5:5" ht="16.5">
      <c r="E2887" s="123"/>
    </row>
    <row r="2888" spans="5:5" ht="16.5">
      <c r="E2888" s="123"/>
    </row>
    <row r="2889" spans="5:5" ht="16.5">
      <c r="E2889" s="123"/>
    </row>
    <row r="2890" spans="5:5" ht="16.5">
      <c r="E2890" s="123"/>
    </row>
    <row r="2891" spans="5:5" ht="16.5">
      <c r="E2891" s="123"/>
    </row>
    <row r="2892" spans="5:5" ht="16.5">
      <c r="E2892" s="123"/>
    </row>
    <row r="2893" spans="5:5" ht="16.5">
      <c r="E2893" s="123"/>
    </row>
    <row r="2894" spans="5:5" ht="16.5">
      <c r="E2894" s="123"/>
    </row>
    <row r="2895" spans="5:5" ht="16.5">
      <c r="E2895" s="123"/>
    </row>
    <row r="2896" spans="5:5" ht="16.5">
      <c r="E2896" s="123"/>
    </row>
    <row r="2897" spans="5:5" ht="16.5">
      <c r="E2897" s="123"/>
    </row>
    <row r="2898" spans="5:5" ht="16.5">
      <c r="E2898" s="123"/>
    </row>
    <row r="2899" spans="5:5" ht="16.5">
      <c r="E2899" s="123"/>
    </row>
    <row r="2900" spans="5:5" ht="16.5">
      <c r="E2900" s="123"/>
    </row>
    <row r="2901" spans="5:5" ht="16.5">
      <c r="E2901" s="123"/>
    </row>
    <row r="2902" spans="5:5" ht="16.5">
      <c r="E2902" s="123"/>
    </row>
    <row r="2903" spans="5:5" ht="16.5">
      <c r="E2903" s="123"/>
    </row>
    <row r="2904" spans="5:5" ht="16.5">
      <c r="E2904" s="123"/>
    </row>
    <row r="2905" spans="5:5" ht="16.5">
      <c r="E2905" s="123"/>
    </row>
    <row r="2906" spans="5:5" ht="16.5">
      <c r="E2906" s="123"/>
    </row>
    <row r="2907" spans="5:5" ht="16.5">
      <c r="E2907" s="123"/>
    </row>
    <row r="2908" spans="5:5" ht="16.5">
      <c r="E2908" s="123"/>
    </row>
    <row r="2909" spans="5:5" ht="16.5">
      <c r="E2909" s="123"/>
    </row>
    <row r="2910" spans="5:5" ht="16.5">
      <c r="E2910" s="123"/>
    </row>
    <row r="2911" spans="5:5" ht="16.5">
      <c r="E2911" s="123"/>
    </row>
    <row r="2912" spans="5:5" ht="16.5">
      <c r="E2912" s="123"/>
    </row>
    <row r="2913" spans="5:5" ht="16.5">
      <c r="E2913" s="123"/>
    </row>
    <row r="2914" spans="5:5" ht="16.5">
      <c r="E2914" s="123"/>
    </row>
    <row r="2915" spans="5:5" ht="16.5">
      <c r="E2915" s="123"/>
    </row>
    <row r="2916" spans="5:5" ht="16.5">
      <c r="E2916" s="123"/>
    </row>
    <row r="2917" spans="5:5" ht="16.5">
      <c r="E2917" s="123"/>
    </row>
    <row r="2918" spans="5:5" ht="16.5">
      <c r="E2918" s="123"/>
    </row>
    <row r="2919" spans="5:5" ht="16.5">
      <c r="E2919" s="123"/>
    </row>
    <row r="2920" spans="5:5" ht="16.5">
      <c r="E2920" s="123"/>
    </row>
    <row r="2921" spans="5:5" ht="16.5">
      <c r="E2921" s="123"/>
    </row>
    <row r="2922" spans="5:5" ht="16.5">
      <c r="E2922" s="123"/>
    </row>
    <row r="2923" spans="5:5" ht="16.5">
      <c r="E2923" s="123"/>
    </row>
    <row r="2924" spans="5:5" ht="16.5">
      <c r="E2924" s="123"/>
    </row>
    <row r="2925" spans="5:5" ht="16.5">
      <c r="E2925" s="123"/>
    </row>
    <row r="2926" spans="5:5" ht="16.5">
      <c r="E2926" s="123"/>
    </row>
    <row r="2927" spans="5:5" ht="16.5">
      <c r="E2927" s="123"/>
    </row>
    <row r="2928" spans="5:5" ht="16.5">
      <c r="E2928" s="123"/>
    </row>
    <row r="2929" spans="5:5" ht="16.5">
      <c r="E2929" s="123"/>
    </row>
    <row r="2930" spans="5:5" ht="16.5">
      <c r="E2930" s="123"/>
    </row>
    <row r="2931" spans="5:5" ht="16.5">
      <c r="E2931" s="123"/>
    </row>
    <row r="2932" spans="5:5" ht="16.5">
      <c r="E2932" s="123"/>
    </row>
    <row r="2933" spans="5:5" ht="16.5">
      <c r="E2933" s="123"/>
    </row>
    <row r="2934" spans="5:5" ht="16.5">
      <c r="E2934" s="123"/>
    </row>
    <row r="2935" spans="5:5" ht="16.5">
      <c r="E2935" s="123"/>
    </row>
    <row r="2936" spans="5:5" ht="16.5">
      <c r="E2936" s="123"/>
    </row>
    <row r="2937" spans="5:5" ht="16.5">
      <c r="E2937" s="123"/>
    </row>
    <row r="2938" spans="5:5" ht="16.5">
      <c r="E2938" s="123"/>
    </row>
    <row r="2939" spans="5:5" ht="16.5">
      <c r="E2939" s="123"/>
    </row>
    <row r="2940" spans="5:5" ht="16.5">
      <c r="E2940" s="123"/>
    </row>
    <row r="2941" spans="5:5" ht="16.5">
      <c r="E2941" s="123"/>
    </row>
    <row r="2942" spans="5:5" ht="16.5">
      <c r="E2942" s="123"/>
    </row>
    <row r="2943" spans="5:5" ht="16.5">
      <c r="E2943" s="123"/>
    </row>
    <row r="2944" spans="5:5" ht="16.5">
      <c r="E2944" s="123"/>
    </row>
    <row r="2945" spans="5:5" ht="16.5">
      <c r="E2945" s="123"/>
    </row>
    <row r="2946" spans="5:5" ht="16.5">
      <c r="E2946" s="123"/>
    </row>
    <row r="2947" spans="5:5" ht="16.5">
      <c r="E2947" s="123"/>
    </row>
    <row r="2948" spans="5:5" ht="16.5">
      <c r="E2948" s="123"/>
    </row>
    <row r="2949" spans="5:5" ht="16.5">
      <c r="E2949" s="123"/>
    </row>
    <row r="2950" spans="5:5" ht="16.5">
      <c r="E2950" s="123"/>
    </row>
    <row r="2951" spans="5:5" ht="16.5">
      <c r="E2951" s="123"/>
    </row>
    <row r="2952" spans="5:5" ht="16.5">
      <c r="E2952" s="123"/>
    </row>
    <row r="2953" spans="5:5" ht="16.5">
      <c r="E2953" s="123"/>
    </row>
    <row r="2954" spans="5:5" ht="16.5">
      <c r="E2954" s="123"/>
    </row>
    <row r="2955" spans="5:5" ht="16.5">
      <c r="E2955" s="123"/>
    </row>
    <row r="2956" spans="5:5" ht="16.5">
      <c r="E2956" s="123"/>
    </row>
    <row r="2957" spans="5:5" ht="16.5">
      <c r="E2957" s="123"/>
    </row>
    <row r="2958" spans="5:5" ht="16.5">
      <c r="E2958" s="123"/>
    </row>
    <row r="2959" spans="5:5" ht="16.5">
      <c r="E2959" s="123"/>
    </row>
    <row r="2960" spans="5:5" ht="16.5">
      <c r="E2960" s="123"/>
    </row>
    <row r="2961" spans="5:5" ht="16.5">
      <c r="E2961" s="123"/>
    </row>
    <row r="2962" spans="5:5" ht="16.5">
      <c r="E2962" s="123"/>
    </row>
    <row r="2963" spans="5:5" ht="16.5">
      <c r="E2963" s="123"/>
    </row>
    <row r="2964" spans="5:5" ht="16.5">
      <c r="E2964" s="123"/>
    </row>
    <row r="2965" spans="5:5" ht="16.5">
      <c r="E2965" s="123"/>
    </row>
    <row r="2966" spans="5:5" ht="16.5">
      <c r="E2966" s="123"/>
    </row>
    <row r="2967" spans="5:5" ht="16.5">
      <c r="E2967" s="123"/>
    </row>
    <row r="2968" spans="5:5" ht="16.5">
      <c r="E2968" s="123"/>
    </row>
    <row r="2969" spans="5:5" ht="16.5">
      <c r="E2969" s="123"/>
    </row>
    <row r="2970" spans="5:5" ht="16.5">
      <c r="E2970" s="123"/>
    </row>
    <row r="2971" spans="5:5" ht="16.5">
      <c r="E2971" s="123"/>
    </row>
    <row r="2972" spans="5:5" ht="16.5">
      <c r="E2972" s="123"/>
    </row>
    <row r="2973" spans="5:5" ht="16.5">
      <c r="E2973" s="123"/>
    </row>
    <row r="2974" spans="5:5" ht="16.5">
      <c r="E2974" s="123"/>
    </row>
    <row r="2975" spans="5:5" ht="16.5">
      <c r="E2975" s="123"/>
    </row>
    <row r="2976" spans="5:5" ht="16.5">
      <c r="E2976" s="123"/>
    </row>
    <row r="2977" spans="5:5" ht="16.5">
      <c r="E2977" s="123"/>
    </row>
    <row r="2978" spans="5:5" ht="16.5">
      <c r="E2978" s="123"/>
    </row>
    <row r="2979" spans="5:5" ht="16.5">
      <c r="E2979" s="123"/>
    </row>
    <row r="2980" spans="5:5" ht="16.5">
      <c r="E2980" s="123"/>
    </row>
    <row r="2981" spans="5:5" ht="16.5">
      <c r="E2981" s="123"/>
    </row>
    <row r="2982" spans="5:5" ht="16.5">
      <c r="E2982" s="123"/>
    </row>
    <row r="2983" spans="5:5" ht="16.5">
      <c r="E2983" s="123"/>
    </row>
    <row r="2984" spans="5:5" ht="16.5">
      <c r="E2984" s="123"/>
    </row>
    <row r="2985" spans="5:5" ht="16.5">
      <c r="E2985" s="123"/>
    </row>
    <row r="2986" spans="5:5" ht="16.5">
      <c r="E2986" s="123"/>
    </row>
    <row r="2987" spans="5:5" ht="16.5">
      <c r="E2987" s="123"/>
    </row>
    <row r="2988" spans="5:5" ht="16.5">
      <c r="E2988" s="123"/>
    </row>
    <row r="2989" spans="5:5" ht="16.5">
      <c r="E2989" s="123"/>
    </row>
    <row r="2990" spans="5:5" ht="16.5">
      <c r="E2990" s="123"/>
    </row>
    <row r="2991" spans="5:5" ht="16.5">
      <c r="E2991" s="123"/>
    </row>
    <row r="2992" spans="5:5" ht="16.5">
      <c r="E2992" s="123"/>
    </row>
    <row r="2993" spans="5:5" ht="16.5">
      <c r="E2993" s="123"/>
    </row>
    <row r="2994" spans="5:5" ht="16.5">
      <c r="E2994" s="123"/>
    </row>
    <row r="2995" spans="5:5" ht="16.5">
      <c r="E2995" s="123"/>
    </row>
    <row r="2996" spans="5:5" ht="16.5">
      <c r="E2996" s="123"/>
    </row>
    <row r="2997" spans="5:5" ht="16.5">
      <c r="E2997" s="123"/>
    </row>
    <row r="2998" spans="5:5" ht="16.5">
      <c r="E2998" s="123"/>
    </row>
    <row r="2999" spans="5:5" ht="16.5">
      <c r="E2999" s="123"/>
    </row>
    <row r="3000" spans="5:5" ht="16.5">
      <c r="E3000" s="123"/>
    </row>
    <row r="3001" spans="5:5" ht="16.5">
      <c r="E3001" s="123"/>
    </row>
    <row r="3002" spans="5:5" ht="16.5">
      <c r="E3002" s="123"/>
    </row>
    <row r="3003" spans="5:5" ht="16.5">
      <c r="E3003" s="123"/>
    </row>
    <row r="3004" spans="5:5" ht="16.5">
      <c r="E3004" s="123"/>
    </row>
    <row r="3005" spans="5:5" ht="16.5">
      <c r="E3005" s="123"/>
    </row>
    <row r="3006" spans="5:5" ht="16.5">
      <c r="E3006" s="123"/>
    </row>
    <row r="3007" spans="5:5" ht="16.5">
      <c r="E3007" s="123"/>
    </row>
    <row r="3008" spans="5:5" ht="16.5">
      <c r="E3008" s="123"/>
    </row>
    <row r="3009" spans="5:5" ht="16.5">
      <c r="E3009" s="123"/>
    </row>
    <row r="3010" spans="5:5" ht="16.5">
      <c r="E3010" s="123"/>
    </row>
    <row r="3011" spans="5:5" ht="16.5">
      <c r="E3011" s="123"/>
    </row>
    <row r="3012" spans="5:5" ht="16.5">
      <c r="E3012" s="123"/>
    </row>
    <row r="3013" spans="5:5" ht="16.5">
      <c r="E3013" s="123"/>
    </row>
    <row r="3014" spans="5:5" ht="16.5">
      <c r="E3014" s="123"/>
    </row>
    <row r="3015" spans="5:5" ht="16.5">
      <c r="E3015" s="123"/>
    </row>
    <row r="3016" spans="5:5" ht="16.5">
      <c r="E3016" s="123"/>
    </row>
    <row r="3017" spans="5:5" ht="16.5">
      <c r="E3017" s="123"/>
    </row>
    <row r="3018" spans="5:5" ht="16.5">
      <c r="E3018" s="123"/>
    </row>
    <row r="3019" spans="5:5" ht="16.5">
      <c r="E3019" s="123"/>
    </row>
    <row r="3020" spans="5:5" ht="16.5">
      <c r="E3020" s="123"/>
    </row>
    <row r="3021" spans="5:5" ht="16.5">
      <c r="E3021" s="123"/>
    </row>
    <row r="3022" spans="5:5" ht="16.5">
      <c r="E3022" s="123"/>
    </row>
    <row r="3023" spans="5:5" ht="16.5">
      <c r="E3023" s="123"/>
    </row>
    <row r="3024" spans="5:5" ht="16.5">
      <c r="E3024" s="123"/>
    </row>
    <row r="3025" spans="5:5" ht="16.5">
      <c r="E3025" s="123"/>
    </row>
    <row r="3026" spans="5:5" ht="16.5">
      <c r="E3026" s="123"/>
    </row>
    <row r="3027" spans="5:5" ht="16.5">
      <c r="E3027" s="123"/>
    </row>
    <row r="3028" spans="5:5" ht="16.5">
      <c r="E3028" s="123"/>
    </row>
    <row r="3029" spans="5:5" ht="16.5">
      <c r="E3029" s="123"/>
    </row>
    <row r="3030" spans="5:5" ht="16.5">
      <c r="E3030" s="123"/>
    </row>
    <row r="3031" spans="5:5" ht="16.5">
      <c r="E3031" s="123"/>
    </row>
    <row r="3032" spans="5:5" ht="16.5">
      <c r="E3032" s="123"/>
    </row>
    <row r="3033" spans="5:5" ht="16.5">
      <c r="E3033" s="123"/>
    </row>
    <row r="3034" spans="5:5" ht="16.5">
      <c r="E3034" s="123"/>
    </row>
    <row r="3035" spans="5:5" ht="16.5">
      <c r="E3035" s="123"/>
    </row>
    <row r="3036" spans="5:5" ht="16.5">
      <c r="E3036" s="123"/>
    </row>
    <row r="3037" spans="5:5" ht="16.5">
      <c r="E3037" s="123"/>
    </row>
    <row r="3038" spans="5:5" ht="16.5">
      <c r="E3038" s="123"/>
    </row>
    <row r="3039" spans="5:5" ht="16.5">
      <c r="E3039" s="123"/>
    </row>
    <row r="3040" spans="5:5" ht="16.5">
      <c r="E3040" s="123"/>
    </row>
    <row r="3041" spans="5:5" ht="16.5">
      <c r="E3041" s="123"/>
    </row>
    <row r="3042" spans="5:5" ht="16.5">
      <c r="E3042" s="123"/>
    </row>
    <row r="3043" spans="5:5" ht="16.5">
      <c r="E3043" s="123"/>
    </row>
    <row r="3044" spans="5:5" ht="16.5">
      <c r="E3044" s="123"/>
    </row>
    <row r="3045" spans="5:5" ht="16.5">
      <c r="E3045" s="123"/>
    </row>
    <row r="3046" spans="5:5" ht="16.5">
      <c r="E3046" s="123"/>
    </row>
    <row r="3047" spans="5:5" ht="16.5">
      <c r="E3047" s="123"/>
    </row>
    <row r="3048" spans="5:5" ht="16.5">
      <c r="E3048" s="123"/>
    </row>
    <row r="3049" spans="5:5" ht="16.5">
      <c r="E3049" s="123"/>
    </row>
    <row r="3050" spans="5:5" ht="16.5">
      <c r="E3050" s="123"/>
    </row>
    <row r="3051" spans="5:5" ht="16.5">
      <c r="E3051" s="123"/>
    </row>
    <row r="3052" spans="5:5" ht="16.5">
      <c r="E3052" s="123"/>
    </row>
    <row r="3053" spans="5:5" ht="16.5">
      <c r="E3053" s="123"/>
    </row>
    <row r="3054" spans="5:5" ht="16.5">
      <c r="E3054" s="123"/>
    </row>
    <row r="3055" spans="5:5" ht="16.5">
      <c r="E3055" s="123"/>
    </row>
    <row r="3056" spans="5:5" ht="16.5">
      <c r="E3056" s="123"/>
    </row>
    <row r="3057" spans="5:5" ht="16.5">
      <c r="E3057" s="123"/>
    </row>
    <row r="3058" spans="5:5" ht="16.5">
      <c r="E3058" s="123"/>
    </row>
    <row r="3059" spans="5:5" ht="16.5">
      <c r="E3059" s="123"/>
    </row>
    <row r="3060" spans="5:5" ht="16.5">
      <c r="E3060" s="123"/>
    </row>
    <row r="3061" spans="5:5" ht="16.5">
      <c r="E3061" s="123"/>
    </row>
    <row r="3062" spans="5:5" ht="16.5">
      <c r="E3062" s="123"/>
    </row>
    <row r="3063" spans="5:5" ht="16.5">
      <c r="E3063" s="123"/>
    </row>
    <row r="3064" spans="5:5" ht="16.5">
      <c r="E3064" s="123"/>
    </row>
    <row r="3065" spans="5:5" ht="16.5">
      <c r="E3065" s="123"/>
    </row>
    <row r="3066" spans="5:5" ht="16.5">
      <c r="E3066" s="123"/>
    </row>
    <row r="3067" spans="5:5" ht="16.5">
      <c r="E3067" s="123"/>
    </row>
    <row r="3068" spans="5:5" ht="16.5">
      <c r="E3068" s="123"/>
    </row>
    <row r="3069" spans="5:5" ht="16.5">
      <c r="E3069" s="123"/>
    </row>
    <row r="3070" spans="5:5" ht="16.5">
      <c r="E3070" s="123"/>
    </row>
    <row r="3071" spans="5:5" ht="16.5">
      <c r="E3071" s="123"/>
    </row>
    <row r="3072" spans="5:5" ht="16.5">
      <c r="E3072" s="123"/>
    </row>
    <row r="3073" spans="5:5" ht="16.5">
      <c r="E3073" s="123"/>
    </row>
    <row r="3074" spans="5:5" ht="16.5">
      <c r="E3074" s="123"/>
    </row>
    <row r="3075" spans="5:5" ht="16.5">
      <c r="E3075" s="123"/>
    </row>
    <row r="3076" spans="5:5" ht="16.5">
      <c r="E3076" s="123"/>
    </row>
    <row r="3077" spans="5:5" ht="16.5">
      <c r="E3077" s="123"/>
    </row>
    <row r="3078" spans="5:5" ht="16.5">
      <c r="E3078" s="123"/>
    </row>
    <row r="3079" spans="5:5" ht="16.5">
      <c r="E3079" s="123"/>
    </row>
    <row r="3080" spans="5:5" ht="16.5">
      <c r="E3080" s="123"/>
    </row>
    <row r="3081" spans="5:5" ht="16.5">
      <c r="E3081" s="123"/>
    </row>
    <row r="3082" spans="5:5" ht="16.5">
      <c r="E3082" s="123"/>
    </row>
    <row r="3083" spans="5:5" ht="16.5">
      <c r="E3083" s="123"/>
    </row>
    <row r="3084" spans="5:5" ht="16.5">
      <c r="E3084" s="123"/>
    </row>
    <row r="3085" spans="5:5" ht="16.5">
      <c r="E3085" s="123"/>
    </row>
    <row r="3086" spans="5:5" ht="16.5">
      <c r="E3086" s="123"/>
    </row>
    <row r="3087" spans="5:5" ht="16.5">
      <c r="E3087" s="123"/>
    </row>
    <row r="3088" spans="5:5" ht="16.5">
      <c r="E3088" s="123"/>
    </row>
    <row r="3089" spans="5:5" ht="16.5">
      <c r="E3089" s="123"/>
    </row>
    <row r="3090" spans="5:5" ht="16.5">
      <c r="E3090" s="123"/>
    </row>
    <row r="3091" spans="5:5" ht="16.5">
      <c r="E3091" s="123"/>
    </row>
    <row r="3092" spans="5:5" ht="16.5">
      <c r="E3092" s="123"/>
    </row>
    <row r="3093" spans="5:5" ht="16.5">
      <c r="E3093" s="123"/>
    </row>
    <row r="3094" spans="5:5" ht="16.5">
      <c r="E3094" s="123"/>
    </row>
    <row r="3095" spans="5:5" ht="16.5">
      <c r="E3095" s="123"/>
    </row>
    <row r="3096" spans="5:5" ht="16.5">
      <c r="E3096" s="123"/>
    </row>
    <row r="3097" spans="5:5" ht="16.5">
      <c r="E3097" s="123"/>
    </row>
    <row r="3098" spans="5:5" ht="16.5">
      <c r="E3098" s="123"/>
    </row>
    <row r="3099" spans="5:5" ht="16.5">
      <c r="E3099" s="123"/>
    </row>
    <row r="3100" spans="5:5" ht="16.5">
      <c r="E3100" s="123"/>
    </row>
    <row r="3101" spans="5:5" ht="16.5">
      <c r="E3101" s="123"/>
    </row>
    <row r="3102" spans="5:5" ht="16.5">
      <c r="E3102" s="123"/>
    </row>
    <row r="3103" spans="5:5" ht="16.5">
      <c r="E3103" s="123"/>
    </row>
    <row r="3104" spans="5:5" ht="16.5">
      <c r="E3104" s="123"/>
    </row>
    <row r="3105" spans="5:5" ht="16.5">
      <c r="E3105" s="123"/>
    </row>
    <row r="3106" spans="5:5" ht="16.5">
      <c r="E3106" s="123"/>
    </row>
    <row r="3107" spans="5:5" ht="16.5">
      <c r="E3107" s="123"/>
    </row>
    <row r="3108" spans="5:5" ht="16.5">
      <c r="E3108" s="123"/>
    </row>
    <row r="3109" spans="5:5" ht="16.5">
      <c r="E3109" s="123"/>
    </row>
    <row r="3110" spans="5:5" ht="16.5">
      <c r="E3110" s="123"/>
    </row>
    <row r="3111" spans="5:5" ht="16.5">
      <c r="E3111" s="123"/>
    </row>
    <row r="3112" spans="5:5" ht="16.5">
      <c r="E3112" s="123"/>
    </row>
    <row r="3113" spans="5:5" ht="16.5">
      <c r="E3113" s="123"/>
    </row>
    <row r="3114" spans="5:5" ht="16.5">
      <c r="E3114" s="123"/>
    </row>
    <row r="3115" spans="5:5" ht="16.5">
      <c r="E3115" s="123"/>
    </row>
    <row r="3116" spans="5:5" ht="16.5">
      <c r="E3116" s="123"/>
    </row>
    <row r="3117" spans="5:5" ht="16.5">
      <c r="E3117" s="123"/>
    </row>
    <row r="3118" spans="5:5" ht="16.5">
      <c r="E3118" s="123"/>
    </row>
    <row r="3119" spans="5:5" ht="16.5">
      <c r="E3119" s="123"/>
    </row>
    <row r="3120" spans="5:5" ht="16.5">
      <c r="E3120" s="123"/>
    </row>
    <row r="3121" spans="5:5" ht="16.5">
      <c r="E3121" s="123"/>
    </row>
    <row r="3122" spans="5:5" ht="16.5">
      <c r="E3122" s="123"/>
    </row>
    <row r="3123" spans="5:5" ht="16.5">
      <c r="E3123" s="123"/>
    </row>
    <row r="3124" spans="5:5" ht="16.5">
      <c r="E3124" s="123"/>
    </row>
    <row r="3125" spans="5:5" ht="16.5">
      <c r="E3125" s="123"/>
    </row>
    <row r="3126" spans="5:5" ht="16.5">
      <c r="E3126" s="123"/>
    </row>
    <row r="3127" spans="5:5" ht="16.5">
      <c r="E3127" s="123"/>
    </row>
    <row r="3128" spans="5:5" ht="16.5">
      <c r="E3128" s="123"/>
    </row>
    <row r="3129" spans="5:5" ht="16.5">
      <c r="E3129" s="123"/>
    </row>
    <row r="3130" spans="5:5" ht="16.5">
      <c r="E3130" s="123"/>
    </row>
    <row r="3131" spans="5:5" ht="16.5">
      <c r="E3131" s="123"/>
    </row>
    <row r="3132" spans="5:5" ht="16.5">
      <c r="E3132" s="123"/>
    </row>
    <row r="3133" spans="5:5" ht="16.5">
      <c r="E3133" s="123"/>
    </row>
    <row r="3134" spans="5:5" ht="16.5">
      <c r="E3134" s="123"/>
    </row>
    <row r="3135" spans="5:5" ht="16.5">
      <c r="E3135" s="123"/>
    </row>
    <row r="3136" spans="5:5" ht="16.5">
      <c r="E3136" s="123"/>
    </row>
    <row r="3137" spans="5:5" ht="16.5">
      <c r="E3137" s="123"/>
    </row>
    <row r="3138" spans="5:5" ht="16.5">
      <c r="E3138" s="123"/>
    </row>
    <row r="3139" spans="5:5" ht="16.5">
      <c r="E3139" s="123"/>
    </row>
    <row r="3140" spans="5:5" ht="16.5">
      <c r="E3140" s="123"/>
    </row>
    <row r="3141" spans="5:5" ht="16.5">
      <c r="E3141" s="123"/>
    </row>
    <row r="3142" spans="5:5" ht="16.5">
      <c r="E3142" s="123"/>
    </row>
    <row r="3143" spans="5:5" ht="16.5">
      <c r="E3143" s="123"/>
    </row>
    <row r="3144" spans="5:5" ht="16.5">
      <c r="E3144" s="123"/>
    </row>
    <row r="3145" spans="5:5" ht="16.5">
      <c r="E3145" s="123"/>
    </row>
    <row r="3146" spans="5:5" ht="16.5">
      <c r="E3146" s="123"/>
    </row>
    <row r="3147" spans="5:5" ht="16.5">
      <c r="E3147" s="123"/>
    </row>
    <row r="3148" spans="5:5" ht="16.5">
      <c r="E3148" s="123"/>
    </row>
    <row r="3149" spans="5:5" ht="16.5">
      <c r="E3149" s="123"/>
    </row>
    <row r="3150" spans="5:5" ht="16.5">
      <c r="E3150" s="123"/>
    </row>
    <row r="3151" spans="5:5" ht="16.5">
      <c r="E3151" s="123"/>
    </row>
    <row r="3152" spans="5:5" ht="16.5">
      <c r="E3152" s="123"/>
    </row>
    <row r="3153" spans="5:5" ht="16.5">
      <c r="E3153" s="123"/>
    </row>
    <row r="3154" spans="5:5" ht="16.5">
      <c r="E3154" s="123"/>
    </row>
    <row r="3155" spans="5:5" ht="16.5">
      <c r="E3155" s="123"/>
    </row>
    <row r="3156" spans="5:5" ht="16.5">
      <c r="E3156" s="123"/>
    </row>
    <row r="3157" spans="5:5" ht="16.5">
      <c r="E3157" s="123"/>
    </row>
    <row r="3158" spans="5:5" ht="16.5">
      <c r="E3158" s="123"/>
    </row>
    <row r="3159" spans="5:5" ht="16.5">
      <c r="E3159" s="123"/>
    </row>
    <row r="3160" spans="5:5" ht="16.5">
      <c r="E3160" s="123"/>
    </row>
    <row r="3161" spans="5:5" ht="16.5">
      <c r="E3161" s="123"/>
    </row>
    <row r="3162" spans="5:5" ht="16.5">
      <c r="E3162" s="123"/>
    </row>
    <row r="3163" spans="5:5" ht="16.5">
      <c r="E3163" s="123"/>
    </row>
    <row r="3164" spans="5:5" ht="16.5">
      <c r="E3164" s="123"/>
    </row>
    <row r="3165" spans="5:5" ht="16.5">
      <c r="E3165" s="123"/>
    </row>
    <row r="3166" spans="5:5" ht="16.5">
      <c r="E3166" s="123"/>
    </row>
    <row r="3167" spans="5:5" ht="16.5">
      <c r="E3167" s="123"/>
    </row>
    <row r="3168" spans="5:5" ht="16.5">
      <c r="E3168" s="123"/>
    </row>
    <row r="3169" spans="5:5" ht="16.5">
      <c r="E3169" s="123"/>
    </row>
    <row r="3170" spans="5:5" ht="16.5">
      <c r="E3170" s="123"/>
    </row>
    <row r="3171" spans="5:5" ht="16.5">
      <c r="E3171" s="123"/>
    </row>
    <row r="3172" spans="5:5" ht="16.5">
      <c r="E3172" s="123"/>
    </row>
    <row r="3173" spans="5:5" ht="16.5">
      <c r="E3173" s="123"/>
    </row>
    <row r="3174" spans="5:5" ht="16.5">
      <c r="E3174" s="123"/>
    </row>
    <row r="3175" spans="5:5" ht="16.5">
      <c r="E3175" s="123"/>
    </row>
    <row r="3176" spans="5:5" ht="16.5">
      <c r="E3176" s="123"/>
    </row>
    <row r="3177" spans="5:5" ht="16.5">
      <c r="E3177" s="123"/>
    </row>
    <row r="3178" spans="5:5" ht="16.5">
      <c r="E3178" s="123"/>
    </row>
    <row r="3179" spans="5:5" ht="16.5">
      <c r="E3179" s="123"/>
    </row>
    <row r="3180" spans="5:5" ht="16.5">
      <c r="E3180" s="123"/>
    </row>
    <row r="3181" spans="5:5" ht="16.5">
      <c r="E3181" s="123"/>
    </row>
    <row r="3182" spans="5:5" ht="16.5">
      <c r="E3182" s="123"/>
    </row>
    <row r="3183" spans="5:5" ht="16.5">
      <c r="E3183" s="123"/>
    </row>
    <row r="3184" spans="5:5" ht="16.5">
      <c r="E3184" s="123"/>
    </row>
    <row r="3185" spans="5:5" ht="16.5">
      <c r="E3185" s="123"/>
    </row>
    <row r="3186" spans="5:5" ht="16.5">
      <c r="E3186" s="123"/>
    </row>
    <row r="3187" spans="5:5" ht="16.5">
      <c r="E3187" s="123"/>
    </row>
    <row r="3188" spans="5:5" ht="16.5">
      <c r="E3188" s="123"/>
    </row>
    <row r="3189" spans="5:5" ht="16.5">
      <c r="E3189" s="123"/>
    </row>
    <row r="3190" spans="5:5" ht="16.5">
      <c r="E3190" s="123"/>
    </row>
    <row r="3191" spans="5:5" ht="16.5">
      <c r="E3191" s="123"/>
    </row>
    <row r="3192" spans="5:5" ht="16.5">
      <c r="E3192" s="123"/>
    </row>
    <row r="3193" spans="5:5" ht="16.5">
      <c r="E3193" s="123"/>
    </row>
    <row r="3194" spans="5:5" ht="16.5">
      <c r="E3194" s="123"/>
    </row>
    <row r="3195" spans="5:5" ht="16.5">
      <c r="E3195" s="123"/>
    </row>
    <row r="3196" spans="5:5" ht="16.5">
      <c r="E3196" s="123"/>
    </row>
    <row r="3197" spans="5:5" ht="16.5">
      <c r="E3197" s="123"/>
    </row>
    <row r="3198" spans="5:5" ht="16.5">
      <c r="E3198" s="123"/>
    </row>
    <row r="3199" spans="5:5" ht="16.5">
      <c r="E3199" s="123"/>
    </row>
    <row r="3200" spans="5:5" ht="16.5">
      <c r="E3200" s="123"/>
    </row>
    <row r="3201" spans="5:5" ht="16.5">
      <c r="E3201" s="123"/>
    </row>
    <row r="3202" spans="5:5" ht="16.5">
      <c r="E3202" s="123"/>
    </row>
    <row r="3203" spans="5:5" ht="16.5">
      <c r="E3203" s="123"/>
    </row>
    <row r="3204" spans="5:5" ht="16.5">
      <c r="E3204" s="123"/>
    </row>
    <row r="3205" spans="5:5" ht="16.5">
      <c r="E3205" s="123"/>
    </row>
    <row r="3206" spans="5:5" ht="16.5">
      <c r="E3206" s="123"/>
    </row>
    <row r="3207" spans="5:5" ht="16.5">
      <c r="E3207" s="123"/>
    </row>
    <row r="3208" spans="5:5" ht="16.5">
      <c r="E3208" s="123"/>
    </row>
    <row r="3209" spans="5:5" ht="16.5">
      <c r="E3209" s="123"/>
    </row>
    <row r="3210" spans="5:5" ht="16.5">
      <c r="E3210" s="123"/>
    </row>
    <row r="3211" spans="5:5" ht="16.5">
      <c r="E3211" s="123"/>
    </row>
    <row r="3212" spans="5:5" ht="16.5">
      <c r="E3212" s="123"/>
    </row>
    <row r="3213" spans="5:5" ht="16.5">
      <c r="E3213" s="123"/>
    </row>
    <row r="3214" spans="5:5" ht="16.5">
      <c r="E3214" s="123"/>
    </row>
    <row r="3215" spans="5:5" ht="16.5">
      <c r="E3215" s="123"/>
    </row>
    <row r="3216" spans="5:5" ht="16.5">
      <c r="E3216" s="123"/>
    </row>
    <row r="3217" spans="5:5" ht="16.5">
      <c r="E3217" s="123"/>
    </row>
    <row r="3218" spans="5:5" ht="16.5">
      <c r="E3218" s="123"/>
    </row>
    <row r="3219" spans="5:5" ht="16.5">
      <c r="E3219" s="123"/>
    </row>
    <row r="3220" spans="5:5" ht="16.5">
      <c r="E3220" s="123"/>
    </row>
    <row r="3221" spans="5:5" ht="16.5">
      <c r="E3221" s="123"/>
    </row>
    <row r="3222" spans="5:5" ht="16.5">
      <c r="E3222" s="123"/>
    </row>
    <row r="3223" spans="5:5" ht="16.5">
      <c r="E3223" s="123"/>
    </row>
    <row r="3224" spans="5:5" ht="16.5">
      <c r="E3224" s="123"/>
    </row>
    <row r="3225" spans="5:5" ht="16.5">
      <c r="E3225" s="123"/>
    </row>
    <row r="3226" spans="5:5" ht="16.5">
      <c r="E3226" s="123"/>
    </row>
    <row r="3227" spans="5:5" ht="16.5">
      <c r="E3227" s="123"/>
    </row>
    <row r="3228" spans="5:5" ht="16.5">
      <c r="E3228" s="123"/>
    </row>
    <row r="3229" spans="5:5" ht="16.5">
      <c r="E3229" s="123"/>
    </row>
    <row r="3230" spans="5:5" ht="16.5">
      <c r="E3230" s="123"/>
    </row>
    <row r="3231" spans="5:5" ht="16.5">
      <c r="E3231" s="123"/>
    </row>
    <row r="3232" spans="5:5" ht="16.5">
      <c r="E3232" s="123"/>
    </row>
    <row r="3233" spans="5:5" ht="16.5">
      <c r="E3233" s="123"/>
    </row>
    <row r="3234" spans="5:5" ht="16.5">
      <c r="E3234" s="123"/>
    </row>
    <row r="3235" spans="5:5" ht="16.5">
      <c r="E3235" s="123"/>
    </row>
    <row r="3236" spans="5:5" ht="16.5">
      <c r="E3236" s="123"/>
    </row>
    <row r="3237" spans="5:5" ht="16.5">
      <c r="E3237" s="123"/>
    </row>
    <row r="3238" spans="5:5" ht="16.5">
      <c r="E3238" s="123"/>
    </row>
    <row r="3239" spans="5:5" ht="16.5">
      <c r="E3239" s="123"/>
    </row>
    <row r="3240" spans="5:5" ht="16.5">
      <c r="E3240" s="123"/>
    </row>
    <row r="3241" spans="5:5" ht="16.5">
      <c r="E3241" s="123"/>
    </row>
    <row r="3242" spans="5:5" ht="16.5">
      <c r="E3242" s="123"/>
    </row>
    <row r="3243" spans="5:5" ht="16.5">
      <c r="E3243" s="123"/>
    </row>
    <row r="3244" spans="5:5" ht="16.5">
      <c r="E3244" s="123"/>
    </row>
    <row r="3245" spans="5:5" ht="16.5">
      <c r="E3245" s="123"/>
    </row>
    <row r="3246" spans="5:5" ht="16.5">
      <c r="E3246" s="123"/>
    </row>
    <row r="3247" spans="5:5" ht="16.5">
      <c r="E3247" s="123"/>
    </row>
    <row r="3248" spans="5:5" ht="16.5">
      <c r="E3248" s="123"/>
    </row>
    <row r="3249" spans="5:5" ht="16.5">
      <c r="E3249" s="123"/>
    </row>
    <row r="3250" spans="5:5" ht="16.5">
      <c r="E3250" s="123"/>
    </row>
    <row r="3251" spans="5:5" ht="16.5">
      <c r="E3251" s="123"/>
    </row>
    <row r="3252" spans="5:5" ht="16.5">
      <c r="E3252" s="123"/>
    </row>
    <row r="3253" spans="5:5" ht="16.5">
      <c r="E3253" s="123"/>
    </row>
    <row r="3254" spans="5:5" ht="16.5">
      <c r="E3254" s="123"/>
    </row>
    <row r="3255" spans="5:5" ht="16.5">
      <c r="E3255" s="123"/>
    </row>
    <row r="3256" spans="5:5" ht="16.5">
      <c r="E3256" s="123"/>
    </row>
    <row r="3257" spans="5:5" ht="16.5">
      <c r="E3257" s="123"/>
    </row>
    <row r="3258" spans="5:5" ht="16.5">
      <c r="E3258" s="123"/>
    </row>
    <row r="3259" spans="5:5" ht="16.5">
      <c r="E3259" s="123"/>
    </row>
    <row r="3260" spans="5:5" ht="16.5">
      <c r="E3260" s="123"/>
    </row>
    <row r="3261" spans="5:5" ht="16.5">
      <c r="E3261" s="123"/>
    </row>
    <row r="3262" spans="5:5" ht="16.5">
      <c r="E3262" s="123"/>
    </row>
    <row r="3263" spans="5:5" ht="16.5">
      <c r="E3263" s="123"/>
    </row>
    <row r="3264" spans="5:5" ht="16.5">
      <c r="E3264" s="123"/>
    </row>
    <row r="3265" spans="5:5" ht="16.5">
      <c r="E3265" s="123"/>
    </row>
    <row r="3266" spans="5:5" ht="16.5">
      <c r="E3266" s="123"/>
    </row>
    <row r="3267" spans="5:5" ht="16.5">
      <c r="E3267" s="123"/>
    </row>
    <row r="3268" spans="5:5" ht="16.5">
      <c r="E3268" s="123"/>
    </row>
    <row r="3269" spans="5:5" ht="16.5">
      <c r="E3269" s="123"/>
    </row>
    <row r="3270" spans="5:5" ht="16.5">
      <c r="E3270" s="123"/>
    </row>
    <row r="3271" spans="5:5" ht="16.5">
      <c r="E3271" s="123"/>
    </row>
    <row r="3272" spans="5:5" ht="16.5">
      <c r="E3272" s="123"/>
    </row>
    <row r="3273" spans="5:5" ht="16.5">
      <c r="E3273" s="123"/>
    </row>
    <row r="3274" spans="5:5" ht="16.5">
      <c r="E3274" s="123"/>
    </row>
    <row r="3275" spans="5:5" ht="16.5">
      <c r="E3275" s="123"/>
    </row>
    <row r="3276" spans="5:5" ht="16.5">
      <c r="E3276" s="123"/>
    </row>
    <row r="3277" spans="5:5" ht="16.5">
      <c r="E3277" s="123"/>
    </row>
    <row r="3278" spans="5:5" ht="16.5">
      <c r="E3278" s="123"/>
    </row>
    <row r="3279" spans="5:5" ht="16.5">
      <c r="E3279" s="123"/>
    </row>
    <row r="3280" spans="5:5" ht="16.5">
      <c r="E3280" s="123"/>
    </row>
    <row r="3281" spans="5:5" ht="16.5">
      <c r="E3281" s="123"/>
    </row>
    <row r="3282" spans="5:5" ht="16.5">
      <c r="E3282" s="123"/>
    </row>
    <row r="3283" spans="5:5" ht="16.5">
      <c r="E3283" s="123"/>
    </row>
    <row r="3284" spans="5:5" ht="16.5">
      <c r="E3284" s="123"/>
    </row>
    <row r="3285" spans="5:5" ht="16.5">
      <c r="E3285" s="123"/>
    </row>
    <row r="3286" spans="5:5" ht="16.5">
      <c r="E3286" s="123"/>
    </row>
    <row r="3287" spans="5:5" ht="16.5">
      <c r="E3287" s="123"/>
    </row>
    <row r="3288" spans="5:5" ht="16.5">
      <c r="E3288" s="123"/>
    </row>
    <row r="3289" spans="5:5" ht="16.5">
      <c r="E3289" s="123"/>
    </row>
    <row r="3290" spans="5:5" ht="16.5">
      <c r="E3290" s="123"/>
    </row>
    <row r="3291" spans="5:5" ht="16.5">
      <c r="E3291" s="123"/>
    </row>
    <row r="3292" spans="5:5" ht="16.5">
      <c r="E3292" s="123"/>
    </row>
    <row r="3293" spans="5:5" ht="16.5">
      <c r="E3293" s="123"/>
    </row>
    <row r="3294" spans="5:5" ht="16.5">
      <c r="E3294" s="123"/>
    </row>
    <row r="3295" spans="5:5" ht="16.5">
      <c r="E3295" s="123"/>
    </row>
    <row r="3296" spans="5:5" ht="16.5">
      <c r="E3296" s="123"/>
    </row>
    <row r="3297" spans="5:5" ht="16.5">
      <c r="E3297" s="123"/>
    </row>
    <row r="3298" spans="5:5" ht="16.5">
      <c r="E3298" s="123"/>
    </row>
    <row r="3299" spans="5:5" ht="16.5">
      <c r="E3299" s="123"/>
    </row>
    <row r="3300" spans="5:5" ht="16.5">
      <c r="E3300" s="123"/>
    </row>
    <row r="3301" spans="5:5" ht="16.5">
      <c r="E3301" s="123"/>
    </row>
    <row r="3302" spans="5:5" ht="16.5">
      <c r="E3302" s="123"/>
    </row>
    <row r="3303" spans="5:5" ht="16.5">
      <c r="E3303" s="123"/>
    </row>
    <row r="3304" spans="5:5" ht="16.5">
      <c r="E3304" s="123"/>
    </row>
    <row r="3305" spans="5:5" ht="16.5">
      <c r="E3305" s="123"/>
    </row>
    <row r="3306" spans="5:5" ht="16.5">
      <c r="E3306" s="123"/>
    </row>
    <row r="3307" spans="5:5" ht="16.5">
      <c r="E3307" s="123"/>
    </row>
    <row r="3308" spans="5:5" ht="16.5">
      <c r="E3308" s="123"/>
    </row>
    <row r="3309" spans="5:5" ht="16.5">
      <c r="E3309" s="123"/>
    </row>
    <row r="3310" spans="5:5" ht="16.5">
      <c r="E3310" s="123"/>
    </row>
    <row r="3311" spans="5:5" ht="16.5">
      <c r="E3311" s="123"/>
    </row>
    <row r="3312" spans="5:5" ht="16.5">
      <c r="E3312" s="123"/>
    </row>
    <row r="3313" spans="5:5" ht="16.5">
      <c r="E3313" s="123"/>
    </row>
    <row r="3314" spans="5:5" ht="16.5">
      <c r="E3314" s="123"/>
    </row>
    <row r="3315" spans="5:5" ht="16.5">
      <c r="E3315" s="123"/>
    </row>
    <row r="3316" spans="5:5" ht="16.5">
      <c r="E3316" s="123"/>
    </row>
    <row r="3317" spans="5:5" ht="16.5">
      <c r="E3317" s="123"/>
    </row>
    <row r="3318" spans="5:5" ht="16.5">
      <c r="E3318" s="123"/>
    </row>
    <row r="3319" spans="5:5" ht="16.5">
      <c r="E3319" s="123"/>
    </row>
    <row r="3320" spans="5:5" ht="16.5">
      <c r="E3320" s="123"/>
    </row>
    <row r="3321" spans="5:5" ht="16.5">
      <c r="E3321" s="123"/>
    </row>
    <row r="3322" spans="5:5" ht="16.5">
      <c r="E3322" s="123"/>
    </row>
    <row r="3323" spans="5:5" ht="16.5">
      <c r="E3323" s="123"/>
    </row>
    <row r="3324" spans="5:5" ht="16.5">
      <c r="E3324" s="123"/>
    </row>
    <row r="3325" spans="5:5" ht="16.5">
      <c r="E3325" s="123"/>
    </row>
    <row r="3326" spans="5:5" ht="16.5">
      <c r="E3326" s="123"/>
    </row>
    <row r="3327" spans="5:5" ht="16.5">
      <c r="E3327" s="123"/>
    </row>
    <row r="3328" spans="5:5" ht="16.5">
      <c r="E3328" s="123"/>
    </row>
    <row r="3329" spans="5:5" ht="16.5">
      <c r="E3329" s="123"/>
    </row>
    <row r="3330" spans="5:5" ht="16.5">
      <c r="E3330" s="123"/>
    </row>
    <row r="3331" spans="5:5" ht="16.5">
      <c r="E3331" s="123"/>
    </row>
    <row r="3332" spans="5:5" ht="16.5">
      <c r="E3332" s="123"/>
    </row>
    <row r="3333" spans="5:5" ht="16.5">
      <c r="E3333" s="123"/>
    </row>
    <row r="3334" spans="5:5" ht="16.5">
      <c r="E3334" s="123"/>
    </row>
    <row r="3335" spans="5:5" ht="16.5">
      <c r="E3335" s="123"/>
    </row>
    <row r="3336" spans="5:5" ht="16.5">
      <c r="E3336" s="123"/>
    </row>
    <row r="3337" spans="5:5" ht="16.5">
      <c r="E3337" s="123"/>
    </row>
    <row r="3338" spans="5:5" ht="16.5">
      <c r="E3338" s="123"/>
    </row>
    <row r="3339" spans="5:5" ht="16.5">
      <c r="E3339" s="123"/>
    </row>
    <row r="3340" spans="5:5" ht="16.5">
      <c r="E3340" s="123"/>
    </row>
    <row r="3341" spans="5:5" ht="16.5">
      <c r="E3341" s="123"/>
    </row>
    <row r="3342" spans="5:5" ht="16.5">
      <c r="E3342" s="123"/>
    </row>
    <row r="3343" spans="5:5" ht="16.5">
      <c r="E3343" s="123"/>
    </row>
    <row r="3344" spans="5:5" ht="16.5">
      <c r="E3344" s="123"/>
    </row>
    <row r="3345" spans="5:5" ht="16.5">
      <c r="E3345" s="123"/>
    </row>
    <row r="3346" spans="5:5" ht="16.5">
      <c r="E3346" s="123"/>
    </row>
    <row r="3347" spans="5:5" ht="16.5">
      <c r="E3347" s="123"/>
    </row>
    <row r="3348" spans="5:5" ht="16.5">
      <c r="E3348" s="123"/>
    </row>
    <row r="3349" spans="5:5" ht="16.5">
      <c r="E3349" s="123"/>
    </row>
    <row r="3350" spans="5:5" ht="16.5">
      <c r="E3350" s="123"/>
    </row>
    <row r="3351" spans="5:5" ht="16.5">
      <c r="E3351" s="123"/>
    </row>
    <row r="3352" spans="5:5" ht="16.5">
      <c r="E3352" s="123"/>
    </row>
    <row r="3353" spans="5:5" ht="16.5">
      <c r="E3353" s="123"/>
    </row>
    <row r="3354" spans="5:5" ht="16.5">
      <c r="E3354" s="123"/>
    </row>
    <row r="3355" spans="5:5" ht="16.5">
      <c r="E3355" s="123"/>
    </row>
    <row r="3356" spans="5:5" ht="16.5">
      <c r="E3356" s="123"/>
    </row>
    <row r="3357" spans="5:5" ht="16.5">
      <c r="E3357" s="123"/>
    </row>
    <row r="3358" spans="5:5" ht="16.5">
      <c r="E3358" s="123"/>
    </row>
    <row r="3359" spans="5:5" ht="16.5">
      <c r="E3359" s="123"/>
    </row>
    <row r="3360" spans="5:5" ht="16.5">
      <c r="E3360" s="123"/>
    </row>
    <row r="3361" spans="5:5" ht="16.5">
      <c r="E3361" s="123"/>
    </row>
    <row r="3362" spans="5:5" ht="16.5">
      <c r="E3362" s="123"/>
    </row>
    <row r="3363" spans="5:5" ht="16.5">
      <c r="E3363" s="123"/>
    </row>
    <row r="3364" spans="5:5" ht="16.5">
      <c r="E3364" s="123"/>
    </row>
    <row r="3365" spans="5:5" ht="16.5">
      <c r="E3365" s="123"/>
    </row>
    <row r="3366" spans="5:5" ht="16.5">
      <c r="E3366" s="123"/>
    </row>
    <row r="3367" spans="5:5" ht="16.5">
      <c r="E3367" s="123"/>
    </row>
    <row r="3368" spans="5:5" ht="16.5">
      <c r="E3368" s="123"/>
    </row>
    <row r="3369" spans="5:5" ht="16.5">
      <c r="E3369" s="123"/>
    </row>
    <row r="3370" spans="5:5" ht="16.5">
      <c r="E3370" s="123"/>
    </row>
    <row r="3371" spans="5:5" ht="16.5">
      <c r="E3371" s="123"/>
    </row>
    <row r="3372" spans="5:5" ht="16.5">
      <c r="E3372" s="123"/>
    </row>
    <row r="3373" spans="5:5" ht="16.5">
      <c r="E3373" s="123"/>
    </row>
    <row r="3374" spans="5:5" ht="16.5">
      <c r="E3374" s="123"/>
    </row>
    <row r="3375" spans="5:5" ht="16.5">
      <c r="E3375" s="123"/>
    </row>
    <row r="3376" spans="5:5" ht="16.5">
      <c r="E3376" s="123"/>
    </row>
    <row r="3377" spans="5:5" ht="16.5">
      <c r="E3377" s="123"/>
    </row>
    <row r="3378" spans="5:5" ht="16.5">
      <c r="E3378" s="123"/>
    </row>
    <row r="3379" spans="5:5" ht="16.5">
      <c r="E3379" s="123"/>
    </row>
    <row r="3380" spans="5:5" ht="16.5">
      <c r="E3380" s="123"/>
    </row>
    <row r="3381" spans="5:5" ht="16.5">
      <c r="E3381" s="123"/>
    </row>
    <row r="3382" spans="5:5" ht="16.5">
      <c r="E3382" s="123"/>
    </row>
    <row r="3383" spans="5:5" ht="16.5">
      <c r="E3383" s="123"/>
    </row>
    <row r="3384" spans="5:5" ht="16.5">
      <c r="E3384" s="123"/>
    </row>
    <row r="3385" spans="5:5" ht="16.5">
      <c r="E3385" s="123"/>
    </row>
    <row r="3386" spans="5:5" ht="16.5">
      <c r="E3386" s="123"/>
    </row>
    <row r="3387" spans="5:5" ht="16.5">
      <c r="E3387" s="123"/>
    </row>
    <row r="3388" spans="5:5" ht="16.5">
      <c r="E3388" s="123"/>
    </row>
    <row r="3389" spans="5:5" ht="16.5">
      <c r="E3389" s="123"/>
    </row>
    <row r="3390" spans="5:5" ht="16.5">
      <c r="E3390" s="123"/>
    </row>
    <row r="3391" spans="5:5" ht="16.5">
      <c r="E3391" s="123"/>
    </row>
    <row r="3392" spans="5:5" ht="16.5">
      <c r="E3392" s="123"/>
    </row>
    <row r="3393" spans="5:5" ht="16.5">
      <c r="E3393" s="123"/>
    </row>
    <row r="3394" spans="5:5" ht="16.5">
      <c r="E3394" s="123"/>
    </row>
    <row r="3395" spans="5:5" ht="16.5">
      <c r="E3395" s="123"/>
    </row>
    <row r="3396" spans="5:5" ht="16.5">
      <c r="E3396" s="123"/>
    </row>
    <row r="3397" spans="5:5" ht="16.5">
      <c r="E3397" s="123"/>
    </row>
    <row r="3398" spans="5:5" ht="16.5">
      <c r="E3398" s="123"/>
    </row>
    <row r="3399" spans="5:5" ht="16.5">
      <c r="E3399" s="123"/>
    </row>
    <row r="3400" spans="5:5" ht="16.5">
      <c r="E3400" s="123"/>
    </row>
    <row r="3401" spans="5:5" ht="16.5">
      <c r="E3401" s="123"/>
    </row>
    <row r="3402" spans="5:5" ht="16.5">
      <c r="E3402" s="123"/>
    </row>
    <row r="3403" spans="5:5" ht="16.5">
      <c r="E3403" s="123"/>
    </row>
    <row r="3404" spans="5:5" ht="16.5">
      <c r="E3404" s="123"/>
    </row>
    <row r="3405" spans="5:5" ht="16.5">
      <c r="E3405" s="123"/>
    </row>
    <row r="3406" spans="5:5" ht="16.5">
      <c r="E3406" s="123"/>
    </row>
    <row r="3407" spans="5:5" ht="16.5">
      <c r="E3407" s="123"/>
    </row>
    <row r="3408" spans="5:5" ht="16.5">
      <c r="E3408" s="123"/>
    </row>
    <row r="3409" spans="5:5" ht="16.5">
      <c r="E3409" s="123"/>
    </row>
    <row r="3410" spans="5:5" ht="16.5">
      <c r="E3410" s="123"/>
    </row>
    <row r="3411" spans="5:5" ht="16.5">
      <c r="E3411" s="123"/>
    </row>
    <row r="3412" spans="5:5" ht="16.5">
      <c r="E3412" s="123"/>
    </row>
    <row r="3413" spans="5:5" ht="16.5">
      <c r="E3413" s="123"/>
    </row>
    <row r="3414" spans="5:5" ht="16.5">
      <c r="E3414" s="123"/>
    </row>
    <row r="3415" spans="5:5" ht="16.5">
      <c r="E3415" s="123"/>
    </row>
    <row r="3416" spans="5:5" ht="16.5">
      <c r="E3416" s="123"/>
    </row>
    <row r="3417" spans="5:5" ht="16.5">
      <c r="E3417" s="123"/>
    </row>
    <row r="3418" spans="5:5" ht="16.5">
      <c r="E3418" s="123"/>
    </row>
    <row r="3419" spans="5:5" ht="16.5">
      <c r="E3419" s="123"/>
    </row>
    <row r="3420" spans="5:5" ht="16.5">
      <c r="E3420" s="123"/>
    </row>
    <row r="3421" spans="5:5" ht="16.5">
      <c r="E3421" s="123"/>
    </row>
    <row r="3422" spans="5:5" ht="16.5">
      <c r="E3422" s="123"/>
    </row>
    <row r="3423" spans="5:5" ht="16.5">
      <c r="E3423" s="123"/>
    </row>
    <row r="3424" spans="5:5" ht="16.5">
      <c r="E3424" s="123"/>
    </row>
    <row r="3425" spans="5:5" ht="16.5">
      <c r="E3425" s="123"/>
    </row>
    <row r="3426" spans="5:5" ht="16.5">
      <c r="E3426" s="123"/>
    </row>
    <row r="3427" spans="5:5" ht="16.5">
      <c r="E3427" s="123"/>
    </row>
    <row r="3428" spans="5:5" ht="16.5">
      <c r="E3428" s="123"/>
    </row>
    <row r="3429" spans="5:5" ht="16.5">
      <c r="E3429" s="123"/>
    </row>
    <row r="3430" spans="5:5" ht="16.5">
      <c r="E3430" s="123"/>
    </row>
    <row r="3431" spans="5:5" ht="16.5">
      <c r="E3431" s="123"/>
    </row>
    <row r="3432" spans="5:5" ht="16.5">
      <c r="E3432" s="123"/>
    </row>
    <row r="3433" spans="5:5" ht="16.5">
      <c r="E3433" s="123"/>
    </row>
    <row r="3434" spans="5:5" ht="16.5">
      <c r="E3434" s="123"/>
    </row>
    <row r="3435" spans="5:5" ht="16.5">
      <c r="E3435" s="123"/>
    </row>
    <row r="3436" spans="5:5" ht="16.5">
      <c r="E3436" s="123"/>
    </row>
    <row r="3437" spans="5:5" ht="16.5">
      <c r="E3437" s="123"/>
    </row>
    <row r="3438" spans="5:5" ht="16.5">
      <c r="E3438" s="123"/>
    </row>
    <row r="3439" spans="5:5" ht="16.5">
      <c r="E3439" s="123"/>
    </row>
    <row r="3440" spans="5:5" ht="16.5">
      <c r="E3440" s="123"/>
    </row>
    <row r="3441" spans="5:5" ht="16.5">
      <c r="E3441" s="123"/>
    </row>
    <row r="3442" spans="5:5" ht="16.5">
      <c r="E3442" s="123"/>
    </row>
    <row r="3443" spans="5:5" ht="16.5">
      <c r="E3443" s="123"/>
    </row>
    <row r="3444" spans="5:5" ht="16.5">
      <c r="E3444" s="123"/>
    </row>
    <row r="3445" spans="5:5" ht="16.5">
      <c r="E3445" s="123"/>
    </row>
    <row r="3446" spans="5:5" ht="16.5">
      <c r="E3446" s="123"/>
    </row>
    <row r="3447" spans="5:5" ht="16.5">
      <c r="E3447" s="123"/>
    </row>
    <row r="3448" spans="5:5" ht="16.5">
      <c r="E3448" s="123"/>
    </row>
    <row r="3449" spans="5:5" ht="16.5">
      <c r="E3449" s="123"/>
    </row>
    <row r="3450" spans="5:5" ht="16.5">
      <c r="E3450" s="123"/>
    </row>
    <row r="3451" spans="5:5" ht="16.5">
      <c r="E3451" s="123"/>
    </row>
    <row r="3452" spans="5:5" ht="16.5">
      <c r="E3452" s="123"/>
    </row>
    <row r="3453" spans="5:5" ht="16.5">
      <c r="E3453" s="123"/>
    </row>
    <row r="3454" spans="5:5" ht="16.5">
      <c r="E3454" s="123"/>
    </row>
    <row r="3455" spans="5:5" ht="16.5">
      <c r="E3455" s="123"/>
    </row>
    <row r="3456" spans="5:5" ht="16.5">
      <c r="E3456" s="123"/>
    </row>
    <row r="3457" spans="5:5" ht="16.5">
      <c r="E3457" s="123"/>
    </row>
    <row r="3458" spans="5:5" ht="16.5">
      <c r="E3458" s="123"/>
    </row>
    <row r="3459" spans="5:5" ht="16.5">
      <c r="E3459" s="123"/>
    </row>
    <row r="3460" spans="5:5" ht="16.5">
      <c r="E3460" s="123"/>
    </row>
    <row r="3461" spans="5:5" ht="16.5">
      <c r="E3461" s="123"/>
    </row>
    <row r="3462" spans="5:5" ht="16.5">
      <c r="E3462" s="123"/>
    </row>
    <row r="3463" spans="5:5" ht="16.5">
      <c r="E3463" s="123"/>
    </row>
    <row r="3464" spans="5:5" ht="16.5">
      <c r="E3464" s="123"/>
    </row>
    <row r="3465" spans="5:5" ht="16.5">
      <c r="E3465" s="123"/>
    </row>
    <row r="3466" spans="5:5" ht="16.5">
      <c r="E3466" s="123"/>
    </row>
    <row r="3467" spans="5:5" ht="16.5">
      <c r="E3467" s="123"/>
    </row>
    <row r="3468" spans="5:5" ht="16.5">
      <c r="E3468" s="123"/>
    </row>
    <row r="3469" spans="5:5" ht="16.5">
      <c r="E3469" s="123"/>
    </row>
    <row r="3470" spans="5:5" ht="16.5">
      <c r="E3470" s="123"/>
    </row>
    <row r="3471" spans="5:5" ht="16.5">
      <c r="E3471" s="123"/>
    </row>
    <row r="3472" spans="5:5" ht="16.5">
      <c r="E3472" s="123"/>
    </row>
    <row r="3473" spans="5:5" ht="16.5">
      <c r="E3473" s="123"/>
    </row>
    <row r="3474" spans="5:5" ht="16.5">
      <c r="E3474" s="123"/>
    </row>
    <row r="3475" spans="5:5" ht="16.5">
      <c r="E3475" s="123"/>
    </row>
    <row r="3476" spans="5:5" ht="16.5">
      <c r="E3476" s="123"/>
    </row>
    <row r="3477" spans="5:5" ht="16.5">
      <c r="E3477" s="123"/>
    </row>
    <row r="3478" spans="5:5" ht="16.5">
      <c r="E3478" s="123"/>
    </row>
    <row r="3479" spans="5:5" ht="16.5">
      <c r="E3479" s="123"/>
    </row>
    <row r="3480" spans="5:5" ht="16.5">
      <c r="E3480" s="123"/>
    </row>
    <row r="3481" spans="5:5" ht="16.5">
      <c r="E3481" s="123"/>
    </row>
    <row r="3482" spans="5:5" ht="16.5">
      <c r="E3482" s="123"/>
    </row>
    <row r="3483" spans="5:5" ht="16.5">
      <c r="E3483" s="123"/>
    </row>
    <row r="3484" spans="5:5" ht="16.5">
      <c r="E3484" s="123"/>
    </row>
    <row r="3485" spans="5:5" ht="16.5">
      <c r="E3485" s="123"/>
    </row>
    <row r="3486" spans="5:5" ht="16.5">
      <c r="E3486" s="123"/>
    </row>
    <row r="3487" spans="5:5" ht="16.5">
      <c r="E3487" s="123"/>
    </row>
    <row r="3488" spans="5:5" ht="16.5">
      <c r="E3488" s="123"/>
    </row>
    <row r="3489" spans="5:5" ht="16.5">
      <c r="E3489" s="123"/>
    </row>
    <row r="3490" spans="5:5" ht="16.5">
      <c r="E3490" s="123"/>
    </row>
    <row r="3491" spans="5:5" ht="16.5">
      <c r="E3491" s="123"/>
    </row>
    <row r="3492" spans="5:5" ht="16.5">
      <c r="E3492" s="123"/>
    </row>
    <row r="3493" spans="5:5" ht="16.5">
      <c r="E3493" s="123"/>
    </row>
    <row r="3494" spans="5:5" ht="16.5">
      <c r="E3494" s="123"/>
    </row>
    <row r="3495" spans="5:5" ht="16.5">
      <c r="E3495" s="123"/>
    </row>
    <row r="3496" spans="5:5" ht="16.5">
      <c r="E3496" s="123"/>
    </row>
    <row r="3497" spans="5:5" ht="16.5">
      <c r="E3497" s="123"/>
    </row>
    <row r="3498" spans="5:5" ht="16.5">
      <c r="E3498" s="123"/>
    </row>
    <row r="3499" spans="5:5" ht="16.5">
      <c r="E3499" s="123"/>
    </row>
    <row r="3500" spans="5:5" ht="16.5">
      <c r="E3500" s="123"/>
    </row>
    <row r="3501" spans="5:5" ht="16.5">
      <c r="E3501" s="123"/>
    </row>
    <row r="3502" spans="5:5" ht="16.5">
      <c r="E3502" s="123"/>
    </row>
    <row r="3503" spans="5:5" ht="16.5">
      <c r="E3503" s="123"/>
    </row>
    <row r="3504" spans="5:5" ht="16.5">
      <c r="E3504" s="123"/>
    </row>
    <row r="3505" spans="5:5" ht="16.5">
      <c r="E3505" s="123"/>
    </row>
    <row r="3506" spans="5:5" ht="16.5">
      <c r="E3506" s="123"/>
    </row>
    <row r="3507" spans="5:5" ht="16.5">
      <c r="E3507" s="123"/>
    </row>
    <row r="3508" spans="5:5" ht="16.5">
      <c r="E3508" s="123"/>
    </row>
    <row r="3509" spans="5:5" ht="16.5">
      <c r="E3509" s="123"/>
    </row>
    <row r="3510" spans="5:5" ht="16.5">
      <c r="E3510" s="123"/>
    </row>
    <row r="3511" spans="5:5" ht="16.5">
      <c r="E3511" s="123"/>
    </row>
    <row r="3512" spans="5:5" ht="16.5">
      <c r="E3512" s="123"/>
    </row>
    <row r="3513" spans="5:5" ht="16.5">
      <c r="E3513" s="123"/>
    </row>
    <row r="3514" spans="5:5" ht="16.5">
      <c r="E3514" s="123"/>
    </row>
    <row r="3515" spans="5:5" ht="16.5">
      <c r="E3515" s="123"/>
    </row>
    <row r="3516" spans="5:5" ht="16.5">
      <c r="E3516" s="123"/>
    </row>
    <row r="3517" spans="5:5" ht="16.5">
      <c r="E3517" s="123"/>
    </row>
    <row r="3518" spans="5:5" ht="16.5">
      <c r="E3518" s="123"/>
    </row>
    <row r="3519" spans="5:5" ht="16.5">
      <c r="E3519" s="123"/>
    </row>
    <row r="3520" spans="5:5" ht="16.5">
      <c r="E3520" s="123"/>
    </row>
    <row r="3521" spans="5:5" ht="16.5">
      <c r="E3521" s="123"/>
    </row>
    <row r="3522" spans="5:5" ht="16.5">
      <c r="E3522" s="123"/>
    </row>
    <row r="3523" spans="5:5" ht="16.5">
      <c r="E3523" s="123"/>
    </row>
    <row r="3524" spans="5:5" ht="16.5">
      <c r="E3524" s="123"/>
    </row>
    <row r="3525" spans="5:5" ht="16.5">
      <c r="E3525" s="123"/>
    </row>
    <row r="3526" spans="5:5" ht="16.5">
      <c r="E3526" s="123"/>
    </row>
    <row r="3527" spans="5:5" ht="16.5">
      <c r="E3527" s="123"/>
    </row>
    <row r="3528" spans="5:5" ht="16.5">
      <c r="E3528" s="123"/>
    </row>
    <row r="3529" spans="5:5" ht="16.5">
      <c r="E3529" s="123"/>
    </row>
    <row r="3530" spans="5:5" ht="16.5">
      <c r="E3530" s="123"/>
    </row>
    <row r="3531" spans="5:5" ht="16.5">
      <c r="E3531" s="123"/>
    </row>
    <row r="3532" spans="5:5" ht="16.5">
      <c r="E3532" s="123"/>
    </row>
    <row r="3533" spans="5:5" ht="16.5">
      <c r="E3533" s="123"/>
    </row>
    <row r="3534" spans="5:5" ht="16.5">
      <c r="E3534" s="123"/>
    </row>
    <row r="3535" spans="5:5" ht="16.5">
      <c r="E3535" s="123"/>
    </row>
    <row r="3536" spans="5:5" ht="16.5">
      <c r="E3536" s="123"/>
    </row>
    <row r="3537" spans="5:5" ht="16.5">
      <c r="E3537" s="123"/>
    </row>
    <row r="3538" spans="5:5" ht="16.5">
      <c r="E3538" s="123"/>
    </row>
    <row r="3539" spans="5:5" ht="16.5">
      <c r="E3539" s="123"/>
    </row>
    <row r="3540" spans="5:5" ht="16.5">
      <c r="E3540" s="123"/>
    </row>
    <row r="3541" spans="5:5" ht="16.5">
      <c r="E3541" s="123"/>
    </row>
    <row r="3542" spans="5:5" ht="16.5">
      <c r="E3542" s="123"/>
    </row>
    <row r="3543" spans="5:5" ht="16.5">
      <c r="E3543" s="123"/>
    </row>
    <row r="3544" spans="5:5" ht="16.5">
      <c r="E3544" s="123"/>
    </row>
    <row r="3545" spans="5:5" ht="16.5">
      <c r="E3545" s="123"/>
    </row>
    <row r="3546" spans="5:5" ht="16.5">
      <c r="E3546" s="123"/>
    </row>
    <row r="3547" spans="5:5" ht="16.5">
      <c r="E3547" s="123"/>
    </row>
    <row r="3548" spans="5:5" ht="16.5">
      <c r="E3548" s="123"/>
    </row>
    <row r="3549" spans="5:5" ht="16.5">
      <c r="E3549" s="123"/>
    </row>
    <row r="3550" spans="5:5" ht="16.5">
      <c r="E3550" s="123"/>
    </row>
    <row r="3551" spans="5:5" ht="16.5">
      <c r="E3551" s="123"/>
    </row>
    <row r="3552" spans="5:5" ht="16.5">
      <c r="E3552" s="123"/>
    </row>
    <row r="3553" spans="5:5" ht="16.5">
      <c r="E3553" s="123"/>
    </row>
    <row r="3554" spans="5:5" ht="16.5">
      <c r="E3554" s="123"/>
    </row>
    <row r="3555" spans="5:5" ht="16.5">
      <c r="E3555" s="123"/>
    </row>
    <row r="3556" spans="5:5" ht="16.5">
      <c r="E3556" s="123"/>
    </row>
    <row r="3557" spans="5:5" ht="16.5">
      <c r="E3557" s="123"/>
    </row>
    <row r="3558" spans="5:5" ht="16.5">
      <c r="E3558" s="123"/>
    </row>
    <row r="3559" spans="5:5" ht="16.5">
      <c r="E3559" s="123"/>
    </row>
    <row r="3560" spans="5:5" ht="16.5">
      <c r="E3560" s="123"/>
    </row>
    <row r="3561" spans="5:5" ht="16.5">
      <c r="E3561" s="123"/>
    </row>
    <row r="3562" spans="5:5" ht="16.5">
      <c r="E3562" s="123"/>
    </row>
    <row r="3563" spans="5:5" ht="16.5">
      <c r="E3563" s="123"/>
    </row>
    <row r="3564" spans="5:5" ht="16.5">
      <c r="E3564" s="123"/>
    </row>
    <row r="3565" spans="5:5" ht="16.5">
      <c r="E3565" s="123"/>
    </row>
    <row r="3566" spans="5:5" ht="16.5">
      <c r="E3566" s="123"/>
    </row>
    <row r="3567" spans="5:5" ht="16.5">
      <c r="E3567" s="123"/>
    </row>
    <row r="3568" spans="5:5" ht="16.5">
      <c r="E3568" s="123"/>
    </row>
    <row r="3569" spans="5:5" ht="16.5">
      <c r="E3569" s="123"/>
    </row>
    <row r="3570" spans="5:5" ht="16.5">
      <c r="E3570" s="123"/>
    </row>
    <row r="3571" spans="5:5" ht="16.5">
      <c r="E3571" s="123"/>
    </row>
    <row r="3572" spans="5:5" ht="16.5">
      <c r="E3572" s="123"/>
    </row>
    <row r="3573" spans="5:5" ht="16.5">
      <c r="E3573" s="123"/>
    </row>
    <row r="3574" spans="5:5" ht="16.5">
      <c r="E3574" s="123"/>
    </row>
    <row r="3575" spans="5:5" ht="16.5">
      <c r="E3575" s="123"/>
    </row>
    <row r="3576" spans="5:5" ht="16.5">
      <c r="E3576" s="123"/>
    </row>
    <row r="3577" spans="5:5" ht="16.5">
      <c r="E3577" s="123"/>
    </row>
    <row r="3578" spans="5:5" ht="16.5">
      <c r="E3578" s="123"/>
    </row>
    <row r="3579" spans="5:5" ht="16.5">
      <c r="E3579" s="123"/>
    </row>
    <row r="3580" spans="5:5" ht="16.5">
      <c r="E3580" s="123"/>
    </row>
    <row r="3581" spans="5:5" ht="16.5">
      <c r="E3581" s="123"/>
    </row>
    <row r="3582" spans="5:5" ht="16.5">
      <c r="E3582" s="123"/>
    </row>
    <row r="3583" spans="5:5" ht="16.5">
      <c r="E3583" s="123"/>
    </row>
    <row r="3584" spans="5:5" ht="16.5">
      <c r="E3584" s="123"/>
    </row>
    <row r="3585" spans="5:5" ht="16.5">
      <c r="E3585" s="123"/>
    </row>
    <row r="3586" spans="5:5" ht="16.5">
      <c r="E3586" s="123"/>
    </row>
    <row r="3587" spans="5:5" ht="16.5">
      <c r="E3587" s="123"/>
    </row>
    <row r="3588" spans="5:5" ht="16.5">
      <c r="E3588" s="123"/>
    </row>
    <row r="3589" spans="5:5" ht="16.5">
      <c r="E3589" s="123"/>
    </row>
    <row r="3590" spans="5:5" ht="16.5">
      <c r="E3590" s="123"/>
    </row>
    <row r="3591" spans="5:5" ht="16.5">
      <c r="E3591" s="123"/>
    </row>
    <row r="3592" spans="5:5" ht="16.5">
      <c r="E3592" s="123"/>
    </row>
    <row r="3593" spans="5:5" ht="16.5">
      <c r="E3593" s="123"/>
    </row>
    <row r="3594" spans="5:5" ht="16.5">
      <c r="E3594" s="123"/>
    </row>
    <row r="3595" spans="5:5" ht="16.5">
      <c r="E3595" s="123"/>
    </row>
    <row r="3596" spans="5:5" ht="16.5">
      <c r="E3596" s="123"/>
    </row>
    <row r="3597" spans="5:5" ht="16.5">
      <c r="E3597" s="123"/>
    </row>
    <row r="3598" spans="5:5" ht="16.5">
      <c r="E3598" s="123"/>
    </row>
    <row r="3599" spans="5:5" ht="16.5">
      <c r="E3599" s="123"/>
    </row>
    <row r="3600" spans="5:5" ht="16.5">
      <c r="E3600" s="123"/>
    </row>
    <row r="3601" spans="5:5" ht="16.5">
      <c r="E3601" s="123"/>
    </row>
    <row r="3602" spans="5:5" ht="16.5">
      <c r="E3602" s="123"/>
    </row>
    <row r="3603" spans="5:5" ht="16.5">
      <c r="E3603" s="123"/>
    </row>
    <row r="3604" spans="5:5" ht="16.5">
      <c r="E3604" s="123"/>
    </row>
    <row r="3605" spans="5:5" ht="16.5">
      <c r="E3605" s="123"/>
    </row>
    <row r="3606" spans="5:5" ht="16.5">
      <c r="E3606" s="123"/>
    </row>
    <row r="3607" spans="5:5" ht="16.5">
      <c r="E3607" s="123"/>
    </row>
    <row r="3608" spans="5:5" ht="16.5">
      <c r="E3608" s="123"/>
    </row>
    <row r="3609" spans="5:5" ht="16.5">
      <c r="E3609" s="123"/>
    </row>
    <row r="3610" spans="5:5" ht="16.5">
      <c r="E3610" s="123"/>
    </row>
    <row r="3611" spans="5:5" ht="16.5">
      <c r="E3611" s="123"/>
    </row>
    <row r="3612" spans="5:5" ht="16.5">
      <c r="E3612" s="123"/>
    </row>
    <row r="3613" spans="5:5" ht="16.5">
      <c r="E3613" s="123"/>
    </row>
    <row r="3614" spans="5:5" ht="16.5">
      <c r="E3614" s="123"/>
    </row>
    <row r="3615" spans="5:5" ht="16.5">
      <c r="E3615" s="123"/>
    </row>
    <row r="3616" spans="5:5" ht="16.5">
      <c r="E3616" s="123"/>
    </row>
    <row r="3617" spans="5:5" ht="16.5">
      <c r="E3617" s="123"/>
    </row>
    <row r="3618" spans="5:5" ht="16.5">
      <c r="E3618" s="123"/>
    </row>
    <row r="3619" spans="5:5" ht="16.5">
      <c r="E3619" s="123"/>
    </row>
    <row r="3620" spans="5:5" ht="16.5">
      <c r="E3620" s="123"/>
    </row>
    <row r="3621" spans="5:5" ht="16.5">
      <c r="E3621" s="123"/>
    </row>
    <row r="3622" spans="5:5" ht="16.5">
      <c r="E3622" s="123"/>
    </row>
    <row r="3623" spans="5:5" ht="16.5">
      <c r="E3623" s="123"/>
    </row>
    <row r="3624" spans="5:5" ht="16.5">
      <c r="E3624" s="123"/>
    </row>
    <row r="3625" spans="5:5" ht="16.5">
      <c r="E3625" s="123"/>
    </row>
    <row r="3626" spans="5:5" ht="16.5">
      <c r="E3626" s="123"/>
    </row>
    <row r="3627" spans="5:5" ht="16.5">
      <c r="E3627" s="123"/>
    </row>
    <row r="3628" spans="5:5" ht="16.5">
      <c r="E3628" s="123"/>
    </row>
    <row r="3629" spans="5:5" ht="16.5">
      <c r="E3629" s="123"/>
    </row>
    <row r="3630" spans="5:5" ht="16.5">
      <c r="E3630" s="123"/>
    </row>
    <row r="3631" spans="5:5" ht="16.5">
      <c r="E3631" s="123"/>
    </row>
    <row r="3632" spans="5:5" ht="16.5">
      <c r="E3632" s="123"/>
    </row>
    <row r="3633" spans="5:5" ht="16.5">
      <c r="E3633" s="123"/>
    </row>
    <row r="3634" spans="5:5" ht="16.5">
      <c r="E3634" s="123"/>
    </row>
    <row r="3635" spans="5:5" ht="16.5">
      <c r="E3635" s="123"/>
    </row>
    <row r="3636" spans="5:5" ht="16.5">
      <c r="E3636" s="123"/>
    </row>
    <row r="3637" spans="5:5" ht="16.5">
      <c r="E3637" s="123"/>
    </row>
    <row r="3638" spans="5:5" ht="16.5">
      <c r="E3638" s="123"/>
    </row>
    <row r="3639" spans="5:5" ht="16.5">
      <c r="E3639" s="123"/>
    </row>
    <row r="3640" spans="5:5" ht="16.5">
      <c r="E3640" s="123"/>
    </row>
    <row r="3641" spans="5:5" ht="16.5">
      <c r="E3641" s="123"/>
    </row>
    <row r="3642" spans="5:5" ht="16.5">
      <c r="E3642" s="123"/>
    </row>
    <row r="3643" spans="5:5" ht="16.5">
      <c r="E3643" s="123"/>
    </row>
    <row r="3644" spans="5:5" ht="16.5">
      <c r="E3644" s="123"/>
    </row>
    <row r="3645" spans="5:5" ht="16.5">
      <c r="E3645" s="123"/>
    </row>
    <row r="3646" spans="5:5" ht="16.5">
      <c r="E3646" s="123"/>
    </row>
    <row r="3647" spans="5:5" ht="16.5">
      <c r="E3647" s="123"/>
    </row>
    <row r="3648" spans="5:5" ht="16.5">
      <c r="E3648" s="123"/>
    </row>
    <row r="3649" spans="5:5" ht="16.5">
      <c r="E3649" s="123"/>
    </row>
    <row r="3650" spans="5:5" ht="16.5">
      <c r="E3650" s="123"/>
    </row>
    <row r="3651" spans="5:5" ht="16.5">
      <c r="E3651" s="123"/>
    </row>
    <row r="3652" spans="5:5" ht="16.5">
      <c r="E3652" s="123"/>
    </row>
    <row r="3653" spans="5:5" ht="16.5">
      <c r="E3653" s="123"/>
    </row>
    <row r="3654" spans="5:5" ht="16.5">
      <c r="E3654" s="123"/>
    </row>
    <row r="3655" spans="5:5" ht="16.5">
      <c r="E3655" s="123"/>
    </row>
    <row r="3656" spans="5:5" ht="16.5">
      <c r="E3656" s="123"/>
    </row>
    <row r="3657" spans="5:5" ht="16.5">
      <c r="E3657" s="123"/>
    </row>
    <row r="3658" spans="5:5" ht="16.5">
      <c r="E3658" s="123"/>
    </row>
    <row r="3659" spans="5:5" ht="16.5">
      <c r="E3659" s="123"/>
    </row>
    <row r="3660" spans="5:5" ht="16.5">
      <c r="E3660" s="123"/>
    </row>
    <row r="3661" spans="5:5" ht="16.5">
      <c r="E3661" s="123"/>
    </row>
    <row r="3662" spans="5:5" ht="16.5">
      <c r="E3662" s="123"/>
    </row>
    <row r="3663" spans="5:5" ht="16.5">
      <c r="E3663" s="123"/>
    </row>
    <row r="3664" spans="5:5" ht="16.5">
      <c r="E3664" s="123"/>
    </row>
    <row r="3665" spans="5:5" ht="16.5">
      <c r="E3665" s="123"/>
    </row>
    <row r="3666" spans="5:5" ht="16.5">
      <c r="E3666" s="123"/>
    </row>
    <row r="3667" spans="5:5" ht="16.5">
      <c r="E3667" s="123"/>
    </row>
    <row r="3668" spans="5:5" ht="16.5">
      <c r="E3668" s="123"/>
    </row>
    <row r="3669" spans="5:5" ht="16.5">
      <c r="E3669" s="123"/>
    </row>
    <row r="3670" spans="5:5" ht="16.5">
      <c r="E3670" s="123"/>
    </row>
    <row r="3671" spans="5:5" ht="16.5">
      <c r="E3671" s="123"/>
    </row>
    <row r="3672" spans="5:5" ht="16.5">
      <c r="E3672" s="123"/>
    </row>
    <row r="3673" spans="5:5" ht="16.5">
      <c r="E3673" s="123"/>
    </row>
    <row r="3674" spans="5:5" ht="16.5">
      <c r="E3674" s="123"/>
    </row>
    <row r="3675" spans="5:5" ht="16.5">
      <c r="E3675" s="123"/>
    </row>
    <row r="3676" spans="5:5" ht="16.5">
      <c r="E3676" s="123"/>
    </row>
    <row r="3677" spans="5:5" ht="16.5">
      <c r="E3677" s="123"/>
    </row>
    <row r="3678" spans="5:5" ht="16.5">
      <c r="E3678" s="123"/>
    </row>
    <row r="3679" spans="5:5" ht="16.5">
      <c r="E3679" s="123"/>
    </row>
    <row r="3680" spans="5:5" ht="16.5">
      <c r="E3680" s="123"/>
    </row>
    <row r="3681" spans="5:5" ht="16.5">
      <c r="E3681" s="123"/>
    </row>
    <row r="3682" spans="5:5" ht="16.5">
      <c r="E3682" s="123"/>
    </row>
    <row r="3683" spans="5:5" ht="16.5">
      <c r="E3683" s="123"/>
    </row>
    <row r="3684" spans="5:5" ht="16.5">
      <c r="E3684" s="123"/>
    </row>
    <row r="3685" spans="5:5" ht="16.5">
      <c r="E3685" s="123"/>
    </row>
    <row r="3686" spans="5:5" ht="16.5">
      <c r="E3686" s="123"/>
    </row>
    <row r="3687" spans="5:5" ht="16.5">
      <c r="E3687" s="123"/>
    </row>
    <row r="3688" spans="5:5" ht="16.5">
      <c r="E3688" s="123"/>
    </row>
    <row r="3689" spans="5:5" ht="16.5">
      <c r="E3689" s="123"/>
    </row>
    <row r="3690" spans="5:5" ht="16.5">
      <c r="E3690" s="123"/>
    </row>
    <row r="3691" spans="5:5" ht="16.5">
      <c r="E3691" s="123"/>
    </row>
    <row r="3692" spans="5:5" ht="16.5">
      <c r="E3692" s="123"/>
    </row>
    <row r="3693" spans="5:5" ht="16.5">
      <c r="E3693" s="123"/>
    </row>
    <row r="3694" spans="5:5" ht="16.5">
      <c r="E3694" s="123"/>
    </row>
    <row r="3695" spans="5:5" ht="16.5">
      <c r="E3695" s="123"/>
    </row>
    <row r="3696" spans="5:5" ht="16.5">
      <c r="E3696" s="123"/>
    </row>
    <row r="3697" spans="5:5" ht="16.5">
      <c r="E3697" s="123"/>
    </row>
    <row r="3698" spans="5:5" ht="16.5">
      <c r="E3698" s="123"/>
    </row>
    <row r="3699" spans="5:5" ht="16.5">
      <c r="E3699" s="123"/>
    </row>
    <row r="3700" spans="5:5" ht="16.5">
      <c r="E3700" s="123"/>
    </row>
    <row r="3701" spans="5:5" ht="16.5">
      <c r="E3701" s="123"/>
    </row>
    <row r="3702" spans="5:5" ht="16.5">
      <c r="E3702" s="123"/>
    </row>
    <row r="3703" spans="5:5" ht="16.5">
      <c r="E3703" s="123"/>
    </row>
    <row r="3704" spans="5:5" ht="16.5">
      <c r="E3704" s="123"/>
    </row>
    <row r="3705" spans="5:5" ht="16.5">
      <c r="E3705" s="123"/>
    </row>
    <row r="3706" spans="5:5" ht="16.5">
      <c r="E3706" s="123"/>
    </row>
    <row r="3707" spans="5:5" ht="16.5">
      <c r="E3707" s="123"/>
    </row>
    <row r="3708" spans="5:5" ht="16.5">
      <c r="E3708" s="123"/>
    </row>
    <row r="3709" spans="5:5" ht="16.5">
      <c r="E3709" s="123"/>
    </row>
    <row r="3710" spans="5:5" ht="16.5">
      <c r="E3710" s="123"/>
    </row>
    <row r="3711" spans="5:5" ht="16.5">
      <c r="E3711" s="123"/>
    </row>
    <row r="3712" spans="5:5" ht="16.5">
      <c r="E3712" s="123"/>
    </row>
    <row r="3713" spans="5:5" ht="16.5">
      <c r="E3713" s="123"/>
    </row>
    <row r="3714" spans="5:5" ht="16.5">
      <c r="E3714" s="123"/>
    </row>
    <row r="3715" spans="5:5" ht="16.5">
      <c r="E3715" s="123"/>
    </row>
    <row r="3716" spans="5:5" ht="16.5">
      <c r="E3716" s="123"/>
    </row>
    <row r="3717" spans="5:5" ht="16.5">
      <c r="E3717" s="123"/>
    </row>
    <row r="3718" spans="5:5" ht="16.5">
      <c r="E3718" s="123"/>
    </row>
    <row r="3719" spans="5:5" ht="16.5">
      <c r="E3719" s="123"/>
    </row>
    <row r="3720" spans="5:5" ht="16.5">
      <c r="E3720" s="123"/>
    </row>
    <row r="3721" spans="5:5" ht="16.5">
      <c r="E3721" s="123"/>
    </row>
    <row r="3722" spans="5:5" ht="16.5">
      <c r="E3722" s="123"/>
    </row>
    <row r="3723" spans="5:5" ht="16.5">
      <c r="E3723" s="123"/>
    </row>
    <row r="3724" spans="5:5" ht="16.5">
      <c r="E3724" s="123"/>
    </row>
    <row r="3725" spans="5:5" ht="16.5">
      <c r="E3725" s="123"/>
    </row>
    <row r="3726" spans="5:5" ht="16.5">
      <c r="E3726" s="123"/>
    </row>
    <row r="3727" spans="5:5" ht="16.5">
      <c r="E3727" s="123"/>
    </row>
    <row r="3728" spans="5:5" ht="16.5">
      <c r="E3728" s="123"/>
    </row>
    <row r="3729" spans="5:5" ht="16.5">
      <c r="E3729" s="123"/>
    </row>
    <row r="3730" spans="5:5" ht="16.5">
      <c r="E3730" s="123"/>
    </row>
    <row r="3731" spans="5:5" ht="16.5">
      <c r="E3731" s="123"/>
    </row>
    <row r="3732" spans="5:5" ht="16.5">
      <c r="E3732" s="123"/>
    </row>
    <row r="3733" spans="5:5" ht="16.5">
      <c r="E3733" s="123"/>
    </row>
    <row r="3734" spans="5:5" ht="16.5">
      <c r="E3734" s="123"/>
    </row>
    <row r="3735" spans="5:5" ht="16.5">
      <c r="E3735" s="123"/>
    </row>
    <row r="3736" spans="5:5" ht="16.5">
      <c r="E3736" s="123"/>
    </row>
    <row r="3737" spans="5:5" ht="16.5">
      <c r="E3737" s="123"/>
    </row>
    <row r="3738" spans="5:5" ht="16.5">
      <c r="E3738" s="123"/>
    </row>
    <row r="3739" spans="5:5" ht="16.5">
      <c r="E3739" s="123"/>
    </row>
    <row r="3740" spans="5:5" ht="16.5">
      <c r="E3740" s="123"/>
    </row>
    <row r="3741" spans="5:5" ht="16.5">
      <c r="E3741" s="123"/>
    </row>
    <row r="3742" spans="5:5" ht="16.5">
      <c r="E3742" s="123"/>
    </row>
    <row r="3743" spans="5:5" ht="16.5">
      <c r="E3743" s="123"/>
    </row>
    <row r="3744" spans="5:5" ht="16.5">
      <c r="E3744" s="123"/>
    </row>
    <row r="3745" spans="5:5" ht="16.5">
      <c r="E3745" s="123"/>
    </row>
    <row r="3746" spans="5:5" ht="16.5">
      <c r="E3746" s="123"/>
    </row>
    <row r="3747" spans="5:5" ht="16.5">
      <c r="E3747" s="123"/>
    </row>
    <row r="3748" spans="5:5" ht="16.5">
      <c r="E3748" s="123"/>
    </row>
    <row r="3749" spans="5:5" ht="16.5">
      <c r="E3749" s="123"/>
    </row>
    <row r="3750" spans="5:5" ht="16.5">
      <c r="E3750" s="123"/>
    </row>
    <row r="3751" spans="5:5" ht="16.5">
      <c r="E3751" s="123"/>
    </row>
    <row r="3752" spans="5:5" ht="16.5">
      <c r="E3752" s="123"/>
    </row>
    <row r="3753" spans="5:5" ht="16.5">
      <c r="E3753" s="123"/>
    </row>
    <row r="3754" spans="5:5" ht="16.5">
      <c r="E3754" s="123"/>
    </row>
    <row r="3755" spans="5:5" ht="16.5">
      <c r="E3755" s="123"/>
    </row>
    <row r="3756" spans="5:5" ht="16.5">
      <c r="E3756" s="123"/>
    </row>
    <row r="3757" spans="5:5" ht="16.5">
      <c r="E3757" s="123"/>
    </row>
    <row r="3758" spans="5:5" ht="16.5">
      <c r="E3758" s="123"/>
    </row>
    <row r="3759" spans="5:5" ht="16.5">
      <c r="E3759" s="123"/>
    </row>
    <row r="3760" spans="5:5" ht="16.5">
      <c r="E3760" s="123"/>
    </row>
    <row r="3761" spans="5:5" ht="16.5">
      <c r="E3761" s="123"/>
    </row>
    <row r="3762" spans="5:5" ht="16.5">
      <c r="E3762" s="123"/>
    </row>
    <row r="3763" spans="5:5" ht="16.5">
      <c r="E3763" s="123"/>
    </row>
    <row r="3764" spans="5:5" ht="16.5">
      <c r="E3764" s="123"/>
    </row>
    <row r="3765" spans="5:5" ht="16.5">
      <c r="E3765" s="123"/>
    </row>
    <row r="3766" spans="5:5" ht="16.5">
      <c r="E3766" s="123"/>
    </row>
    <row r="3767" spans="5:5" ht="16.5">
      <c r="E3767" s="123"/>
    </row>
    <row r="3768" spans="5:5" ht="16.5">
      <c r="E3768" s="123"/>
    </row>
    <row r="3769" spans="5:5" ht="16.5">
      <c r="E3769" s="123"/>
    </row>
    <row r="3770" spans="5:5" ht="16.5">
      <c r="E3770" s="123"/>
    </row>
    <row r="3771" spans="5:5" ht="16.5">
      <c r="E3771" s="123"/>
    </row>
    <row r="3772" spans="5:5" ht="16.5">
      <c r="E3772" s="123"/>
    </row>
    <row r="3773" spans="5:5" ht="16.5">
      <c r="E3773" s="123"/>
    </row>
    <row r="3774" spans="5:5" ht="16.5">
      <c r="E3774" s="123"/>
    </row>
    <row r="3775" spans="5:5" ht="16.5">
      <c r="E3775" s="123"/>
    </row>
    <row r="3776" spans="5:5" ht="16.5">
      <c r="E3776" s="123"/>
    </row>
    <row r="3777" spans="5:5" ht="16.5">
      <c r="E3777" s="123"/>
    </row>
    <row r="3778" spans="5:5" ht="16.5">
      <c r="E3778" s="123"/>
    </row>
    <row r="3779" spans="5:5" ht="16.5">
      <c r="E3779" s="123"/>
    </row>
    <row r="3780" spans="5:5" ht="16.5">
      <c r="E3780" s="123"/>
    </row>
    <row r="3781" spans="5:5" ht="16.5">
      <c r="E3781" s="123"/>
    </row>
    <row r="3782" spans="5:5" ht="16.5">
      <c r="E3782" s="123"/>
    </row>
    <row r="3783" spans="5:5" ht="16.5">
      <c r="E3783" s="123"/>
    </row>
    <row r="3784" spans="5:5" ht="16.5">
      <c r="E3784" s="123"/>
    </row>
    <row r="3785" spans="5:5" ht="16.5">
      <c r="E3785" s="123"/>
    </row>
    <row r="3786" spans="5:5" ht="16.5">
      <c r="E3786" s="123"/>
    </row>
    <row r="3787" spans="5:5" ht="16.5">
      <c r="E3787" s="123"/>
    </row>
    <row r="3788" spans="5:5" ht="16.5">
      <c r="E3788" s="123"/>
    </row>
    <row r="3789" spans="5:5" ht="16.5">
      <c r="E3789" s="123"/>
    </row>
    <row r="3790" spans="5:5" ht="16.5">
      <c r="E3790" s="123"/>
    </row>
    <row r="3791" spans="5:5" ht="16.5">
      <c r="E3791" s="123"/>
    </row>
    <row r="3792" spans="5:5" ht="16.5">
      <c r="E3792" s="123"/>
    </row>
    <row r="3793" spans="5:5" ht="16.5">
      <c r="E3793" s="123"/>
    </row>
    <row r="3794" spans="5:5" ht="16.5">
      <c r="E3794" s="123"/>
    </row>
    <row r="3795" spans="5:5" ht="16.5">
      <c r="E3795" s="123"/>
    </row>
    <row r="3796" spans="5:5" ht="16.5">
      <c r="E3796" s="123"/>
    </row>
    <row r="3797" spans="5:5" ht="16.5">
      <c r="E3797" s="123"/>
    </row>
    <row r="3798" spans="5:5" ht="16.5">
      <c r="E3798" s="123"/>
    </row>
    <row r="3799" spans="5:5" ht="16.5">
      <c r="E3799" s="123"/>
    </row>
    <row r="3800" spans="5:5" ht="16.5">
      <c r="E3800" s="123"/>
    </row>
    <row r="3801" spans="5:5" ht="16.5">
      <c r="E3801" s="123"/>
    </row>
    <row r="3802" spans="5:5" ht="16.5">
      <c r="E3802" s="123"/>
    </row>
    <row r="3803" spans="5:5" ht="16.5">
      <c r="E3803" s="123"/>
    </row>
    <row r="3804" spans="5:5" ht="16.5">
      <c r="E3804" s="123"/>
    </row>
    <row r="3805" spans="5:5" ht="16.5">
      <c r="E3805" s="123"/>
    </row>
    <row r="3806" spans="5:5" ht="16.5">
      <c r="E3806" s="123"/>
    </row>
    <row r="3807" spans="5:5" ht="16.5">
      <c r="E3807" s="123"/>
    </row>
    <row r="3808" spans="5:5" ht="16.5">
      <c r="E3808" s="123"/>
    </row>
    <row r="3809" spans="5:5" ht="16.5">
      <c r="E3809" s="123"/>
    </row>
    <row r="3810" spans="5:5" ht="16.5">
      <c r="E3810" s="123"/>
    </row>
    <row r="3811" spans="5:5" ht="16.5">
      <c r="E3811" s="123"/>
    </row>
    <row r="3812" spans="5:5" ht="16.5">
      <c r="E3812" s="123"/>
    </row>
    <row r="3813" spans="5:5" ht="16.5">
      <c r="E3813" s="123"/>
    </row>
    <row r="3814" spans="5:5" ht="16.5">
      <c r="E3814" s="123"/>
    </row>
    <row r="3815" spans="5:5" ht="16.5">
      <c r="E3815" s="123"/>
    </row>
    <row r="3816" spans="5:5" ht="16.5">
      <c r="E3816" s="123"/>
    </row>
    <row r="3817" spans="5:5" ht="16.5">
      <c r="E3817" s="123"/>
    </row>
    <row r="3818" spans="5:5" ht="16.5">
      <c r="E3818" s="123"/>
    </row>
    <row r="3819" spans="5:5" ht="16.5">
      <c r="E3819" s="123"/>
    </row>
    <row r="3820" spans="5:5" ht="16.5">
      <c r="E3820" s="123"/>
    </row>
    <row r="3821" spans="5:5" ht="16.5">
      <c r="E3821" s="123"/>
    </row>
    <row r="3822" spans="5:5" ht="16.5">
      <c r="E3822" s="123"/>
    </row>
    <row r="3823" spans="5:5" ht="16.5">
      <c r="E3823" s="123"/>
    </row>
    <row r="3824" spans="5:5" ht="16.5">
      <c r="E3824" s="123"/>
    </row>
    <row r="3825" spans="5:5" ht="16.5">
      <c r="E3825" s="123"/>
    </row>
    <row r="3826" spans="5:5" ht="16.5">
      <c r="E3826" s="123"/>
    </row>
    <row r="3827" spans="5:5" ht="16.5">
      <c r="E3827" s="123"/>
    </row>
    <row r="3828" spans="5:5" ht="16.5">
      <c r="E3828" s="123"/>
    </row>
    <row r="3829" spans="5:5" ht="16.5">
      <c r="E3829" s="123"/>
    </row>
    <row r="3830" spans="5:5" ht="16.5">
      <c r="E3830" s="123"/>
    </row>
    <row r="3831" spans="5:5" ht="16.5">
      <c r="E3831" s="123"/>
    </row>
    <row r="3832" spans="5:5" ht="16.5">
      <c r="E3832" s="123"/>
    </row>
    <row r="3833" spans="5:5" ht="16.5">
      <c r="E3833" s="123"/>
    </row>
    <row r="3834" spans="5:5" ht="16.5">
      <c r="E3834" s="123"/>
    </row>
    <row r="3835" spans="5:5" ht="16.5">
      <c r="E3835" s="123"/>
    </row>
    <row r="3836" spans="5:5" ht="16.5">
      <c r="E3836" s="123"/>
    </row>
    <row r="3837" spans="5:5" ht="16.5">
      <c r="E3837" s="123"/>
    </row>
    <row r="3838" spans="5:5" ht="16.5">
      <c r="E3838" s="123"/>
    </row>
    <row r="3839" spans="5:5" ht="16.5">
      <c r="E3839" s="123"/>
    </row>
    <row r="3840" spans="5:5" ht="16.5">
      <c r="E3840" s="123"/>
    </row>
    <row r="3841" spans="5:5" ht="16.5">
      <c r="E3841" s="123"/>
    </row>
    <row r="3842" spans="5:5" ht="16.5">
      <c r="E3842" s="123"/>
    </row>
    <row r="3843" spans="5:5" ht="16.5">
      <c r="E3843" s="123"/>
    </row>
    <row r="3844" spans="5:5" ht="16.5">
      <c r="E3844" s="123"/>
    </row>
    <row r="3845" spans="5:5" ht="16.5">
      <c r="E3845" s="123"/>
    </row>
    <row r="3846" spans="5:5" ht="16.5">
      <c r="E3846" s="123"/>
    </row>
    <row r="3847" spans="5:5" ht="16.5">
      <c r="E3847" s="123"/>
    </row>
    <row r="3848" spans="5:5" ht="16.5">
      <c r="E3848" s="123"/>
    </row>
    <row r="3849" spans="5:5" ht="16.5">
      <c r="E3849" s="123"/>
    </row>
    <row r="3850" spans="5:5" ht="16.5">
      <c r="E3850" s="123"/>
    </row>
    <row r="3851" spans="5:5" ht="16.5">
      <c r="E3851" s="123"/>
    </row>
    <row r="3852" spans="5:5" ht="16.5">
      <c r="E3852" s="123"/>
    </row>
    <row r="3853" spans="5:5" ht="16.5">
      <c r="E3853" s="123"/>
    </row>
    <row r="3854" spans="5:5" ht="16.5">
      <c r="E3854" s="123"/>
    </row>
    <row r="3855" spans="5:5" ht="16.5">
      <c r="E3855" s="123"/>
    </row>
    <row r="3856" spans="5:5" ht="16.5">
      <c r="E3856" s="123"/>
    </row>
    <row r="3857" spans="5:5" ht="16.5">
      <c r="E3857" s="123"/>
    </row>
    <row r="3858" spans="5:5" ht="16.5">
      <c r="E3858" s="123"/>
    </row>
    <row r="3859" spans="5:5" ht="16.5">
      <c r="E3859" s="123"/>
    </row>
    <row r="3860" spans="5:5" ht="16.5">
      <c r="E3860" s="123"/>
    </row>
    <row r="3861" spans="5:5" ht="16.5">
      <c r="E3861" s="123"/>
    </row>
    <row r="3862" spans="5:5" ht="16.5">
      <c r="E3862" s="123"/>
    </row>
    <row r="3863" spans="5:5" ht="16.5">
      <c r="E3863" s="123"/>
    </row>
    <row r="3864" spans="5:5" ht="16.5">
      <c r="E3864" s="123"/>
    </row>
    <row r="3865" spans="5:5" ht="16.5">
      <c r="E3865" s="123"/>
    </row>
    <row r="3866" spans="5:5" ht="16.5">
      <c r="E3866" s="123"/>
    </row>
    <row r="3867" spans="5:5" ht="16.5">
      <c r="E3867" s="123"/>
    </row>
    <row r="3868" spans="5:5" ht="16.5">
      <c r="E3868" s="123"/>
    </row>
    <row r="3869" spans="5:5" ht="16.5">
      <c r="E3869" s="123"/>
    </row>
    <row r="3870" spans="5:5" ht="16.5">
      <c r="E3870" s="123"/>
    </row>
    <row r="3871" spans="5:5" ht="16.5">
      <c r="E3871" s="123"/>
    </row>
    <row r="3872" spans="5:5" ht="16.5">
      <c r="E3872" s="123"/>
    </row>
    <row r="3873" spans="5:5" ht="16.5">
      <c r="E3873" s="123"/>
    </row>
    <row r="3874" spans="5:5" ht="16.5">
      <c r="E3874" s="123"/>
    </row>
    <row r="3875" spans="5:5" ht="16.5">
      <c r="E3875" s="123"/>
    </row>
    <row r="3876" spans="5:5" ht="16.5">
      <c r="E3876" s="123"/>
    </row>
    <row r="3877" spans="5:5" ht="16.5">
      <c r="E3877" s="123"/>
    </row>
    <row r="3878" spans="5:5" ht="16.5">
      <c r="E3878" s="123"/>
    </row>
    <row r="3879" spans="5:5" ht="16.5">
      <c r="E3879" s="123"/>
    </row>
    <row r="3880" spans="5:5" ht="16.5">
      <c r="E3880" s="123"/>
    </row>
    <row r="3881" spans="5:5" ht="16.5">
      <c r="E3881" s="123"/>
    </row>
    <row r="3882" spans="5:5" ht="16.5">
      <c r="E3882" s="123"/>
    </row>
    <row r="3883" spans="5:5" ht="16.5">
      <c r="E3883" s="123"/>
    </row>
    <row r="3884" spans="5:5" ht="16.5">
      <c r="E3884" s="123"/>
    </row>
    <row r="3885" spans="5:5" ht="16.5">
      <c r="E3885" s="123"/>
    </row>
    <row r="3886" spans="5:5" ht="16.5">
      <c r="E3886" s="123"/>
    </row>
    <row r="3887" spans="5:5" ht="16.5">
      <c r="E3887" s="123"/>
    </row>
    <row r="3888" spans="5:5" ht="16.5">
      <c r="E3888" s="123"/>
    </row>
    <row r="3889" spans="5:5" ht="16.5">
      <c r="E3889" s="123"/>
    </row>
    <row r="3890" spans="5:5" ht="16.5">
      <c r="E3890" s="123"/>
    </row>
    <row r="3891" spans="5:5" ht="16.5">
      <c r="E3891" s="123"/>
    </row>
    <row r="3892" spans="5:5" ht="16.5">
      <c r="E3892" s="123"/>
    </row>
    <row r="3893" spans="5:5" ht="16.5">
      <c r="E3893" s="123"/>
    </row>
    <row r="3894" spans="5:5" ht="16.5">
      <c r="E3894" s="123"/>
    </row>
    <row r="3895" spans="5:5" ht="16.5">
      <c r="E3895" s="123"/>
    </row>
    <row r="3896" spans="5:5" ht="16.5">
      <c r="E3896" s="123"/>
    </row>
    <row r="3897" spans="5:5" ht="16.5">
      <c r="E3897" s="123"/>
    </row>
    <row r="3898" spans="5:5" ht="16.5">
      <c r="E3898" s="123"/>
    </row>
    <row r="3899" spans="5:5" ht="16.5">
      <c r="E3899" s="123"/>
    </row>
    <row r="3900" spans="5:5" ht="16.5">
      <c r="E3900" s="123"/>
    </row>
    <row r="3901" spans="5:5" ht="16.5">
      <c r="E3901" s="123"/>
    </row>
    <row r="3902" spans="5:5" ht="16.5">
      <c r="E3902" s="123"/>
    </row>
    <row r="3903" spans="5:5" ht="16.5">
      <c r="E3903" s="123"/>
    </row>
    <row r="3904" spans="5:5" ht="16.5">
      <c r="E3904" s="123"/>
    </row>
    <row r="3905" spans="5:5" ht="16.5">
      <c r="E3905" s="123"/>
    </row>
    <row r="3906" spans="5:5" ht="16.5">
      <c r="E3906" s="123"/>
    </row>
    <row r="3907" spans="5:5" ht="16.5">
      <c r="E3907" s="123"/>
    </row>
    <row r="3908" spans="5:5" ht="16.5">
      <c r="E3908" s="123"/>
    </row>
    <row r="3909" spans="5:5" ht="16.5">
      <c r="E3909" s="123"/>
    </row>
    <row r="3910" spans="5:5" ht="16.5">
      <c r="E3910" s="123"/>
    </row>
    <row r="3911" spans="5:5" ht="16.5">
      <c r="E3911" s="123"/>
    </row>
    <row r="3912" spans="5:5" ht="16.5">
      <c r="E3912" s="123"/>
    </row>
    <row r="3913" spans="5:5" ht="16.5">
      <c r="E3913" s="123"/>
    </row>
    <row r="3914" spans="5:5" ht="16.5">
      <c r="E3914" s="123"/>
    </row>
    <row r="3915" spans="5:5" ht="16.5">
      <c r="E3915" s="123"/>
    </row>
    <row r="3916" spans="5:5" ht="16.5">
      <c r="E3916" s="123"/>
    </row>
    <row r="3917" spans="5:5" ht="16.5">
      <c r="E3917" s="123"/>
    </row>
    <row r="3918" spans="5:5" ht="16.5">
      <c r="E3918" s="123"/>
    </row>
    <row r="3919" spans="5:5" ht="16.5">
      <c r="E3919" s="123"/>
    </row>
    <row r="3920" spans="5:5" ht="16.5">
      <c r="E3920" s="123"/>
    </row>
    <row r="3921" spans="5:5" ht="16.5">
      <c r="E3921" s="123"/>
    </row>
    <row r="3922" spans="5:5" ht="16.5">
      <c r="E3922" s="123"/>
    </row>
    <row r="3923" spans="5:5" ht="16.5">
      <c r="E3923" s="123"/>
    </row>
    <row r="3924" spans="5:5" ht="16.5">
      <c r="E3924" s="123"/>
    </row>
    <row r="3925" spans="5:5" ht="16.5">
      <c r="E3925" s="123"/>
    </row>
    <row r="3926" spans="5:5" ht="16.5">
      <c r="E3926" s="123"/>
    </row>
    <row r="3927" spans="5:5" ht="16.5">
      <c r="E3927" s="123"/>
    </row>
    <row r="3928" spans="5:5" ht="16.5">
      <c r="E3928" s="123"/>
    </row>
    <row r="3929" spans="5:5" ht="16.5">
      <c r="E3929" s="123"/>
    </row>
    <row r="3930" spans="5:5" ht="16.5">
      <c r="E3930" s="123"/>
    </row>
    <row r="3931" spans="5:5" ht="16.5">
      <c r="E3931" s="123"/>
    </row>
    <row r="3932" spans="5:5" ht="16.5">
      <c r="E3932" s="123"/>
    </row>
    <row r="3933" spans="5:5" ht="16.5">
      <c r="E3933" s="123"/>
    </row>
    <row r="3934" spans="5:5" ht="16.5">
      <c r="E3934" s="123"/>
    </row>
    <row r="3935" spans="5:5" ht="16.5">
      <c r="E3935" s="123"/>
    </row>
    <row r="3936" spans="5:5" ht="16.5">
      <c r="E3936" s="123"/>
    </row>
    <row r="3937" spans="5:5" ht="16.5">
      <c r="E3937" s="123"/>
    </row>
    <row r="3938" spans="5:5" ht="16.5">
      <c r="E3938" s="123"/>
    </row>
    <row r="3939" spans="5:5" ht="16.5">
      <c r="E3939" s="123"/>
    </row>
    <row r="3940" spans="5:5" ht="16.5">
      <c r="E3940" s="123"/>
    </row>
    <row r="3941" spans="5:5" ht="16.5">
      <c r="E3941" s="123"/>
    </row>
    <row r="3942" spans="5:5" ht="16.5">
      <c r="E3942" s="123"/>
    </row>
    <row r="3943" spans="5:5" ht="16.5">
      <c r="E3943" s="123"/>
    </row>
    <row r="3944" spans="5:5" ht="16.5">
      <c r="E3944" s="123"/>
    </row>
    <row r="3945" spans="5:5" ht="16.5">
      <c r="E3945" s="123"/>
    </row>
    <row r="3946" spans="5:5" ht="16.5">
      <c r="E3946" s="123"/>
    </row>
    <row r="3947" spans="5:5" ht="16.5">
      <c r="E3947" s="123"/>
    </row>
    <row r="3948" spans="5:5" ht="16.5">
      <c r="E3948" s="123"/>
    </row>
    <row r="3949" spans="5:5" ht="16.5">
      <c r="E3949" s="123"/>
    </row>
    <row r="3950" spans="5:5" ht="16.5">
      <c r="E3950" s="123"/>
    </row>
    <row r="3951" spans="5:5" ht="16.5">
      <c r="E3951" s="123"/>
    </row>
    <row r="3952" spans="5:5" ht="16.5">
      <c r="E3952" s="123"/>
    </row>
    <row r="3953" spans="5:5" ht="16.5">
      <c r="E3953" s="123"/>
    </row>
    <row r="3954" spans="5:5" ht="16.5">
      <c r="E3954" s="123"/>
    </row>
    <row r="3955" spans="5:5" ht="16.5">
      <c r="E3955" s="123"/>
    </row>
    <row r="3956" spans="5:5" ht="16.5">
      <c r="E3956" s="123"/>
    </row>
    <row r="3957" spans="5:5" ht="16.5">
      <c r="E3957" s="123"/>
    </row>
    <row r="3958" spans="5:5" ht="16.5">
      <c r="E3958" s="123"/>
    </row>
    <row r="3959" spans="5:5" ht="16.5">
      <c r="E3959" s="123"/>
    </row>
    <row r="3960" spans="5:5" ht="16.5">
      <c r="E3960" s="123"/>
    </row>
    <row r="3961" spans="5:5" ht="16.5">
      <c r="E3961" s="123"/>
    </row>
    <row r="3962" spans="5:5" ht="16.5">
      <c r="E3962" s="123"/>
    </row>
    <row r="3963" spans="5:5" ht="16.5">
      <c r="E3963" s="123"/>
    </row>
    <row r="3964" spans="5:5" ht="16.5">
      <c r="E3964" s="123"/>
    </row>
    <row r="3965" spans="5:5" ht="16.5">
      <c r="E3965" s="123"/>
    </row>
    <row r="3966" spans="5:5" ht="16.5">
      <c r="E3966" s="123"/>
    </row>
    <row r="3967" spans="5:5" ht="16.5">
      <c r="E3967" s="123"/>
    </row>
    <row r="3968" spans="5:5" ht="16.5">
      <c r="E3968" s="123"/>
    </row>
    <row r="3969" spans="5:5" ht="16.5">
      <c r="E3969" s="123"/>
    </row>
    <row r="3970" spans="5:5" ht="16.5">
      <c r="E3970" s="123"/>
    </row>
    <row r="3971" spans="5:5" ht="16.5">
      <c r="E3971" s="123"/>
    </row>
    <row r="3972" spans="5:5" ht="16.5">
      <c r="E3972" s="123"/>
    </row>
    <row r="3973" spans="5:5" ht="16.5">
      <c r="E3973" s="123"/>
    </row>
    <row r="3974" spans="5:5" ht="16.5">
      <c r="E3974" s="123"/>
    </row>
    <row r="3975" spans="5:5" ht="16.5">
      <c r="E3975" s="123"/>
    </row>
    <row r="3976" spans="5:5" ht="16.5">
      <c r="E3976" s="123"/>
    </row>
    <row r="3977" spans="5:5" ht="16.5">
      <c r="E3977" s="123"/>
    </row>
    <row r="3978" spans="5:5" ht="16.5">
      <c r="E3978" s="123"/>
    </row>
    <row r="3979" spans="5:5" ht="16.5">
      <c r="E3979" s="123"/>
    </row>
    <row r="3980" spans="5:5" ht="16.5">
      <c r="E3980" s="123"/>
    </row>
    <row r="3981" spans="5:5" ht="16.5">
      <c r="E3981" s="123"/>
    </row>
    <row r="3982" spans="5:5" ht="16.5">
      <c r="E3982" s="123"/>
    </row>
    <row r="3983" spans="5:5" ht="16.5">
      <c r="E3983" s="123"/>
    </row>
    <row r="3984" spans="5:5" ht="16.5">
      <c r="E3984" s="123"/>
    </row>
    <row r="3985" spans="5:5" ht="16.5">
      <c r="E3985" s="123"/>
    </row>
    <row r="3986" spans="5:5" ht="16.5">
      <c r="E3986" s="123"/>
    </row>
    <row r="3987" spans="5:5" ht="16.5">
      <c r="E3987" s="123"/>
    </row>
    <row r="3988" spans="5:5" ht="16.5">
      <c r="E3988" s="123"/>
    </row>
    <row r="3989" spans="5:5" ht="16.5">
      <c r="E3989" s="123"/>
    </row>
    <row r="3990" spans="5:5" ht="16.5">
      <c r="E3990" s="123"/>
    </row>
    <row r="3991" spans="5:5" ht="16.5">
      <c r="E3991" s="123"/>
    </row>
    <row r="3992" spans="5:5" ht="16.5">
      <c r="E3992" s="123"/>
    </row>
    <row r="3993" spans="5:5" ht="16.5">
      <c r="E3993" s="123"/>
    </row>
    <row r="3994" spans="5:5" ht="16.5">
      <c r="E3994" s="123"/>
    </row>
    <row r="3995" spans="5:5" ht="16.5">
      <c r="E3995" s="123"/>
    </row>
    <row r="3996" spans="5:5" ht="16.5">
      <c r="E3996" s="123"/>
    </row>
    <row r="3997" spans="5:5" ht="16.5">
      <c r="E3997" s="123"/>
    </row>
    <row r="3998" spans="5:5" ht="16.5">
      <c r="E3998" s="123"/>
    </row>
    <row r="3999" spans="5:5" ht="16.5">
      <c r="E3999" s="123"/>
    </row>
    <row r="4000" spans="5:5" ht="16.5">
      <c r="E4000" s="123"/>
    </row>
    <row r="4001" spans="5:5" ht="16.5">
      <c r="E4001" s="123"/>
    </row>
    <row r="4002" spans="5:5" ht="16.5">
      <c r="E4002" s="123"/>
    </row>
    <row r="4003" spans="5:5" ht="16.5">
      <c r="E4003" s="123"/>
    </row>
    <row r="4004" spans="5:5" ht="16.5">
      <c r="E4004" s="123"/>
    </row>
    <row r="4005" spans="5:5" ht="16.5">
      <c r="E4005" s="123"/>
    </row>
    <row r="4006" spans="5:5" ht="16.5">
      <c r="E4006" s="123"/>
    </row>
    <row r="4007" spans="5:5" ht="16.5">
      <c r="E4007" s="123"/>
    </row>
    <row r="4008" spans="5:5" ht="16.5">
      <c r="E4008" s="123"/>
    </row>
    <row r="4009" spans="5:5" ht="16.5">
      <c r="E4009" s="123"/>
    </row>
    <row r="4010" spans="5:5" ht="16.5">
      <c r="E4010" s="123"/>
    </row>
    <row r="4011" spans="5:5" ht="16.5">
      <c r="E4011" s="123"/>
    </row>
    <row r="4012" spans="5:5" ht="16.5">
      <c r="E4012" s="123"/>
    </row>
    <row r="4013" spans="5:5" ht="16.5">
      <c r="E4013" s="123"/>
    </row>
    <row r="4014" spans="5:5" ht="16.5">
      <c r="E4014" s="123"/>
    </row>
    <row r="4015" spans="5:5" ht="16.5">
      <c r="E4015" s="123"/>
    </row>
    <row r="4016" spans="5:5" ht="16.5">
      <c r="E4016" s="123"/>
    </row>
    <row r="4017" spans="5:5" ht="16.5">
      <c r="E4017" s="123"/>
    </row>
    <row r="4018" spans="5:5" ht="16.5">
      <c r="E4018" s="123"/>
    </row>
    <row r="4019" spans="5:5" ht="16.5">
      <c r="E4019" s="123"/>
    </row>
    <row r="4020" spans="5:5" ht="16.5">
      <c r="E4020" s="123"/>
    </row>
    <row r="4021" spans="5:5" ht="16.5">
      <c r="E4021" s="123"/>
    </row>
    <row r="4022" spans="5:5" ht="16.5">
      <c r="E4022" s="123"/>
    </row>
    <row r="4023" spans="5:5" ht="16.5">
      <c r="E4023" s="123"/>
    </row>
    <row r="4024" spans="5:5" ht="16.5">
      <c r="E4024" s="123"/>
    </row>
    <row r="4025" spans="5:5" ht="16.5">
      <c r="E4025" s="123"/>
    </row>
    <row r="4026" spans="5:5" ht="16.5">
      <c r="E4026" s="123"/>
    </row>
    <row r="4027" spans="5:5" ht="16.5">
      <c r="E4027" s="123"/>
    </row>
    <row r="4028" spans="5:5" ht="16.5">
      <c r="E4028" s="123"/>
    </row>
    <row r="4029" spans="5:5" ht="16.5">
      <c r="E4029" s="123"/>
    </row>
    <row r="4030" spans="5:5" ht="16.5">
      <c r="E4030" s="123"/>
    </row>
    <row r="4031" spans="5:5" ht="16.5">
      <c r="E4031" s="123"/>
    </row>
    <row r="4032" spans="5:5" ht="16.5">
      <c r="E4032" s="123"/>
    </row>
    <row r="4033" spans="5:5" ht="16.5">
      <c r="E4033" s="123"/>
    </row>
    <row r="4034" spans="5:5" ht="16.5">
      <c r="E4034" s="123"/>
    </row>
    <row r="4035" spans="5:5" ht="16.5">
      <c r="E4035" s="123"/>
    </row>
    <row r="4036" spans="5:5" ht="16.5">
      <c r="E4036" s="123"/>
    </row>
    <row r="4037" spans="5:5" ht="16.5">
      <c r="E4037" s="123"/>
    </row>
    <row r="4038" spans="5:5" ht="16.5">
      <c r="E4038" s="123"/>
    </row>
    <row r="4039" spans="5:5" ht="16.5">
      <c r="E4039" s="123"/>
    </row>
    <row r="4040" spans="5:5" ht="16.5">
      <c r="E4040" s="123"/>
    </row>
    <row r="4041" spans="5:5" ht="16.5">
      <c r="E4041" s="123"/>
    </row>
    <row r="4042" spans="5:5" ht="16.5">
      <c r="E4042" s="123"/>
    </row>
    <row r="4043" spans="5:5" ht="16.5">
      <c r="E4043" s="123"/>
    </row>
    <row r="4044" spans="5:5" ht="16.5">
      <c r="E4044" s="123"/>
    </row>
    <row r="4045" spans="5:5" ht="16.5">
      <c r="E4045" s="123"/>
    </row>
    <row r="4046" spans="5:5" ht="16.5">
      <c r="E4046" s="123"/>
    </row>
    <row r="4047" spans="5:5" ht="16.5">
      <c r="E4047" s="123"/>
    </row>
    <row r="4048" spans="5:5" ht="16.5">
      <c r="E4048" s="123"/>
    </row>
    <row r="4049" spans="5:5" ht="16.5">
      <c r="E4049" s="123"/>
    </row>
    <row r="4050" spans="5:5" ht="16.5">
      <c r="E4050" s="123"/>
    </row>
    <row r="4051" spans="5:5" ht="16.5">
      <c r="E4051" s="123"/>
    </row>
    <row r="4052" spans="5:5" ht="16.5">
      <c r="E4052" s="123"/>
    </row>
    <row r="4053" spans="5:5" ht="16.5">
      <c r="E4053" s="123"/>
    </row>
    <row r="4054" spans="5:5" ht="16.5">
      <c r="E4054" s="123"/>
    </row>
    <row r="4055" spans="5:5" ht="16.5">
      <c r="E4055" s="123"/>
    </row>
    <row r="4056" spans="5:5" ht="16.5">
      <c r="E4056" s="123"/>
    </row>
    <row r="4057" spans="5:5" ht="16.5">
      <c r="E4057" s="123"/>
    </row>
    <row r="4058" spans="5:5" ht="16.5">
      <c r="E4058" s="123"/>
    </row>
    <row r="4059" spans="5:5" ht="16.5">
      <c r="E4059" s="123"/>
    </row>
    <row r="4060" spans="5:5" ht="16.5">
      <c r="E4060" s="123"/>
    </row>
    <row r="4061" spans="5:5" ht="16.5">
      <c r="E4061" s="123"/>
    </row>
    <row r="4062" spans="5:5" ht="16.5">
      <c r="E4062" s="123"/>
    </row>
    <row r="4063" spans="5:5" ht="16.5">
      <c r="E4063" s="123"/>
    </row>
    <row r="4064" spans="5:5" ht="16.5">
      <c r="E4064" s="123"/>
    </row>
    <row r="4065" spans="5:5" ht="16.5">
      <c r="E4065" s="123"/>
    </row>
    <row r="4066" spans="5:5" ht="16.5">
      <c r="E4066" s="123"/>
    </row>
    <row r="4067" spans="5:5" ht="16.5">
      <c r="E4067" s="123"/>
    </row>
    <row r="4068" spans="5:5" ht="16.5">
      <c r="E4068" s="123"/>
    </row>
    <row r="4069" spans="5:5" ht="16.5">
      <c r="E4069" s="123"/>
    </row>
    <row r="4070" spans="5:5" ht="16.5">
      <c r="E4070" s="123"/>
    </row>
    <row r="4071" spans="5:5" ht="16.5">
      <c r="E4071" s="123"/>
    </row>
    <row r="4072" spans="5:5" ht="16.5">
      <c r="E4072" s="123"/>
    </row>
    <row r="4073" spans="5:5" ht="16.5">
      <c r="E4073" s="123"/>
    </row>
    <row r="4074" spans="5:5" ht="16.5">
      <c r="E4074" s="123"/>
    </row>
    <row r="4075" spans="5:5" ht="16.5">
      <c r="E4075" s="123"/>
    </row>
    <row r="4076" spans="5:5" ht="16.5">
      <c r="E4076" s="123"/>
    </row>
    <row r="4077" spans="5:5" ht="16.5">
      <c r="E4077" s="123"/>
    </row>
    <row r="4078" spans="5:5" ht="16.5">
      <c r="E4078" s="123"/>
    </row>
    <row r="4079" spans="5:5" ht="16.5">
      <c r="E4079" s="123"/>
    </row>
    <row r="4080" spans="5:5" ht="16.5">
      <c r="E4080" s="123"/>
    </row>
    <row r="4081" spans="5:5" ht="16.5">
      <c r="E4081" s="123"/>
    </row>
    <row r="4082" spans="5:5" ht="16.5">
      <c r="E4082" s="123"/>
    </row>
    <row r="4083" spans="5:5" ht="16.5">
      <c r="E4083" s="123"/>
    </row>
    <row r="4084" spans="5:5" ht="16.5">
      <c r="E4084" s="123"/>
    </row>
    <row r="4085" spans="5:5" ht="16.5">
      <c r="E4085" s="123"/>
    </row>
    <row r="4086" spans="5:5" ht="16.5">
      <c r="E4086" s="123"/>
    </row>
    <row r="4087" spans="5:5" ht="16.5">
      <c r="E4087" s="123"/>
    </row>
    <row r="4088" spans="5:5" ht="16.5">
      <c r="E4088" s="123"/>
    </row>
    <row r="4089" spans="5:5" ht="16.5">
      <c r="E4089" s="123"/>
    </row>
    <row r="4090" spans="5:5" ht="16.5">
      <c r="E4090" s="123"/>
    </row>
    <row r="4091" spans="5:5" ht="16.5">
      <c r="E4091" s="123"/>
    </row>
    <row r="4092" spans="5:5" ht="16.5">
      <c r="E4092" s="123"/>
    </row>
    <row r="4093" spans="5:5" ht="16.5">
      <c r="E4093" s="123"/>
    </row>
    <row r="4094" spans="5:5" ht="16.5">
      <c r="E4094" s="123"/>
    </row>
    <row r="4095" spans="5:5" ht="16.5">
      <c r="E4095" s="123"/>
    </row>
    <row r="4096" spans="5:5" ht="16.5">
      <c r="E4096" s="123"/>
    </row>
    <row r="4097" spans="5:5" ht="16.5">
      <c r="E4097" s="123"/>
    </row>
    <row r="4098" spans="5:5" ht="16.5">
      <c r="E4098" s="123"/>
    </row>
    <row r="4099" spans="5:5" ht="16.5">
      <c r="E4099" s="123"/>
    </row>
    <row r="4100" spans="5:5" ht="16.5">
      <c r="E4100" s="123"/>
    </row>
    <row r="4101" spans="5:5" ht="16.5">
      <c r="E4101" s="123"/>
    </row>
    <row r="4102" spans="5:5" ht="16.5">
      <c r="E4102" s="123"/>
    </row>
    <row r="4103" spans="5:5" ht="16.5">
      <c r="E4103" s="123"/>
    </row>
    <row r="4104" spans="5:5" ht="16.5">
      <c r="E4104" s="123"/>
    </row>
    <row r="4105" spans="5:5" ht="16.5">
      <c r="E4105" s="123"/>
    </row>
    <row r="4106" spans="5:5" ht="16.5">
      <c r="E4106" s="123"/>
    </row>
    <row r="4107" spans="5:5" ht="16.5">
      <c r="E4107" s="123"/>
    </row>
    <row r="4108" spans="5:5" ht="16.5">
      <c r="E4108" s="123"/>
    </row>
    <row r="4109" spans="5:5" ht="16.5">
      <c r="E4109" s="123"/>
    </row>
    <row r="4110" spans="5:5" ht="16.5">
      <c r="E4110" s="123"/>
    </row>
    <row r="4111" spans="5:5" ht="16.5">
      <c r="E4111" s="123"/>
    </row>
    <row r="4112" spans="5:5" ht="16.5">
      <c r="E4112" s="123"/>
    </row>
    <row r="4113" spans="5:5" ht="16.5">
      <c r="E4113" s="123"/>
    </row>
    <row r="4114" spans="5:5" ht="16.5">
      <c r="E4114" s="123"/>
    </row>
    <row r="4115" spans="5:5" ht="16.5">
      <c r="E4115" s="123"/>
    </row>
    <row r="4116" spans="5:5" ht="16.5">
      <c r="E4116" s="123"/>
    </row>
    <row r="4117" spans="5:5" ht="16.5">
      <c r="E4117" s="123"/>
    </row>
    <row r="4118" spans="5:5" ht="16.5">
      <c r="E4118" s="123"/>
    </row>
    <row r="4119" spans="5:5" ht="16.5">
      <c r="E4119" s="123"/>
    </row>
    <row r="4120" spans="5:5" ht="16.5">
      <c r="E4120" s="123"/>
    </row>
    <row r="4121" spans="5:5" ht="16.5">
      <c r="E4121" s="123"/>
    </row>
    <row r="4122" spans="5:5" ht="16.5">
      <c r="E4122" s="123"/>
    </row>
    <row r="4123" spans="5:5" ht="16.5">
      <c r="E4123" s="123"/>
    </row>
    <row r="4124" spans="5:5" ht="16.5">
      <c r="E4124" s="123"/>
    </row>
    <row r="4125" spans="5:5" ht="16.5">
      <c r="E4125" s="123"/>
    </row>
    <row r="4126" spans="5:5" ht="16.5">
      <c r="E4126" s="123"/>
    </row>
    <row r="4127" spans="5:5" ht="16.5">
      <c r="E4127" s="123"/>
    </row>
    <row r="4128" spans="5:5" ht="16.5">
      <c r="E4128" s="123"/>
    </row>
    <row r="4129" spans="5:5" ht="16.5">
      <c r="E4129" s="123"/>
    </row>
    <row r="4130" spans="5:5" ht="16.5">
      <c r="E4130" s="123"/>
    </row>
    <row r="4131" spans="5:5" ht="16.5">
      <c r="E4131" s="123"/>
    </row>
    <row r="4132" spans="5:5" ht="16.5">
      <c r="E4132" s="123"/>
    </row>
    <row r="4133" spans="5:5" ht="16.5">
      <c r="E4133" s="123"/>
    </row>
    <row r="4134" spans="5:5" ht="16.5">
      <c r="E4134" s="123"/>
    </row>
    <row r="4135" spans="5:5" ht="16.5">
      <c r="E4135" s="123"/>
    </row>
    <row r="4136" spans="5:5" ht="16.5">
      <c r="E4136" s="123"/>
    </row>
    <row r="4137" spans="5:5" ht="16.5">
      <c r="E4137" s="123"/>
    </row>
    <row r="4138" spans="5:5" ht="16.5">
      <c r="E4138" s="123"/>
    </row>
    <row r="4139" spans="5:5" ht="16.5">
      <c r="E4139" s="123"/>
    </row>
    <row r="4140" spans="5:5" ht="16.5">
      <c r="E4140" s="123"/>
    </row>
    <row r="4141" spans="5:5" ht="16.5">
      <c r="E4141" s="123"/>
    </row>
    <row r="4142" spans="5:5" ht="16.5">
      <c r="E4142" s="123"/>
    </row>
    <row r="4143" spans="5:5" ht="16.5">
      <c r="E4143" s="123"/>
    </row>
    <row r="4144" spans="5:5" ht="16.5">
      <c r="E4144" s="123"/>
    </row>
    <row r="4145" spans="5:5" ht="16.5">
      <c r="E4145" s="123"/>
    </row>
    <row r="4146" spans="5:5" ht="16.5">
      <c r="E4146" s="123"/>
    </row>
    <row r="4147" spans="5:5" ht="16.5">
      <c r="E4147" s="123"/>
    </row>
    <row r="4148" spans="5:5" ht="16.5">
      <c r="E4148" s="123"/>
    </row>
    <row r="4149" spans="5:5" ht="16.5">
      <c r="E4149" s="123"/>
    </row>
    <row r="4150" spans="5:5" ht="16.5">
      <c r="E4150" s="123"/>
    </row>
    <row r="4151" spans="5:5" ht="16.5">
      <c r="E4151" s="123"/>
    </row>
    <row r="4152" spans="5:5" ht="16.5">
      <c r="E4152" s="123"/>
    </row>
    <row r="4153" spans="5:5" ht="16.5">
      <c r="E4153" s="123"/>
    </row>
    <row r="4154" spans="5:5" ht="16.5">
      <c r="E4154" s="123"/>
    </row>
    <row r="4155" spans="5:5" ht="16.5">
      <c r="E4155" s="123"/>
    </row>
    <row r="4156" spans="5:5" ht="16.5">
      <c r="E4156" s="123"/>
    </row>
    <row r="4157" spans="5:5" ht="16.5">
      <c r="E4157" s="123"/>
    </row>
    <row r="4158" spans="5:5" ht="16.5">
      <c r="E4158" s="123"/>
    </row>
    <row r="4159" spans="5:5" ht="16.5">
      <c r="E4159" s="123"/>
    </row>
    <row r="4160" spans="5:5" ht="16.5">
      <c r="E4160" s="123"/>
    </row>
    <row r="4161" spans="5:5" ht="16.5">
      <c r="E4161" s="123"/>
    </row>
    <row r="4162" spans="5:5" ht="16.5">
      <c r="E4162" s="123"/>
    </row>
    <row r="4163" spans="5:5" ht="16.5">
      <c r="E4163" s="123"/>
    </row>
    <row r="4164" spans="5:5" ht="16.5">
      <c r="E4164" s="123"/>
    </row>
    <row r="4165" spans="5:5" ht="16.5">
      <c r="E4165" s="123"/>
    </row>
    <row r="4166" spans="5:5" ht="16.5">
      <c r="E4166" s="123"/>
    </row>
    <row r="4167" spans="5:5" ht="16.5">
      <c r="E4167" s="123"/>
    </row>
    <row r="4168" spans="5:5" ht="16.5">
      <c r="E4168" s="123"/>
    </row>
    <row r="4169" spans="5:5" ht="16.5">
      <c r="E4169" s="123"/>
    </row>
    <row r="4170" spans="5:5" ht="16.5">
      <c r="E4170" s="123"/>
    </row>
    <row r="4171" spans="5:5" ht="16.5">
      <c r="E4171" s="123"/>
    </row>
    <row r="4172" spans="5:5" ht="16.5">
      <c r="E4172" s="123"/>
    </row>
    <row r="4173" spans="5:5" ht="16.5">
      <c r="E4173" s="123"/>
    </row>
    <row r="4174" spans="5:5" ht="16.5">
      <c r="E4174" s="123"/>
    </row>
    <row r="4175" spans="5:5" ht="16.5">
      <c r="E4175" s="123"/>
    </row>
    <row r="4176" spans="5:5" ht="16.5">
      <c r="E4176" s="123"/>
    </row>
    <row r="4177" spans="5:5" ht="16.5">
      <c r="E4177" s="123"/>
    </row>
    <row r="4178" spans="5:5" ht="16.5">
      <c r="E4178" s="123"/>
    </row>
    <row r="4179" spans="5:5" ht="16.5">
      <c r="E4179" s="123"/>
    </row>
    <row r="4180" spans="5:5" ht="16.5">
      <c r="E4180" s="123"/>
    </row>
    <row r="4181" spans="5:5" ht="16.5">
      <c r="E4181" s="123"/>
    </row>
    <row r="4182" spans="5:5" ht="16.5">
      <c r="E4182" s="123"/>
    </row>
    <row r="4183" spans="5:5" ht="16.5">
      <c r="E4183" s="123"/>
    </row>
    <row r="4184" spans="5:5" ht="16.5">
      <c r="E4184" s="123"/>
    </row>
    <row r="4185" spans="5:5" ht="16.5">
      <c r="E4185" s="123"/>
    </row>
    <row r="4186" spans="5:5" ht="16.5">
      <c r="E4186" s="123"/>
    </row>
    <row r="4187" spans="5:5" ht="16.5">
      <c r="E4187" s="123"/>
    </row>
    <row r="4188" spans="5:5" ht="16.5">
      <c r="E4188" s="123"/>
    </row>
    <row r="4189" spans="5:5" ht="16.5">
      <c r="E4189" s="123"/>
    </row>
    <row r="4190" spans="5:5" ht="16.5">
      <c r="E4190" s="123"/>
    </row>
    <row r="4191" spans="5:5" ht="16.5">
      <c r="E4191" s="123"/>
    </row>
    <row r="4192" spans="5:5" ht="16.5">
      <c r="E4192" s="123"/>
    </row>
    <row r="4193" spans="5:5" ht="16.5">
      <c r="E4193" s="123"/>
    </row>
    <row r="4194" spans="5:5" ht="16.5">
      <c r="E4194" s="123"/>
    </row>
    <row r="4195" spans="5:5" ht="16.5">
      <c r="E4195" s="123"/>
    </row>
    <row r="4196" spans="5:5" ht="16.5">
      <c r="E4196" s="123"/>
    </row>
    <row r="4197" spans="5:5" ht="16.5">
      <c r="E4197" s="123"/>
    </row>
    <row r="4198" spans="5:5" ht="16.5">
      <c r="E4198" s="123"/>
    </row>
    <row r="4199" spans="5:5" ht="16.5">
      <c r="E4199" s="123"/>
    </row>
    <row r="4200" spans="5:5" ht="16.5">
      <c r="E4200" s="123"/>
    </row>
    <row r="4201" spans="5:5" ht="16.5">
      <c r="E4201" s="123"/>
    </row>
    <row r="4202" spans="5:5" ht="16.5">
      <c r="E4202" s="123"/>
    </row>
    <row r="4203" spans="5:5" ht="16.5">
      <c r="E4203" s="123"/>
    </row>
    <row r="4204" spans="5:5" ht="16.5">
      <c r="E4204" s="123"/>
    </row>
    <row r="4205" spans="5:5" ht="16.5">
      <c r="E4205" s="123"/>
    </row>
    <row r="4206" spans="5:5" ht="16.5">
      <c r="E4206" s="123"/>
    </row>
    <row r="4207" spans="5:5" ht="16.5">
      <c r="E4207" s="123"/>
    </row>
    <row r="4208" spans="5:5" ht="16.5">
      <c r="E4208" s="123"/>
    </row>
    <row r="4209" spans="5:5" ht="16.5">
      <c r="E4209" s="123"/>
    </row>
    <row r="4210" spans="5:5" ht="16.5">
      <c r="E4210" s="123"/>
    </row>
    <row r="4211" spans="5:5" ht="16.5">
      <c r="E4211" s="123"/>
    </row>
    <row r="4212" spans="5:5" ht="16.5">
      <c r="E4212" s="123"/>
    </row>
    <row r="4213" spans="5:5" ht="16.5">
      <c r="E4213" s="123"/>
    </row>
    <row r="4214" spans="5:5" ht="16.5">
      <c r="E4214" s="123"/>
    </row>
    <row r="4215" spans="5:5" ht="16.5">
      <c r="E4215" s="123"/>
    </row>
    <row r="4216" spans="5:5" ht="16.5">
      <c r="E4216" s="123"/>
    </row>
    <row r="4217" spans="5:5" ht="16.5">
      <c r="E4217" s="123"/>
    </row>
    <row r="4218" spans="5:5" ht="16.5">
      <c r="E4218" s="123"/>
    </row>
    <row r="4219" spans="5:5" ht="16.5">
      <c r="E4219" s="123"/>
    </row>
    <row r="4220" spans="5:5" ht="16.5">
      <c r="E4220" s="123"/>
    </row>
    <row r="4221" spans="5:5" ht="16.5">
      <c r="E4221" s="123"/>
    </row>
    <row r="4222" spans="5:5" ht="16.5">
      <c r="E4222" s="123"/>
    </row>
    <row r="4223" spans="5:5" ht="16.5">
      <c r="E4223" s="123"/>
    </row>
    <row r="4224" spans="5:5" ht="16.5">
      <c r="E4224" s="123"/>
    </row>
    <row r="4225" spans="5:5" ht="16.5">
      <c r="E4225" s="123"/>
    </row>
    <row r="4226" spans="5:5" ht="16.5">
      <c r="E4226" s="123"/>
    </row>
    <row r="4227" spans="5:5" ht="16.5">
      <c r="E4227" s="123"/>
    </row>
    <row r="4228" spans="5:5" ht="16.5">
      <c r="E4228" s="123"/>
    </row>
    <row r="4229" spans="5:5" ht="16.5">
      <c r="E4229" s="123"/>
    </row>
    <row r="4230" spans="5:5" ht="16.5">
      <c r="E4230" s="123"/>
    </row>
    <row r="4231" spans="5:5" ht="16.5">
      <c r="E4231" s="123"/>
    </row>
    <row r="4232" spans="5:5" ht="16.5">
      <c r="E4232" s="123"/>
    </row>
    <row r="4233" spans="5:5" ht="16.5">
      <c r="E4233" s="123"/>
    </row>
    <row r="4234" spans="5:5" ht="16.5">
      <c r="E4234" s="123"/>
    </row>
    <row r="4235" spans="5:5" ht="16.5">
      <c r="E4235" s="123"/>
    </row>
    <row r="4236" spans="5:5" ht="16.5">
      <c r="E4236" s="123"/>
    </row>
    <row r="4237" spans="5:5" ht="16.5">
      <c r="E4237" s="123"/>
    </row>
    <row r="4238" spans="5:5" ht="16.5">
      <c r="E4238" s="123"/>
    </row>
    <row r="4239" spans="5:5" ht="16.5">
      <c r="E4239" s="123"/>
    </row>
    <row r="4240" spans="5:5" ht="16.5">
      <c r="E4240" s="123"/>
    </row>
    <row r="4241" spans="5:5" ht="16.5">
      <c r="E4241" s="123"/>
    </row>
    <row r="4242" spans="5:5" ht="16.5">
      <c r="E4242" s="123"/>
    </row>
    <row r="4243" spans="5:5" ht="16.5">
      <c r="E4243" s="123"/>
    </row>
    <row r="4244" spans="5:5" ht="16.5">
      <c r="E4244" s="123"/>
    </row>
    <row r="4245" spans="5:5" ht="16.5">
      <c r="E4245" s="123"/>
    </row>
    <row r="4246" spans="5:5" ht="16.5">
      <c r="E4246" s="123"/>
    </row>
    <row r="4247" spans="5:5" ht="16.5">
      <c r="E4247" s="123"/>
    </row>
    <row r="4248" spans="5:5" ht="16.5">
      <c r="E4248" s="123"/>
    </row>
    <row r="4249" spans="5:5" ht="16.5">
      <c r="E4249" s="123"/>
    </row>
    <row r="4250" spans="5:5" ht="16.5">
      <c r="E4250" s="123"/>
    </row>
    <row r="4251" spans="5:5" ht="16.5">
      <c r="E4251" s="123"/>
    </row>
    <row r="4252" spans="5:5" ht="16.5">
      <c r="E4252" s="123"/>
    </row>
    <row r="4253" spans="5:5" ht="16.5">
      <c r="E4253" s="123"/>
    </row>
    <row r="4254" spans="5:5" ht="16.5">
      <c r="E4254" s="123"/>
    </row>
    <row r="4255" spans="5:5" ht="16.5">
      <c r="E4255" s="123"/>
    </row>
    <row r="4256" spans="5:5" ht="16.5">
      <c r="E4256" s="123"/>
    </row>
    <row r="4257" spans="5:5" ht="16.5">
      <c r="E4257" s="123"/>
    </row>
    <row r="4258" spans="5:5" ht="16.5">
      <c r="E4258" s="123"/>
    </row>
    <row r="4259" spans="5:5" ht="16.5">
      <c r="E4259" s="123"/>
    </row>
    <row r="4260" spans="5:5" ht="16.5">
      <c r="E4260" s="123"/>
    </row>
    <row r="4261" spans="5:5" ht="16.5">
      <c r="E4261" s="123"/>
    </row>
    <row r="4262" spans="5:5" ht="16.5">
      <c r="E4262" s="123"/>
    </row>
    <row r="4263" spans="5:5" ht="16.5">
      <c r="E4263" s="123"/>
    </row>
    <row r="4264" spans="5:5" ht="16.5">
      <c r="E4264" s="123"/>
    </row>
    <row r="4265" spans="5:5" ht="16.5">
      <c r="E4265" s="123"/>
    </row>
    <row r="4266" spans="5:5" ht="16.5">
      <c r="E4266" s="123"/>
    </row>
    <row r="4267" spans="5:5" ht="16.5">
      <c r="E4267" s="123"/>
    </row>
    <row r="4268" spans="5:5" ht="16.5">
      <c r="E4268" s="123"/>
    </row>
    <row r="4269" spans="5:5" ht="16.5">
      <c r="E4269" s="123"/>
    </row>
    <row r="4270" spans="5:5" ht="16.5">
      <c r="E4270" s="123"/>
    </row>
    <row r="4271" spans="5:5" ht="16.5">
      <c r="E4271" s="123"/>
    </row>
    <row r="4272" spans="5:5" ht="16.5">
      <c r="E4272" s="123"/>
    </row>
    <row r="4273" spans="5:5" ht="16.5">
      <c r="E4273" s="123"/>
    </row>
    <row r="4274" spans="5:5" ht="16.5">
      <c r="E4274" s="123"/>
    </row>
    <row r="4275" spans="5:5" ht="16.5">
      <c r="E4275" s="123"/>
    </row>
    <row r="4276" spans="5:5" ht="16.5">
      <c r="E4276" s="123"/>
    </row>
    <row r="4277" spans="5:5" ht="16.5">
      <c r="E4277" s="123"/>
    </row>
    <row r="4278" spans="5:5" ht="16.5">
      <c r="E4278" s="123"/>
    </row>
    <row r="4279" spans="5:5" ht="16.5">
      <c r="E4279" s="123"/>
    </row>
    <row r="4280" spans="5:5" ht="16.5">
      <c r="E4280" s="123"/>
    </row>
    <row r="4281" spans="5:5" ht="16.5">
      <c r="E4281" s="123"/>
    </row>
    <row r="4282" spans="5:5" ht="16.5">
      <c r="E4282" s="123"/>
    </row>
    <row r="4283" spans="5:5" ht="16.5">
      <c r="E4283" s="123"/>
    </row>
    <row r="4284" spans="5:5" ht="16.5">
      <c r="E4284" s="123"/>
    </row>
    <row r="4285" spans="5:5" ht="16.5">
      <c r="E4285" s="123"/>
    </row>
    <row r="4286" spans="5:5" ht="16.5">
      <c r="E4286" s="123"/>
    </row>
    <row r="4287" spans="5:5" ht="16.5">
      <c r="E4287" s="123"/>
    </row>
    <row r="4288" spans="5:5" ht="16.5">
      <c r="E4288" s="123"/>
    </row>
    <row r="4289" spans="5:5" ht="16.5">
      <c r="E4289" s="123"/>
    </row>
    <row r="4290" spans="5:5" ht="16.5">
      <c r="E4290" s="123"/>
    </row>
    <row r="4291" spans="5:5" ht="16.5">
      <c r="E4291" s="123"/>
    </row>
    <row r="4292" spans="5:5" ht="16.5">
      <c r="E4292" s="123"/>
    </row>
    <row r="4293" spans="5:5" ht="16.5">
      <c r="E4293" s="123"/>
    </row>
    <row r="4294" spans="5:5" ht="16.5">
      <c r="E4294" s="123"/>
    </row>
    <row r="4295" spans="5:5" ht="16.5">
      <c r="E4295" s="123"/>
    </row>
    <row r="4296" spans="5:5" ht="16.5">
      <c r="E4296" s="123"/>
    </row>
    <row r="4297" spans="5:5" ht="16.5">
      <c r="E4297" s="123"/>
    </row>
    <row r="4298" spans="5:5" ht="16.5">
      <c r="E4298" s="123"/>
    </row>
    <row r="4299" spans="5:5" ht="16.5">
      <c r="E4299" s="123"/>
    </row>
    <row r="4300" spans="5:5" ht="16.5">
      <c r="E4300" s="123"/>
    </row>
    <row r="4301" spans="5:5" ht="16.5">
      <c r="E4301" s="123"/>
    </row>
    <row r="4302" spans="5:5" ht="16.5">
      <c r="E4302" s="123"/>
    </row>
    <row r="4303" spans="5:5" ht="16.5">
      <c r="E4303" s="123"/>
    </row>
    <row r="4304" spans="5:5" ht="16.5">
      <c r="E4304" s="123"/>
    </row>
    <row r="4305" spans="5:5" ht="16.5">
      <c r="E4305" s="123"/>
    </row>
    <row r="4306" spans="5:5" ht="16.5">
      <c r="E4306" s="123"/>
    </row>
    <row r="4307" spans="5:5" ht="16.5">
      <c r="E4307" s="123"/>
    </row>
    <row r="4308" spans="5:5" ht="16.5">
      <c r="E4308" s="123"/>
    </row>
    <row r="4309" spans="5:5" ht="16.5">
      <c r="E4309" s="123"/>
    </row>
    <row r="4310" spans="5:5" ht="16.5">
      <c r="E4310" s="123"/>
    </row>
    <row r="4311" spans="5:5" ht="16.5">
      <c r="E4311" s="123"/>
    </row>
    <row r="4312" spans="5:5" ht="16.5">
      <c r="E4312" s="123"/>
    </row>
    <row r="4313" spans="5:5" ht="16.5">
      <c r="E4313" s="123"/>
    </row>
    <row r="4314" spans="5:5" ht="16.5">
      <c r="E4314" s="123"/>
    </row>
    <row r="4315" spans="5:5" ht="16.5">
      <c r="E4315" s="123"/>
    </row>
    <row r="4316" spans="5:5" ht="16.5">
      <c r="E4316" s="123"/>
    </row>
    <row r="4317" spans="5:5" ht="16.5">
      <c r="E4317" s="123"/>
    </row>
    <row r="4318" spans="5:5" ht="16.5">
      <c r="E4318" s="123"/>
    </row>
    <row r="4319" spans="5:5" ht="16.5">
      <c r="E4319" s="123"/>
    </row>
    <row r="4320" spans="5:5" ht="16.5">
      <c r="E4320" s="123"/>
    </row>
    <row r="4321" spans="5:5" ht="16.5">
      <c r="E4321" s="123"/>
    </row>
    <row r="4322" spans="5:5" ht="16.5">
      <c r="E4322" s="123"/>
    </row>
    <row r="4323" spans="5:5" ht="16.5">
      <c r="E4323" s="123"/>
    </row>
    <row r="4324" spans="5:5" ht="16.5">
      <c r="E4324" s="123"/>
    </row>
    <row r="4325" spans="5:5" ht="16.5">
      <c r="E4325" s="123"/>
    </row>
    <row r="4326" spans="5:5" ht="16.5">
      <c r="E4326" s="123"/>
    </row>
    <row r="4327" spans="5:5" ht="16.5">
      <c r="E4327" s="123"/>
    </row>
    <row r="4328" spans="5:5" ht="16.5">
      <c r="E4328" s="123"/>
    </row>
    <row r="4329" spans="5:5" ht="16.5">
      <c r="E4329" s="123"/>
    </row>
    <row r="4330" spans="5:5" ht="16.5">
      <c r="E4330" s="123"/>
    </row>
    <row r="4331" spans="5:5" ht="16.5">
      <c r="E4331" s="123"/>
    </row>
    <row r="4332" spans="5:5" ht="16.5">
      <c r="E4332" s="123"/>
    </row>
    <row r="4333" spans="5:5" ht="16.5">
      <c r="E4333" s="123"/>
    </row>
    <row r="4334" spans="5:5" ht="16.5">
      <c r="E4334" s="123"/>
    </row>
    <row r="4335" spans="5:5" ht="16.5">
      <c r="E4335" s="123"/>
    </row>
    <row r="4336" spans="5:5" ht="16.5">
      <c r="E4336" s="123"/>
    </row>
    <row r="4337" spans="5:5" ht="16.5">
      <c r="E4337" s="123"/>
    </row>
    <row r="4338" spans="5:5" ht="16.5">
      <c r="E4338" s="123"/>
    </row>
    <row r="4339" spans="5:5" ht="16.5">
      <c r="E4339" s="123"/>
    </row>
    <row r="4340" spans="5:5" ht="16.5">
      <c r="E4340" s="123"/>
    </row>
    <row r="4341" spans="5:5" ht="16.5">
      <c r="E4341" s="123"/>
    </row>
    <row r="4342" spans="5:5" ht="16.5">
      <c r="E4342" s="123"/>
    </row>
    <row r="4343" spans="5:5" ht="16.5">
      <c r="E4343" s="123"/>
    </row>
    <row r="4344" spans="5:5" ht="16.5">
      <c r="E4344" s="123"/>
    </row>
    <row r="4345" spans="5:5" ht="16.5">
      <c r="E4345" s="123"/>
    </row>
    <row r="4346" spans="5:5" ht="16.5">
      <c r="E4346" s="123"/>
    </row>
    <row r="4347" spans="5:5" ht="16.5">
      <c r="E4347" s="123"/>
    </row>
    <row r="4348" spans="5:5" ht="16.5">
      <c r="E4348" s="123"/>
    </row>
    <row r="4349" spans="5:5" ht="16.5">
      <c r="E4349" s="123"/>
    </row>
    <row r="4350" spans="5:5" ht="16.5">
      <c r="E4350" s="123"/>
    </row>
    <row r="4351" spans="5:5" ht="16.5">
      <c r="E4351" s="123"/>
    </row>
    <row r="4352" spans="5:5" ht="16.5">
      <c r="E4352" s="123"/>
    </row>
    <row r="4353" spans="5:5" ht="16.5">
      <c r="E4353" s="123"/>
    </row>
    <row r="4354" spans="5:5" ht="16.5">
      <c r="E4354" s="123"/>
    </row>
    <row r="4355" spans="5:5" ht="16.5">
      <c r="E4355" s="123"/>
    </row>
    <row r="4356" spans="5:5" ht="16.5">
      <c r="E4356" s="123"/>
    </row>
    <row r="4357" spans="5:5" ht="16.5">
      <c r="E4357" s="123"/>
    </row>
    <row r="4358" spans="5:5" ht="16.5">
      <c r="E4358" s="123"/>
    </row>
    <row r="4359" spans="5:5" ht="16.5">
      <c r="E4359" s="123"/>
    </row>
    <row r="4360" spans="5:5" ht="16.5">
      <c r="E4360" s="123"/>
    </row>
    <row r="4361" spans="5:5" ht="16.5">
      <c r="E4361" s="123"/>
    </row>
    <row r="4362" spans="5:5" ht="16.5">
      <c r="E4362" s="123"/>
    </row>
    <row r="4363" spans="5:5" ht="16.5">
      <c r="E4363" s="123"/>
    </row>
    <row r="4364" spans="5:5" ht="16.5">
      <c r="E4364" s="123"/>
    </row>
    <row r="4365" spans="5:5" ht="16.5">
      <c r="E4365" s="123"/>
    </row>
    <row r="4366" spans="5:5" ht="16.5">
      <c r="E4366" s="123"/>
    </row>
    <row r="4367" spans="5:5" ht="16.5">
      <c r="E4367" s="123"/>
    </row>
    <row r="4368" spans="5:5" ht="16.5">
      <c r="E4368" s="123"/>
    </row>
    <row r="4369" spans="5:5" ht="16.5">
      <c r="E4369" s="123"/>
    </row>
    <row r="4370" spans="5:5" ht="16.5">
      <c r="E4370" s="123"/>
    </row>
    <row r="4371" spans="5:5" ht="16.5">
      <c r="E4371" s="123"/>
    </row>
    <row r="4372" spans="5:5" ht="16.5">
      <c r="E4372" s="123"/>
    </row>
    <row r="4373" spans="5:5" ht="16.5">
      <c r="E4373" s="123"/>
    </row>
    <row r="4374" spans="5:5" ht="16.5">
      <c r="E4374" s="123"/>
    </row>
    <row r="4375" spans="5:5" ht="16.5">
      <c r="E4375" s="123"/>
    </row>
    <row r="4376" spans="5:5" ht="16.5">
      <c r="E4376" s="123"/>
    </row>
    <row r="4377" spans="5:5" ht="16.5">
      <c r="E4377" s="123"/>
    </row>
    <row r="4378" spans="5:5" ht="16.5">
      <c r="E4378" s="123"/>
    </row>
    <row r="4379" spans="5:5" ht="16.5">
      <c r="E4379" s="123"/>
    </row>
    <row r="4380" spans="5:5" ht="16.5">
      <c r="E4380" s="123"/>
    </row>
    <row r="4381" spans="5:5" ht="16.5">
      <c r="E4381" s="123"/>
    </row>
    <row r="4382" spans="5:5" ht="16.5">
      <c r="E4382" s="123"/>
    </row>
    <row r="4383" spans="5:5" ht="16.5">
      <c r="E4383" s="123"/>
    </row>
    <row r="4384" spans="5:5" ht="16.5">
      <c r="E4384" s="123"/>
    </row>
    <row r="4385" spans="5:5" ht="16.5">
      <c r="E4385" s="123"/>
    </row>
    <row r="4386" spans="5:5" ht="16.5">
      <c r="E4386" s="123"/>
    </row>
    <row r="4387" spans="5:5" ht="16.5">
      <c r="E4387" s="123"/>
    </row>
    <row r="4388" spans="5:5" ht="16.5">
      <c r="E4388" s="123"/>
    </row>
    <row r="4389" spans="5:5" ht="16.5">
      <c r="E4389" s="123"/>
    </row>
    <row r="4390" spans="5:5" ht="16.5">
      <c r="E4390" s="123"/>
    </row>
    <row r="4391" spans="5:5" ht="16.5">
      <c r="E4391" s="123"/>
    </row>
    <row r="4392" spans="5:5" ht="16.5">
      <c r="E4392" s="123"/>
    </row>
    <row r="4393" spans="5:5" ht="16.5">
      <c r="E4393" s="123"/>
    </row>
    <row r="4394" spans="5:5" ht="16.5">
      <c r="E4394" s="123"/>
    </row>
    <row r="4395" spans="5:5" ht="16.5">
      <c r="E4395" s="123"/>
    </row>
    <row r="4396" spans="5:5" ht="16.5">
      <c r="E4396" s="123"/>
    </row>
    <row r="4397" spans="5:5" ht="16.5">
      <c r="E4397" s="123"/>
    </row>
    <row r="4398" spans="5:5" ht="16.5">
      <c r="E4398" s="123"/>
    </row>
    <row r="4399" spans="5:5" ht="16.5">
      <c r="E4399" s="123"/>
    </row>
    <row r="4400" spans="5:5" ht="16.5">
      <c r="E4400" s="123"/>
    </row>
    <row r="4401" spans="5:5" ht="16.5">
      <c r="E4401" s="123"/>
    </row>
    <row r="4402" spans="5:5" ht="16.5">
      <c r="E4402" s="123"/>
    </row>
    <row r="4403" spans="5:5" ht="16.5">
      <c r="E4403" s="123"/>
    </row>
    <row r="4404" spans="5:5" ht="16.5">
      <c r="E4404" s="123"/>
    </row>
    <row r="4405" spans="5:5" ht="16.5">
      <c r="E4405" s="123"/>
    </row>
    <row r="4406" spans="5:5" ht="16.5">
      <c r="E4406" s="123"/>
    </row>
    <row r="4407" spans="5:5" ht="16.5">
      <c r="E4407" s="123"/>
    </row>
    <row r="4408" spans="5:5" ht="16.5">
      <c r="E4408" s="123"/>
    </row>
    <row r="4409" spans="5:5" ht="16.5">
      <c r="E4409" s="123"/>
    </row>
    <row r="4410" spans="5:5" ht="16.5">
      <c r="E4410" s="123"/>
    </row>
    <row r="4411" spans="5:5" ht="16.5">
      <c r="E4411" s="123"/>
    </row>
    <row r="4412" spans="5:5" ht="16.5">
      <c r="E4412" s="123"/>
    </row>
    <row r="4413" spans="5:5" ht="16.5">
      <c r="E4413" s="123"/>
    </row>
    <row r="4414" spans="5:5" ht="16.5">
      <c r="E4414" s="123"/>
    </row>
    <row r="4415" spans="5:5" ht="16.5">
      <c r="E4415" s="123"/>
    </row>
    <row r="4416" spans="5:5" ht="16.5">
      <c r="E4416" s="123"/>
    </row>
    <row r="4417" spans="5:5" ht="16.5">
      <c r="E4417" s="123"/>
    </row>
    <row r="4418" spans="5:5" ht="16.5">
      <c r="E4418" s="123"/>
    </row>
    <row r="4419" spans="5:5" ht="16.5">
      <c r="E4419" s="123"/>
    </row>
    <row r="4420" spans="5:5" ht="16.5">
      <c r="E4420" s="123"/>
    </row>
    <row r="4421" spans="5:5" ht="16.5">
      <c r="E4421" s="123"/>
    </row>
    <row r="4422" spans="5:5" ht="16.5">
      <c r="E4422" s="123"/>
    </row>
    <row r="4423" spans="5:5" ht="16.5">
      <c r="E4423" s="123"/>
    </row>
    <row r="4424" spans="5:5" ht="16.5">
      <c r="E4424" s="123"/>
    </row>
    <row r="4425" spans="5:5" ht="16.5">
      <c r="E4425" s="123"/>
    </row>
    <row r="4426" spans="5:5" ht="16.5">
      <c r="E4426" s="123"/>
    </row>
    <row r="4427" spans="5:5" ht="16.5">
      <c r="E4427" s="123"/>
    </row>
    <row r="4428" spans="5:5" ht="16.5">
      <c r="E4428" s="123"/>
    </row>
    <row r="4429" spans="5:5" ht="16.5">
      <c r="E4429" s="123"/>
    </row>
    <row r="4430" spans="5:5" ht="16.5">
      <c r="E4430" s="123"/>
    </row>
    <row r="4431" spans="5:5" ht="16.5">
      <c r="E4431" s="123"/>
    </row>
    <row r="4432" spans="5:5" ht="16.5">
      <c r="E4432" s="123"/>
    </row>
    <row r="4433" spans="5:5" ht="16.5">
      <c r="E4433" s="123"/>
    </row>
    <row r="4434" spans="5:5" ht="16.5">
      <c r="E4434" s="123"/>
    </row>
    <row r="4435" spans="5:5" ht="16.5">
      <c r="E4435" s="123"/>
    </row>
    <row r="4436" spans="5:5" ht="16.5">
      <c r="E4436" s="123"/>
    </row>
    <row r="4437" spans="5:5" ht="16.5">
      <c r="E4437" s="123"/>
    </row>
    <row r="4438" spans="5:5" ht="16.5">
      <c r="E4438" s="123"/>
    </row>
    <row r="4439" spans="5:5" ht="16.5">
      <c r="E4439" s="123"/>
    </row>
    <row r="4440" spans="5:5" ht="16.5">
      <c r="E4440" s="123"/>
    </row>
    <row r="4441" spans="5:5" ht="16.5">
      <c r="E4441" s="123"/>
    </row>
    <row r="4442" spans="5:5" ht="16.5">
      <c r="E4442" s="123"/>
    </row>
    <row r="4443" spans="5:5" ht="16.5">
      <c r="E4443" s="123"/>
    </row>
    <row r="4444" spans="5:5" ht="16.5">
      <c r="E4444" s="123"/>
    </row>
    <row r="4445" spans="5:5" ht="16.5">
      <c r="E4445" s="123"/>
    </row>
    <row r="4446" spans="5:5" ht="16.5">
      <c r="E4446" s="123"/>
    </row>
    <row r="4447" spans="5:5" ht="16.5">
      <c r="E4447" s="123"/>
    </row>
    <row r="4448" spans="5:5" ht="16.5">
      <c r="E4448" s="123"/>
    </row>
    <row r="4449" spans="5:5" ht="16.5">
      <c r="E4449" s="123"/>
    </row>
    <row r="4450" spans="5:5" ht="16.5">
      <c r="E4450" s="123"/>
    </row>
    <row r="4451" spans="5:5" ht="16.5">
      <c r="E4451" s="123"/>
    </row>
    <row r="4452" spans="5:5" ht="16.5">
      <c r="E4452" s="123"/>
    </row>
    <row r="4453" spans="5:5" ht="16.5">
      <c r="E4453" s="123"/>
    </row>
    <row r="4454" spans="5:5" ht="16.5">
      <c r="E4454" s="123"/>
    </row>
    <row r="4455" spans="5:5" ht="16.5">
      <c r="E4455" s="123"/>
    </row>
    <row r="4456" spans="5:5" ht="16.5">
      <c r="E4456" s="123"/>
    </row>
    <row r="4457" spans="5:5" ht="16.5">
      <c r="E4457" s="123"/>
    </row>
    <row r="4458" spans="5:5" ht="16.5">
      <c r="E4458" s="123"/>
    </row>
    <row r="4459" spans="5:5" ht="16.5">
      <c r="E4459" s="123"/>
    </row>
    <row r="4460" spans="5:5" ht="16.5">
      <c r="E4460" s="123"/>
    </row>
    <row r="4461" spans="5:5" ht="16.5">
      <c r="E4461" s="123"/>
    </row>
    <row r="4462" spans="5:5" ht="16.5">
      <c r="E4462" s="123"/>
    </row>
    <row r="4463" spans="5:5" ht="16.5">
      <c r="E4463" s="123"/>
    </row>
    <row r="4464" spans="5:5" ht="16.5">
      <c r="E4464" s="123"/>
    </row>
    <row r="4465" spans="5:5" ht="16.5">
      <c r="E4465" s="123"/>
    </row>
    <row r="4466" spans="5:5" ht="16.5">
      <c r="E4466" s="123"/>
    </row>
    <row r="4467" spans="5:5" ht="16.5">
      <c r="E4467" s="123"/>
    </row>
    <row r="4468" spans="5:5" ht="16.5">
      <c r="E4468" s="123"/>
    </row>
    <row r="4469" spans="5:5" ht="16.5">
      <c r="E4469" s="123"/>
    </row>
    <row r="4470" spans="5:5" ht="16.5">
      <c r="E4470" s="123"/>
    </row>
    <row r="4471" spans="5:5" ht="16.5">
      <c r="E4471" s="123"/>
    </row>
    <row r="4472" spans="5:5" ht="16.5">
      <c r="E4472" s="123"/>
    </row>
    <row r="4473" spans="5:5" ht="16.5">
      <c r="E4473" s="123"/>
    </row>
    <row r="4474" spans="5:5" ht="16.5">
      <c r="E4474" s="123"/>
    </row>
    <row r="4475" spans="5:5" ht="16.5">
      <c r="E4475" s="123"/>
    </row>
    <row r="4476" spans="5:5" ht="16.5">
      <c r="E4476" s="123"/>
    </row>
    <row r="4477" spans="5:5" ht="16.5">
      <c r="E4477" s="123"/>
    </row>
    <row r="4478" spans="5:5" ht="16.5">
      <c r="E4478" s="123"/>
    </row>
    <row r="4479" spans="5:5" ht="16.5">
      <c r="E4479" s="123"/>
    </row>
    <row r="4480" spans="5:5" ht="16.5">
      <c r="E4480" s="123"/>
    </row>
    <row r="4481" spans="5:5" ht="16.5">
      <c r="E4481" s="123"/>
    </row>
    <row r="4482" spans="5:5" ht="16.5">
      <c r="E4482" s="123"/>
    </row>
    <row r="4483" spans="5:5" ht="16.5">
      <c r="E4483" s="123"/>
    </row>
    <row r="4484" spans="5:5" ht="16.5">
      <c r="E4484" s="123"/>
    </row>
    <row r="4485" spans="5:5" ht="16.5">
      <c r="E4485" s="123"/>
    </row>
    <row r="4486" spans="5:5" ht="16.5">
      <c r="E4486" s="123"/>
    </row>
    <row r="4487" spans="5:5" ht="16.5">
      <c r="E4487" s="123"/>
    </row>
    <row r="4488" spans="5:5" ht="16.5">
      <c r="E4488" s="123"/>
    </row>
    <row r="4489" spans="5:5" ht="16.5">
      <c r="E4489" s="123"/>
    </row>
    <row r="4490" spans="5:5" ht="16.5">
      <c r="E4490" s="123"/>
    </row>
    <row r="4491" spans="5:5" ht="16.5">
      <c r="E4491" s="123"/>
    </row>
    <row r="4492" spans="5:5" ht="16.5">
      <c r="E4492" s="123"/>
    </row>
    <row r="4493" spans="5:5" ht="16.5">
      <c r="E4493" s="123"/>
    </row>
    <row r="4494" spans="5:5" ht="16.5">
      <c r="E4494" s="123"/>
    </row>
    <row r="4495" spans="5:5" ht="16.5">
      <c r="E4495" s="123"/>
    </row>
    <row r="4496" spans="5:5" ht="16.5">
      <c r="E4496" s="123"/>
    </row>
    <row r="4497" spans="5:5" ht="16.5">
      <c r="E4497" s="123"/>
    </row>
    <row r="4498" spans="5:5" ht="16.5">
      <c r="E4498" s="123"/>
    </row>
    <row r="4499" spans="5:5" ht="16.5">
      <c r="E4499" s="123"/>
    </row>
    <row r="4500" spans="5:5" ht="16.5">
      <c r="E4500" s="123"/>
    </row>
    <row r="4501" spans="5:5" ht="16.5">
      <c r="E4501" s="123"/>
    </row>
    <row r="4502" spans="5:5" ht="16.5">
      <c r="E4502" s="123"/>
    </row>
    <row r="4503" spans="5:5" ht="16.5">
      <c r="E4503" s="123"/>
    </row>
    <row r="4504" spans="5:5" ht="16.5">
      <c r="E4504" s="123"/>
    </row>
    <row r="4505" spans="5:5" ht="16.5">
      <c r="E4505" s="123"/>
    </row>
    <row r="4506" spans="5:5" ht="16.5">
      <c r="E4506" s="123"/>
    </row>
    <row r="4507" spans="5:5" ht="16.5">
      <c r="E4507" s="123"/>
    </row>
    <row r="4508" spans="5:5" ht="16.5">
      <c r="E4508" s="123"/>
    </row>
    <row r="4509" spans="5:5" ht="16.5">
      <c r="E4509" s="123"/>
    </row>
    <row r="4510" spans="5:5" ht="16.5">
      <c r="E4510" s="123"/>
    </row>
    <row r="4511" spans="5:5" ht="16.5">
      <c r="E4511" s="123"/>
    </row>
    <row r="4512" spans="5:5" ht="16.5">
      <c r="E4512" s="123"/>
    </row>
    <row r="4513" spans="5:5" ht="16.5">
      <c r="E4513" s="123"/>
    </row>
    <row r="4514" spans="5:5" ht="16.5">
      <c r="E4514" s="123"/>
    </row>
    <row r="4515" spans="5:5" ht="16.5">
      <c r="E4515" s="123"/>
    </row>
    <row r="4516" spans="5:5" ht="16.5">
      <c r="E4516" s="123"/>
    </row>
    <row r="4517" spans="5:5" ht="16.5">
      <c r="E4517" s="123"/>
    </row>
    <row r="4518" spans="5:5" ht="16.5">
      <c r="E4518" s="123"/>
    </row>
    <row r="4519" spans="5:5" ht="16.5">
      <c r="E4519" s="123"/>
    </row>
    <row r="4520" spans="5:5" ht="16.5">
      <c r="E4520" s="123"/>
    </row>
    <row r="4521" spans="5:5" ht="16.5">
      <c r="E4521" s="123"/>
    </row>
    <row r="4522" spans="5:5" ht="16.5">
      <c r="E4522" s="123"/>
    </row>
    <row r="4523" spans="5:5" ht="16.5">
      <c r="E4523" s="123"/>
    </row>
    <row r="4524" spans="5:5" ht="16.5">
      <c r="E4524" s="123"/>
    </row>
    <row r="4525" spans="5:5" ht="16.5">
      <c r="E4525" s="123"/>
    </row>
    <row r="4526" spans="5:5" ht="16.5">
      <c r="E4526" s="123"/>
    </row>
    <row r="4527" spans="5:5" ht="16.5">
      <c r="E4527" s="123"/>
    </row>
    <row r="4528" spans="5:5" ht="16.5">
      <c r="E4528" s="123"/>
    </row>
    <row r="4529" spans="5:5" ht="16.5">
      <c r="E4529" s="123"/>
    </row>
    <row r="4530" spans="5:5" ht="16.5">
      <c r="E4530" s="123"/>
    </row>
    <row r="4531" spans="5:5" ht="16.5">
      <c r="E4531" s="123"/>
    </row>
    <row r="4532" spans="5:5" ht="16.5">
      <c r="E4532" s="123"/>
    </row>
    <row r="4533" spans="5:5" ht="16.5">
      <c r="E4533" s="123"/>
    </row>
    <row r="4534" spans="5:5" ht="16.5">
      <c r="E4534" s="123"/>
    </row>
    <row r="4535" spans="5:5" ht="16.5">
      <c r="E4535" s="123"/>
    </row>
    <row r="4536" spans="5:5" ht="16.5">
      <c r="E4536" s="123"/>
    </row>
    <row r="4537" spans="5:5" ht="16.5">
      <c r="E4537" s="123"/>
    </row>
    <row r="4538" spans="5:5" ht="16.5">
      <c r="E4538" s="123"/>
    </row>
    <row r="4539" spans="5:5" ht="16.5">
      <c r="E4539" s="123"/>
    </row>
    <row r="4540" spans="5:5" ht="16.5">
      <c r="E4540" s="123"/>
    </row>
    <row r="4541" spans="5:5" ht="16.5">
      <c r="E4541" s="123"/>
    </row>
    <row r="4542" spans="5:5" ht="16.5">
      <c r="E4542" s="123"/>
    </row>
    <row r="4543" spans="5:5" ht="16.5">
      <c r="E4543" s="123"/>
    </row>
    <row r="4544" spans="5:5" ht="16.5">
      <c r="E4544" s="123"/>
    </row>
    <row r="4545" spans="5:5" ht="16.5">
      <c r="E4545" s="123"/>
    </row>
    <row r="4546" spans="5:5" ht="16.5">
      <c r="E4546" s="123"/>
    </row>
    <row r="4547" spans="5:5" ht="16.5">
      <c r="E4547" s="123"/>
    </row>
    <row r="4548" spans="5:5" ht="16.5">
      <c r="E4548" s="123"/>
    </row>
    <row r="4549" spans="5:5" ht="16.5">
      <c r="E4549" s="123"/>
    </row>
    <row r="4550" spans="5:5" ht="16.5">
      <c r="E4550" s="123"/>
    </row>
    <row r="4551" spans="5:5" ht="16.5">
      <c r="E4551" s="123"/>
    </row>
    <row r="4552" spans="5:5" ht="16.5">
      <c r="E4552" s="123"/>
    </row>
    <row r="4553" spans="5:5" ht="16.5">
      <c r="E4553" s="123"/>
    </row>
    <row r="4554" spans="5:5" ht="16.5">
      <c r="E4554" s="123"/>
    </row>
    <row r="4555" spans="5:5" ht="16.5">
      <c r="E4555" s="123"/>
    </row>
    <row r="4556" spans="5:5" ht="16.5">
      <c r="E4556" s="123"/>
    </row>
    <row r="4557" spans="5:5" ht="16.5">
      <c r="E4557" s="123"/>
    </row>
    <row r="4558" spans="5:5" ht="16.5">
      <c r="E4558" s="123"/>
    </row>
    <row r="4559" spans="5:5" ht="16.5">
      <c r="E4559" s="123"/>
    </row>
    <row r="4560" spans="5:5" ht="16.5">
      <c r="E4560" s="123"/>
    </row>
    <row r="4561" spans="5:5" ht="16.5">
      <c r="E4561" s="123"/>
    </row>
    <row r="4562" spans="5:5" ht="16.5">
      <c r="E4562" s="123"/>
    </row>
    <row r="4563" spans="5:5" ht="16.5">
      <c r="E4563" s="123"/>
    </row>
    <row r="4564" spans="5:5" ht="16.5">
      <c r="E4564" s="123"/>
    </row>
    <row r="4565" spans="5:5" ht="16.5">
      <c r="E4565" s="123"/>
    </row>
    <row r="4566" spans="5:5" ht="16.5">
      <c r="E4566" s="123"/>
    </row>
    <row r="4567" spans="5:5" ht="16.5">
      <c r="E4567" s="123"/>
    </row>
    <row r="4568" spans="5:5" ht="16.5">
      <c r="E4568" s="123"/>
    </row>
    <row r="4569" spans="5:5" ht="16.5">
      <c r="E4569" s="123"/>
    </row>
    <row r="4570" spans="5:5" ht="16.5">
      <c r="E4570" s="123"/>
    </row>
    <row r="4571" spans="5:5" ht="16.5">
      <c r="E4571" s="123"/>
    </row>
    <row r="4572" spans="5:5" ht="16.5">
      <c r="E4572" s="123"/>
    </row>
    <row r="4573" spans="5:5" ht="16.5">
      <c r="E4573" s="123"/>
    </row>
    <row r="4574" spans="5:5" ht="16.5">
      <c r="E4574" s="123"/>
    </row>
    <row r="4575" spans="5:5" ht="16.5">
      <c r="E4575" s="123"/>
    </row>
    <row r="4576" spans="5:5" ht="16.5">
      <c r="E4576" s="123"/>
    </row>
    <row r="4577" spans="5:5" ht="16.5">
      <c r="E4577" s="123"/>
    </row>
    <row r="4578" spans="5:5" ht="16.5">
      <c r="E4578" s="123"/>
    </row>
    <row r="4579" spans="5:5" ht="16.5">
      <c r="E4579" s="123"/>
    </row>
    <row r="4580" spans="5:5" ht="16.5">
      <c r="E4580" s="123"/>
    </row>
    <row r="4581" spans="5:5" ht="16.5">
      <c r="E4581" s="123"/>
    </row>
    <row r="4582" spans="5:5" ht="16.5">
      <c r="E4582" s="123"/>
    </row>
    <row r="4583" spans="5:5" ht="16.5">
      <c r="E4583" s="123"/>
    </row>
    <row r="4584" spans="5:5" ht="16.5">
      <c r="E4584" s="123"/>
    </row>
    <row r="4585" spans="5:5" ht="16.5">
      <c r="E4585" s="123"/>
    </row>
    <row r="4586" spans="5:5" ht="16.5">
      <c r="E4586" s="123"/>
    </row>
    <row r="4587" spans="5:5" ht="16.5">
      <c r="E4587" s="123"/>
    </row>
    <row r="4588" spans="5:5" ht="16.5">
      <c r="E4588" s="123"/>
    </row>
    <row r="4589" spans="5:5" ht="16.5">
      <c r="E4589" s="123"/>
    </row>
    <row r="4590" spans="5:5" ht="16.5">
      <c r="E4590" s="123"/>
    </row>
    <row r="4591" spans="5:5" ht="16.5">
      <c r="E4591" s="123"/>
    </row>
    <row r="4592" spans="5:5" ht="16.5">
      <c r="E4592" s="123"/>
    </row>
    <row r="4593" spans="5:5" ht="16.5">
      <c r="E4593" s="123"/>
    </row>
    <row r="4594" spans="5:5" ht="16.5">
      <c r="E4594" s="123"/>
    </row>
    <row r="4595" spans="5:5" ht="16.5">
      <c r="E4595" s="123"/>
    </row>
    <row r="4596" spans="5:5" ht="16.5">
      <c r="E4596" s="123"/>
    </row>
    <row r="4597" spans="5:5" ht="16.5">
      <c r="E4597" s="123"/>
    </row>
    <row r="4598" spans="5:5" ht="16.5">
      <c r="E4598" s="123"/>
    </row>
    <row r="4599" spans="5:5" ht="16.5">
      <c r="E4599" s="123"/>
    </row>
    <row r="4600" spans="5:5" ht="16.5">
      <c r="E4600" s="123"/>
    </row>
    <row r="4601" spans="5:5" ht="16.5">
      <c r="E4601" s="123"/>
    </row>
    <row r="4602" spans="5:5" ht="16.5">
      <c r="E4602" s="123"/>
    </row>
    <row r="4603" spans="5:5" ht="16.5">
      <c r="E4603" s="123"/>
    </row>
    <row r="4604" spans="5:5" ht="16.5">
      <c r="E4604" s="123"/>
    </row>
    <row r="4605" spans="5:5" ht="16.5">
      <c r="E4605" s="123"/>
    </row>
    <row r="4606" spans="5:5" ht="16.5">
      <c r="E4606" s="123"/>
    </row>
    <row r="4607" spans="5:5" ht="16.5">
      <c r="E4607" s="123"/>
    </row>
    <row r="4608" spans="5:5" ht="16.5">
      <c r="E4608" s="123"/>
    </row>
    <row r="4609" spans="5:5" ht="16.5">
      <c r="E4609" s="123"/>
    </row>
    <row r="4610" spans="5:5" ht="16.5">
      <c r="E4610" s="123"/>
    </row>
    <row r="4611" spans="5:5" ht="16.5">
      <c r="E4611" s="123"/>
    </row>
    <row r="4612" spans="5:5" ht="16.5">
      <c r="E4612" s="123"/>
    </row>
    <row r="4613" spans="5:5" ht="16.5">
      <c r="E4613" s="123"/>
    </row>
    <row r="4614" spans="5:5" ht="16.5">
      <c r="E4614" s="123"/>
    </row>
    <row r="4615" spans="5:5" ht="16.5">
      <c r="E4615" s="123"/>
    </row>
    <row r="4616" spans="5:5" ht="16.5">
      <c r="E4616" s="123"/>
    </row>
    <row r="4617" spans="5:5" ht="16.5">
      <c r="E4617" s="123"/>
    </row>
    <row r="4618" spans="5:5" ht="16.5">
      <c r="E4618" s="123"/>
    </row>
    <row r="4619" spans="5:5" ht="16.5">
      <c r="E4619" s="123"/>
    </row>
    <row r="4620" spans="5:5" ht="16.5">
      <c r="E4620" s="123"/>
    </row>
    <row r="4621" spans="5:5" ht="16.5">
      <c r="E4621" s="123"/>
    </row>
    <row r="4622" spans="5:5" ht="16.5">
      <c r="E4622" s="123"/>
    </row>
    <row r="4623" spans="5:5" ht="16.5">
      <c r="E4623" s="123"/>
    </row>
    <row r="4624" spans="5:5" ht="16.5">
      <c r="E4624" s="123"/>
    </row>
    <row r="4625" spans="5:5" ht="16.5">
      <c r="E4625" s="123"/>
    </row>
    <row r="4626" spans="5:5" ht="16.5">
      <c r="E4626" s="123"/>
    </row>
    <row r="4627" spans="5:5" ht="16.5">
      <c r="E4627" s="123"/>
    </row>
    <row r="4628" spans="5:5" ht="16.5">
      <c r="E4628" s="123"/>
    </row>
    <row r="4629" spans="5:5" ht="16.5">
      <c r="E4629" s="123"/>
    </row>
    <row r="4630" spans="5:5" ht="16.5">
      <c r="E4630" s="123"/>
    </row>
    <row r="4631" spans="5:5" ht="16.5">
      <c r="E4631" s="123"/>
    </row>
    <row r="4632" spans="5:5" ht="16.5">
      <c r="E4632" s="123"/>
    </row>
    <row r="4633" spans="5:5" ht="16.5">
      <c r="E4633" s="123"/>
    </row>
    <row r="4634" spans="5:5" ht="16.5">
      <c r="E4634" s="123"/>
    </row>
    <row r="4635" spans="5:5" ht="16.5">
      <c r="E4635" s="123"/>
    </row>
    <row r="4636" spans="5:5" ht="16.5">
      <c r="E4636" s="123"/>
    </row>
    <row r="4637" spans="5:5" ht="16.5">
      <c r="E4637" s="123"/>
    </row>
    <row r="4638" spans="5:5" ht="16.5">
      <c r="E4638" s="123"/>
    </row>
    <row r="4639" spans="5:5" ht="16.5">
      <c r="E4639" s="123"/>
    </row>
    <row r="4640" spans="5:5" ht="16.5">
      <c r="E4640" s="123"/>
    </row>
    <row r="4641" spans="5:5" ht="16.5">
      <c r="E4641" s="123"/>
    </row>
    <row r="4642" spans="5:5" ht="16.5">
      <c r="E4642" s="123"/>
    </row>
    <row r="4643" spans="5:5" ht="16.5">
      <c r="E4643" s="123"/>
    </row>
    <row r="4644" spans="5:5" ht="16.5">
      <c r="E4644" s="123"/>
    </row>
    <row r="4645" spans="5:5" ht="16.5">
      <c r="E4645" s="123"/>
    </row>
    <row r="4646" spans="5:5" ht="16.5">
      <c r="E4646" s="123"/>
    </row>
    <row r="4647" spans="5:5" ht="16.5">
      <c r="E4647" s="123"/>
    </row>
    <row r="4648" spans="5:5" ht="16.5">
      <c r="E4648" s="123"/>
    </row>
    <row r="4649" spans="5:5" ht="16.5">
      <c r="E4649" s="123"/>
    </row>
    <row r="4650" spans="5:5" ht="16.5">
      <c r="E4650" s="123"/>
    </row>
    <row r="4651" spans="5:5" ht="16.5">
      <c r="E4651" s="123"/>
    </row>
    <row r="4652" spans="5:5" ht="16.5">
      <c r="E4652" s="123"/>
    </row>
    <row r="4653" spans="5:5" ht="16.5">
      <c r="E4653" s="123"/>
    </row>
    <row r="4654" spans="5:5" ht="16.5">
      <c r="E4654" s="123"/>
    </row>
    <row r="4655" spans="5:5" ht="16.5">
      <c r="E4655" s="123"/>
    </row>
    <row r="4656" spans="5:5" ht="16.5">
      <c r="E4656" s="123"/>
    </row>
    <row r="4657" spans="5:5" ht="16.5">
      <c r="E4657" s="123"/>
    </row>
    <row r="4658" spans="5:5" ht="16.5">
      <c r="E4658" s="123"/>
    </row>
    <row r="4659" spans="5:5" ht="16.5">
      <c r="E4659" s="123"/>
    </row>
    <row r="4660" spans="5:5" ht="16.5">
      <c r="E4660" s="123"/>
    </row>
    <row r="4661" spans="5:5" ht="16.5">
      <c r="E4661" s="123"/>
    </row>
    <row r="4662" spans="5:5" ht="16.5">
      <c r="E4662" s="123"/>
    </row>
    <row r="4663" spans="5:5" ht="16.5">
      <c r="E4663" s="123"/>
    </row>
    <row r="4664" spans="5:5" ht="16.5">
      <c r="E4664" s="123"/>
    </row>
    <row r="4665" spans="5:5" ht="16.5">
      <c r="E4665" s="123"/>
    </row>
    <row r="4666" spans="5:5" ht="16.5">
      <c r="E4666" s="123"/>
    </row>
    <row r="4667" spans="5:5" ht="16.5">
      <c r="E4667" s="123"/>
    </row>
    <row r="4668" spans="5:5" ht="16.5">
      <c r="E4668" s="123"/>
    </row>
    <row r="4669" spans="5:5" ht="16.5">
      <c r="E4669" s="123"/>
    </row>
    <row r="4670" spans="5:5" ht="16.5">
      <c r="E4670" s="123"/>
    </row>
    <row r="4671" spans="5:5" ht="16.5">
      <c r="E4671" s="123"/>
    </row>
    <row r="4672" spans="5:5" ht="16.5">
      <c r="E4672" s="123"/>
    </row>
    <row r="4673" spans="5:5" ht="16.5">
      <c r="E4673" s="123"/>
    </row>
    <row r="4674" spans="5:5" ht="16.5">
      <c r="E4674" s="123"/>
    </row>
    <row r="4675" spans="5:5" ht="16.5">
      <c r="E4675" s="123"/>
    </row>
    <row r="4676" spans="5:5" ht="16.5">
      <c r="E4676" s="123"/>
    </row>
    <row r="4677" spans="5:5" ht="16.5">
      <c r="E4677" s="123"/>
    </row>
    <row r="4678" spans="5:5" ht="16.5">
      <c r="E4678" s="123"/>
    </row>
    <row r="4679" spans="5:5" ht="16.5">
      <c r="E4679" s="123"/>
    </row>
    <row r="4680" spans="5:5" ht="16.5">
      <c r="E4680" s="123"/>
    </row>
    <row r="4681" spans="5:5" ht="16.5">
      <c r="E4681" s="123"/>
    </row>
    <row r="4682" spans="5:5" ht="16.5">
      <c r="E4682" s="123"/>
    </row>
    <row r="4683" spans="5:5" ht="16.5">
      <c r="E4683" s="123"/>
    </row>
    <row r="4684" spans="5:5" ht="16.5">
      <c r="E4684" s="123"/>
    </row>
    <row r="4685" spans="5:5" ht="16.5">
      <c r="E4685" s="123"/>
    </row>
    <row r="4686" spans="5:5" ht="16.5">
      <c r="E4686" s="123"/>
    </row>
    <row r="4687" spans="5:5" ht="16.5">
      <c r="E4687" s="123"/>
    </row>
    <row r="4688" spans="5:5" ht="16.5">
      <c r="E4688" s="123"/>
    </row>
    <row r="4689" spans="5:5" ht="16.5">
      <c r="E4689" s="123"/>
    </row>
    <row r="4690" spans="5:5" ht="16.5">
      <c r="E4690" s="123"/>
    </row>
    <row r="4691" spans="5:5" ht="16.5">
      <c r="E4691" s="123"/>
    </row>
    <row r="4692" spans="5:5" ht="16.5">
      <c r="E4692" s="123"/>
    </row>
    <row r="4693" spans="5:5" ht="16.5">
      <c r="E4693" s="123"/>
    </row>
    <row r="4694" spans="5:5" ht="16.5">
      <c r="E4694" s="123"/>
    </row>
    <row r="4695" spans="5:5" ht="16.5">
      <c r="E4695" s="123"/>
    </row>
    <row r="4696" spans="5:5" ht="16.5">
      <c r="E4696" s="123"/>
    </row>
    <row r="4697" spans="5:5" ht="16.5">
      <c r="E4697" s="123"/>
    </row>
    <row r="4698" spans="5:5" ht="16.5">
      <c r="E4698" s="123"/>
    </row>
    <row r="4699" spans="5:5" ht="16.5">
      <c r="E4699" s="123"/>
    </row>
    <row r="4700" spans="5:5" ht="16.5">
      <c r="E4700" s="123"/>
    </row>
    <row r="4701" spans="5:5" ht="16.5">
      <c r="E4701" s="123"/>
    </row>
    <row r="4702" spans="5:5" ht="16.5">
      <c r="E4702" s="123"/>
    </row>
    <row r="4703" spans="5:5" ht="16.5">
      <c r="E4703" s="123"/>
    </row>
    <row r="4704" spans="5:5" ht="16.5">
      <c r="E4704" s="123"/>
    </row>
    <row r="4705" spans="5:5" ht="16.5">
      <c r="E4705" s="123"/>
    </row>
    <row r="4706" spans="5:5" ht="16.5">
      <c r="E4706" s="123"/>
    </row>
    <row r="4707" spans="5:5" ht="16.5">
      <c r="E4707" s="123"/>
    </row>
    <row r="4708" spans="5:5" ht="16.5">
      <c r="E4708" s="123"/>
    </row>
    <row r="4709" spans="5:5" ht="16.5">
      <c r="E4709" s="123"/>
    </row>
    <row r="4710" spans="5:5" ht="16.5">
      <c r="E4710" s="123"/>
    </row>
    <row r="4711" spans="5:5" ht="16.5">
      <c r="E4711" s="123"/>
    </row>
    <row r="4712" spans="5:5" ht="16.5">
      <c r="E4712" s="123"/>
    </row>
    <row r="4713" spans="5:5" ht="16.5">
      <c r="E4713" s="123"/>
    </row>
    <row r="4714" spans="5:5" ht="16.5">
      <c r="E4714" s="123"/>
    </row>
    <row r="4715" spans="5:5" ht="16.5">
      <c r="E4715" s="123"/>
    </row>
    <row r="4716" spans="5:5" ht="16.5">
      <c r="E4716" s="123"/>
    </row>
    <row r="4717" spans="5:5" ht="16.5">
      <c r="E4717" s="123"/>
    </row>
    <row r="4718" spans="5:5" ht="16.5">
      <c r="E4718" s="123"/>
    </row>
    <row r="4719" spans="5:5" ht="16.5">
      <c r="E4719" s="123"/>
    </row>
    <row r="4720" spans="5:5" ht="16.5">
      <c r="E4720" s="123"/>
    </row>
    <row r="4721" spans="5:5" ht="16.5">
      <c r="E4721" s="123"/>
    </row>
    <row r="4722" spans="5:5" ht="16.5">
      <c r="E4722" s="123"/>
    </row>
    <row r="4723" spans="5:5" ht="16.5">
      <c r="E4723" s="123"/>
    </row>
    <row r="4724" spans="5:5" ht="16.5">
      <c r="E4724" s="123"/>
    </row>
    <row r="4725" spans="5:5" ht="16.5">
      <c r="E4725" s="123"/>
    </row>
    <row r="4726" spans="5:5" ht="16.5">
      <c r="E4726" s="123"/>
    </row>
    <row r="4727" spans="5:5" ht="16.5">
      <c r="E4727" s="123"/>
    </row>
    <row r="4728" spans="5:5" ht="16.5">
      <c r="E4728" s="123"/>
    </row>
    <row r="4729" spans="5:5" ht="16.5">
      <c r="E4729" s="123"/>
    </row>
    <row r="4730" spans="5:5" ht="16.5">
      <c r="E4730" s="123"/>
    </row>
    <row r="4731" spans="5:5" ht="16.5">
      <c r="E4731" s="123"/>
    </row>
    <row r="4732" spans="5:5" ht="16.5">
      <c r="E4732" s="123"/>
    </row>
    <row r="4733" spans="5:5" ht="16.5">
      <c r="E4733" s="123"/>
    </row>
    <row r="4734" spans="5:5" ht="16.5">
      <c r="E4734" s="123"/>
    </row>
    <row r="4735" spans="5:5" ht="16.5">
      <c r="E4735" s="123"/>
    </row>
    <row r="4736" spans="5:5" ht="16.5">
      <c r="E4736" s="123"/>
    </row>
    <row r="4737" spans="5:5" ht="16.5">
      <c r="E4737" s="123"/>
    </row>
    <row r="4738" spans="5:5" ht="16.5">
      <c r="E4738" s="123"/>
    </row>
    <row r="4739" spans="5:5" ht="16.5">
      <c r="E4739" s="123"/>
    </row>
    <row r="4740" spans="5:5" ht="16.5">
      <c r="E4740" s="123"/>
    </row>
    <row r="4741" spans="5:5" ht="16.5">
      <c r="E4741" s="123"/>
    </row>
    <row r="4742" spans="5:5" ht="16.5">
      <c r="E4742" s="123"/>
    </row>
    <row r="4743" spans="5:5" ht="16.5">
      <c r="E4743" s="123"/>
    </row>
    <row r="4744" spans="5:5" ht="16.5">
      <c r="E4744" s="123"/>
    </row>
    <row r="4745" spans="5:5" ht="16.5">
      <c r="E4745" s="123"/>
    </row>
    <row r="4746" spans="5:5" ht="16.5">
      <c r="E4746" s="123"/>
    </row>
    <row r="4747" spans="5:5" ht="16.5">
      <c r="E4747" s="123"/>
    </row>
    <row r="4748" spans="5:5" ht="16.5">
      <c r="E4748" s="123"/>
    </row>
    <row r="4749" spans="5:5" ht="16.5">
      <c r="E4749" s="123"/>
    </row>
    <row r="4750" spans="5:5" ht="16.5">
      <c r="E4750" s="123"/>
    </row>
    <row r="4751" spans="5:5" ht="16.5">
      <c r="E4751" s="123"/>
    </row>
    <row r="4752" spans="5:5" ht="16.5">
      <c r="E4752" s="123"/>
    </row>
    <row r="4753" spans="5:5" ht="16.5">
      <c r="E4753" s="123"/>
    </row>
    <row r="4754" spans="5:5" ht="16.5">
      <c r="E4754" s="123"/>
    </row>
    <row r="4755" spans="5:5" ht="16.5">
      <c r="E4755" s="123"/>
    </row>
    <row r="4756" spans="5:5" ht="16.5">
      <c r="E4756" s="123"/>
    </row>
    <row r="4757" spans="5:5" ht="16.5">
      <c r="E4757" s="123"/>
    </row>
    <row r="4758" spans="5:5" ht="16.5">
      <c r="E4758" s="123"/>
    </row>
    <row r="4759" spans="5:5" ht="16.5">
      <c r="E4759" s="123"/>
    </row>
    <row r="4760" spans="5:5" ht="16.5">
      <c r="E4760" s="123"/>
    </row>
    <row r="4761" spans="5:5" ht="16.5">
      <c r="E4761" s="123"/>
    </row>
    <row r="4762" spans="5:5" ht="16.5">
      <c r="E4762" s="123"/>
    </row>
    <row r="4763" spans="5:5" ht="16.5">
      <c r="E4763" s="123"/>
    </row>
    <row r="4764" spans="5:5" ht="16.5">
      <c r="E4764" s="123"/>
    </row>
    <row r="4765" spans="5:5" ht="16.5">
      <c r="E4765" s="123"/>
    </row>
    <row r="4766" spans="5:5" ht="16.5">
      <c r="E4766" s="123"/>
    </row>
    <row r="4767" spans="5:5" ht="16.5">
      <c r="E4767" s="123"/>
    </row>
    <row r="4768" spans="5:5" ht="16.5">
      <c r="E4768" s="123"/>
    </row>
    <row r="4769" spans="5:5" ht="16.5">
      <c r="E4769" s="123"/>
    </row>
    <row r="4770" spans="5:5" ht="16.5">
      <c r="E4770" s="123"/>
    </row>
    <row r="4771" spans="5:5" ht="16.5">
      <c r="E4771" s="123"/>
    </row>
    <row r="4772" spans="5:5" ht="16.5">
      <c r="E4772" s="123"/>
    </row>
    <row r="4773" spans="5:5" ht="16.5">
      <c r="E4773" s="123"/>
    </row>
    <row r="4774" spans="5:5" ht="16.5">
      <c r="E4774" s="123"/>
    </row>
    <row r="4775" spans="5:5" ht="16.5">
      <c r="E4775" s="123"/>
    </row>
    <row r="4776" spans="5:5" ht="16.5">
      <c r="E4776" s="123"/>
    </row>
    <row r="4777" spans="5:5" ht="16.5">
      <c r="E4777" s="123"/>
    </row>
    <row r="4778" spans="5:5" ht="16.5">
      <c r="E4778" s="123"/>
    </row>
    <row r="4779" spans="5:5" ht="16.5">
      <c r="E4779" s="123"/>
    </row>
    <row r="4780" spans="5:5" ht="16.5">
      <c r="E4780" s="123"/>
    </row>
    <row r="4781" spans="5:5" ht="16.5">
      <c r="E4781" s="123"/>
    </row>
    <row r="4782" spans="5:5" ht="16.5">
      <c r="E4782" s="123"/>
    </row>
    <row r="4783" spans="5:5" ht="16.5">
      <c r="E4783" s="123"/>
    </row>
    <row r="4784" spans="5:5" ht="16.5">
      <c r="E4784" s="123"/>
    </row>
    <row r="4785" spans="5:5" ht="16.5">
      <c r="E4785" s="123"/>
    </row>
    <row r="4786" spans="5:5" ht="16.5">
      <c r="E4786" s="123"/>
    </row>
    <row r="4787" spans="5:5" ht="16.5">
      <c r="E4787" s="123"/>
    </row>
    <row r="4788" spans="5:5" ht="16.5">
      <c r="E4788" s="123"/>
    </row>
    <row r="4789" spans="5:5" ht="16.5">
      <c r="E4789" s="123"/>
    </row>
    <row r="4790" spans="5:5" ht="16.5">
      <c r="E4790" s="123"/>
    </row>
    <row r="4791" spans="5:5" ht="16.5">
      <c r="E4791" s="123"/>
    </row>
    <row r="4792" spans="5:5" ht="16.5">
      <c r="E4792" s="123"/>
    </row>
    <row r="4793" spans="5:5" ht="16.5">
      <c r="E4793" s="123"/>
    </row>
    <row r="4794" spans="5:5" ht="16.5">
      <c r="E4794" s="123"/>
    </row>
    <row r="4795" spans="5:5" ht="16.5">
      <c r="E4795" s="123"/>
    </row>
    <row r="4796" spans="5:5" ht="16.5">
      <c r="E4796" s="123"/>
    </row>
    <row r="4797" spans="5:5" ht="16.5">
      <c r="E4797" s="123"/>
    </row>
    <row r="4798" spans="5:5" ht="16.5">
      <c r="E4798" s="123"/>
    </row>
    <row r="4799" spans="5:5" ht="16.5">
      <c r="E4799" s="123"/>
    </row>
    <row r="4800" spans="5:5" ht="16.5">
      <c r="E4800" s="123"/>
    </row>
    <row r="4801" spans="5:5" ht="16.5">
      <c r="E4801" s="123"/>
    </row>
    <row r="4802" spans="5:5" ht="16.5">
      <c r="E4802" s="123"/>
    </row>
    <row r="4803" spans="5:5" ht="16.5">
      <c r="E4803" s="123"/>
    </row>
    <row r="4804" spans="5:5" ht="16.5">
      <c r="E4804" s="123"/>
    </row>
    <row r="4805" spans="5:5" ht="16.5">
      <c r="E4805" s="123"/>
    </row>
    <row r="4806" spans="5:5" ht="16.5">
      <c r="E4806" s="123"/>
    </row>
    <row r="4807" spans="5:5" ht="16.5">
      <c r="E4807" s="123"/>
    </row>
    <row r="4808" spans="5:5" ht="16.5">
      <c r="E4808" s="123"/>
    </row>
    <row r="4809" spans="5:5" ht="16.5">
      <c r="E4809" s="123"/>
    </row>
    <row r="4810" spans="5:5" ht="16.5">
      <c r="E4810" s="123"/>
    </row>
    <row r="4811" spans="5:5" ht="16.5">
      <c r="E4811" s="123"/>
    </row>
    <row r="4812" spans="5:5" ht="16.5">
      <c r="E4812" s="123"/>
    </row>
    <row r="4813" spans="5:5" ht="16.5">
      <c r="E4813" s="123"/>
    </row>
    <row r="4814" spans="5:5" ht="16.5">
      <c r="E4814" s="123"/>
    </row>
    <row r="4815" spans="5:5" ht="16.5">
      <c r="E4815" s="123"/>
    </row>
    <row r="4816" spans="5:5" ht="16.5">
      <c r="E4816" s="123"/>
    </row>
    <row r="4817" spans="5:5" ht="16.5">
      <c r="E4817" s="123"/>
    </row>
    <row r="4818" spans="5:5" ht="16.5">
      <c r="E4818" s="123"/>
    </row>
    <row r="4819" spans="5:5" ht="16.5">
      <c r="E4819" s="123"/>
    </row>
    <row r="4820" spans="5:5" ht="16.5">
      <c r="E4820" s="123"/>
    </row>
    <row r="4821" spans="5:5" ht="16.5">
      <c r="E4821" s="123"/>
    </row>
    <row r="4822" spans="5:5" ht="16.5">
      <c r="E4822" s="123"/>
    </row>
    <row r="4823" spans="5:5" ht="16.5">
      <c r="E4823" s="123"/>
    </row>
    <row r="4824" spans="5:5" ht="16.5">
      <c r="E4824" s="123"/>
    </row>
    <row r="4825" spans="5:5" ht="16.5">
      <c r="E4825" s="123"/>
    </row>
    <row r="4826" spans="5:5" ht="16.5">
      <c r="E4826" s="123"/>
    </row>
    <row r="4827" spans="5:5" ht="16.5">
      <c r="E4827" s="123"/>
    </row>
    <row r="4828" spans="5:5" ht="16.5">
      <c r="E4828" s="123"/>
    </row>
    <row r="4829" spans="5:5" ht="16.5">
      <c r="E4829" s="123"/>
    </row>
    <row r="4830" spans="5:5" ht="16.5">
      <c r="E4830" s="123"/>
    </row>
    <row r="4831" spans="5:5" ht="16.5">
      <c r="E4831" s="123"/>
    </row>
    <row r="4832" spans="5:5" ht="16.5">
      <c r="E4832" s="123"/>
    </row>
    <row r="4833" spans="5:5" ht="16.5">
      <c r="E4833" s="123"/>
    </row>
    <row r="4834" spans="5:5" ht="16.5">
      <c r="E4834" s="123"/>
    </row>
    <row r="4835" spans="5:5" ht="16.5">
      <c r="E4835" s="123"/>
    </row>
    <row r="4836" spans="5:5" ht="16.5">
      <c r="E4836" s="123"/>
    </row>
    <row r="4837" spans="5:5" ht="16.5">
      <c r="E4837" s="123"/>
    </row>
    <row r="4838" spans="5:5" ht="16.5">
      <c r="E4838" s="123"/>
    </row>
    <row r="4839" spans="5:5" ht="16.5">
      <c r="E4839" s="123"/>
    </row>
    <row r="4840" spans="5:5" ht="16.5">
      <c r="E4840" s="123"/>
    </row>
    <row r="4841" spans="5:5" ht="16.5">
      <c r="E4841" s="123"/>
    </row>
    <row r="4842" spans="5:5" ht="16.5">
      <c r="E4842" s="123"/>
    </row>
    <row r="4843" spans="5:5" ht="16.5">
      <c r="E4843" s="123"/>
    </row>
    <row r="4844" spans="5:5" ht="16.5">
      <c r="E4844" s="123"/>
    </row>
    <row r="4845" spans="5:5" ht="16.5">
      <c r="E4845" s="123"/>
    </row>
    <row r="4846" spans="5:5" ht="16.5">
      <c r="E4846" s="123"/>
    </row>
    <row r="4847" spans="5:5" ht="16.5">
      <c r="E4847" s="123"/>
    </row>
    <row r="4848" spans="5:5" ht="16.5">
      <c r="E4848" s="123"/>
    </row>
    <row r="4849" spans="5:5" ht="16.5">
      <c r="E4849" s="123"/>
    </row>
    <row r="4850" spans="5:5" ht="16.5">
      <c r="E4850" s="123"/>
    </row>
    <row r="4851" spans="5:5" ht="16.5">
      <c r="E4851" s="123"/>
    </row>
    <row r="4852" spans="5:5" ht="16.5">
      <c r="E4852" s="123"/>
    </row>
    <row r="4853" spans="5:5" ht="16.5">
      <c r="E4853" s="123"/>
    </row>
    <row r="4854" spans="5:5" ht="16.5">
      <c r="E4854" s="123"/>
    </row>
    <row r="4855" spans="5:5" ht="16.5">
      <c r="E4855" s="123"/>
    </row>
    <row r="4856" spans="5:5" ht="16.5">
      <c r="E4856" s="123"/>
    </row>
    <row r="4857" spans="5:5" ht="16.5">
      <c r="E4857" s="123"/>
    </row>
    <row r="4858" spans="5:5" ht="16.5">
      <c r="E4858" s="123"/>
    </row>
    <row r="4859" spans="5:5" ht="16.5">
      <c r="E4859" s="123"/>
    </row>
    <row r="4860" spans="5:5" ht="16.5">
      <c r="E4860" s="123"/>
    </row>
    <row r="4861" spans="5:5" ht="16.5">
      <c r="E4861" s="123"/>
    </row>
    <row r="4862" spans="5:5" ht="16.5">
      <c r="E4862" s="123"/>
    </row>
    <row r="4863" spans="5:5" ht="16.5">
      <c r="E4863" s="123"/>
    </row>
    <row r="4864" spans="5:5" ht="16.5">
      <c r="E4864" s="123"/>
    </row>
    <row r="4865" spans="5:5" ht="16.5">
      <c r="E4865" s="123"/>
    </row>
    <row r="4866" spans="5:5" ht="16.5">
      <c r="E4866" s="123"/>
    </row>
    <row r="4867" spans="5:5" ht="16.5">
      <c r="E4867" s="123"/>
    </row>
    <row r="4868" spans="5:5" ht="16.5">
      <c r="E4868" s="123"/>
    </row>
    <row r="4869" spans="5:5" ht="16.5">
      <c r="E4869" s="123"/>
    </row>
    <row r="4870" spans="5:5" ht="16.5">
      <c r="E4870" s="123"/>
    </row>
    <row r="4871" spans="5:5" ht="16.5">
      <c r="E4871" s="123"/>
    </row>
    <row r="4872" spans="5:5" ht="16.5">
      <c r="E4872" s="123"/>
    </row>
    <row r="4873" spans="5:5" ht="16.5">
      <c r="E4873" s="123"/>
    </row>
    <row r="4874" spans="5:5" ht="16.5">
      <c r="E4874" s="123"/>
    </row>
    <row r="4875" spans="5:5" ht="16.5">
      <c r="E4875" s="123"/>
    </row>
    <row r="4876" spans="5:5" ht="16.5">
      <c r="E4876" s="123"/>
    </row>
    <row r="4877" spans="5:5" ht="16.5">
      <c r="E4877" s="123"/>
    </row>
    <row r="4878" spans="5:5" ht="16.5">
      <c r="E4878" s="123"/>
    </row>
    <row r="4879" spans="5:5" ht="16.5">
      <c r="E4879" s="123"/>
    </row>
    <row r="4880" spans="5:5" ht="16.5">
      <c r="E4880" s="123"/>
    </row>
    <row r="4881" spans="5:5" ht="16.5">
      <c r="E4881" s="123"/>
    </row>
    <row r="4882" spans="5:5" ht="16.5">
      <c r="E4882" s="123"/>
    </row>
    <row r="4883" spans="5:5" ht="16.5">
      <c r="E4883" s="123"/>
    </row>
    <row r="4884" spans="5:5" ht="16.5">
      <c r="E4884" s="123"/>
    </row>
    <row r="4885" spans="5:5" ht="16.5">
      <c r="E4885" s="123"/>
    </row>
    <row r="4886" spans="5:5" ht="16.5">
      <c r="E4886" s="123"/>
    </row>
    <row r="4887" spans="5:5" ht="16.5">
      <c r="E4887" s="123"/>
    </row>
    <row r="4888" spans="5:5" ht="16.5">
      <c r="E4888" s="123"/>
    </row>
    <row r="4889" spans="5:5" ht="16.5">
      <c r="E4889" s="123"/>
    </row>
    <row r="4890" spans="5:5" ht="16.5">
      <c r="E4890" s="123"/>
    </row>
    <row r="4891" spans="5:5" ht="16.5">
      <c r="E4891" s="123"/>
    </row>
    <row r="4892" spans="5:5" ht="16.5">
      <c r="E4892" s="123"/>
    </row>
    <row r="4893" spans="5:5" ht="16.5">
      <c r="E4893" s="123"/>
    </row>
    <row r="4894" spans="5:5" ht="16.5">
      <c r="E4894" s="123"/>
    </row>
    <row r="4895" spans="5:5" ht="16.5">
      <c r="E4895" s="123"/>
    </row>
    <row r="4896" spans="5:5" ht="16.5">
      <c r="E4896" s="123"/>
    </row>
    <row r="4897" spans="5:5" ht="16.5">
      <c r="E4897" s="123"/>
    </row>
    <row r="4898" spans="5:5" ht="16.5">
      <c r="E4898" s="123"/>
    </row>
    <row r="4899" spans="5:5" ht="16.5">
      <c r="E4899" s="123"/>
    </row>
    <row r="4900" spans="5:5" ht="16.5">
      <c r="E4900" s="123"/>
    </row>
    <row r="4901" spans="5:5" ht="16.5">
      <c r="E4901" s="123"/>
    </row>
    <row r="4902" spans="5:5" ht="16.5">
      <c r="E4902" s="123"/>
    </row>
    <row r="4903" spans="5:5" ht="16.5">
      <c r="E4903" s="123"/>
    </row>
    <row r="4904" spans="5:5" ht="16.5">
      <c r="E4904" s="123"/>
    </row>
    <row r="4905" spans="5:5" ht="16.5">
      <c r="E4905" s="123"/>
    </row>
    <row r="4906" spans="5:5" ht="16.5">
      <c r="E4906" s="123"/>
    </row>
    <row r="4907" spans="5:5" ht="16.5">
      <c r="E4907" s="123"/>
    </row>
    <row r="4908" spans="5:5" ht="16.5">
      <c r="E4908" s="123"/>
    </row>
    <row r="4909" spans="5:5" ht="16.5">
      <c r="E4909" s="123"/>
    </row>
    <row r="4910" spans="5:5" ht="16.5">
      <c r="E4910" s="123"/>
    </row>
    <row r="4911" spans="5:5" ht="16.5">
      <c r="E4911" s="123"/>
    </row>
    <row r="4912" spans="5:5" ht="16.5">
      <c r="E4912" s="123"/>
    </row>
    <row r="4913" spans="5:5" ht="16.5">
      <c r="E4913" s="123"/>
    </row>
    <row r="4914" spans="5:5" ht="16.5">
      <c r="E4914" s="123"/>
    </row>
    <row r="4915" spans="5:5" ht="16.5">
      <c r="E4915" s="123"/>
    </row>
    <row r="4916" spans="5:5" ht="16.5">
      <c r="E4916" s="123"/>
    </row>
    <row r="4917" spans="5:5" ht="16.5">
      <c r="E4917" s="123"/>
    </row>
    <row r="4918" spans="5:5" ht="16.5">
      <c r="E4918" s="123"/>
    </row>
    <row r="4919" spans="5:5" ht="16.5">
      <c r="E4919" s="123"/>
    </row>
    <row r="4920" spans="5:5" ht="16.5">
      <c r="E4920" s="123"/>
    </row>
    <row r="4921" spans="5:5" ht="16.5">
      <c r="E4921" s="123"/>
    </row>
    <row r="4922" spans="5:5" ht="16.5">
      <c r="E4922" s="123"/>
    </row>
    <row r="4923" spans="5:5" ht="16.5">
      <c r="E4923" s="123"/>
    </row>
    <row r="4924" spans="5:5" ht="16.5">
      <c r="E4924" s="123"/>
    </row>
    <row r="4925" spans="5:5" ht="16.5">
      <c r="E4925" s="123"/>
    </row>
    <row r="4926" spans="5:5" ht="16.5">
      <c r="E4926" s="123"/>
    </row>
    <row r="4927" spans="5:5" ht="16.5">
      <c r="E4927" s="123"/>
    </row>
    <row r="4928" spans="5:5" ht="16.5">
      <c r="E4928" s="123"/>
    </row>
    <row r="4929" spans="5:5" ht="16.5">
      <c r="E4929" s="123"/>
    </row>
    <row r="4930" spans="5:5" ht="16.5">
      <c r="E4930" s="123"/>
    </row>
    <row r="4931" spans="5:5" ht="16.5">
      <c r="E4931" s="123"/>
    </row>
    <row r="4932" spans="5:5" ht="16.5">
      <c r="E4932" s="123"/>
    </row>
    <row r="4933" spans="5:5" ht="16.5">
      <c r="E4933" s="123"/>
    </row>
    <row r="4934" spans="5:5" ht="16.5">
      <c r="E4934" s="123"/>
    </row>
    <row r="4935" spans="5:5" ht="16.5">
      <c r="E4935" s="123"/>
    </row>
    <row r="4936" spans="5:5" ht="16.5">
      <c r="E4936" s="123"/>
    </row>
    <row r="4937" spans="5:5" ht="16.5">
      <c r="E4937" s="123"/>
    </row>
    <row r="4938" spans="5:5" ht="16.5">
      <c r="E4938" s="123"/>
    </row>
    <row r="4939" spans="5:5" ht="16.5">
      <c r="E4939" s="123"/>
    </row>
    <row r="4940" spans="5:5" ht="16.5">
      <c r="E4940" s="123"/>
    </row>
    <row r="4941" spans="5:5" ht="16.5">
      <c r="E4941" s="123"/>
    </row>
    <row r="4942" spans="5:5" ht="16.5">
      <c r="E4942" s="123"/>
    </row>
    <row r="4943" spans="5:5" ht="16.5">
      <c r="E4943" s="123"/>
    </row>
    <row r="4944" spans="5:5" ht="16.5">
      <c r="E4944" s="123"/>
    </row>
    <row r="4945" spans="5:5" ht="16.5">
      <c r="E4945" s="123"/>
    </row>
    <row r="4946" spans="5:5" ht="16.5">
      <c r="E4946" s="123"/>
    </row>
    <row r="4947" spans="5:5" ht="16.5">
      <c r="E4947" s="123"/>
    </row>
    <row r="4948" spans="5:5" ht="16.5">
      <c r="E4948" s="123"/>
    </row>
    <row r="4949" spans="5:5" ht="16.5">
      <c r="E4949" s="123"/>
    </row>
    <row r="4950" spans="5:5" ht="16.5">
      <c r="E4950" s="123"/>
    </row>
    <row r="4951" spans="5:5" ht="16.5">
      <c r="E4951" s="123"/>
    </row>
    <row r="4952" spans="5:5" ht="16.5">
      <c r="E4952" s="123"/>
    </row>
    <row r="4953" spans="5:5" ht="16.5">
      <c r="E4953" s="123"/>
    </row>
    <row r="4954" spans="5:5" ht="16.5">
      <c r="E4954" s="123"/>
    </row>
    <row r="4955" spans="5:5" ht="16.5">
      <c r="E4955" s="123"/>
    </row>
    <row r="4956" spans="5:5" ht="16.5">
      <c r="E4956" s="123"/>
    </row>
    <row r="4957" spans="5:5" ht="16.5">
      <c r="E4957" s="123"/>
    </row>
    <row r="4958" spans="5:5" ht="16.5">
      <c r="E4958" s="123"/>
    </row>
    <row r="4959" spans="5:5" ht="16.5">
      <c r="E4959" s="123"/>
    </row>
    <row r="4960" spans="5:5" ht="16.5">
      <c r="E4960" s="123"/>
    </row>
    <row r="4961" spans="5:5" ht="16.5">
      <c r="E4961" s="123"/>
    </row>
    <row r="4962" spans="5:5" ht="16.5">
      <c r="E4962" s="123"/>
    </row>
    <row r="4963" spans="5:5" ht="16.5">
      <c r="E4963" s="123"/>
    </row>
    <row r="4964" spans="5:5" ht="16.5">
      <c r="E4964" s="123"/>
    </row>
    <row r="4965" spans="5:5" ht="16.5">
      <c r="E4965" s="123"/>
    </row>
    <row r="4966" spans="5:5" ht="16.5">
      <c r="E4966" s="123"/>
    </row>
    <row r="4967" spans="5:5" ht="16.5">
      <c r="E4967" s="123"/>
    </row>
    <row r="4968" spans="5:5" ht="16.5">
      <c r="E4968" s="123"/>
    </row>
    <row r="4969" spans="5:5" ht="16.5">
      <c r="E4969" s="123"/>
    </row>
    <row r="4970" spans="5:5" ht="16.5">
      <c r="E4970" s="123"/>
    </row>
    <row r="4971" spans="5:5" ht="16.5">
      <c r="E4971" s="123"/>
    </row>
    <row r="4972" spans="5:5" ht="16.5">
      <c r="E4972" s="123"/>
    </row>
    <row r="4973" spans="5:5" ht="16.5">
      <c r="E4973" s="123"/>
    </row>
    <row r="4974" spans="5:5" ht="16.5">
      <c r="E4974" s="123"/>
    </row>
    <row r="4975" spans="5:5" ht="16.5">
      <c r="E4975" s="123"/>
    </row>
    <row r="4976" spans="5:5" ht="16.5">
      <c r="E4976" s="123"/>
    </row>
    <row r="4977" spans="5:5" ht="16.5">
      <c r="E4977" s="123"/>
    </row>
    <row r="4978" spans="5:5" ht="16.5">
      <c r="E4978" s="123"/>
    </row>
    <row r="4979" spans="5:5" ht="16.5">
      <c r="E4979" s="123"/>
    </row>
    <row r="4980" spans="5:5" ht="16.5">
      <c r="E4980" s="123"/>
    </row>
    <row r="4981" spans="5:5" ht="16.5">
      <c r="E4981" s="123"/>
    </row>
    <row r="4982" spans="5:5" ht="16.5">
      <c r="E4982" s="123"/>
    </row>
    <row r="4983" spans="5:5" ht="16.5">
      <c r="E4983" s="123"/>
    </row>
    <row r="4984" spans="5:5" ht="16.5">
      <c r="E4984" s="123"/>
    </row>
    <row r="4985" spans="5:5" ht="16.5">
      <c r="E4985" s="123"/>
    </row>
    <row r="4986" spans="5:5" ht="16.5">
      <c r="E4986" s="123"/>
    </row>
    <row r="4987" spans="5:5" ht="16.5">
      <c r="E4987" s="123"/>
    </row>
    <row r="4988" spans="5:5" ht="16.5">
      <c r="E4988" s="123"/>
    </row>
    <row r="4989" spans="5:5" ht="16.5">
      <c r="E4989" s="123"/>
    </row>
    <row r="4990" spans="5:5" ht="16.5">
      <c r="E4990" s="123"/>
    </row>
    <row r="4991" spans="5:5" ht="16.5">
      <c r="E4991" s="123"/>
    </row>
    <row r="4992" spans="5:5" ht="16.5">
      <c r="E4992" s="123"/>
    </row>
    <row r="4993" spans="5:5" ht="16.5">
      <c r="E4993" s="123"/>
    </row>
    <row r="4994" spans="5:5" ht="16.5">
      <c r="E4994" s="123"/>
    </row>
    <row r="4995" spans="5:5" ht="16.5">
      <c r="E4995" s="123"/>
    </row>
    <row r="4996" spans="5:5" ht="16.5">
      <c r="E4996" s="123"/>
    </row>
    <row r="4997" spans="5:5" ht="16.5">
      <c r="E4997" s="123"/>
    </row>
    <row r="4998" spans="5:5" ht="16.5">
      <c r="E4998" s="123"/>
    </row>
    <row r="4999" spans="5:5" ht="16.5">
      <c r="E4999" s="123"/>
    </row>
    <row r="5000" spans="5:5" ht="16.5">
      <c r="E5000" s="123"/>
    </row>
    <row r="5001" spans="5:5" ht="16.5">
      <c r="E5001" s="123"/>
    </row>
    <row r="5002" spans="5:5" ht="16.5">
      <c r="E5002" s="123"/>
    </row>
    <row r="5003" spans="5:5" ht="16.5">
      <c r="E5003" s="123"/>
    </row>
    <row r="5004" spans="5:5" ht="16.5">
      <c r="E5004" s="123"/>
    </row>
    <row r="5005" spans="5:5" ht="16.5">
      <c r="E5005" s="123"/>
    </row>
    <row r="5006" spans="5:5" ht="16.5">
      <c r="E5006" s="123"/>
    </row>
    <row r="5007" spans="5:5" ht="16.5">
      <c r="E5007" s="123"/>
    </row>
    <row r="5008" spans="5:5" ht="16.5">
      <c r="E5008" s="123"/>
    </row>
    <row r="5009" spans="5:5" ht="16.5">
      <c r="E5009" s="123"/>
    </row>
    <row r="5010" spans="5:5" ht="16.5">
      <c r="E5010" s="123"/>
    </row>
    <row r="5011" spans="5:5" ht="16.5">
      <c r="E5011" s="123"/>
    </row>
    <row r="5012" spans="5:5" ht="16.5">
      <c r="E5012" s="123"/>
    </row>
    <row r="5013" spans="5:5" ht="16.5">
      <c r="E5013" s="123"/>
    </row>
    <row r="5014" spans="5:5" ht="16.5">
      <c r="E5014" s="123"/>
    </row>
    <row r="5015" spans="5:5" ht="16.5">
      <c r="E5015" s="123"/>
    </row>
    <row r="5016" spans="5:5" ht="16.5">
      <c r="E5016" s="123"/>
    </row>
    <row r="5017" spans="5:5" ht="16.5">
      <c r="E5017" s="123"/>
    </row>
    <row r="5018" spans="5:5" ht="16.5">
      <c r="E5018" s="123"/>
    </row>
    <row r="5019" spans="5:5" ht="16.5">
      <c r="E5019" s="123"/>
    </row>
    <row r="5020" spans="5:5" ht="16.5">
      <c r="E5020" s="123"/>
    </row>
    <row r="5021" spans="5:5" ht="16.5">
      <c r="E5021" s="123"/>
    </row>
    <row r="5022" spans="5:5" ht="16.5">
      <c r="E5022" s="123"/>
    </row>
    <row r="5023" spans="5:5" ht="16.5">
      <c r="E5023" s="123"/>
    </row>
    <row r="5024" spans="5:5" ht="16.5">
      <c r="E5024" s="123"/>
    </row>
    <row r="5025" spans="5:5" ht="16.5">
      <c r="E5025" s="123"/>
    </row>
    <row r="5026" spans="5:5" ht="16.5">
      <c r="E5026" s="123"/>
    </row>
    <row r="5027" spans="5:5" ht="16.5">
      <c r="E5027" s="123"/>
    </row>
    <row r="5028" spans="5:5" ht="16.5">
      <c r="E5028" s="123"/>
    </row>
    <row r="5029" spans="5:5" ht="16.5">
      <c r="E5029" s="123"/>
    </row>
    <row r="5030" spans="5:5" ht="16.5">
      <c r="E5030" s="123"/>
    </row>
    <row r="5031" spans="5:5" ht="16.5">
      <c r="E5031" s="123"/>
    </row>
    <row r="5032" spans="5:5" ht="16.5">
      <c r="E5032" s="123"/>
    </row>
    <row r="5033" spans="5:5" ht="16.5">
      <c r="E5033" s="123"/>
    </row>
    <row r="5034" spans="5:5" ht="16.5">
      <c r="E5034" s="123"/>
    </row>
    <row r="5035" spans="5:5" ht="16.5">
      <c r="E5035" s="123"/>
    </row>
    <row r="5036" spans="5:5" ht="16.5">
      <c r="E5036" s="123"/>
    </row>
    <row r="5037" spans="5:5" ht="16.5">
      <c r="E5037" s="123"/>
    </row>
    <row r="5038" spans="5:5" ht="16.5">
      <c r="E5038" s="123"/>
    </row>
    <row r="5039" spans="5:5" ht="16.5">
      <c r="E5039" s="123"/>
    </row>
    <row r="5040" spans="5:5" ht="16.5">
      <c r="E5040" s="123"/>
    </row>
    <row r="5041" spans="5:5" ht="16.5">
      <c r="E5041" s="123"/>
    </row>
    <row r="5042" spans="5:5" ht="16.5">
      <c r="E5042" s="123"/>
    </row>
    <row r="5043" spans="5:5" ht="16.5">
      <c r="E5043" s="123"/>
    </row>
    <row r="5044" spans="5:5" ht="16.5">
      <c r="E5044" s="123"/>
    </row>
    <row r="5045" spans="5:5" ht="16.5">
      <c r="E5045" s="123"/>
    </row>
    <row r="5046" spans="5:5" ht="16.5">
      <c r="E5046" s="123"/>
    </row>
    <row r="5047" spans="5:5" ht="16.5">
      <c r="E5047" s="123"/>
    </row>
    <row r="5048" spans="5:5" ht="16.5">
      <c r="E5048" s="123"/>
    </row>
    <row r="5049" spans="5:5" ht="16.5">
      <c r="E5049" s="123"/>
    </row>
    <row r="5050" spans="5:5" ht="16.5">
      <c r="E5050" s="123"/>
    </row>
    <row r="5051" spans="5:5" ht="16.5">
      <c r="E5051" s="123"/>
    </row>
    <row r="5052" spans="5:5" ht="16.5">
      <c r="E5052" s="123"/>
    </row>
    <row r="5053" spans="5:5" ht="16.5">
      <c r="E5053" s="123"/>
    </row>
    <row r="5054" spans="5:5" ht="16.5">
      <c r="E5054" s="123"/>
    </row>
    <row r="5055" spans="5:5" ht="16.5">
      <c r="E5055" s="123"/>
    </row>
    <row r="5056" spans="5:5" ht="16.5">
      <c r="E5056" s="123"/>
    </row>
    <row r="5057" spans="5:5" ht="16.5">
      <c r="E5057" s="123"/>
    </row>
    <row r="5058" spans="5:5" ht="16.5">
      <c r="E5058" s="123"/>
    </row>
    <row r="5059" spans="5:5" ht="16.5">
      <c r="E5059" s="123"/>
    </row>
    <row r="5060" spans="5:5" ht="16.5">
      <c r="E5060" s="123"/>
    </row>
    <row r="5061" spans="5:5" ht="16.5">
      <c r="E5061" s="123"/>
    </row>
    <row r="5062" spans="5:5" ht="16.5">
      <c r="E5062" s="123"/>
    </row>
    <row r="5063" spans="5:5" ht="16.5">
      <c r="E5063" s="123"/>
    </row>
    <row r="5064" spans="5:5" ht="16.5">
      <c r="E5064" s="123"/>
    </row>
    <row r="5065" spans="5:5" ht="16.5">
      <c r="E5065" s="123"/>
    </row>
    <row r="5066" spans="5:5" ht="16.5">
      <c r="E5066" s="123"/>
    </row>
    <row r="5067" spans="5:5" ht="16.5">
      <c r="E5067" s="123"/>
    </row>
    <row r="5068" spans="5:5" ht="16.5">
      <c r="E5068" s="123"/>
    </row>
    <row r="5069" spans="5:5" ht="16.5">
      <c r="E5069" s="123"/>
    </row>
    <row r="5070" spans="5:5" ht="16.5">
      <c r="E5070" s="123"/>
    </row>
    <row r="5071" spans="5:5" ht="16.5">
      <c r="E5071" s="123"/>
    </row>
    <row r="5072" spans="5:5" ht="16.5">
      <c r="E5072" s="123"/>
    </row>
    <row r="5073" spans="5:5" ht="16.5">
      <c r="E5073" s="123"/>
    </row>
    <row r="5074" spans="5:5" ht="16.5">
      <c r="E5074" s="123"/>
    </row>
    <row r="5075" spans="5:5" ht="16.5">
      <c r="E5075" s="123"/>
    </row>
    <row r="5076" spans="5:5" ht="16.5">
      <c r="E5076" s="123"/>
    </row>
    <row r="5077" spans="5:5" ht="16.5">
      <c r="E5077" s="123"/>
    </row>
    <row r="5078" spans="5:5" ht="16.5">
      <c r="E5078" s="123"/>
    </row>
    <row r="5079" spans="5:5" ht="16.5">
      <c r="E5079" s="123"/>
    </row>
    <row r="5080" spans="5:5" ht="16.5">
      <c r="E5080" s="123"/>
    </row>
    <row r="5081" spans="5:5" ht="16.5">
      <c r="E5081" s="123"/>
    </row>
    <row r="5082" spans="5:5" ht="16.5">
      <c r="E5082" s="123"/>
    </row>
    <row r="5083" spans="5:5" ht="16.5">
      <c r="E5083" s="123"/>
    </row>
    <row r="5084" spans="5:5" ht="16.5">
      <c r="E5084" s="123"/>
    </row>
    <row r="5085" spans="5:5" ht="16.5">
      <c r="E5085" s="123"/>
    </row>
    <row r="5086" spans="5:5" ht="16.5">
      <c r="E5086" s="123"/>
    </row>
    <row r="5087" spans="5:5" ht="16.5">
      <c r="E5087" s="123"/>
    </row>
    <row r="5088" spans="5:5" ht="16.5">
      <c r="E5088" s="123"/>
    </row>
    <row r="5089" spans="5:5" ht="16.5">
      <c r="E5089" s="123"/>
    </row>
    <row r="5090" spans="5:5" ht="16.5">
      <c r="E5090" s="123"/>
    </row>
    <row r="5091" spans="5:5" ht="16.5">
      <c r="E5091" s="123"/>
    </row>
    <row r="5092" spans="5:5" ht="16.5">
      <c r="E5092" s="123"/>
    </row>
    <row r="5093" spans="5:5" ht="16.5">
      <c r="E5093" s="123"/>
    </row>
    <row r="5094" spans="5:5" ht="16.5">
      <c r="E5094" s="123"/>
    </row>
    <row r="5095" spans="5:5" ht="16.5">
      <c r="E5095" s="123"/>
    </row>
    <row r="5096" spans="5:5" ht="16.5">
      <c r="E5096" s="123"/>
    </row>
    <row r="5097" spans="5:5" ht="16.5">
      <c r="E5097" s="123"/>
    </row>
    <row r="5098" spans="5:5" ht="16.5">
      <c r="E5098" s="123"/>
    </row>
    <row r="5099" spans="5:5" ht="16.5">
      <c r="E5099" s="123"/>
    </row>
    <row r="5100" spans="5:5" ht="16.5">
      <c r="E5100" s="123"/>
    </row>
    <row r="5101" spans="5:5" ht="16.5">
      <c r="E5101" s="123"/>
    </row>
    <row r="5102" spans="5:5" ht="16.5">
      <c r="E5102" s="123"/>
    </row>
    <row r="5103" spans="5:5" ht="16.5">
      <c r="E5103" s="123"/>
    </row>
    <row r="5104" spans="5:5" ht="16.5">
      <c r="E5104" s="123"/>
    </row>
    <row r="5105" spans="5:5" ht="16.5">
      <c r="E5105" s="123"/>
    </row>
    <row r="5106" spans="5:5" ht="16.5">
      <c r="E5106" s="123"/>
    </row>
    <row r="5107" spans="5:5" ht="16.5">
      <c r="E5107" s="123"/>
    </row>
    <row r="5108" spans="5:5" ht="16.5">
      <c r="E5108" s="123"/>
    </row>
    <row r="5109" spans="5:5" ht="16.5">
      <c r="E5109" s="123"/>
    </row>
    <row r="5110" spans="5:5" ht="16.5">
      <c r="E5110" s="123"/>
    </row>
    <row r="5111" spans="5:5" ht="16.5">
      <c r="E5111" s="123"/>
    </row>
    <row r="5112" spans="5:5" ht="16.5">
      <c r="E5112" s="123"/>
    </row>
    <row r="5113" spans="5:5" ht="16.5">
      <c r="E5113" s="123"/>
    </row>
    <row r="5114" spans="5:5" ht="16.5">
      <c r="E5114" s="123"/>
    </row>
    <row r="5115" spans="5:5" ht="16.5">
      <c r="E5115" s="123"/>
    </row>
    <row r="5116" spans="5:5" ht="16.5">
      <c r="E5116" s="123"/>
    </row>
    <row r="5117" spans="5:5" ht="16.5">
      <c r="E5117" s="123"/>
    </row>
    <row r="5118" spans="5:5" ht="16.5">
      <c r="E5118" s="123"/>
    </row>
    <row r="5119" spans="5:5" ht="16.5">
      <c r="E5119" s="123"/>
    </row>
    <row r="5120" spans="5:5" ht="16.5">
      <c r="E5120" s="123"/>
    </row>
    <row r="5121" spans="5:5" ht="16.5">
      <c r="E5121" s="123"/>
    </row>
    <row r="5122" spans="5:5" ht="16.5">
      <c r="E5122" s="123"/>
    </row>
    <row r="5123" spans="5:5" ht="16.5">
      <c r="E5123" s="123"/>
    </row>
    <row r="5124" spans="5:5" ht="16.5">
      <c r="E5124" s="123"/>
    </row>
    <row r="5125" spans="5:5" ht="16.5">
      <c r="E5125" s="123"/>
    </row>
    <row r="5126" spans="5:5" ht="16.5">
      <c r="E5126" s="123"/>
    </row>
    <row r="5127" spans="5:5" ht="16.5">
      <c r="E5127" s="123"/>
    </row>
    <row r="5128" spans="5:5" ht="16.5">
      <c r="E5128" s="123"/>
    </row>
    <row r="5129" spans="5:5" ht="16.5">
      <c r="E5129" s="123"/>
    </row>
    <row r="5130" spans="5:5" ht="16.5">
      <c r="E5130" s="123"/>
    </row>
    <row r="5131" spans="5:5" ht="16.5">
      <c r="E5131" s="123"/>
    </row>
    <row r="5132" spans="5:5" ht="16.5">
      <c r="E5132" s="123"/>
    </row>
    <row r="5133" spans="5:5" ht="16.5">
      <c r="E5133" s="123"/>
    </row>
    <row r="5134" spans="5:5" ht="16.5">
      <c r="E5134" s="123"/>
    </row>
    <row r="5135" spans="5:5" ht="16.5">
      <c r="E5135" s="123"/>
    </row>
    <row r="5136" spans="5:5" ht="16.5">
      <c r="E5136" s="123"/>
    </row>
    <row r="5137" spans="5:5" ht="16.5">
      <c r="E5137" s="123"/>
    </row>
    <row r="5138" spans="5:5" ht="16.5">
      <c r="E5138" s="123"/>
    </row>
    <row r="5139" spans="5:5" ht="16.5">
      <c r="E5139" s="123"/>
    </row>
    <row r="5140" spans="5:5" ht="16.5">
      <c r="E5140" s="123"/>
    </row>
    <row r="5141" spans="5:5" ht="16.5">
      <c r="E5141" s="123"/>
    </row>
    <row r="5142" spans="5:5" ht="16.5">
      <c r="E5142" s="123"/>
    </row>
    <row r="5143" spans="5:5" ht="16.5">
      <c r="E5143" s="123"/>
    </row>
    <row r="5144" spans="5:5" ht="16.5">
      <c r="E5144" s="123"/>
    </row>
    <row r="5145" spans="5:5" ht="16.5">
      <c r="E5145" s="123"/>
    </row>
    <row r="5146" spans="5:5" ht="16.5">
      <c r="E5146" s="123"/>
    </row>
    <row r="5147" spans="5:5" ht="16.5">
      <c r="E5147" s="123"/>
    </row>
    <row r="5148" spans="5:5" ht="16.5">
      <c r="E5148" s="123"/>
    </row>
    <row r="5149" spans="5:5" ht="16.5">
      <c r="E5149" s="123"/>
    </row>
    <row r="5150" spans="5:5" ht="16.5">
      <c r="E5150" s="123"/>
    </row>
    <row r="5151" spans="5:5" ht="16.5">
      <c r="E5151" s="123"/>
    </row>
    <row r="5152" spans="5:5" ht="16.5">
      <c r="E5152" s="123"/>
    </row>
    <row r="5153" spans="5:5" ht="16.5">
      <c r="E5153" s="123"/>
    </row>
    <row r="5154" spans="5:5" ht="16.5">
      <c r="E5154" s="123"/>
    </row>
    <row r="5155" spans="5:5" ht="16.5">
      <c r="E5155" s="123"/>
    </row>
    <row r="5156" spans="5:5" ht="16.5">
      <c r="E5156" s="123"/>
    </row>
    <row r="5157" spans="5:5" ht="16.5">
      <c r="E5157" s="123"/>
    </row>
    <row r="5158" spans="5:5" ht="16.5">
      <c r="E5158" s="123"/>
    </row>
    <row r="5159" spans="5:5" ht="16.5">
      <c r="E5159" s="123"/>
    </row>
    <row r="5160" spans="5:5" ht="16.5">
      <c r="E5160" s="123"/>
    </row>
    <row r="5161" spans="5:5" ht="16.5">
      <c r="E5161" s="123"/>
    </row>
    <row r="5162" spans="5:5" ht="16.5">
      <c r="E5162" s="123"/>
    </row>
    <row r="5163" spans="5:5" ht="16.5">
      <c r="E5163" s="123"/>
    </row>
    <row r="5164" spans="5:5" ht="16.5">
      <c r="E5164" s="123"/>
    </row>
    <row r="5165" spans="5:5" ht="16.5">
      <c r="E5165" s="123"/>
    </row>
    <row r="5166" spans="5:5" ht="16.5">
      <c r="E5166" s="123"/>
    </row>
    <row r="5167" spans="5:5" ht="16.5">
      <c r="E5167" s="123"/>
    </row>
    <row r="5168" spans="5:5" ht="16.5">
      <c r="E5168" s="123"/>
    </row>
    <row r="5169" spans="5:5" ht="16.5">
      <c r="E5169" s="123"/>
    </row>
    <row r="5170" spans="5:5" ht="16.5">
      <c r="E5170" s="123"/>
    </row>
    <row r="5171" spans="5:5" ht="16.5">
      <c r="E5171" s="123"/>
    </row>
    <row r="5172" spans="5:5" ht="16.5">
      <c r="E5172" s="123"/>
    </row>
    <row r="5173" spans="5:5" ht="16.5">
      <c r="E5173" s="123"/>
    </row>
    <row r="5174" spans="5:5" ht="16.5">
      <c r="E5174" s="123"/>
    </row>
    <row r="5175" spans="5:5" ht="16.5">
      <c r="E5175" s="123"/>
    </row>
    <row r="5176" spans="5:5" ht="16.5">
      <c r="E5176" s="123"/>
    </row>
    <row r="5177" spans="5:5" ht="16.5">
      <c r="E5177" s="123"/>
    </row>
    <row r="5178" spans="5:5" ht="16.5">
      <c r="E5178" s="123"/>
    </row>
    <row r="5179" spans="5:5" ht="16.5">
      <c r="E5179" s="123"/>
    </row>
    <row r="5180" spans="5:5" ht="16.5">
      <c r="E5180" s="123"/>
    </row>
    <row r="5181" spans="5:5" ht="16.5">
      <c r="E5181" s="123"/>
    </row>
    <row r="5182" spans="5:5" ht="16.5">
      <c r="E5182" s="123"/>
    </row>
    <row r="5183" spans="5:5" ht="16.5">
      <c r="E5183" s="123"/>
    </row>
    <row r="5184" spans="5:5" ht="16.5">
      <c r="E5184" s="123"/>
    </row>
    <row r="5185" spans="5:5" ht="16.5">
      <c r="E5185" s="123"/>
    </row>
    <row r="5186" spans="5:5" ht="16.5">
      <c r="E5186" s="123"/>
    </row>
    <row r="5187" spans="5:5" ht="16.5">
      <c r="E5187" s="123"/>
    </row>
    <row r="5188" spans="5:5" ht="16.5">
      <c r="E5188" s="123"/>
    </row>
    <row r="5189" spans="5:5" ht="16.5">
      <c r="E5189" s="123"/>
    </row>
    <row r="5190" spans="5:5" ht="16.5">
      <c r="E5190" s="123"/>
    </row>
    <row r="5191" spans="5:5" ht="16.5">
      <c r="E5191" s="123"/>
    </row>
    <row r="5192" spans="5:5" ht="16.5">
      <c r="E5192" s="123"/>
    </row>
    <row r="5193" spans="5:5" ht="16.5">
      <c r="E5193" s="123"/>
    </row>
    <row r="5194" spans="5:5" ht="16.5">
      <c r="E5194" s="123"/>
    </row>
    <row r="5195" spans="5:5" ht="16.5">
      <c r="E5195" s="123"/>
    </row>
    <row r="5196" spans="5:5" ht="16.5">
      <c r="E5196" s="123"/>
    </row>
    <row r="5197" spans="5:5" ht="16.5">
      <c r="E5197" s="123"/>
    </row>
    <row r="5198" spans="5:5" ht="16.5">
      <c r="E5198" s="123"/>
    </row>
    <row r="5199" spans="5:5" ht="16.5">
      <c r="E5199" s="123"/>
    </row>
    <row r="5200" spans="5:5" ht="16.5">
      <c r="E5200" s="123"/>
    </row>
    <row r="5201" spans="5:5" ht="16.5">
      <c r="E5201" s="123"/>
    </row>
    <row r="5202" spans="5:5" ht="16.5">
      <c r="E5202" s="123"/>
    </row>
    <row r="5203" spans="5:5" ht="16.5">
      <c r="E5203" s="123"/>
    </row>
    <row r="5204" spans="5:5" ht="16.5">
      <c r="E5204" s="123"/>
    </row>
    <row r="5205" spans="5:5" ht="16.5">
      <c r="E5205" s="123"/>
    </row>
    <row r="5206" spans="5:5" ht="16.5">
      <c r="E5206" s="123"/>
    </row>
    <row r="5207" spans="5:5" ht="16.5">
      <c r="E5207" s="123"/>
    </row>
    <row r="5208" spans="5:5" ht="16.5">
      <c r="E5208" s="123"/>
    </row>
    <row r="5209" spans="5:5" ht="16.5">
      <c r="E5209" s="123"/>
    </row>
    <row r="5210" spans="5:5" ht="16.5">
      <c r="E5210" s="123"/>
    </row>
    <row r="5211" spans="5:5" ht="16.5">
      <c r="E5211" s="123"/>
    </row>
    <row r="5212" spans="5:5" ht="16.5">
      <c r="E5212" s="123"/>
    </row>
    <row r="5213" spans="5:5" ht="16.5">
      <c r="E5213" s="123"/>
    </row>
    <row r="5214" spans="5:5" ht="16.5">
      <c r="E5214" s="123"/>
    </row>
    <row r="5215" spans="5:5" ht="16.5">
      <c r="E5215" s="123"/>
    </row>
    <row r="5216" spans="5:5" ht="16.5">
      <c r="E5216" s="123"/>
    </row>
    <row r="5217" spans="5:5" ht="16.5">
      <c r="E5217" s="123"/>
    </row>
    <row r="5218" spans="5:5" ht="16.5">
      <c r="E5218" s="123"/>
    </row>
    <row r="5219" spans="5:5" ht="16.5">
      <c r="E5219" s="123"/>
    </row>
    <row r="5220" spans="5:5" ht="16.5">
      <c r="E5220" s="123"/>
    </row>
    <row r="5221" spans="5:5" ht="16.5">
      <c r="E5221" s="123"/>
    </row>
    <row r="5222" spans="5:5" ht="16.5">
      <c r="E5222" s="123"/>
    </row>
    <row r="5223" spans="5:5" ht="16.5">
      <c r="E5223" s="123"/>
    </row>
    <row r="5224" spans="5:5" ht="16.5">
      <c r="E5224" s="123"/>
    </row>
    <row r="5225" spans="5:5" ht="16.5">
      <c r="E5225" s="123"/>
    </row>
    <row r="5226" spans="5:5" ht="16.5">
      <c r="E5226" s="123"/>
    </row>
    <row r="5227" spans="5:5" ht="16.5">
      <c r="E5227" s="123"/>
    </row>
    <row r="5228" spans="5:5" ht="16.5">
      <c r="E5228" s="123"/>
    </row>
    <row r="5229" spans="5:5" ht="16.5">
      <c r="E5229" s="123"/>
    </row>
    <row r="5230" spans="5:5" ht="16.5">
      <c r="E5230" s="123"/>
    </row>
    <row r="5231" spans="5:5" ht="16.5">
      <c r="E5231" s="123"/>
    </row>
    <row r="5232" spans="5:5" ht="16.5">
      <c r="E5232" s="123"/>
    </row>
    <row r="5233" spans="5:5" ht="16.5">
      <c r="E5233" s="123"/>
    </row>
    <row r="5234" spans="5:5" ht="16.5">
      <c r="E5234" s="123"/>
    </row>
    <row r="5235" spans="5:5" ht="16.5">
      <c r="E5235" s="123"/>
    </row>
    <row r="5236" spans="5:5" ht="16.5">
      <c r="E5236" s="123"/>
    </row>
    <row r="5237" spans="5:5" ht="16.5">
      <c r="E5237" s="123"/>
    </row>
    <row r="5238" spans="5:5" ht="16.5">
      <c r="E5238" s="123"/>
    </row>
    <row r="5239" spans="5:5" ht="16.5">
      <c r="E5239" s="123"/>
    </row>
    <row r="5240" spans="5:5" ht="16.5">
      <c r="E5240" s="123"/>
    </row>
    <row r="5241" spans="5:5" ht="16.5">
      <c r="E5241" s="123"/>
    </row>
    <row r="5242" spans="5:5" ht="16.5">
      <c r="E5242" s="123"/>
    </row>
    <row r="5243" spans="5:5" ht="16.5">
      <c r="E5243" s="123"/>
    </row>
    <row r="5244" spans="5:5" ht="16.5">
      <c r="E5244" s="123"/>
    </row>
    <row r="5245" spans="5:5" ht="16.5">
      <c r="E5245" s="123"/>
    </row>
    <row r="5246" spans="5:5" ht="16.5">
      <c r="E5246" s="123"/>
    </row>
    <row r="5247" spans="5:5" ht="16.5">
      <c r="E5247" s="123"/>
    </row>
    <row r="5248" spans="5:5" ht="16.5">
      <c r="E5248" s="123"/>
    </row>
    <row r="5249" spans="5:5" ht="16.5">
      <c r="E5249" s="123"/>
    </row>
    <row r="5250" spans="5:5" ht="16.5">
      <c r="E5250" s="123"/>
    </row>
    <row r="5251" spans="5:5" ht="16.5">
      <c r="E5251" s="123"/>
    </row>
    <row r="5252" spans="5:5" ht="16.5">
      <c r="E5252" s="123"/>
    </row>
    <row r="5253" spans="5:5" ht="16.5">
      <c r="E5253" s="123"/>
    </row>
    <row r="5254" spans="5:5" ht="16.5">
      <c r="E5254" s="123"/>
    </row>
    <row r="5255" spans="5:5" ht="16.5">
      <c r="E5255" s="123"/>
    </row>
    <row r="5256" spans="5:5" ht="16.5">
      <c r="E5256" s="123"/>
    </row>
    <row r="5257" spans="5:5" ht="16.5">
      <c r="E5257" s="123"/>
    </row>
    <row r="5258" spans="5:5" ht="16.5">
      <c r="E5258" s="123"/>
    </row>
    <row r="5259" spans="5:5" ht="16.5">
      <c r="E5259" s="123"/>
    </row>
    <row r="5260" spans="5:5" ht="16.5">
      <c r="E5260" s="123"/>
    </row>
    <row r="5261" spans="5:5" ht="16.5">
      <c r="E5261" s="123"/>
    </row>
    <row r="5262" spans="5:5" ht="16.5">
      <c r="E5262" s="123"/>
    </row>
    <row r="5263" spans="5:5" ht="16.5">
      <c r="E5263" s="123"/>
    </row>
    <row r="5264" spans="5:5" ht="16.5">
      <c r="E5264" s="123"/>
    </row>
    <row r="5265" spans="5:5" ht="16.5">
      <c r="E5265" s="123"/>
    </row>
    <row r="5266" spans="5:5" ht="16.5">
      <c r="E5266" s="123"/>
    </row>
    <row r="5267" spans="5:5" ht="16.5">
      <c r="E5267" s="123"/>
    </row>
    <row r="5268" spans="5:5" ht="16.5">
      <c r="E5268" s="123"/>
    </row>
    <row r="5269" spans="5:5" ht="16.5">
      <c r="E5269" s="123"/>
    </row>
    <row r="5270" spans="5:5" ht="16.5">
      <c r="E5270" s="123"/>
    </row>
    <row r="5271" spans="5:5" ht="16.5">
      <c r="E5271" s="123"/>
    </row>
    <row r="5272" spans="5:5" ht="16.5">
      <c r="E5272" s="123"/>
    </row>
    <row r="5273" spans="5:5" ht="16.5">
      <c r="E5273" s="123"/>
    </row>
    <row r="5274" spans="5:5" ht="16.5">
      <c r="E5274" s="123"/>
    </row>
    <row r="5275" spans="5:5" ht="16.5">
      <c r="E5275" s="123"/>
    </row>
    <row r="5276" spans="5:5" ht="16.5">
      <c r="E5276" s="123"/>
    </row>
    <row r="5277" spans="5:5" ht="16.5">
      <c r="E5277" s="123"/>
    </row>
    <row r="5278" spans="5:5" ht="16.5">
      <c r="E5278" s="123"/>
    </row>
    <row r="5279" spans="5:5" ht="16.5">
      <c r="E5279" s="123"/>
    </row>
    <row r="5280" spans="5:5" ht="16.5">
      <c r="E5280" s="123"/>
    </row>
    <row r="5281" spans="5:5" ht="16.5">
      <c r="E5281" s="123"/>
    </row>
    <row r="5282" spans="5:5" ht="16.5">
      <c r="E5282" s="123"/>
    </row>
    <row r="5283" spans="5:5" ht="16.5">
      <c r="E5283" s="123"/>
    </row>
    <row r="5284" spans="5:5" ht="16.5">
      <c r="E5284" s="123"/>
    </row>
    <row r="5285" spans="5:5" ht="16.5">
      <c r="E5285" s="123"/>
    </row>
    <row r="5286" spans="5:5" ht="16.5">
      <c r="E5286" s="123"/>
    </row>
    <row r="5287" spans="5:5" ht="16.5">
      <c r="E5287" s="123"/>
    </row>
    <row r="5288" spans="5:5" ht="16.5">
      <c r="E5288" s="123"/>
    </row>
    <row r="5289" spans="5:5" ht="16.5">
      <c r="E5289" s="123"/>
    </row>
    <row r="5290" spans="5:5" ht="16.5">
      <c r="E5290" s="123"/>
    </row>
    <row r="5291" spans="5:5" ht="16.5">
      <c r="E5291" s="123"/>
    </row>
    <row r="5292" spans="5:5" ht="16.5">
      <c r="E5292" s="123"/>
    </row>
    <row r="5293" spans="5:5" ht="16.5">
      <c r="E5293" s="123"/>
    </row>
    <row r="5294" spans="5:5" ht="16.5">
      <c r="E5294" s="123"/>
    </row>
    <row r="5295" spans="5:5" ht="16.5">
      <c r="E5295" s="123"/>
    </row>
    <row r="5296" spans="5:5" ht="16.5">
      <c r="E5296" s="123"/>
    </row>
    <row r="5297" spans="5:5" ht="16.5">
      <c r="E5297" s="123"/>
    </row>
    <row r="5298" spans="5:5" ht="16.5">
      <c r="E5298" s="123"/>
    </row>
    <row r="5299" spans="5:5" ht="16.5">
      <c r="E5299" s="123"/>
    </row>
    <row r="5300" spans="5:5" ht="16.5">
      <c r="E5300" s="123"/>
    </row>
    <row r="5301" spans="5:5" ht="16.5">
      <c r="E5301" s="123"/>
    </row>
    <row r="5302" spans="5:5" ht="16.5">
      <c r="E5302" s="123"/>
    </row>
    <row r="5303" spans="5:5" ht="16.5">
      <c r="E5303" s="123"/>
    </row>
    <row r="5304" spans="5:5" ht="16.5">
      <c r="E5304" s="123"/>
    </row>
    <row r="5305" spans="5:5" ht="16.5">
      <c r="E5305" s="123"/>
    </row>
    <row r="5306" spans="5:5" ht="16.5">
      <c r="E5306" s="123"/>
    </row>
    <row r="5307" spans="5:5" ht="16.5">
      <c r="E5307" s="123"/>
    </row>
    <row r="5308" spans="5:5" ht="16.5">
      <c r="E5308" s="123"/>
    </row>
    <row r="5309" spans="5:5" ht="16.5">
      <c r="E5309" s="123"/>
    </row>
    <row r="5310" spans="5:5" ht="16.5">
      <c r="E5310" s="123"/>
    </row>
    <row r="5311" spans="5:5" ht="16.5">
      <c r="E5311" s="123"/>
    </row>
    <row r="5312" spans="5:5" ht="16.5">
      <c r="E5312" s="123"/>
    </row>
    <row r="5313" spans="5:5" ht="16.5">
      <c r="E5313" s="123"/>
    </row>
    <row r="5314" spans="5:5" ht="16.5">
      <c r="E5314" s="123"/>
    </row>
    <row r="5315" spans="5:5" ht="16.5">
      <c r="E5315" s="123"/>
    </row>
    <row r="5316" spans="5:5" ht="16.5">
      <c r="E5316" s="123"/>
    </row>
    <row r="5317" spans="5:5" ht="16.5">
      <c r="E5317" s="123"/>
    </row>
    <row r="5318" spans="5:5" ht="16.5">
      <c r="E5318" s="123"/>
    </row>
    <row r="5319" spans="5:5" ht="16.5">
      <c r="E5319" s="123"/>
    </row>
    <row r="5320" spans="5:5" ht="16.5">
      <c r="E5320" s="123"/>
    </row>
    <row r="5321" spans="5:5" ht="16.5">
      <c r="E5321" s="123"/>
    </row>
    <row r="5322" spans="5:5" ht="16.5">
      <c r="E5322" s="123"/>
    </row>
    <row r="5323" spans="5:5" ht="16.5">
      <c r="E5323" s="123"/>
    </row>
    <row r="5324" spans="5:5" ht="16.5">
      <c r="E5324" s="123"/>
    </row>
    <row r="5325" spans="5:5" ht="16.5">
      <c r="E5325" s="123"/>
    </row>
    <row r="5326" spans="5:5" ht="16.5">
      <c r="E5326" s="123"/>
    </row>
    <row r="5327" spans="5:5" ht="16.5">
      <c r="E5327" s="123"/>
    </row>
    <row r="5328" spans="5:5" ht="16.5">
      <c r="E5328" s="123"/>
    </row>
    <row r="5329" spans="5:5" ht="16.5">
      <c r="E5329" s="123"/>
    </row>
    <row r="5330" spans="5:5" ht="16.5">
      <c r="E5330" s="123"/>
    </row>
    <row r="5331" spans="5:5" ht="16.5">
      <c r="E5331" s="123"/>
    </row>
    <row r="5332" spans="5:5" ht="16.5">
      <c r="E5332" s="123"/>
    </row>
    <row r="5333" spans="5:5" ht="16.5">
      <c r="E5333" s="123"/>
    </row>
    <row r="5334" spans="5:5" ht="16.5">
      <c r="E5334" s="123"/>
    </row>
    <row r="5335" spans="5:5" ht="16.5">
      <c r="E5335" s="123"/>
    </row>
    <row r="5336" spans="5:5" ht="16.5">
      <c r="E5336" s="123"/>
    </row>
    <row r="5337" spans="5:5" ht="16.5">
      <c r="E5337" s="123"/>
    </row>
    <row r="5338" spans="5:5" ht="16.5">
      <c r="E5338" s="123"/>
    </row>
    <row r="5339" spans="5:5" ht="16.5">
      <c r="E5339" s="123"/>
    </row>
    <row r="5340" spans="5:5" ht="16.5">
      <c r="E5340" s="123"/>
    </row>
    <row r="5341" spans="5:5" ht="16.5">
      <c r="E5341" s="123"/>
    </row>
    <row r="5342" spans="5:5" ht="16.5">
      <c r="E5342" s="123"/>
    </row>
    <row r="5343" spans="5:5" ht="16.5">
      <c r="E5343" s="123"/>
    </row>
    <row r="5344" spans="5:5" ht="16.5">
      <c r="E5344" s="123"/>
    </row>
    <row r="5345" spans="5:5" ht="16.5">
      <c r="E5345" s="123"/>
    </row>
    <row r="5346" spans="5:5" ht="16.5">
      <c r="E5346" s="123"/>
    </row>
    <row r="5347" spans="5:5" ht="16.5">
      <c r="E5347" s="123"/>
    </row>
    <row r="5348" spans="5:5" ht="16.5">
      <c r="E5348" s="123"/>
    </row>
    <row r="5349" spans="5:5" ht="16.5">
      <c r="E5349" s="123"/>
    </row>
    <row r="5350" spans="5:5" ht="16.5">
      <c r="E5350" s="123"/>
    </row>
    <row r="5351" spans="5:5" ht="16.5">
      <c r="E5351" s="123"/>
    </row>
    <row r="5352" spans="5:5" ht="16.5">
      <c r="E5352" s="123"/>
    </row>
    <row r="5353" spans="5:5" ht="16.5">
      <c r="E5353" s="123"/>
    </row>
    <row r="5354" spans="5:5" ht="16.5">
      <c r="E5354" s="123"/>
    </row>
    <row r="5355" spans="5:5" ht="16.5">
      <c r="E5355" s="123"/>
    </row>
    <row r="5356" spans="5:5" ht="16.5">
      <c r="E5356" s="123"/>
    </row>
    <row r="5357" spans="5:5" ht="16.5">
      <c r="E5357" s="123"/>
    </row>
    <row r="5358" spans="5:5" ht="16.5">
      <c r="E5358" s="123"/>
    </row>
    <row r="5359" spans="5:5" ht="16.5">
      <c r="E5359" s="123"/>
    </row>
    <row r="5360" spans="5:5" ht="16.5">
      <c r="E5360" s="123"/>
    </row>
    <row r="5361" spans="5:5" ht="16.5">
      <c r="E5361" s="123"/>
    </row>
    <row r="5362" spans="5:5" ht="16.5">
      <c r="E5362" s="123"/>
    </row>
    <row r="5363" spans="5:5" ht="16.5">
      <c r="E5363" s="123"/>
    </row>
    <row r="5364" spans="5:5" ht="16.5">
      <c r="E5364" s="123"/>
    </row>
    <row r="5365" spans="5:5" ht="16.5">
      <c r="E5365" s="123"/>
    </row>
    <row r="5366" spans="5:5" ht="16.5">
      <c r="E5366" s="123"/>
    </row>
    <row r="5367" spans="5:5" ht="16.5">
      <c r="E5367" s="123"/>
    </row>
    <row r="5368" spans="5:5" ht="16.5">
      <c r="E5368" s="123"/>
    </row>
    <row r="5369" spans="5:5" ht="16.5">
      <c r="E5369" s="123"/>
    </row>
    <row r="5370" spans="5:5" ht="16.5">
      <c r="E5370" s="123"/>
    </row>
    <row r="5371" spans="5:5" ht="16.5">
      <c r="E5371" s="123"/>
    </row>
    <row r="5372" spans="5:5" ht="16.5">
      <c r="E5372" s="123"/>
    </row>
    <row r="5373" spans="5:5" ht="16.5">
      <c r="E5373" s="123"/>
    </row>
    <row r="5374" spans="5:5" ht="16.5">
      <c r="E5374" s="123"/>
    </row>
    <row r="5375" spans="5:5" ht="16.5">
      <c r="E5375" s="123"/>
    </row>
    <row r="5376" spans="5:5" ht="16.5">
      <c r="E5376" s="123"/>
    </row>
    <row r="5377" spans="5:5" ht="16.5">
      <c r="E5377" s="123"/>
    </row>
    <row r="5378" spans="5:5" ht="16.5">
      <c r="E5378" s="123"/>
    </row>
    <row r="5379" spans="5:5" ht="16.5">
      <c r="E5379" s="123"/>
    </row>
    <row r="5380" spans="5:5" ht="16.5">
      <c r="E5380" s="123"/>
    </row>
    <row r="5381" spans="5:5" ht="16.5">
      <c r="E5381" s="123"/>
    </row>
    <row r="5382" spans="5:5" ht="16.5">
      <c r="E5382" s="123"/>
    </row>
    <row r="5383" spans="5:5" ht="16.5">
      <c r="E5383" s="123"/>
    </row>
    <row r="5384" spans="5:5" ht="16.5">
      <c r="E5384" s="123"/>
    </row>
    <row r="5385" spans="5:5" ht="16.5">
      <c r="E5385" s="123"/>
    </row>
    <row r="5386" spans="5:5" ht="16.5">
      <c r="E5386" s="123"/>
    </row>
    <row r="5387" spans="5:5" ht="16.5">
      <c r="E5387" s="123"/>
    </row>
    <row r="5388" spans="5:5" ht="16.5">
      <c r="E5388" s="123"/>
    </row>
    <row r="5389" spans="5:5" ht="16.5">
      <c r="E5389" s="123"/>
    </row>
    <row r="5390" spans="5:5" ht="16.5">
      <c r="E5390" s="123"/>
    </row>
    <row r="5391" spans="5:5" ht="16.5">
      <c r="E5391" s="123"/>
    </row>
    <row r="5392" spans="5:5" ht="16.5">
      <c r="E5392" s="123"/>
    </row>
    <row r="5393" spans="5:5" ht="16.5">
      <c r="E5393" s="123"/>
    </row>
    <row r="5394" spans="5:5" ht="16.5">
      <c r="E5394" s="123"/>
    </row>
    <row r="5395" spans="5:5" ht="16.5">
      <c r="E5395" s="123"/>
    </row>
    <row r="5396" spans="5:5" ht="16.5">
      <c r="E5396" s="123"/>
    </row>
    <row r="5397" spans="5:5" ht="16.5">
      <c r="E5397" s="123"/>
    </row>
    <row r="5398" spans="5:5" ht="16.5">
      <c r="E5398" s="123"/>
    </row>
    <row r="5399" spans="5:5" ht="16.5">
      <c r="E5399" s="123"/>
    </row>
    <row r="5400" spans="5:5" ht="16.5">
      <c r="E5400" s="123"/>
    </row>
    <row r="5401" spans="5:5" ht="16.5">
      <c r="E5401" s="123"/>
    </row>
    <row r="5402" spans="5:5" ht="16.5">
      <c r="E5402" s="123"/>
    </row>
    <row r="5403" spans="5:5" ht="16.5">
      <c r="E5403" s="123"/>
    </row>
    <row r="5404" spans="5:5" ht="16.5">
      <c r="E5404" s="123"/>
    </row>
    <row r="5405" spans="5:5" ht="16.5">
      <c r="E5405" s="123"/>
    </row>
    <row r="5406" spans="5:5" ht="16.5">
      <c r="E5406" s="123"/>
    </row>
    <row r="5407" spans="5:5" ht="16.5">
      <c r="E5407" s="123"/>
    </row>
    <row r="5408" spans="5:5" ht="16.5">
      <c r="E5408" s="123"/>
    </row>
    <row r="5409" spans="5:5" ht="16.5">
      <c r="E5409" s="123"/>
    </row>
    <row r="5410" spans="5:5" ht="16.5">
      <c r="E5410" s="123"/>
    </row>
    <row r="5411" spans="5:5" ht="16.5">
      <c r="E5411" s="123"/>
    </row>
    <row r="5412" spans="5:5" ht="16.5">
      <c r="E5412" s="123"/>
    </row>
    <row r="5413" spans="5:5" ht="16.5">
      <c r="E5413" s="123"/>
    </row>
    <row r="5414" spans="5:5" ht="16.5">
      <c r="E5414" s="123"/>
    </row>
    <row r="5415" spans="5:5" ht="16.5">
      <c r="E5415" s="123"/>
    </row>
    <row r="5416" spans="5:5" ht="16.5">
      <c r="E5416" s="123"/>
    </row>
    <row r="5417" spans="5:5" ht="16.5">
      <c r="E5417" s="123"/>
    </row>
    <row r="5418" spans="5:5" ht="16.5">
      <c r="E5418" s="123"/>
    </row>
    <row r="5419" spans="5:5" ht="16.5">
      <c r="E5419" s="123"/>
    </row>
    <row r="5420" spans="5:5" ht="16.5">
      <c r="E5420" s="123"/>
    </row>
    <row r="5421" spans="5:5" ht="16.5">
      <c r="E5421" s="123"/>
    </row>
    <row r="5422" spans="5:5" ht="16.5">
      <c r="E5422" s="123"/>
    </row>
    <row r="5423" spans="5:5" ht="16.5">
      <c r="E5423" s="123"/>
    </row>
    <row r="5424" spans="5:5" ht="16.5">
      <c r="E5424" s="123"/>
    </row>
    <row r="5425" spans="5:5" ht="16.5">
      <c r="E5425" s="123"/>
    </row>
    <row r="5426" spans="5:5" ht="16.5">
      <c r="E5426" s="123"/>
    </row>
    <row r="5427" spans="5:5" ht="16.5">
      <c r="E5427" s="123"/>
    </row>
    <row r="5428" spans="5:5" ht="16.5">
      <c r="E5428" s="123"/>
    </row>
    <row r="5429" spans="5:5" ht="16.5">
      <c r="E5429" s="123"/>
    </row>
    <row r="5430" spans="5:5" ht="16.5">
      <c r="E5430" s="123"/>
    </row>
    <row r="5431" spans="5:5" ht="16.5">
      <c r="E5431" s="123"/>
    </row>
    <row r="5432" spans="5:5" ht="16.5">
      <c r="E5432" s="123"/>
    </row>
    <row r="5433" spans="5:5" ht="16.5">
      <c r="E5433" s="123"/>
    </row>
    <row r="5434" spans="5:5" ht="16.5">
      <c r="E5434" s="123"/>
    </row>
    <row r="5435" spans="5:5" ht="16.5">
      <c r="E5435" s="123"/>
    </row>
    <row r="5436" spans="5:5" ht="16.5">
      <c r="E5436" s="123"/>
    </row>
    <row r="5437" spans="5:5" ht="16.5">
      <c r="E5437" s="123"/>
    </row>
    <row r="5438" spans="5:5" ht="16.5">
      <c r="E5438" s="123"/>
    </row>
    <row r="5439" spans="5:5" ht="16.5">
      <c r="E5439" s="123"/>
    </row>
    <row r="5440" spans="5:5" ht="16.5">
      <c r="E5440" s="123"/>
    </row>
    <row r="5441" spans="5:5" ht="16.5">
      <c r="E5441" s="123"/>
    </row>
    <row r="5442" spans="5:5" ht="16.5">
      <c r="E5442" s="123"/>
    </row>
    <row r="5443" spans="5:5" ht="16.5">
      <c r="E5443" s="123"/>
    </row>
    <row r="5444" spans="5:5" ht="16.5">
      <c r="E5444" s="123"/>
    </row>
    <row r="5445" spans="5:5" ht="16.5">
      <c r="E5445" s="123"/>
    </row>
    <row r="5446" spans="5:5" ht="16.5">
      <c r="E5446" s="123"/>
    </row>
    <row r="5447" spans="5:5" ht="16.5">
      <c r="E5447" s="123"/>
    </row>
    <row r="5448" spans="5:5" ht="16.5">
      <c r="E5448" s="123"/>
    </row>
    <row r="5449" spans="5:5" ht="16.5">
      <c r="E5449" s="123"/>
    </row>
    <row r="5450" spans="5:5" ht="16.5">
      <c r="E5450" s="123"/>
    </row>
    <row r="5451" spans="5:5" ht="16.5">
      <c r="E5451" s="123"/>
    </row>
    <row r="5452" spans="5:5" ht="16.5">
      <c r="E5452" s="123"/>
    </row>
    <row r="5453" spans="5:5" ht="16.5">
      <c r="E5453" s="123"/>
    </row>
    <row r="5454" spans="5:5" ht="16.5">
      <c r="E5454" s="123"/>
    </row>
    <row r="5455" spans="5:5" ht="16.5">
      <c r="E5455" s="123"/>
    </row>
    <row r="5456" spans="5:5" ht="16.5">
      <c r="E5456" s="123"/>
    </row>
    <row r="5457" spans="5:5" ht="16.5">
      <c r="E5457" s="123"/>
    </row>
    <row r="5458" spans="5:5" ht="16.5">
      <c r="E5458" s="123"/>
    </row>
    <row r="5459" spans="5:5" ht="16.5">
      <c r="E5459" s="123"/>
    </row>
    <row r="5460" spans="5:5" ht="16.5">
      <c r="E5460" s="123"/>
    </row>
    <row r="5461" spans="5:5" ht="16.5">
      <c r="E5461" s="123"/>
    </row>
    <row r="5462" spans="5:5" ht="16.5">
      <c r="E5462" s="123"/>
    </row>
    <row r="5463" spans="5:5" ht="16.5">
      <c r="E5463" s="123"/>
    </row>
    <row r="5464" spans="5:5" ht="16.5">
      <c r="E5464" s="123"/>
    </row>
    <row r="5465" spans="5:5" ht="16.5">
      <c r="E5465" s="123"/>
    </row>
    <row r="5466" spans="5:5" ht="16.5">
      <c r="E5466" s="123"/>
    </row>
    <row r="5467" spans="5:5" ht="16.5">
      <c r="E5467" s="123"/>
    </row>
    <row r="5468" spans="5:5" ht="16.5">
      <c r="E5468" s="123"/>
    </row>
    <row r="5469" spans="5:5" ht="16.5">
      <c r="E5469" s="123"/>
    </row>
    <row r="5470" spans="5:5" ht="16.5">
      <c r="E5470" s="123"/>
    </row>
    <row r="5471" spans="5:5" ht="16.5">
      <c r="E5471" s="123"/>
    </row>
    <row r="5472" spans="5:5" ht="16.5">
      <c r="E5472" s="123"/>
    </row>
    <row r="5473" spans="5:5" ht="16.5">
      <c r="E5473" s="123"/>
    </row>
    <row r="5474" spans="5:5" ht="16.5">
      <c r="E5474" s="123"/>
    </row>
    <row r="5475" spans="5:5" ht="16.5">
      <c r="E5475" s="123"/>
    </row>
    <row r="5476" spans="5:5" ht="16.5">
      <c r="E5476" s="123"/>
    </row>
    <row r="5477" spans="5:5" ht="16.5">
      <c r="E5477" s="123"/>
    </row>
    <row r="5478" spans="5:5" ht="16.5">
      <c r="E5478" s="123"/>
    </row>
    <row r="5479" spans="5:5" ht="16.5">
      <c r="E5479" s="123"/>
    </row>
    <row r="5480" spans="5:5" ht="16.5">
      <c r="E5480" s="123"/>
    </row>
    <row r="5481" spans="5:5" ht="16.5">
      <c r="E5481" s="123"/>
    </row>
    <row r="5482" spans="5:5" ht="16.5">
      <c r="E5482" s="123"/>
    </row>
    <row r="5483" spans="5:5" ht="16.5">
      <c r="E5483" s="123"/>
    </row>
    <row r="5484" spans="5:5" ht="16.5">
      <c r="E5484" s="123"/>
    </row>
    <row r="5485" spans="5:5" ht="16.5">
      <c r="E5485" s="123"/>
    </row>
    <row r="5486" spans="5:5" ht="16.5">
      <c r="E5486" s="123"/>
    </row>
    <row r="5487" spans="5:5" ht="16.5">
      <c r="E5487" s="123"/>
    </row>
    <row r="5488" spans="5:5" ht="16.5">
      <c r="E5488" s="123"/>
    </row>
    <row r="5489" spans="5:5" ht="16.5">
      <c r="E5489" s="123"/>
    </row>
    <row r="5490" spans="5:5" ht="16.5">
      <c r="E5490" s="123"/>
    </row>
    <row r="5491" spans="5:5" ht="16.5">
      <c r="E5491" s="123"/>
    </row>
    <row r="5492" spans="5:5" ht="16.5">
      <c r="E5492" s="123"/>
    </row>
    <row r="5493" spans="5:5" ht="16.5">
      <c r="E5493" s="123"/>
    </row>
    <row r="5494" spans="5:5" ht="16.5">
      <c r="E5494" s="123"/>
    </row>
    <row r="5495" spans="5:5" ht="16.5">
      <c r="E5495" s="123"/>
    </row>
    <row r="5496" spans="5:5" ht="16.5">
      <c r="E5496" s="123"/>
    </row>
    <row r="5497" spans="5:5" ht="16.5">
      <c r="E5497" s="123"/>
    </row>
    <row r="5498" spans="5:5" ht="16.5">
      <c r="E5498" s="123"/>
    </row>
    <row r="5499" spans="5:5" ht="16.5">
      <c r="E5499" s="123"/>
    </row>
    <row r="5500" spans="5:5" ht="16.5">
      <c r="E5500" s="123"/>
    </row>
    <row r="5501" spans="5:5" ht="16.5">
      <c r="E5501" s="123"/>
    </row>
    <row r="5502" spans="5:5" ht="16.5">
      <c r="E5502" s="123"/>
    </row>
    <row r="5503" spans="5:5" ht="16.5">
      <c r="E5503" s="123"/>
    </row>
    <row r="5504" spans="5:5" ht="16.5">
      <c r="E5504" s="123"/>
    </row>
    <row r="5505" spans="5:5" ht="16.5">
      <c r="E5505" s="123"/>
    </row>
    <row r="5506" spans="5:5" ht="16.5">
      <c r="E5506" s="123"/>
    </row>
    <row r="5507" spans="5:5" ht="16.5">
      <c r="E5507" s="123"/>
    </row>
    <row r="5508" spans="5:5" ht="16.5">
      <c r="E5508" s="123"/>
    </row>
    <row r="5509" spans="5:5" ht="16.5">
      <c r="E5509" s="123"/>
    </row>
    <row r="5510" spans="5:5" ht="16.5">
      <c r="E5510" s="123"/>
    </row>
    <row r="5511" spans="5:5" ht="16.5">
      <c r="E5511" s="123"/>
    </row>
    <row r="5512" spans="5:5" ht="16.5">
      <c r="E5512" s="123"/>
    </row>
    <row r="5513" spans="5:5" ht="16.5">
      <c r="E5513" s="123"/>
    </row>
    <row r="5514" spans="5:5" ht="16.5">
      <c r="E5514" s="123"/>
    </row>
    <row r="5515" spans="5:5" ht="16.5">
      <c r="E5515" s="123"/>
    </row>
    <row r="5516" spans="5:5" ht="16.5">
      <c r="E5516" s="123"/>
    </row>
    <row r="5517" spans="5:5" ht="16.5">
      <c r="E5517" s="123"/>
    </row>
    <row r="5518" spans="5:5" ht="16.5">
      <c r="E5518" s="123"/>
    </row>
    <row r="5519" spans="5:5" ht="16.5">
      <c r="E5519" s="123"/>
    </row>
    <row r="5520" spans="5:5" ht="16.5">
      <c r="E5520" s="123"/>
    </row>
    <row r="5521" spans="5:5" ht="16.5">
      <c r="E5521" s="123"/>
    </row>
    <row r="5522" spans="5:5" ht="16.5">
      <c r="E5522" s="123"/>
    </row>
    <row r="5523" spans="5:5" ht="16.5">
      <c r="E5523" s="123"/>
    </row>
    <row r="5524" spans="5:5" ht="16.5">
      <c r="E5524" s="123"/>
    </row>
    <row r="5525" spans="5:5" ht="16.5">
      <c r="E5525" s="123"/>
    </row>
    <row r="5526" spans="5:5" ht="16.5">
      <c r="E5526" s="123"/>
    </row>
    <row r="5527" spans="5:5" ht="16.5">
      <c r="E5527" s="123"/>
    </row>
    <row r="5528" spans="5:5" ht="16.5">
      <c r="E5528" s="123"/>
    </row>
    <row r="5529" spans="5:5" ht="16.5">
      <c r="E5529" s="123"/>
    </row>
    <row r="5530" spans="5:5" ht="16.5">
      <c r="E5530" s="123"/>
    </row>
    <row r="5531" spans="5:5" ht="16.5">
      <c r="E5531" s="123"/>
    </row>
    <row r="5532" spans="5:5" ht="16.5">
      <c r="E5532" s="123"/>
    </row>
    <row r="5533" spans="5:5" ht="16.5">
      <c r="E5533" s="123"/>
    </row>
    <row r="5534" spans="5:5" ht="16.5">
      <c r="E5534" s="123"/>
    </row>
    <row r="5535" spans="5:5" ht="16.5">
      <c r="E5535" s="123"/>
    </row>
    <row r="5536" spans="5:5" ht="16.5">
      <c r="E5536" s="123"/>
    </row>
    <row r="5537" spans="5:5" ht="16.5">
      <c r="E5537" s="123"/>
    </row>
    <row r="5538" spans="5:5" ht="16.5">
      <c r="E5538" s="123"/>
    </row>
    <row r="5539" spans="5:5" ht="16.5">
      <c r="E5539" s="123"/>
    </row>
    <row r="5540" spans="5:5" ht="16.5">
      <c r="E5540" s="123"/>
    </row>
    <row r="5541" spans="5:5" ht="16.5">
      <c r="E5541" s="123"/>
    </row>
    <row r="5542" spans="5:5" ht="16.5">
      <c r="E5542" s="123"/>
    </row>
    <row r="5543" spans="5:5" ht="16.5">
      <c r="E5543" s="123"/>
    </row>
    <row r="5544" spans="5:5" ht="16.5">
      <c r="E5544" s="123"/>
    </row>
    <row r="5545" spans="5:5" ht="16.5">
      <c r="E5545" s="123"/>
    </row>
    <row r="5546" spans="5:5" ht="16.5">
      <c r="E5546" s="123"/>
    </row>
    <row r="5547" spans="5:5" ht="16.5">
      <c r="E5547" s="123"/>
    </row>
    <row r="5548" spans="5:5" ht="16.5">
      <c r="E5548" s="123"/>
    </row>
    <row r="5549" spans="5:5" ht="16.5">
      <c r="E5549" s="123"/>
    </row>
    <row r="5550" spans="5:5" ht="16.5">
      <c r="E5550" s="123"/>
    </row>
    <row r="5551" spans="5:5" ht="16.5">
      <c r="E5551" s="123"/>
    </row>
    <row r="5552" spans="5:5" ht="16.5">
      <c r="E5552" s="123"/>
    </row>
    <row r="5553" spans="5:5" ht="16.5">
      <c r="E5553" s="123"/>
    </row>
    <row r="5554" spans="5:5" ht="16.5">
      <c r="E5554" s="123"/>
    </row>
    <row r="5555" spans="5:5" ht="16.5">
      <c r="E5555" s="123"/>
    </row>
    <row r="5556" spans="5:5" ht="16.5">
      <c r="E5556" s="123"/>
    </row>
    <row r="5557" spans="5:5" ht="16.5">
      <c r="E5557" s="123"/>
    </row>
    <row r="5558" spans="5:5" ht="16.5">
      <c r="E5558" s="123"/>
    </row>
    <row r="5559" spans="5:5" ht="16.5">
      <c r="E5559" s="123"/>
    </row>
    <row r="5560" spans="5:5" ht="16.5">
      <c r="E5560" s="123"/>
    </row>
    <row r="5561" spans="5:5" ht="16.5">
      <c r="E5561" s="123"/>
    </row>
    <row r="5562" spans="5:5" ht="16.5">
      <c r="E5562" s="123"/>
    </row>
    <row r="5563" spans="5:5" ht="16.5">
      <c r="E5563" s="123"/>
    </row>
    <row r="5564" spans="5:5" ht="16.5">
      <c r="E5564" s="123"/>
    </row>
    <row r="5565" spans="5:5" ht="16.5">
      <c r="E5565" s="123"/>
    </row>
    <row r="5566" spans="5:5" ht="16.5">
      <c r="E5566" s="123"/>
    </row>
    <row r="5567" spans="5:5" ht="16.5">
      <c r="E5567" s="123"/>
    </row>
    <row r="5568" spans="5:5" ht="16.5">
      <c r="E5568" s="123"/>
    </row>
    <row r="5569" spans="5:5" ht="16.5">
      <c r="E5569" s="123"/>
    </row>
    <row r="5570" spans="5:5" ht="16.5">
      <c r="E5570" s="123"/>
    </row>
    <row r="5571" spans="5:5" ht="16.5">
      <c r="E5571" s="123"/>
    </row>
    <row r="5572" spans="5:5" ht="16.5">
      <c r="E5572" s="123"/>
    </row>
    <row r="5573" spans="5:5" ht="16.5">
      <c r="E5573" s="123"/>
    </row>
    <row r="5574" spans="5:5" ht="16.5">
      <c r="E5574" s="123"/>
    </row>
    <row r="5575" spans="5:5" ht="16.5">
      <c r="E5575" s="123"/>
    </row>
    <row r="5576" spans="5:5" ht="16.5">
      <c r="E5576" s="123"/>
    </row>
    <row r="5577" spans="5:5" ht="16.5">
      <c r="E5577" s="123"/>
    </row>
    <row r="5578" spans="5:5" ht="16.5">
      <c r="E5578" s="123"/>
    </row>
    <row r="5579" spans="5:5" ht="16.5">
      <c r="E5579" s="123"/>
    </row>
    <row r="5580" spans="5:5" ht="16.5">
      <c r="E5580" s="123"/>
    </row>
    <row r="5581" spans="5:5" ht="16.5">
      <c r="E5581" s="123"/>
    </row>
    <row r="5582" spans="5:5" ht="16.5">
      <c r="E5582" s="123"/>
    </row>
    <row r="5583" spans="5:5" ht="16.5">
      <c r="E5583" s="123"/>
    </row>
    <row r="5584" spans="5:5" ht="16.5">
      <c r="E5584" s="123"/>
    </row>
    <row r="5585" spans="5:5" ht="16.5">
      <c r="E5585" s="123"/>
    </row>
    <row r="5586" spans="5:5" ht="16.5">
      <c r="E5586" s="123"/>
    </row>
    <row r="5587" spans="5:5" ht="16.5">
      <c r="E5587" s="123"/>
    </row>
    <row r="5588" spans="5:5" ht="16.5">
      <c r="E5588" s="123"/>
    </row>
    <row r="5589" spans="5:5" ht="16.5">
      <c r="E5589" s="123"/>
    </row>
    <row r="5590" spans="5:5" ht="16.5">
      <c r="E5590" s="123"/>
    </row>
    <row r="5591" spans="5:5" ht="16.5">
      <c r="E5591" s="123"/>
    </row>
    <row r="5592" spans="5:5" ht="16.5">
      <c r="E5592" s="123"/>
    </row>
    <row r="5593" spans="5:5" ht="16.5">
      <c r="E5593" s="123"/>
    </row>
    <row r="5594" spans="5:5" ht="16.5">
      <c r="E5594" s="123"/>
    </row>
    <row r="5595" spans="5:5" ht="16.5">
      <c r="E5595" s="123"/>
    </row>
    <row r="5596" spans="5:5" ht="16.5">
      <c r="E5596" s="123"/>
    </row>
    <row r="5597" spans="5:5" ht="16.5">
      <c r="E5597" s="123"/>
    </row>
    <row r="5598" spans="5:5" ht="16.5">
      <c r="E5598" s="123"/>
    </row>
    <row r="5599" spans="5:5" ht="16.5">
      <c r="E5599" s="123"/>
    </row>
    <row r="5600" spans="5:5" ht="16.5">
      <c r="E5600" s="123"/>
    </row>
    <row r="5601" spans="5:5" ht="16.5">
      <c r="E5601" s="123"/>
    </row>
    <row r="5602" spans="5:5" ht="16.5">
      <c r="E5602" s="123"/>
    </row>
    <row r="5603" spans="5:5" ht="16.5">
      <c r="E5603" s="123"/>
    </row>
    <row r="5604" spans="5:5" ht="16.5">
      <c r="E5604" s="123"/>
    </row>
    <row r="5605" spans="5:5" ht="16.5">
      <c r="E5605" s="123"/>
    </row>
    <row r="5606" spans="5:5" ht="16.5">
      <c r="E5606" s="123"/>
    </row>
    <row r="5607" spans="5:5" ht="16.5">
      <c r="E5607" s="123"/>
    </row>
    <row r="5608" spans="5:5" ht="16.5">
      <c r="E5608" s="123"/>
    </row>
    <row r="5609" spans="5:5" ht="16.5">
      <c r="E5609" s="123"/>
    </row>
    <row r="5610" spans="5:5" ht="16.5">
      <c r="E5610" s="123"/>
    </row>
    <row r="5611" spans="5:5" ht="16.5">
      <c r="E5611" s="123"/>
    </row>
    <row r="5612" spans="5:5" ht="16.5">
      <c r="E5612" s="123"/>
    </row>
    <row r="5613" spans="5:5" ht="16.5">
      <c r="E5613" s="123"/>
    </row>
    <row r="5614" spans="5:5" ht="16.5">
      <c r="E5614" s="123"/>
    </row>
    <row r="5615" spans="5:5" ht="16.5">
      <c r="E5615" s="123"/>
    </row>
    <row r="5616" spans="5:5" ht="16.5">
      <c r="E5616" s="123"/>
    </row>
    <row r="5617" spans="5:5" ht="16.5">
      <c r="E5617" s="123"/>
    </row>
    <row r="5618" spans="5:5" ht="16.5">
      <c r="E5618" s="123"/>
    </row>
    <row r="5619" spans="5:5" ht="16.5">
      <c r="E5619" s="123"/>
    </row>
    <row r="5620" spans="5:5" ht="16.5">
      <c r="E5620" s="123"/>
    </row>
    <row r="5621" spans="5:5" ht="16.5">
      <c r="E5621" s="123"/>
    </row>
    <row r="5622" spans="5:5" ht="16.5">
      <c r="E5622" s="123"/>
    </row>
    <row r="5623" spans="5:5" ht="16.5">
      <c r="E5623" s="123"/>
    </row>
    <row r="5624" spans="5:5" ht="16.5">
      <c r="E5624" s="123"/>
    </row>
    <row r="5625" spans="5:5" ht="16.5">
      <c r="E5625" s="123"/>
    </row>
    <row r="5626" spans="5:5" ht="16.5">
      <c r="E5626" s="123"/>
    </row>
    <row r="5627" spans="5:5" ht="16.5">
      <c r="E5627" s="123"/>
    </row>
    <row r="5628" spans="5:5" ht="16.5">
      <c r="E5628" s="123"/>
    </row>
    <row r="5629" spans="5:5" ht="16.5">
      <c r="E5629" s="123"/>
    </row>
    <row r="5630" spans="5:5" ht="16.5">
      <c r="E5630" s="123"/>
    </row>
    <row r="5631" spans="5:5" ht="16.5">
      <c r="E5631" s="123"/>
    </row>
    <row r="5632" spans="5:5" ht="16.5">
      <c r="E5632" s="123"/>
    </row>
    <row r="5633" spans="5:5" ht="16.5">
      <c r="E5633" s="123"/>
    </row>
    <row r="5634" spans="5:5" ht="16.5">
      <c r="E5634" s="123"/>
    </row>
    <row r="5635" spans="5:5" ht="16.5">
      <c r="E5635" s="123"/>
    </row>
    <row r="5636" spans="5:5" ht="16.5">
      <c r="E5636" s="123"/>
    </row>
    <row r="5637" spans="5:5" ht="16.5">
      <c r="E5637" s="123"/>
    </row>
    <row r="5638" spans="5:5" ht="16.5">
      <c r="E5638" s="123"/>
    </row>
    <row r="5639" spans="5:5" ht="16.5">
      <c r="E5639" s="123"/>
    </row>
    <row r="5640" spans="5:5" ht="16.5">
      <c r="E5640" s="123"/>
    </row>
    <row r="5641" spans="5:5" ht="16.5">
      <c r="E5641" s="123"/>
    </row>
    <row r="5642" spans="5:5" ht="16.5">
      <c r="E5642" s="123"/>
    </row>
    <row r="5643" spans="5:5" ht="16.5">
      <c r="E5643" s="123"/>
    </row>
    <row r="5644" spans="5:5" ht="16.5">
      <c r="E5644" s="123"/>
    </row>
    <row r="5645" spans="5:5" ht="16.5">
      <c r="E5645" s="123"/>
    </row>
    <row r="5646" spans="5:5" ht="16.5">
      <c r="E5646" s="123"/>
    </row>
    <row r="5647" spans="5:5" ht="16.5">
      <c r="E5647" s="123"/>
    </row>
    <row r="5648" spans="5:5" ht="16.5">
      <c r="E5648" s="123"/>
    </row>
    <row r="5649" spans="5:5" ht="16.5">
      <c r="E5649" s="123"/>
    </row>
    <row r="5650" spans="5:5" ht="16.5">
      <c r="E5650" s="123"/>
    </row>
    <row r="5651" spans="5:5" ht="16.5">
      <c r="E5651" s="123"/>
    </row>
    <row r="5652" spans="5:5" ht="16.5">
      <c r="E5652" s="123"/>
    </row>
    <row r="5653" spans="5:5" ht="16.5">
      <c r="E5653" s="123"/>
    </row>
    <row r="5654" spans="5:5" ht="16.5">
      <c r="E5654" s="123"/>
    </row>
    <row r="5655" spans="5:5" ht="16.5">
      <c r="E5655" s="123"/>
    </row>
    <row r="5656" spans="5:5" ht="16.5">
      <c r="E5656" s="123"/>
    </row>
    <row r="5657" spans="5:5" ht="16.5">
      <c r="E5657" s="123"/>
    </row>
    <row r="5658" spans="5:5" ht="16.5">
      <c r="E5658" s="123"/>
    </row>
    <row r="5659" spans="5:5" ht="16.5">
      <c r="E5659" s="123"/>
    </row>
    <row r="5660" spans="5:5" ht="16.5">
      <c r="E5660" s="123"/>
    </row>
    <row r="5661" spans="5:5" ht="16.5">
      <c r="E5661" s="123"/>
    </row>
    <row r="5662" spans="5:5" ht="16.5">
      <c r="E5662" s="123"/>
    </row>
    <row r="5663" spans="5:5" ht="16.5">
      <c r="E5663" s="123"/>
    </row>
    <row r="5664" spans="5:5" ht="16.5">
      <c r="E5664" s="123"/>
    </row>
    <row r="5665" spans="5:5" ht="16.5">
      <c r="E5665" s="123"/>
    </row>
    <row r="5666" spans="5:5" ht="16.5">
      <c r="E5666" s="123"/>
    </row>
    <row r="5667" spans="5:5" ht="16.5">
      <c r="E5667" s="123"/>
    </row>
    <row r="5668" spans="5:5" ht="16.5">
      <c r="E5668" s="123"/>
    </row>
    <row r="5669" spans="5:5" ht="16.5">
      <c r="E5669" s="123"/>
    </row>
    <row r="5670" spans="5:5" ht="16.5">
      <c r="E5670" s="123"/>
    </row>
    <row r="5671" spans="5:5" ht="16.5">
      <c r="E5671" s="123"/>
    </row>
    <row r="5672" spans="5:5" ht="16.5">
      <c r="E5672" s="123"/>
    </row>
    <row r="5673" spans="5:5" ht="16.5">
      <c r="E5673" s="123"/>
    </row>
    <row r="5674" spans="5:5" ht="16.5">
      <c r="E5674" s="123"/>
    </row>
    <row r="5675" spans="5:5" ht="16.5">
      <c r="E5675" s="123"/>
    </row>
    <row r="5676" spans="5:5" ht="16.5">
      <c r="E5676" s="123"/>
    </row>
    <row r="5677" spans="5:5" ht="16.5">
      <c r="E5677" s="123"/>
    </row>
    <row r="5678" spans="5:5" ht="16.5">
      <c r="E5678" s="123"/>
    </row>
    <row r="5679" spans="5:5" ht="16.5">
      <c r="E5679" s="123"/>
    </row>
    <row r="5680" spans="5:5" ht="16.5">
      <c r="E5680" s="123"/>
    </row>
    <row r="5681" spans="5:5" ht="16.5">
      <c r="E5681" s="123"/>
    </row>
    <row r="5682" spans="5:5" ht="16.5">
      <c r="E5682" s="123"/>
    </row>
    <row r="5683" spans="5:5" ht="16.5">
      <c r="E5683" s="123"/>
    </row>
    <row r="5684" spans="5:5" ht="16.5">
      <c r="E5684" s="123"/>
    </row>
    <row r="5685" spans="5:5" ht="16.5">
      <c r="E5685" s="123"/>
    </row>
    <row r="5686" spans="5:5" ht="16.5">
      <c r="E5686" s="123"/>
    </row>
    <row r="5687" spans="5:5" ht="16.5">
      <c r="E5687" s="123"/>
    </row>
    <row r="5688" spans="5:5" ht="16.5">
      <c r="E5688" s="123"/>
    </row>
    <row r="5689" spans="5:5" ht="16.5">
      <c r="E5689" s="123"/>
    </row>
    <row r="5690" spans="5:5" ht="16.5">
      <c r="E5690" s="123"/>
    </row>
    <row r="5691" spans="5:5" ht="16.5">
      <c r="E5691" s="123"/>
    </row>
    <row r="5692" spans="5:5" ht="16.5">
      <c r="E5692" s="123"/>
    </row>
    <row r="5693" spans="5:5" ht="16.5">
      <c r="E5693" s="123"/>
    </row>
    <row r="5694" spans="5:5" ht="16.5">
      <c r="E5694" s="123"/>
    </row>
    <row r="5695" spans="5:5" ht="16.5">
      <c r="E5695" s="123"/>
    </row>
    <row r="5696" spans="5:5" ht="16.5">
      <c r="E5696" s="123"/>
    </row>
    <row r="5697" spans="5:5" ht="16.5">
      <c r="E5697" s="123"/>
    </row>
    <row r="5698" spans="5:5" ht="16.5">
      <c r="E5698" s="123"/>
    </row>
    <row r="5699" spans="5:5" ht="16.5">
      <c r="E5699" s="123"/>
    </row>
    <row r="5700" spans="5:5" ht="16.5">
      <c r="E5700" s="123"/>
    </row>
    <row r="5701" spans="5:5" ht="16.5">
      <c r="E5701" s="123"/>
    </row>
    <row r="5702" spans="5:5" ht="16.5">
      <c r="E5702" s="123"/>
    </row>
    <row r="5703" spans="5:5" ht="16.5">
      <c r="E5703" s="123"/>
    </row>
    <row r="5704" spans="5:5" ht="16.5">
      <c r="E5704" s="123"/>
    </row>
    <row r="5705" spans="5:5" ht="16.5">
      <c r="E5705" s="123"/>
    </row>
    <row r="5706" spans="5:5" ht="16.5">
      <c r="E5706" s="123"/>
    </row>
    <row r="5707" spans="5:5" ht="16.5">
      <c r="E5707" s="123"/>
    </row>
    <row r="5708" spans="5:5" ht="16.5">
      <c r="E5708" s="123"/>
    </row>
    <row r="5709" spans="5:5" ht="16.5">
      <c r="E5709" s="123"/>
    </row>
    <row r="5710" spans="5:5" ht="16.5">
      <c r="E5710" s="123"/>
    </row>
    <row r="5711" spans="5:5" ht="16.5">
      <c r="E5711" s="123"/>
    </row>
    <row r="5712" spans="5:5" ht="16.5">
      <c r="E5712" s="123"/>
    </row>
    <row r="5713" spans="5:5" ht="16.5">
      <c r="E5713" s="123"/>
    </row>
    <row r="5714" spans="5:5" ht="16.5">
      <c r="E5714" s="123"/>
    </row>
    <row r="5715" spans="5:5" ht="16.5">
      <c r="E5715" s="123"/>
    </row>
    <row r="5716" spans="5:5" ht="16.5">
      <c r="E5716" s="123"/>
    </row>
    <row r="5717" spans="5:5" ht="16.5">
      <c r="E5717" s="123"/>
    </row>
    <row r="5718" spans="5:5" ht="16.5">
      <c r="E5718" s="123"/>
    </row>
    <row r="5719" spans="5:5" ht="16.5">
      <c r="E5719" s="123"/>
    </row>
    <row r="5720" spans="5:5" ht="16.5">
      <c r="E5720" s="123"/>
    </row>
    <row r="5721" spans="5:5" ht="16.5">
      <c r="E5721" s="123"/>
    </row>
    <row r="5722" spans="5:5" ht="16.5">
      <c r="E5722" s="123"/>
    </row>
    <row r="5723" spans="5:5" ht="16.5">
      <c r="E5723" s="123"/>
    </row>
    <row r="5724" spans="5:5" ht="16.5">
      <c r="E5724" s="123"/>
    </row>
    <row r="5725" spans="5:5" ht="16.5">
      <c r="E5725" s="123"/>
    </row>
    <row r="5726" spans="5:5" ht="16.5">
      <c r="E5726" s="123"/>
    </row>
    <row r="5727" spans="5:5" ht="16.5">
      <c r="E5727" s="123"/>
    </row>
    <row r="5728" spans="5:5" ht="16.5">
      <c r="E5728" s="123"/>
    </row>
    <row r="5729" spans="5:5" ht="16.5">
      <c r="E5729" s="123"/>
    </row>
    <row r="5730" spans="5:5" ht="16.5">
      <c r="E5730" s="123"/>
    </row>
    <row r="5731" spans="5:5" ht="16.5">
      <c r="E5731" s="123"/>
    </row>
    <row r="5732" spans="5:5" ht="16.5">
      <c r="E5732" s="123"/>
    </row>
    <row r="5733" spans="5:5" ht="16.5">
      <c r="E5733" s="123"/>
    </row>
    <row r="5734" spans="5:5" ht="16.5">
      <c r="E5734" s="123"/>
    </row>
    <row r="5735" spans="5:5" ht="16.5">
      <c r="E5735" s="123"/>
    </row>
    <row r="5736" spans="5:5" ht="16.5">
      <c r="E5736" s="123"/>
    </row>
    <row r="5737" spans="5:5" ht="16.5">
      <c r="E5737" s="123"/>
    </row>
    <row r="5738" spans="5:5" ht="16.5">
      <c r="E5738" s="123"/>
    </row>
    <row r="5739" spans="5:5" ht="16.5">
      <c r="E5739" s="123"/>
    </row>
    <row r="5740" spans="5:5" ht="16.5">
      <c r="E5740" s="123"/>
    </row>
    <row r="5741" spans="5:5" ht="16.5">
      <c r="E5741" s="123"/>
    </row>
    <row r="5742" spans="5:5" ht="16.5">
      <c r="E5742" s="123"/>
    </row>
    <row r="5743" spans="5:5" ht="16.5">
      <c r="E5743" s="123"/>
    </row>
    <row r="5744" spans="5:5" ht="16.5">
      <c r="E5744" s="123"/>
    </row>
    <row r="5745" spans="5:5" ht="16.5">
      <c r="E5745" s="123"/>
    </row>
    <row r="5746" spans="5:5" ht="16.5">
      <c r="E5746" s="123"/>
    </row>
    <row r="5747" spans="5:5" ht="16.5">
      <c r="E5747" s="123"/>
    </row>
    <row r="5748" spans="5:5" ht="16.5">
      <c r="E5748" s="123"/>
    </row>
    <row r="5749" spans="5:5" ht="16.5">
      <c r="E5749" s="123"/>
    </row>
    <row r="5750" spans="5:5" ht="16.5">
      <c r="E5750" s="123"/>
    </row>
    <row r="5751" spans="5:5" ht="16.5">
      <c r="E5751" s="123"/>
    </row>
    <row r="5752" spans="5:5" ht="16.5">
      <c r="E5752" s="123"/>
    </row>
    <row r="5753" spans="5:5" ht="16.5">
      <c r="E5753" s="123"/>
    </row>
    <row r="5754" spans="5:5" ht="16.5">
      <c r="E5754" s="123"/>
    </row>
    <row r="5755" spans="5:5" ht="16.5">
      <c r="E5755" s="123"/>
    </row>
    <row r="5756" spans="5:5" ht="16.5">
      <c r="E5756" s="123"/>
    </row>
    <row r="5757" spans="5:5" ht="16.5">
      <c r="E5757" s="123"/>
    </row>
    <row r="5758" spans="5:5" ht="16.5">
      <c r="E5758" s="123"/>
    </row>
    <row r="5759" spans="5:5" ht="16.5">
      <c r="E5759" s="123"/>
    </row>
    <row r="5760" spans="5:5" ht="16.5">
      <c r="E5760" s="123"/>
    </row>
    <row r="5761" spans="5:5" ht="16.5">
      <c r="E5761" s="123"/>
    </row>
    <row r="5762" spans="5:5" ht="16.5">
      <c r="E5762" s="123"/>
    </row>
    <row r="5763" spans="5:5" ht="16.5">
      <c r="E5763" s="123"/>
    </row>
    <row r="5764" spans="5:5" ht="16.5">
      <c r="E5764" s="123"/>
    </row>
    <row r="5765" spans="5:5" ht="16.5">
      <c r="E5765" s="123"/>
    </row>
    <row r="5766" spans="5:5" ht="16.5">
      <c r="E5766" s="123"/>
    </row>
    <row r="5767" spans="5:5" ht="16.5">
      <c r="E5767" s="123"/>
    </row>
    <row r="5768" spans="5:5" ht="16.5">
      <c r="E5768" s="123"/>
    </row>
    <row r="5769" spans="5:5" ht="16.5">
      <c r="E5769" s="123"/>
    </row>
    <row r="5770" spans="5:5" ht="16.5">
      <c r="E5770" s="123"/>
    </row>
    <row r="5771" spans="5:5" ht="16.5">
      <c r="E5771" s="123"/>
    </row>
    <row r="5772" spans="5:5" ht="16.5">
      <c r="E5772" s="123"/>
    </row>
    <row r="5773" spans="5:5" ht="16.5">
      <c r="E5773" s="123"/>
    </row>
    <row r="5774" spans="5:5" ht="16.5">
      <c r="E5774" s="123"/>
    </row>
    <row r="5775" spans="5:5" ht="16.5">
      <c r="E5775" s="123"/>
    </row>
    <row r="5776" spans="5:5" ht="16.5">
      <c r="E5776" s="123"/>
    </row>
    <row r="5777" spans="5:5" ht="16.5">
      <c r="E5777" s="123"/>
    </row>
    <row r="5778" spans="5:5" ht="16.5">
      <c r="E5778" s="123"/>
    </row>
    <row r="5779" spans="5:5" ht="16.5">
      <c r="E5779" s="123"/>
    </row>
    <row r="5780" spans="5:5" ht="16.5">
      <c r="E5780" s="123"/>
    </row>
    <row r="5781" spans="5:5" ht="16.5">
      <c r="E5781" s="123"/>
    </row>
    <row r="5782" spans="5:5" ht="16.5">
      <c r="E5782" s="123"/>
    </row>
    <row r="5783" spans="5:5" ht="16.5">
      <c r="E5783" s="123"/>
    </row>
    <row r="5784" spans="5:5" ht="16.5">
      <c r="E5784" s="123"/>
    </row>
    <row r="5785" spans="5:5" ht="16.5">
      <c r="E5785" s="123"/>
    </row>
    <row r="5786" spans="5:5" ht="16.5">
      <c r="E5786" s="123"/>
    </row>
    <row r="5787" spans="5:5" ht="16.5">
      <c r="E5787" s="123"/>
    </row>
    <row r="5788" spans="5:5" ht="16.5">
      <c r="E5788" s="123"/>
    </row>
    <row r="5789" spans="5:5" ht="16.5">
      <c r="E5789" s="123"/>
    </row>
    <row r="5790" spans="5:5" ht="16.5">
      <c r="E5790" s="123"/>
    </row>
    <row r="5791" spans="5:5" ht="16.5">
      <c r="E5791" s="123"/>
    </row>
    <row r="5792" spans="5:5" ht="16.5">
      <c r="E5792" s="123"/>
    </row>
    <row r="5793" spans="5:5" ht="16.5">
      <c r="E5793" s="123"/>
    </row>
    <row r="5794" spans="5:5" ht="16.5">
      <c r="E5794" s="123"/>
    </row>
    <row r="5795" spans="5:5" ht="16.5">
      <c r="E5795" s="123"/>
    </row>
    <row r="5796" spans="5:5" ht="16.5">
      <c r="E5796" s="123"/>
    </row>
    <row r="5797" spans="5:5" ht="16.5">
      <c r="E5797" s="123"/>
    </row>
    <row r="5798" spans="5:5" ht="16.5">
      <c r="E5798" s="123"/>
    </row>
    <row r="5799" spans="5:5" ht="16.5">
      <c r="E5799" s="123"/>
    </row>
    <row r="5800" spans="5:5" ht="16.5">
      <c r="E5800" s="123"/>
    </row>
    <row r="5801" spans="5:5" ht="16.5">
      <c r="E5801" s="123"/>
    </row>
    <row r="5802" spans="5:5" ht="16.5">
      <c r="E5802" s="123"/>
    </row>
    <row r="5803" spans="5:5" ht="16.5">
      <c r="E5803" s="123"/>
    </row>
    <row r="5804" spans="5:5" ht="16.5">
      <c r="E5804" s="123"/>
    </row>
    <row r="5805" spans="5:5" ht="16.5">
      <c r="E5805" s="123"/>
    </row>
    <row r="5806" spans="5:5" ht="16.5">
      <c r="E5806" s="123"/>
    </row>
    <row r="5807" spans="5:5" ht="16.5">
      <c r="E5807" s="123"/>
    </row>
    <row r="5808" spans="5:5" ht="16.5">
      <c r="E5808" s="123"/>
    </row>
    <row r="5809" spans="5:5" ht="16.5">
      <c r="E5809" s="123"/>
    </row>
    <row r="5810" spans="5:5" ht="16.5">
      <c r="E5810" s="123"/>
    </row>
    <row r="5811" spans="5:5" ht="16.5">
      <c r="E5811" s="123"/>
    </row>
    <row r="5812" spans="5:5" ht="16.5">
      <c r="E5812" s="123"/>
    </row>
    <row r="5813" spans="5:5" ht="16.5">
      <c r="E5813" s="123"/>
    </row>
    <row r="5814" spans="5:5" ht="16.5">
      <c r="E5814" s="123"/>
    </row>
    <row r="5815" spans="5:5" ht="16.5">
      <c r="E5815" s="123"/>
    </row>
    <row r="5816" spans="5:5" ht="16.5">
      <c r="E5816" s="123"/>
    </row>
    <row r="5817" spans="5:5" ht="16.5">
      <c r="E5817" s="123"/>
    </row>
    <row r="5818" spans="5:5" ht="16.5">
      <c r="E5818" s="123"/>
    </row>
    <row r="5819" spans="5:5" ht="16.5">
      <c r="E5819" s="123"/>
    </row>
    <row r="5820" spans="5:5" ht="16.5">
      <c r="E5820" s="123"/>
    </row>
    <row r="5821" spans="5:5" ht="16.5">
      <c r="E5821" s="123"/>
    </row>
    <row r="5822" spans="5:5" ht="16.5">
      <c r="E5822" s="123"/>
    </row>
    <row r="5823" spans="5:5" ht="16.5">
      <c r="E5823" s="123"/>
    </row>
    <row r="5824" spans="5:5" ht="16.5">
      <c r="E5824" s="123"/>
    </row>
    <row r="5825" spans="5:5" ht="16.5">
      <c r="E5825" s="123"/>
    </row>
    <row r="5826" spans="5:5" ht="16.5">
      <c r="E5826" s="123"/>
    </row>
    <row r="5827" spans="5:5" ht="16.5">
      <c r="E5827" s="123"/>
    </row>
    <row r="5828" spans="5:5" ht="16.5">
      <c r="E5828" s="123"/>
    </row>
    <row r="5829" spans="5:5" ht="16.5">
      <c r="E5829" s="123"/>
    </row>
    <row r="5830" spans="5:5" ht="16.5">
      <c r="E5830" s="123"/>
    </row>
    <row r="5831" spans="5:5" ht="16.5">
      <c r="E5831" s="123"/>
    </row>
    <row r="5832" spans="5:5" ht="16.5">
      <c r="E5832" s="123"/>
    </row>
    <row r="5833" spans="5:5" ht="16.5">
      <c r="E5833" s="123"/>
    </row>
    <row r="5834" spans="5:5" ht="16.5">
      <c r="E5834" s="123"/>
    </row>
    <row r="5835" spans="5:5" ht="16.5">
      <c r="E5835" s="123"/>
    </row>
    <row r="5836" spans="5:5" ht="16.5">
      <c r="E5836" s="123"/>
    </row>
    <row r="5837" spans="5:5" ht="16.5">
      <c r="E5837" s="123"/>
    </row>
    <row r="5838" spans="5:5" ht="16.5">
      <c r="E5838" s="123"/>
    </row>
    <row r="5839" spans="5:5" ht="16.5">
      <c r="E5839" s="123"/>
    </row>
    <row r="5840" spans="5:5" ht="16.5">
      <c r="E5840" s="123"/>
    </row>
    <row r="5841" spans="5:5" ht="16.5">
      <c r="E5841" s="123"/>
    </row>
    <row r="5842" spans="5:5" ht="16.5">
      <c r="E5842" s="123"/>
    </row>
    <row r="5843" spans="5:5" ht="16.5">
      <c r="E5843" s="123"/>
    </row>
    <row r="5844" spans="5:5" ht="16.5">
      <c r="E5844" s="123"/>
    </row>
    <row r="5845" spans="5:5" ht="16.5">
      <c r="E5845" s="123"/>
    </row>
    <row r="5846" spans="5:5" ht="16.5">
      <c r="E5846" s="123"/>
    </row>
    <row r="5847" spans="5:5" ht="16.5">
      <c r="E5847" s="123"/>
    </row>
    <row r="5848" spans="5:5" ht="16.5">
      <c r="E5848" s="123"/>
    </row>
    <row r="5849" spans="5:5" ht="16.5">
      <c r="E5849" s="123"/>
    </row>
    <row r="5850" spans="5:5" ht="16.5">
      <c r="E5850" s="123"/>
    </row>
    <row r="5851" spans="5:5" ht="16.5">
      <c r="E5851" s="123"/>
    </row>
    <row r="5852" spans="5:5" ht="16.5">
      <c r="E5852" s="123"/>
    </row>
    <row r="5853" spans="5:5" ht="16.5">
      <c r="E5853" s="123"/>
    </row>
    <row r="5854" spans="5:5" ht="16.5">
      <c r="E5854" s="123"/>
    </row>
    <row r="5855" spans="5:5" ht="16.5">
      <c r="E5855" s="123"/>
    </row>
    <row r="5856" spans="5:5" ht="16.5">
      <c r="E5856" s="123"/>
    </row>
    <row r="5857" spans="5:5" ht="16.5">
      <c r="E5857" s="123"/>
    </row>
    <row r="5858" spans="5:5" ht="16.5">
      <c r="E5858" s="123"/>
    </row>
    <row r="5859" spans="5:5" ht="16.5">
      <c r="E5859" s="123"/>
    </row>
    <row r="5860" spans="5:5" ht="16.5">
      <c r="E5860" s="123"/>
    </row>
    <row r="5861" spans="5:5" ht="16.5">
      <c r="E5861" s="123"/>
    </row>
    <row r="5862" spans="5:5" ht="16.5">
      <c r="E5862" s="123"/>
    </row>
    <row r="5863" spans="5:5" ht="16.5">
      <c r="E5863" s="123"/>
    </row>
    <row r="5864" spans="5:5" ht="16.5">
      <c r="E5864" s="123"/>
    </row>
    <row r="5865" spans="5:5" ht="16.5">
      <c r="E5865" s="123"/>
    </row>
    <row r="5866" spans="5:5" ht="16.5">
      <c r="E5866" s="123"/>
    </row>
    <row r="5867" spans="5:5" ht="16.5">
      <c r="E5867" s="123"/>
    </row>
    <row r="5868" spans="5:5" ht="16.5">
      <c r="E5868" s="123"/>
    </row>
    <row r="5869" spans="5:5" ht="16.5">
      <c r="E5869" s="123"/>
    </row>
    <row r="5870" spans="5:5" ht="16.5">
      <c r="E5870" s="123"/>
    </row>
    <row r="5871" spans="5:5" ht="16.5">
      <c r="E5871" s="123"/>
    </row>
    <row r="5872" spans="5:5" ht="16.5">
      <c r="E5872" s="123"/>
    </row>
    <row r="5873" spans="5:5" ht="16.5">
      <c r="E5873" s="123"/>
    </row>
    <row r="5874" spans="5:5" ht="16.5">
      <c r="E5874" s="123"/>
    </row>
    <row r="5875" spans="5:5" ht="16.5">
      <c r="E5875" s="123"/>
    </row>
    <row r="5876" spans="5:5" ht="16.5">
      <c r="E5876" s="123"/>
    </row>
    <row r="5877" spans="5:5" ht="16.5">
      <c r="E5877" s="123"/>
    </row>
    <row r="5878" spans="5:5" ht="16.5">
      <c r="E5878" s="123"/>
    </row>
    <row r="5879" spans="5:5" ht="16.5">
      <c r="E5879" s="123"/>
    </row>
    <row r="5880" spans="5:5" ht="16.5">
      <c r="E5880" s="123"/>
    </row>
    <row r="5881" spans="5:5" ht="16.5">
      <c r="E5881" s="123"/>
    </row>
    <row r="5882" spans="5:5" ht="16.5">
      <c r="E5882" s="123"/>
    </row>
    <row r="5883" spans="5:5" ht="16.5">
      <c r="E5883" s="123"/>
    </row>
    <row r="5884" spans="5:5" ht="16.5">
      <c r="E5884" s="123"/>
    </row>
    <row r="5885" spans="5:5" ht="16.5">
      <c r="E5885" s="123"/>
    </row>
    <row r="5886" spans="5:5" ht="16.5">
      <c r="E5886" s="123"/>
    </row>
    <row r="5887" spans="5:5" ht="16.5">
      <c r="E5887" s="123"/>
    </row>
    <row r="5888" spans="5:5" ht="16.5">
      <c r="E5888" s="123"/>
    </row>
    <row r="5889" spans="5:5" ht="16.5">
      <c r="E5889" s="123"/>
    </row>
    <row r="5890" spans="5:5" ht="16.5">
      <c r="E5890" s="123"/>
    </row>
    <row r="5891" spans="5:5" ht="16.5">
      <c r="E5891" s="123"/>
    </row>
    <row r="5892" spans="5:5" ht="16.5">
      <c r="E5892" s="123"/>
    </row>
    <row r="5893" spans="5:5" ht="16.5">
      <c r="E5893" s="123"/>
    </row>
    <row r="5894" spans="5:5" ht="16.5">
      <c r="E5894" s="123"/>
    </row>
    <row r="5895" spans="5:5" ht="16.5">
      <c r="E5895" s="123"/>
    </row>
    <row r="5896" spans="5:5" ht="16.5">
      <c r="E5896" s="123"/>
    </row>
    <row r="5897" spans="5:5" ht="16.5">
      <c r="E5897" s="123"/>
    </row>
    <row r="5898" spans="5:5" ht="16.5">
      <c r="E5898" s="123"/>
    </row>
    <row r="5899" spans="5:5" ht="16.5">
      <c r="E5899" s="123"/>
    </row>
    <row r="5900" spans="5:5" ht="16.5">
      <c r="E5900" s="123"/>
    </row>
    <row r="5901" spans="5:5" ht="16.5">
      <c r="E5901" s="123"/>
    </row>
    <row r="5902" spans="5:5" ht="16.5">
      <c r="E5902" s="123"/>
    </row>
    <row r="5903" spans="5:5" ht="16.5">
      <c r="E5903" s="123"/>
    </row>
    <row r="5904" spans="5:5" ht="16.5">
      <c r="E5904" s="123"/>
    </row>
    <row r="5905" spans="5:5" ht="16.5">
      <c r="E5905" s="123"/>
    </row>
    <row r="5906" spans="5:5" ht="16.5">
      <c r="E5906" s="123"/>
    </row>
    <row r="5907" spans="5:5" ht="16.5">
      <c r="E5907" s="123"/>
    </row>
    <row r="5908" spans="5:5" ht="16.5">
      <c r="E5908" s="123"/>
    </row>
    <row r="5909" spans="5:5" ht="16.5">
      <c r="E5909" s="123"/>
    </row>
    <row r="5910" spans="5:5" ht="16.5">
      <c r="E5910" s="123"/>
    </row>
    <row r="5911" spans="5:5" ht="16.5">
      <c r="E5911" s="123"/>
    </row>
    <row r="5912" spans="5:5" ht="16.5">
      <c r="E5912" s="123"/>
    </row>
    <row r="5913" spans="5:5" ht="16.5">
      <c r="E5913" s="123"/>
    </row>
    <row r="5914" spans="5:5" ht="16.5">
      <c r="E5914" s="123"/>
    </row>
    <row r="5915" spans="5:5" ht="16.5">
      <c r="E5915" s="123"/>
    </row>
    <row r="5916" spans="5:5" ht="16.5">
      <c r="E5916" s="123"/>
    </row>
    <row r="5917" spans="5:5" ht="16.5">
      <c r="E5917" s="123"/>
    </row>
    <row r="5918" spans="5:5" ht="16.5">
      <c r="E5918" s="123"/>
    </row>
    <row r="5919" spans="5:5" ht="16.5">
      <c r="E5919" s="123"/>
    </row>
    <row r="5920" spans="5:5" ht="16.5">
      <c r="E5920" s="123"/>
    </row>
    <row r="5921" spans="5:5" ht="16.5">
      <c r="E5921" s="123"/>
    </row>
    <row r="5922" spans="5:5" ht="16.5">
      <c r="E5922" s="123"/>
    </row>
    <row r="5923" spans="5:5" ht="16.5">
      <c r="E5923" s="123"/>
    </row>
    <row r="5924" spans="5:5" ht="16.5">
      <c r="E5924" s="123"/>
    </row>
    <row r="5925" spans="5:5" ht="16.5">
      <c r="E5925" s="123"/>
    </row>
    <row r="5926" spans="5:5" ht="16.5">
      <c r="E5926" s="123"/>
    </row>
    <row r="5927" spans="5:5" ht="16.5">
      <c r="E5927" s="123"/>
    </row>
    <row r="5928" spans="5:5" ht="16.5">
      <c r="E5928" s="123"/>
    </row>
    <row r="5929" spans="5:5" ht="16.5">
      <c r="E5929" s="123"/>
    </row>
    <row r="5930" spans="5:5" ht="16.5">
      <c r="E5930" s="123"/>
    </row>
    <row r="5931" spans="5:5" ht="16.5">
      <c r="E5931" s="123"/>
    </row>
    <row r="5932" spans="5:5" ht="16.5">
      <c r="E5932" s="123"/>
    </row>
    <row r="5933" spans="5:5" ht="16.5">
      <c r="E5933" s="123"/>
    </row>
    <row r="5934" spans="5:5" ht="16.5">
      <c r="E5934" s="123"/>
    </row>
    <row r="5935" spans="5:5" ht="16.5">
      <c r="E5935" s="123"/>
    </row>
    <row r="5936" spans="5:5" ht="16.5">
      <c r="E5936" s="123"/>
    </row>
    <row r="5937" spans="5:5" ht="16.5">
      <c r="E5937" s="123"/>
    </row>
    <row r="5938" spans="5:5" ht="16.5">
      <c r="E5938" s="123"/>
    </row>
    <row r="5939" spans="5:5" ht="16.5">
      <c r="E5939" s="123"/>
    </row>
    <row r="5940" spans="5:5" ht="16.5">
      <c r="E5940" s="123"/>
    </row>
    <row r="5941" spans="5:5" ht="16.5">
      <c r="E5941" s="123"/>
    </row>
    <row r="5942" spans="5:5" ht="16.5">
      <c r="E5942" s="123"/>
    </row>
    <row r="5943" spans="5:5" ht="16.5">
      <c r="E5943" s="123"/>
    </row>
    <row r="5944" spans="5:5" ht="16.5">
      <c r="E5944" s="123"/>
    </row>
    <row r="5945" spans="5:5" ht="16.5">
      <c r="E5945" s="123"/>
    </row>
    <row r="5946" spans="5:5" ht="16.5">
      <c r="E5946" s="123"/>
    </row>
    <row r="5947" spans="5:5" ht="16.5">
      <c r="E5947" s="123"/>
    </row>
    <row r="5948" spans="5:5" ht="16.5">
      <c r="E5948" s="123"/>
    </row>
    <row r="5949" spans="5:5" ht="16.5">
      <c r="E5949" s="123"/>
    </row>
    <row r="5950" spans="5:5" ht="16.5">
      <c r="E5950" s="123"/>
    </row>
    <row r="5951" spans="5:5" ht="16.5">
      <c r="E5951" s="123"/>
    </row>
    <row r="5952" spans="5:5" ht="16.5">
      <c r="E5952" s="123"/>
    </row>
    <row r="5953" spans="5:5" ht="16.5">
      <c r="E5953" s="123"/>
    </row>
    <row r="5954" spans="5:5" ht="16.5">
      <c r="E5954" s="123"/>
    </row>
    <row r="5955" spans="5:5" ht="16.5">
      <c r="E5955" s="123"/>
    </row>
    <row r="5956" spans="5:5" ht="16.5">
      <c r="E5956" s="123"/>
    </row>
    <row r="5957" spans="5:5" ht="16.5">
      <c r="E5957" s="123"/>
    </row>
    <row r="5958" spans="5:5" ht="16.5">
      <c r="E5958" s="123"/>
    </row>
    <row r="5959" spans="5:5" ht="16.5">
      <c r="E5959" s="123"/>
    </row>
    <row r="5960" spans="5:5" ht="16.5">
      <c r="E5960" s="123"/>
    </row>
    <row r="5961" spans="5:5" ht="16.5">
      <c r="E5961" s="123"/>
    </row>
    <row r="5962" spans="5:5" ht="16.5">
      <c r="E5962" s="123"/>
    </row>
    <row r="5963" spans="5:5" ht="16.5">
      <c r="E5963" s="123"/>
    </row>
    <row r="5964" spans="5:5" ht="16.5">
      <c r="E5964" s="123"/>
    </row>
    <row r="5965" spans="5:5" ht="16.5">
      <c r="E5965" s="123"/>
    </row>
    <row r="5966" spans="5:5" ht="16.5">
      <c r="E5966" s="123"/>
    </row>
    <row r="5967" spans="5:5" ht="16.5">
      <c r="E5967" s="123"/>
    </row>
    <row r="5968" spans="5:5" ht="16.5">
      <c r="E5968" s="123"/>
    </row>
    <row r="5969" spans="5:5" ht="16.5">
      <c r="E5969" s="123"/>
    </row>
    <row r="5970" spans="5:5" ht="16.5">
      <c r="E5970" s="123"/>
    </row>
    <row r="5971" spans="5:5" ht="16.5">
      <c r="E5971" s="123"/>
    </row>
    <row r="5972" spans="5:5" ht="16.5">
      <c r="E5972" s="123"/>
    </row>
    <row r="5973" spans="5:5" ht="16.5">
      <c r="E5973" s="123"/>
    </row>
    <row r="5974" spans="5:5" ht="16.5">
      <c r="E5974" s="123"/>
    </row>
    <row r="5975" spans="5:5" ht="16.5">
      <c r="E5975" s="123"/>
    </row>
    <row r="5976" spans="5:5" ht="16.5">
      <c r="E5976" s="123"/>
    </row>
    <row r="5977" spans="5:5" ht="16.5">
      <c r="E5977" s="123"/>
    </row>
    <row r="5978" spans="5:5" ht="16.5">
      <c r="E5978" s="123"/>
    </row>
    <row r="5979" spans="5:5" ht="16.5">
      <c r="E5979" s="123"/>
    </row>
    <row r="5980" spans="5:5" ht="16.5">
      <c r="E5980" s="123"/>
    </row>
    <row r="5981" spans="5:5" ht="16.5">
      <c r="E5981" s="123"/>
    </row>
    <row r="5982" spans="5:5" ht="16.5">
      <c r="E5982" s="123"/>
    </row>
    <row r="5983" spans="5:5" ht="16.5">
      <c r="E5983" s="123"/>
    </row>
    <row r="5984" spans="5:5" ht="16.5">
      <c r="E5984" s="123"/>
    </row>
    <row r="5985" spans="5:5" ht="16.5">
      <c r="E5985" s="123"/>
    </row>
    <row r="5986" spans="5:5" ht="16.5">
      <c r="E5986" s="123"/>
    </row>
    <row r="5987" spans="5:5" ht="16.5">
      <c r="E5987" s="123"/>
    </row>
    <row r="5988" spans="5:5" ht="16.5">
      <c r="E5988" s="123"/>
    </row>
    <row r="5989" spans="5:5" ht="16.5">
      <c r="E5989" s="123"/>
    </row>
    <row r="5990" spans="5:5" ht="16.5">
      <c r="E5990" s="123"/>
    </row>
    <row r="5991" spans="5:5" ht="16.5">
      <c r="E5991" s="123"/>
    </row>
    <row r="5992" spans="5:5" ht="16.5">
      <c r="E5992" s="123"/>
    </row>
    <row r="5993" spans="5:5" ht="16.5">
      <c r="E5993" s="123"/>
    </row>
    <row r="5994" spans="5:5" ht="16.5">
      <c r="E5994" s="123"/>
    </row>
    <row r="5995" spans="5:5" ht="16.5">
      <c r="E5995" s="123"/>
    </row>
    <row r="5996" spans="5:5" ht="16.5">
      <c r="E5996" s="123"/>
    </row>
    <row r="5997" spans="5:5" ht="16.5">
      <c r="E5997" s="123"/>
    </row>
    <row r="5998" spans="5:5" ht="16.5">
      <c r="E5998" s="123"/>
    </row>
    <row r="5999" spans="5:5" ht="16.5">
      <c r="E5999" s="123"/>
    </row>
    <row r="6000" spans="5:5" ht="16.5">
      <c r="E6000" s="123"/>
    </row>
    <row r="6001" spans="5:5" ht="16.5">
      <c r="E6001" s="123"/>
    </row>
    <row r="6002" spans="5:5" ht="16.5">
      <c r="E6002" s="123"/>
    </row>
    <row r="6003" spans="5:5" ht="16.5">
      <c r="E6003" s="123"/>
    </row>
    <row r="6004" spans="5:5" ht="16.5">
      <c r="E6004" s="123"/>
    </row>
    <row r="6005" spans="5:5" ht="16.5">
      <c r="E6005" s="123"/>
    </row>
    <row r="6006" spans="5:5" ht="16.5">
      <c r="E6006" s="123"/>
    </row>
    <row r="6007" spans="5:5" ht="16.5">
      <c r="E6007" s="123"/>
    </row>
    <row r="6008" spans="5:5" ht="16.5">
      <c r="E6008" s="123"/>
    </row>
    <row r="6009" spans="5:5" ht="16.5">
      <c r="E6009" s="123"/>
    </row>
    <row r="6010" spans="5:5" ht="16.5">
      <c r="E6010" s="123"/>
    </row>
    <row r="6011" spans="5:5" ht="16.5">
      <c r="E6011" s="123"/>
    </row>
    <row r="6012" spans="5:5" ht="16.5">
      <c r="E6012" s="123"/>
    </row>
    <row r="6013" spans="5:5" ht="16.5">
      <c r="E6013" s="123"/>
    </row>
    <row r="6014" spans="5:5" ht="16.5">
      <c r="E6014" s="123"/>
    </row>
    <row r="6015" spans="5:5" ht="16.5">
      <c r="E6015" s="123"/>
    </row>
    <row r="6016" spans="5:5" ht="16.5">
      <c r="E6016" s="123"/>
    </row>
    <row r="6017" spans="5:5" ht="16.5">
      <c r="E6017" s="123"/>
    </row>
    <row r="6018" spans="5:5" ht="16.5">
      <c r="E6018" s="123"/>
    </row>
    <row r="6019" spans="5:5" ht="16.5">
      <c r="E6019" s="123"/>
    </row>
    <row r="6020" spans="5:5" ht="16.5">
      <c r="E6020" s="123"/>
    </row>
    <row r="6021" spans="5:5" ht="16.5">
      <c r="E6021" s="123"/>
    </row>
    <row r="6022" spans="5:5" ht="16.5">
      <c r="E6022" s="123"/>
    </row>
    <row r="6023" spans="5:5" ht="16.5">
      <c r="E6023" s="123"/>
    </row>
    <row r="6024" spans="5:5" ht="16.5">
      <c r="E6024" s="123"/>
    </row>
    <row r="6025" spans="5:5" ht="16.5">
      <c r="E6025" s="123"/>
    </row>
    <row r="6026" spans="5:5" ht="16.5">
      <c r="E6026" s="123"/>
    </row>
    <row r="6027" spans="5:5" ht="16.5">
      <c r="E6027" s="123"/>
    </row>
    <row r="6028" spans="5:5" ht="16.5">
      <c r="E6028" s="123"/>
    </row>
    <row r="6029" spans="5:5" ht="16.5">
      <c r="E6029" s="123"/>
    </row>
    <row r="6030" spans="5:5" ht="16.5">
      <c r="E6030" s="123"/>
    </row>
    <row r="6031" spans="5:5" ht="16.5">
      <c r="E6031" s="123"/>
    </row>
    <row r="6032" spans="5:5" ht="16.5">
      <c r="E6032" s="123"/>
    </row>
    <row r="6033" spans="5:5" ht="16.5">
      <c r="E6033" s="123"/>
    </row>
    <row r="6034" spans="5:5" ht="16.5">
      <c r="E6034" s="123"/>
    </row>
    <row r="6035" spans="5:5" ht="16.5">
      <c r="E6035" s="123"/>
    </row>
    <row r="6036" spans="5:5" ht="16.5">
      <c r="E6036" s="123"/>
    </row>
    <row r="6037" spans="5:5" ht="16.5">
      <c r="E6037" s="123"/>
    </row>
    <row r="6038" spans="5:5" ht="16.5">
      <c r="E6038" s="123"/>
    </row>
    <row r="6039" spans="5:5" ht="16.5">
      <c r="E6039" s="123"/>
    </row>
    <row r="6040" spans="5:5" ht="16.5">
      <c r="E6040" s="123"/>
    </row>
    <row r="6041" spans="5:5" ht="16.5">
      <c r="E6041" s="123"/>
    </row>
    <row r="6042" spans="5:5" ht="16.5">
      <c r="E6042" s="123"/>
    </row>
    <row r="6043" spans="5:5" ht="16.5">
      <c r="E6043" s="123"/>
    </row>
    <row r="6044" spans="5:5" ht="16.5">
      <c r="E6044" s="123"/>
    </row>
    <row r="6045" spans="5:5" ht="16.5">
      <c r="E6045" s="123"/>
    </row>
    <row r="6046" spans="5:5" ht="16.5">
      <c r="E6046" s="123"/>
    </row>
    <row r="6047" spans="5:5" ht="16.5">
      <c r="E6047" s="123"/>
    </row>
    <row r="6048" spans="5:5" ht="16.5">
      <c r="E6048" s="123"/>
    </row>
    <row r="6049" spans="5:5" ht="16.5">
      <c r="E6049" s="123"/>
    </row>
    <row r="6050" spans="5:5" ht="16.5">
      <c r="E6050" s="123"/>
    </row>
    <row r="6051" spans="5:5" ht="16.5">
      <c r="E6051" s="123"/>
    </row>
    <row r="6052" spans="5:5" ht="16.5">
      <c r="E6052" s="123"/>
    </row>
    <row r="6053" spans="5:5" ht="16.5">
      <c r="E6053" s="123"/>
    </row>
    <row r="6054" spans="5:5" ht="16.5">
      <c r="E6054" s="123"/>
    </row>
    <row r="6055" spans="5:5" ht="16.5">
      <c r="E6055" s="123"/>
    </row>
    <row r="6056" spans="5:5" ht="16.5">
      <c r="E6056" s="123"/>
    </row>
    <row r="6057" spans="5:5" ht="16.5">
      <c r="E6057" s="123"/>
    </row>
    <row r="6058" spans="5:5" ht="16.5">
      <c r="E6058" s="123"/>
    </row>
    <row r="6059" spans="5:5" ht="16.5">
      <c r="E6059" s="123"/>
    </row>
    <row r="6060" spans="5:5" ht="16.5">
      <c r="E6060" s="123"/>
    </row>
    <row r="6061" spans="5:5" ht="16.5">
      <c r="E6061" s="123"/>
    </row>
    <row r="6062" spans="5:5" ht="16.5">
      <c r="E6062" s="123"/>
    </row>
    <row r="6063" spans="5:5" ht="16.5">
      <c r="E6063" s="123"/>
    </row>
    <row r="6064" spans="5:5" ht="16.5">
      <c r="E6064" s="123"/>
    </row>
    <row r="6065" spans="5:5" ht="16.5">
      <c r="E6065" s="123"/>
    </row>
    <row r="6066" spans="5:5" ht="16.5">
      <c r="E6066" s="123"/>
    </row>
    <row r="6067" spans="5:5" ht="16.5">
      <c r="E6067" s="123"/>
    </row>
    <row r="6068" spans="5:5" ht="16.5">
      <c r="E6068" s="123"/>
    </row>
    <row r="6069" spans="5:5" ht="16.5">
      <c r="E6069" s="123"/>
    </row>
    <row r="6070" spans="5:5" ht="16.5">
      <c r="E6070" s="123"/>
    </row>
    <row r="6071" spans="5:5" ht="16.5">
      <c r="E6071" s="123"/>
    </row>
    <row r="6072" spans="5:5" ht="16.5">
      <c r="E6072" s="123"/>
    </row>
    <row r="6073" spans="5:5" ht="16.5">
      <c r="E6073" s="123"/>
    </row>
    <row r="6074" spans="5:5" ht="16.5">
      <c r="E6074" s="123"/>
    </row>
    <row r="6075" spans="5:5" ht="16.5">
      <c r="E6075" s="123"/>
    </row>
    <row r="6076" spans="5:5" ht="16.5">
      <c r="E6076" s="123"/>
    </row>
    <row r="6077" spans="5:5" ht="16.5">
      <c r="E6077" s="123"/>
    </row>
    <row r="6078" spans="5:5" ht="16.5">
      <c r="E6078" s="123"/>
    </row>
    <row r="6079" spans="5:5" ht="16.5">
      <c r="E6079" s="123"/>
    </row>
    <row r="6080" spans="5:5" ht="16.5">
      <c r="E6080" s="123"/>
    </row>
    <row r="6081" spans="5:5" ht="16.5">
      <c r="E6081" s="123"/>
    </row>
    <row r="6082" spans="5:5" ht="16.5">
      <c r="E6082" s="123"/>
    </row>
    <row r="6083" spans="5:5" ht="16.5">
      <c r="E6083" s="123"/>
    </row>
    <row r="6084" spans="5:5" ht="16.5">
      <c r="E6084" s="123"/>
    </row>
    <row r="6085" spans="5:5" ht="16.5">
      <c r="E6085" s="123"/>
    </row>
    <row r="6086" spans="5:5" ht="16.5">
      <c r="E6086" s="123"/>
    </row>
    <row r="6087" spans="5:5" ht="16.5">
      <c r="E6087" s="123"/>
    </row>
    <row r="6088" spans="5:5" ht="16.5">
      <c r="E6088" s="123"/>
    </row>
    <row r="6089" spans="5:5" ht="16.5">
      <c r="E6089" s="123"/>
    </row>
    <row r="6090" spans="5:5" ht="16.5">
      <c r="E6090" s="123"/>
    </row>
    <row r="6091" spans="5:5" ht="16.5">
      <c r="E6091" s="123"/>
    </row>
    <row r="6092" spans="5:5" ht="16.5">
      <c r="E6092" s="123"/>
    </row>
    <row r="6093" spans="5:5" ht="16.5">
      <c r="E6093" s="123"/>
    </row>
    <row r="6094" spans="5:5" ht="16.5">
      <c r="E6094" s="123"/>
    </row>
    <row r="6095" spans="5:5" ht="16.5">
      <c r="E6095" s="123"/>
    </row>
    <row r="6096" spans="5:5" ht="16.5">
      <c r="E6096" s="123"/>
    </row>
    <row r="6097" spans="5:5" ht="16.5">
      <c r="E6097" s="123"/>
    </row>
    <row r="6098" spans="5:5" ht="16.5">
      <c r="E6098" s="123"/>
    </row>
    <row r="6099" spans="5:5" ht="16.5">
      <c r="E6099" s="123"/>
    </row>
    <row r="6100" spans="5:5" ht="16.5">
      <c r="E6100" s="123"/>
    </row>
    <row r="6101" spans="5:5" ht="16.5">
      <c r="E6101" s="123"/>
    </row>
    <row r="6102" spans="5:5" ht="16.5">
      <c r="E6102" s="123"/>
    </row>
    <row r="6103" spans="5:5" ht="16.5">
      <c r="E6103" s="123"/>
    </row>
    <row r="6104" spans="5:5" ht="16.5">
      <c r="E6104" s="123"/>
    </row>
    <row r="6105" spans="5:5" ht="16.5">
      <c r="E6105" s="123"/>
    </row>
    <row r="6106" spans="5:5" ht="16.5">
      <c r="E6106" s="123"/>
    </row>
    <row r="6107" spans="5:5" ht="16.5">
      <c r="E6107" s="123"/>
    </row>
    <row r="6108" spans="5:5" ht="16.5">
      <c r="E6108" s="123"/>
    </row>
    <row r="6109" spans="5:5" ht="16.5">
      <c r="E6109" s="123"/>
    </row>
    <row r="6110" spans="5:5" ht="16.5">
      <c r="E6110" s="123"/>
    </row>
    <row r="6111" spans="5:5" ht="16.5">
      <c r="E6111" s="123"/>
    </row>
    <row r="6112" spans="5:5" ht="16.5">
      <c r="E6112" s="123"/>
    </row>
    <row r="6113" spans="5:5" ht="16.5">
      <c r="E6113" s="123"/>
    </row>
    <row r="6114" spans="5:5" ht="16.5">
      <c r="E6114" s="123"/>
    </row>
    <row r="6115" spans="5:5" ht="16.5">
      <c r="E6115" s="123"/>
    </row>
    <row r="6116" spans="5:5" ht="16.5">
      <c r="E6116" s="123"/>
    </row>
    <row r="6117" spans="5:5" ht="16.5">
      <c r="E6117" s="123"/>
    </row>
    <row r="6118" spans="5:5" ht="16.5">
      <c r="E6118" s="123"/>
    </row>
    <row r="6119" spans="5:5" ht="16.5">
      <c r="E6119" s="123"/>
    </row>
    <row r="6120" spans="5:5" ht="16.5">
      <c r="E6120" s="123"/>
    </row>
    <row r="6121" spans="5:5" ht="16.5">
      <c r="E6121" s="123"/>
    </row>
    <row r="6122" spans="5:5" ht="16.5">
      <c r="E6122" s="123"/>
    </row>
    <row r="6123" spans="5:5" ht="16.5">
      <c r="E6123" s="123"/>
    </row>
    <row r="6124" spans="5:5" ht="16.5">
      <c r="E6124" s="123"/>
    </row>
    <row r="6125" spans="5:5" ht="16.5">
      <c r="E6125" s="123"/>
    </row>
    <row r="6126" spans="5:5" ht="16.5">
      <c r="E6126" s="123"/>
    </row>
    <row r="6127" spans="5:5" ht="16.5">
      <c r="E6127" s="123"/>
    </row>
    <row r="6128" spans="5:5" ht="16.5">
      <c r="E6128" s="123"/>
    </row>
    <row r="6129" spans="5:5" ht="16.5">
      <c r="E6129" s="123"/>
    </row>
    <row r="6130" spans="5:5" ht="16.5">
      <c r="E6130" s="123"/>
    </row>
    <row r="6131" spans="5:5" ht="16.5">
      <c r="E6131" s="123"/>
    </row>
    <row r="6132" spans="5:5" ht="16.5">
      <c r="E6132" s="123"/>
    </row>
    <row r="6133" spans="5:5" ht="16.5">
      <c r="E6133" s="123"/>
    </row>
    <row r="6134" spans="5:5" ht="16.5">
      <c r="E6134" s="123"/>
    </row>
    <row r="6135" spans="5:5" ht="16.5">
      <c r="E6135" s="123"/>
    </row>
    <row r="6136" spans="5:5" ht="16.5">
      <c r="E6136" s="123"/>
    </row>
    <row r="6137" spans="5:5" ht="16.5">
      <c r="E6137" s="123"/>
    </row>
    <row r="6138" spans="5:5" ht="16.5">
      <c r="E6138" s="123"/>
    </row>
    <row r="6139" spans="5:5" ht="16.5">
      <c r="E6139" s="123"/>
    </row>
    <row r="6140" spans="5:5" ht="16.5">
      <c r="E6140" s="123"/>
    </row>
    <row r="6141" spans="5:5" ht="16.5">
      <c r="E6141" s="123"/>
    </row>
    <row r="6142" spans="5:5" ht="16.5">
      <c r="E6142" s="123"/>
    </row>
    <row r="6143" spans="5:5" ht="16.5">
      <c r="E6143" s="123"/>
    </row>
    <row r="6144" spans="5:5" ht="16.5">
      <c r="E6144" s="123"/>
    </row>
    <row r="6145" spans="5:5" ht="16.5">
      <c r="E6145" s="123"/>
    </row>
    <row r="6146" spans="5:5" ht="16.5">
      <c r="E6146" s="123"/>
    </row>
    <row r="6147" spans="5:5" ht="16.5">
      <c r="E6147" s="123"/>
    </row>
    <row r="6148" spans="5:5" ht="16.5">
      <c r="E6148" s="123"/>
    </row>
    <row r="6149" spans="5:5" ht="16.5">
      <c r="E6149" s="123"/>
    </row>
    <row r="6150" spans="5:5" ht="16.5">
      <c r="E6150" s="123"/>
    </row>
    <row r="6151" spans="5:5" ht="16.5">
      <c r="E6151" s="123"/>
    </row>
    <row r="6152" spans="5:5" ht="16.5">
      <c r="E6152" s="123"/>
    </row>
    <row r="6153" spans="5:5" ht="16.5">
      <c r="E6153" s="123"/>
    </row>
    <row r="6154" spans="5:5" ht="16.5">
      <c r="E6154" s="123"/>
    </row>
    <row r="6155" spans="5:5" ht="16.5">
      <c r="E6155" s="123"/>
    </row>
    <row r="6156" spans="5:5" ht="16.5">
      <c r="E6156" s="123"/>
    </row>
    <row r="6157" spans="5:5" ht="16.5">
      <c r="E6157" s="123"/>
    </row>
    <row r="6158" spans="5:5" ht="16.5">
      <c r="E6158" s="123"/>
    </row>
    <row r="6159" spans="5:5" ht="16.5">
      <c r="E6159" s="123"/>
    </row>
    <row r="6160" spans="5:5" ht="16.5">
      <c r="E6160" s="123"/>
    </row>
    <row r="6161" spans="5:5" ht="16.5">
      <c r="E6161" s="123"/>
    </row>
    <row r="6162" spans="5:5" ht="16.5">
      <c r="E6162" s="123"/>
    </row>
    <row r="6163" spans="5:5" ht="16.5">
      <c r="E6163" s="123"/>
    </row>
    <row r="6164" spans="5:5" ht="16.5">
      <c r="E6164" s="123"/>
    </row>
    <row r="6165" spans="5:5" ht="16.5">
      <c r="E6165" s="123"/>
    </row>
    <row r="6166" spans="5:5" ht="16.5">
      <c r="E6166" s="123"/>
    </row>
    <row r="6167" spans="5:5" ht="16.5">
      <c r="E6167" s="123"/>
    </row>
    <row r="6168" spans="5:5" ht="16.5">
      <c r="E6168" s="123"/>
    </row>
    <row r="6169" spans="5:5" ht="16.5">
      <c r="E6169" s="123"/>
    </row>
    <row r="6170" spans="5:5" ht="16.5">
      <c r="E6170" s="123"/>
    </row>
    <row r="6171" spans="5:5" ht="16.5">
      <c r="E6171" s="123"/>
    </row>
    <row r="6172" spans="5:5" ht="16.5">
      <c r="E6172" s="123"/>
    </row>
    <row r="6173" spans="5:5" ht="16.5">
      <c r="E6173" s="123"/>
    </row>
    <row r="6174" spans="5:5" ht="16.5">
      <c r="E6174" s="123"/>
    </row>
    <row r="6175" spans="5:5" ht="16.5">
      <c r="E6175" s="123"/>
    </row>
    <row r="6176" spans="5:5" ht="16.5">
      <c r="E6176" s="123"/>
    </row>
    <row r="6177" spans="5:5" ht="16.5">
      <c r="E6177" s="123"/>
    </row>
    <row r="6178" spans="5:5" ht="16.5">
      <c r="E6178" s="123"/>
    </row>
    <row r="6179" spans="5:5" ht="16.5">
      <c r="E6179" s="123"/>
    </row>
    <row r="6180" spans="5:5" ht="16.5">
      <c r="E6180" s="123"/>
    </row>
    <row r="6181" spans="5:5" ht="16.5">
      <c r="E6181" s="123"/>
    </row>
    <row r="6182" spans="5:5" ht="16.5">
      <c r="E6182" s="123"/>
    </row>
    <row r="6183" spans="5:5" ht="16.5">
      <c r="E6183" s="123"/>
    </row>
    <row r="6184" spans="5:5" ht="16.5">
      <c r="E6184" s="123"/>
    </row>
    <row r="6185" spans="5:5" ht="16.5">
      <c r="E6185" s="123"/>
    </row>
    <row r="6186" spans="5:5" ht="16.5">
      <c r="E6186" s="123"/>
    </row>
    <row r="6187" spans="5:5" ht="16.5">
      <c r="E6187" s="123"/>
    </row>
    <row r="6188" spans="5:5" ht="16.5">
      <c r="E6188" s="123"/>
    </row>
    <row r="6189" spans="5:5" ht="16.5">
      <c r="E6189" s="123"/>
    </row>
    <row r="6190" spans="5:5" ht="16.5">
      <c r="E6190" s="123"/>
    </row>
    <row r="6191" spans="5:5" ht="16.5">
      <c r="E6191" s="123"/>
    </row>
    <row r="6192" spans="5:5" ht="16.5">
      <c r="E6192" s="123"/>
    </row>
    <row r="6193" spans="5:5" ht="16.5">
      <c r="E6193" s="123"/>
    </row>
    <row r="6194" spans="5:5" ht="16.5">
      <c r="E6194" s="123"/>
    </row>
    <row r="6195" spans="5:5" ht="16.5">
      <c r="E6195" s="123"/>
    </row>
    <row r="6196" spans="5:5" ht="16.5">
      <c r="E6196" s="123"/>
    </row>
    <row r="6197" spans="5:5" ht="16.5">
      <c r="E6197" s="123"/>
    </row>
    <row r="6198" spans="5:5" ht="16.5">
      <c r="E6198" s="123"/>
    </row>
    <row r="6199" spans="5:5" ht="16.5">
      <c r="E6199" s="123"/>
    </row>
    <row r="6200" spans="5:5" ht="16.5">
      <c r="E6200" s="123"/>
    </row>
    <row r="6201" spans="5:5" ht="16.5">
      <c r="E6201" s="123"/>
    </row>
    <row r="6202" spans="5:5" ht="16.5">
      <c r="E6202" s="123"/>
    </row>
    <row r="6203" spans="5:5" ht="16.5">
      <c r="E6203" s="123"/>
    </row>
    <row r="6204" spans="5:5" ht="16.5">
      <c r="E6204" s="123"/>
    </row>
    <row r="6205" spans="5:5" ht="16.5">
      <c r="E6205" s="123"/>
    </row>
    <row r="6206" spans="5:5" ht="16.5">
      <c r="E6206" s="123"/>
    </row>
    <row r="6207" spans="5:5" ht="16.5">
      <c r="E6207" s="123"/>
    </row>
    <row r="6208" spans="5:5" ht="16.5">
      <c r="E6208" s="123"/>
    </row>
    <row r="6209" spans="5:5" ht="16.5">
      <c r="E6209" s="123"/>
    </row>
    <row r="6210" spans="5:5" ht="16.5">
      <c r="E6210" s="123"/>
    </row>
    <row r="6211" spans="5:5" ht="16.5">
      <c r="E6211" s="123"/>
    </row>
    <row r="6212" spans="5:5" ht="16.5">
      <c r="E6212" s="123"/>
    </row>
    <row r="6213" spans="5:5" ht="16.5">
      <c r="E6213" s="123"/>
    </row>
    <row r="6214" spans="5:5" ht="16.5">
      <c r="E6214" s="123"/>
    </row>
    <row r="6215" spans="5:5" ht="16.5">
      <c r="E6215" s="123"/>
    </row>
    <row r="6216" spans="5:5" ht="16.5">
      <c r="E6216" s="123"/>
    </row>
    <row r="6217" spans="5:5" ht="16.5">
      <c r="E6217" s="123"/>
    </row>
    <row r="6218" spans="5:5" ht="16.5">
      <c r="E6218" s="123"/>
    </row>
    <row r="6219" spans="5:5" ht="16.5">
      <c r="E6219" s="123"/>
    </row>
    <row r="6220" spans="5:5" ht="16.5">
      <c r="E6220" s="123"/>
    </row>
    <row r="6221" spans="5:5" ht="16.5">
      <c r="E6221" s="123"/>
    </row>
    <row r="6222" spans="5:5" ht="16.5">
      <c r="E6222" s="123"/>
    </row>
    <row r="6223" spans="5:5" ht="16.5">
      <c r="E6223" s="123"/>
    </row>
    <row r="6224" spans="5:5" ht="16.5">
      <c r="E6224" s="123"/>
    </row>
    <row r="6225" spans="5:5" ht="16.5">
      <c r="E6225" s="123"/>
    </row>
    <row r="6226" spans="5:5" ht="16.5">
      <c r="E6226" s="123"/>
    </row>
    <row r="6227" spans="5:5" ht="16.5">
      <c r="E6227" s="123"/>
    </row>
    <row r="6228" spans="5:5" ht="16.5">
      <c r="E6228" s="123"/>
    </row>
    <row r="6229" spans="5:5" ht="16.5">
      <c r="E6229" s="123"/>
    </row>
    <row r="6230" spans="5:5" ht="16.5">
      <c r="E6230" s="123"/>
    </row>
    <row r="6231" spans="5:5" ht="16.5">
      <c r="E6231" s="123"/>
    </row>
    <row r="6232" spans="5:5" ht="16.5">
      <c r="E6232" s="123"/>
    </row>
    <row r="6233" spans="5:5" ht="16.5">
      <c r="E6233" s="123"/>
    </row>
    <row r="6234" spans="5:5" ht="16.5">
      <c r="E6234" s="123"/>
    </row>
    <row r="6235" spans="5:5" ht="16.5">
      <c r="E6235" s="123"/>
    </row>
    <row r="6236" spans="5:5" ht="16.5">
      <c r="E6236" s="123"/>
    </row>
    <row r="6237" spans="5:5" ht="16.5">
      <c r="E6237" s="123"/>
    </row>
    <row r="6238" spans="5:5" ht="16.5">
      <c r="E6238" s="123"/>
    </row>
    <row r="6239" spans="5:5" ht="16.5">
      <c r="E6239" s="123"/>
    </row>
    <row r="6240" spans="5:5" ht="16.5">
      <c r="E6240" s="123"/>
    </row>
    <row r="6241" spans="5:5" ht="16.5">
      <c r="E6241" s="123"/>
    </row>
    <row r="6242" spans="5:5" ht="16.5">
      <c r="E6242" s="123"/>
    </row>
    <row r="6243" spans="5:5" ht="16.5">
      <c r="E6243" s="123"/>
    </row>
    <row r="6244" spans="5:5" ht="16.5">
      <c r="E6244" s="123"/>
    </row>
    <row r="6245" spans="5:5" ht="16.5">
      <c r="E6245" s="123"/>
    </row>
    <row r="6246" spans="5:5" ht="16.5">
      <c r="E6246" s="123"/>
    </row>
    <row r="6247" spans="5:5" ht="16.5">
      <c r="E6247" s="123"/>
    </row>
    <row r="6248" spans="5:5" ht="16.5">
      <c r="E6248" s="123"/>
    </row>
    <row r="6249" spans="5:5" ht="16.5">
      <c r="E6249" s="123"/>
    </row>
    <row r="6250" spans="5:5" ht="16.5">
      <c r="E6250" s="123"/>
    </row>
    <row r="6251" spans="5:5" ht="16.5">
      <c r="E6251" s="123"/>
    </row>
    <row r="6252" spans="5:5" ht="16.5">
      <c r="E6252" s="123"/>
    </row>
    <row r="6253" spans="5:5" ht="16.5">
      <c r="E6253" s="123"/>
    </row>
    <row r="6254" spans="5:5" ht="16.5">
      <c r="E6254" s="123"/>
    </row>
    <row r="6255" spans="5:5" ht="16.5">
      <c r="E6255" s="123"/>
    </row>
    <row r="6256" spans="5:5" ht="16.5">
      <c r="E6256" s="123"/>
    </row>
    <row r="6257" spans="5:5" ht="16.5">
      <c r="E6257" s="123"/>
    </row>
    <row r="6258" spans="5:5" ht="16.5">
      <c r="E6258" s="123"/>
    </row>
    <row r="6259" spans="5:5" ht="16.5">
      <c r="E6259" s="123"/>
    </row>
    <row r="6260" spans="5:5" ht="16.5">
      <c r="E6260" s="123"/>
    </row>
    <row r="6261" spans="5:5" ht="16.5">
      <c r="E6261" s="123"/>
    </row>
    <row r="6262" spans="5:5" ht="16.5">
      <c r="E6262" s="123"/>
    </row>
    <row r="6263" spans="5:5" ht="16.5">
      <c r="E6263" s="123"/>
    </row>
    <row r="6264" spans="5:5" ht="16.5">
      <c r="E6264" s="123"/>
    </row>
    <row r="6265" spans="5:5" ht="16.5">
      <c r="E6265" s="123"/>
    </row>
    <row r="6266" spans="5:5" ht="16.5">
      <c r="E6266" s="123"/>
    </row>
    <row r="6267" spans="5:5" ht="16.5">
      <c r="E6267" s="123"/>
    </row>
    <row r="6268" spans="5:5" ht="16.5">
      <c r="E6268" s="123"/>
    </row>
    <row r="6269" spans="5:5" ht="16.5">
      <c r="E6269" s="123"/>
    </row>
    <row r="6270" spans="5:5" ht="16.5">
      <c r="E6270" s="123"/>
    </row>
    <row r="6271" spans="5:5" ht="16.5">
      <c r="E6271" s="123"/>
    </row>
    <row r="6272" spans="5:5" ht="16.5">
      <c r="E6272" s="123"/>
    </row>
    <row r="6273" spans="5:5" ht="16.5">
      <c r="E6273" s="123"/>
    </row>
    <row r="6274" spans="5:5" ht="16.5">
      <c r="E6274" s="123"/>
    </row>
    <row r="6275" spans="5:5" ht="16.5">
      <c r="E6275" s="123"/>
    </row>
    <row r="6276" spans="5:5" ht="16.5">
      <c r="E6276" s="123"/>
    </row>
    <row r="6277" spans="5:5" ht="16.5">
      <c r="E6277" s="123"/>
    </row>
    <row r="6278" spans="5:5" ht="16.5">
      <c r="E6278" s="123"/>
    </row>
    <row r="6279" spans="5:5" ht="16.5">
      <c r="E6279" s="123"/>
    </row>
    <row r="6280" spans="5:5" ht="16.5">
      <c r="E6280" s="123"/>
    </row>
    <row r="6281" spans="5:5" ht="16.5">
      <c r="E6281" s="123"/>
    </row>
    <row r="6282" spans="5:5" ht="16.5">
      <c r="E6282" s="123"/>
    </row>
    <row r="6283" spans="5:5" ht="16.5">
      <c r="E6283" s="123"/>
    </row>
    <row r="6284" spans="5:5" ht="16.5">
      <c r="E6284" s="123"/>
    </row>
    <row r="6285" spans="5:5" ht="16.5">
      <c r="E6285" s="123"/>
    </row>
    <row r="6286" spans="5:5" ht="16.5">
      <c r="E6286" s="123"/>
    </row>
    <row r="6287" spans="5:5" ht="16.5">
      <c r="E6287" s="123"/>
    </row>
    <row r="6288" spans="5:5" ht="16.5">
      <c r="E6288" s="123"/>
    </row>
    <row r="6289" spans="5:5" ht="16.5">
      <c r="E6289" s="123"/>
    </row>
    <row r="6290" spans="5:5" ht="16.5">
      <c r="E6290" s="123"/>
    </row>
    <row r="6291" spans="5:5" ht="16.5">
      <c r="E6291" s="123"/>
    </row>
    <row r="6292" spans="5:5" ht="16.5">
      <c r="E6292" s="123"/>
    </row>
    <row r="6293" spans="5:5" ht="16.5">
      <c r="E6293" s="123"/>
    </row>
    <row r="6294" spans="5:5" ht="16.5">
      <c r="E6294" s="123"/>
    </row>
    <row r="6295" spans="5:5" ht="16.5">
      <c r="E6295" s="123"/>
    </row>
    <row r="6296" spans="5:5" ht="16.5">
      <c r="E6296" s="123"/>
    </row>
    <row r="6297" spans="5:5" ht="16.5">
      <c r="E6297" s="123"/>
    </row>
    <row r="6298" spans="5:5" ht="16.5">
      <c r="E6298" s="123"/>
    </row>
    <row r="6299" spans="5:5" ht="16.5">
      <c r="E6299" s="123"/>
    </row>
    <row r="6300" spans="5:5" ht="16.5">
      <c r="E6300" s="123"/>
    </row>
    <row r="6301" spans="5:5" ht="16.5">
      <c r="E6301" s="123"/>
    </row>
    <row r="6302" spans="5:5" ht="16.5">
      <c r="E6302" s="123"/>
    </row>
    <row r="6303" spans="5:5" ht="16.5">
      <c r="E6303" s="123"/>
    </row>
    <row r="6304" spans="5:5" ht="16.5">
      <c r="E6304" s="123"/>
    </row>
    <row r="6305" spans="5:5" ht="16.5">
      <c r="E6305" s="123"/>
    </row>
    <row r="6306" spans="5:5" ht="16.5">
      <c r="E6306" s="123"/>
    </row>
    <row r="6307" spans="5:5" ht="16.5">
      <c r="E6307" s="123"/>
    </row>
    <row r="6308" spans="5:5" ht="16.5">
      <c r="E6308" s="123"/>
    </row>
    <row r="6309" spans="5:5" ht="16.5">
      <c r="E6309" s="123"/>
    </row>
    <row r="6310" spans="5:5" ht="16.5">
      <c r="E6310" s="123"/>
    </row>
    <row r="6311" spans="5:5" ht="16.5">
      <c r="E6311" s="123"/>
    </row>
    <row r="6312" spans="5:5" ht="16.5">
      <c r="E6312" s="123"/>
    </row>
    <row r="6313" spans="5:5" ht="16.5">
      <c r="E6313" s="123"/>
    </row>
    <row r="6314" spans="5:5" ht="16.5">
      <c r="E6314" s="123"/>
    </row>
    <row r="6315" spans="5:5" ht="16.5">
      <c r="E6315" s="123"/>
    </row>
    <row r="6316" spans="5:5" ht="16.5">
      <c r="E6316" s="123"/>
    </row>
    <row r="6317" spans="5:5" ht="16.5">
      <c r="E6317" s="123"/>
    </row>
    <row r="6318" spans="5:5" ht="16.5">
      <c r="E6318" s="123"/>
    </row>
    <row r="6319" spans="5:5" ht="16.5">
      <c r="E6319" s="123"/>
    </row>
    <row r="6320" spans="5:5" ht="16.5">
      <c r="E6320" s="123"/>
    </row>
    <row r="6321" spans="5:5" ht="16.5">
      <c r="E6321" s="123"/>
    </row>
    <row r="6322" spans="5:5" ht="16.5">
      <c r="E6322" s="123"/>
    </row>
    <row r="6323" spans="5:5" ht="16.5">
      <c r="E6323" s="123"/>
    </row>
    <row r="6324" spans="5:5" ht="16.5">
      <c r="E6324" s="123"/>
    </row>
    <row r="6325" spans="5:5" ht="16.5">
      <c r="E6325" s="123"/>
    </row>
    <row r="6326" spans="5:5" ht="16.5">
      <c r="E6326" s="123"/>
    </row>
    <row r="6327" spans="5:5" ht="16.5">
      <c r="E6327" s="123"/>
    </row>
    <row r="6328" spans="5:5" ht="16.5">
      <c r="E6328" s="123"/>
    </row>
    <row r="6329" spans="5:5" ht="16.5">
      <c r="E6329" s="123"/>
    </row>
    <row r="6330" spans="5:5" ht="16.5">
      <c r="E6330" s="123"/>
    </row>
    <row r="6331" spans="5:5" ht="16.5">
      <c r="E6331" s="123"/>
    </row>
    <row r="6332" spans="5:5" ht="16.5">
      <c r="E6332" s="123"/>
    </row>
    <row r="6333" spans="5:5" ht="16.5">
      <c r="E6333" s="123"/>
    </row>
    <row r="6334" spans="5:5" ht="16.5">
      <c r="E6334" s="123"/>
    </row>
    <row r="6335" spans="5:5" ht="16.5">
      <c r="E6335" s="123"/>
    </row>
    <row r="6336" spans="5:5" ht="16.5">
      <c r="E6336" s="123"/>
    </row>
    <row r="6337" spans="5:5" ht="16.5">
      <c r="E6337" s="123"/>
    </row>
    <row r="6338" spans="5:5" ht="16.5">
      <c r="E6338" s="123"/>
    </row>
    <row r="6339" spans="5:5" ht="16.5">
      <c r="E6339" s="123"/>
    </row>
    <row r="6340" spans="5:5" ht="16.5">
      <c r="E6340" s="123"/>
    </row>
    <row r="6341" spans="5:5" ht="16.5">
      <c r="E6341" s="123"/>
    </row>
    <row r="6342" spans="5:5" ht="16.5">
      <c r="E6342" s="123"/>
    </row>
    <row r="6343" spans="5:5" ht="16.5">
      <c r="E6343" s="123"/>
    </row>
    <row r="6344" spans="5:5" ht="16.5">
      <c r="E6344" s="123"/>
    </row>
    <row r="6345" spans="5:5" ht="16.5">
      <c r="E6345" s="123"/>
    </row>
    <row r="6346" spans="5:5" ht="16.5">
      <c r="E6346" s="123"/>
    </row>
    <row r="6347" spans="5:5" ht="16.5">
      <c r="E6347" s="123"/>
    </row>
    <row r="6348" spans="5:5" ht="16.5">
      <c r="E6348" s="123"/>
    </row>
    <row r="6349" spans="5:5" ht="16.5">
      <c r="E6349" s="123"/>
    </row>
    <row r="6350" spans="5:5" ht="16.5">
      <c r="E6350" s="123"/>
    </row>
    <row r="6351" spans="5:5" ht="16.5">
      <c r="E6351" s="123"/>
    </row>
    <row r="6352" spans="5:5" ht="16.5">
      <c r="E6352" s="123"/>
    </row>
    <row r="6353" spans="5:5" ht="16.5">
      <c r="E6353" s="123"/>
    </row>
    <row r="6354" spans="5:5" ht="16.5">
      <c r="E6354" s="123"/>
    </row>
    <row r="6355" spans="5:5" ht="16.5">
      <c r="E6355" s="123"/>
    </row>
    <row r="6356" spans="5:5" ht="16.5">
      <c r="E6356" s="123"/>
    </row>
    <row r="6357" spans="5:5" ht="16.5">
      <c r="E6357" s="123"/>
    </row>
    <row r="6358" spans="5:5" ht="16.5">
      <c r="E6358" s="123"/>
    </row>
    <row r="6359" spans="5:5" ht="16.5">
      <c r="E6359" s="123"/>
    </row>
    <row r="6360" spans="5:5" ht="16.5">
      <c r="E6360" s="123"/>
    </row>
    <row r="6361" spans="5:5" ht="16.5">
      <c r="E6361" s="123"/>
    </row>
    <row r="6362" spans="5:5" ht="16.5">
      <c r="E6362" s="123"/>
    </row>
    <row r="6363" spans="5:5" ht="16.5">
      <c r="E6363" s="123"/>
    </row>
    <row r="6364" spans="5:5" ht="16.5">
      <c r="E6364" s="123"/>
    </row>
    <row r="6365" spans="5:5" ht="16.5">
      <c r="E6365" s="123"/>
    </row>
    <row r="6366" spans="5:5" ht="16.5">
      <c r="E6366" s="123"/>
    </row>
    <row r="6367" spans="5:5" ht="16.5">
      <c r="E6367" s="123"/>
    </row>
    <row r="6368" spans="5:5" ht="16.5">
      <c r="E6368" s="123"/>
    </row>
    <row r="6369" spans="5:5" ht="16.5">
      <c r="E6369" s="123"/>
    </row>
    <row r="6370" spans="5:5" ht="16.5">
      <c r="E6370" s="123"/>
    </row>
    <row r="6371" spans="5:5" ht="16.5">
      <c r="E6371" s="123"/>
    </row>
    <row r="6372" spans="5:5" ht="16.5">
      <c r="E6372" s="123"/>
    </row>
    <row r="6373" spans="5:5" ht="16.5">
      <c r="E6373" s="123"/>
    </row>
    <row r="6374" spans="5:5" ht="16.5">
      <c r="E6374" s="123"/>
    </row>
    <row r="6375" spans="5:5" ht="16.5">
      <c r="E6375" s="123"/>
    </row>
    <row r="6376" spans="5:5" ht="16.5">
      <c r="E6376" s="123"/>
    </row>
    <row r="6377" spans="5:5" ht="16.5">
      <c r="E6377" s="123"/>
    </row>
    <row r="6378" spans="5:5" ht="16.5">
      <c r="E6378" s="123"/>
    </row>
    <row r="6379" spans="5:5" ht="16.5">
      <c r="E6379" s="123"/>
    </row>
    <row r="6380" spans="5:5" ht="16.5">
      <c r="E6380" s="123"/>
    </row>
    <row r="6381" spans="5:5" ht="16.5">
      <c r="E6381" s="123"/>
    </row>
    <row r="6382" spans="5:5" ht="16.5">
      <c r="E6382" s="123"/>
    </row>
    <row r="6383" spans="5:5" ht="16.5">
      <c r="E6383" s="123"/>
    </row>
    <row r="6384" spans="5:5" ht="16.5">
      <c r="E6384" s="123"/>
    </row>
    <row r="6385" spans="5:5" ht="16.5">
      <c r="E6385" s="123"/>
    </row>
    <row r="6386" spans="5:5" ht="16.5">
      <c r="E6386" s="123"/>
    </row>
    <row r="6387" spans="5:5" ht="16.5">
      <c r="E6387" s="123"/>
    </row>
    <row r="6388" spans="5:5" ht="16.5">
      <c r="E6388" s="123"/>
    </row>
    <row r="6389" spans="5:5" ht="16.5">
      <c r="E6389" s="123"/>
    </row>
    <row r="6390" spans="5:5" ht="16.5">
      <c r="E6390" s="123"/>
    </row>
    <row r="6391" spans="5:5" ht="16.5">
      <c r="E6391" s="123"/>
    </row>
    <row r="6392" spans="5:5" ht="16.5">
      <c r="E6392" s="123"/>
    </row>
    <row r="6393" spans="5:5" ht="16.5">
      <c r="E6393" s="123"/>
    </row>
    <row r="6394" spans="5:5" ht="16.5">
      <c r="E6394" s="123"/>
    </row>
    <row r="6395" spans="5:5" ht="16.5">
      <c r="E6395" s="123"/>
    </row>
    <row r="6396" spans="5:5" ht="16.5">
      <c r="E6396" s="123"/>
    </row>
    <row r="6397" spans="5:5" ht="16.5">
      <c r="E6397" s="123"/>
    </row>
    <row r="6398" spans="5:5" ht="16.5">
      <c r="E6398" s="123"/>
    </row>
    <row r="6399" spans="5:5" ht="16.5">
      <c r="E6399" s="123"/>
    </row>
    <row r="6400" spans="5:5" ht="16.5">
      <c r="E6400" s="123"/>
    </row>
    <row r="6401" spans="5:5" ht="16.5">
      <c r="E6401" s="123"/>
    </row>
    <row r="6402" spans="5:5" ht="16.5">
      <c r="E6402" s="123"/>
    </row>
    <row r="6403" spans="5:5" ht="16.5">
      <c r="E6403" s="123"/>
    </row>
    <row r="6404" spans="5:5" ht="16.5">
      <c r="E6404" s="123"/>
    </row>
    <row r="6405" spans="5:5" ht="16.5">
      <c r="E6405" s="123"/>
    </row>
    <row r="6406" spans="5:5" ht="16.5">
      <c r="E6406" s="123"/>
    </row>
    <row r="6407" spans="5:5" ht="16.5">
      <c r="E6407" s="123"/>
    </row>
    <row r="6408" spans="5:5" ht="16.5">
      <c r="E6408" s="123"/>
    </row>
    <row r="6409" spans="5:5" ht="16.5">
      <c r="E6409" s="123"/>
    </row>
    <row r="6410" spans="5:5" ht="16.5">
      <c r="E6410" s="123"/>
    </row>
    <row r="6411" spans="5:5" ht="16.5">
      <c r="E6411" s="123"/>
    </row>
    <row r="6412" spans="5:5" ht="16.5">
      <c r="E6412" s="123"/>
    </row>
    <row r="6413" spans="5:5" ht="16.5">
      <c r="E6413" s="123"/>
    </row>
    <row r="6414" spans="5:5" ht="16.5">
      <c r="E6414" s="123"/>
    </row>
    <row r="6415" spans="5:5" ht="16.5">
      <c r="E6415" s="123"/>
    </row>
    <row r="6416" spans="5:5" ht="16.5">
      <c r="E6416" s="123"/>
    </row>
    <row r="6417" spans="5:5" ht="16.5">
      <c r="E6417" s="123"/>
    </row>
    <row r="6418" spans="5:5" ht="16.5">
      <c r="E6418" s="123"/>
    </row>
    <row r="6419" spans="5:5" ht="16.5">
      <c r="E6419" s="123"/>
    </row>
    <row r="6420" spans="5:5" ht="16.5">
      <c r="E6420" s="123"/>
    </row>
    <row r="6421" spans="5:5" ht="16.5">
      <c r="E6421" s="123"/>
    </row>
    <row r="6422" spans="5:5" ht="16.5">
      <c r="E6422" s="123"/>
    </row>
    <row r="6423" spans="5:5" ht="16.5">
      <c r="E6423" s="123"/>
    </row>
    <row r="6424" spans="5:5" ht="16.5">
      <c r="E6424" s="123"/>
    </row>
    <row r="6425" spans="5:5" ht="16.5">
      <c r="E6425" s="123"/>
    </row>
    <row r="6426" spans="5:5" ht="16.5">
      <c r="E6426" s="123"/>
    </row>
    <row r="6427" spans="5:5" ht="16.5">
      <c r="E6427" s="123"/>
    </row>
    <row r="6428" spans="5:5" ht="16.5">
      <c r="E6428" s="123"/>
    </row>
    <row r="6429" spans="5:5" ht="16.5">
      <c r="E6429" s="123"/>
    </row>
    <row r="6430" spans="5:5" ht="16.5">
      <c r="E6430" s="123"/>
    </row>
    <row r="6431" spans="5:5" ht="16.5">
      <c r="E6431" s="123"/>
    </row>
    <row r="6432" spans="5:5" ht="16.5">
      <c r="E6432" s="123"/>
    </row>
    <row r="6433" spans="5:5" ht="16.5">
      <c r="E6433" s="123"/>
    </row>
    <row r="6434" spans="5:5" ht="16.5">
      <c r="E6434" s="123"/>
    </row>
    <row r="6435" spans="5:5" ht="16.5">
      <c r="E6435" s="123"/>
    </row>
    <row r="6436" spans="5:5" ht="16.5">
      <c r="E6436" s="123"/>
    </row>
    <row r="6437" spans="5:5" ht="16.5">
      <c r="E6437" s="123"/>
    </row>
    <row r="6438" spans="5:5" ht="16.5">
      <c r="E6438" s="123"/>
    </row>
    <row r="6439" spans="5:5" ht="16.5">
      <c r="E6439" s="123"/>
    </row>
    <row r="6440" spans="5:5" ht="16.5">
      <c r="E6440" s="123"/>
    </row>
    <row r="6441" spans="5:5" ht="16.5">
      <c r="E6441" s="123"/>
    </row>
    <row r="6442" spans="5:5" ht="16.5">
      <c r="E6442" s="123"/>
    </row>
    <row r="6443" spans="5:5" ht="16.5">
      <c r="E6443" s="123"/>
    </row>
    <row r="6444" spans="5:5" ht="16.5">
      <c r="E6444" s="123"/>
    </row>
    <row r="6445" spans="5:5" ht="16.5">
      <c r="E6445" s="123"/>
    </row>
    <row r="6446" spans="5:5" ht="16.5">
      <c r="E6446" s="123"/>
    </row>
    <row r="6447" spans="5:5" ht="16.5">
      <c r="E6447" s="123"/>
    </row>
    <row r="6448" spans="5:5" ht="16.5">
      <c r="E6448" s="123"/>
    </row>
    <row r="6449" spans="5:5" ht="16.5">
      <c r="E6449" s="123"/>
    </row>
    <row r="6450" spans="5:5" ht="16.5">
      <c r="E6450" s="123"/>
    </row>
    <row r="6451" spans="5:5" ht="16.5">
      <c r="E6451" s="123"/>
    </row>
    <row r="6452" spans="5:5" ht="16.5">
      <c r="E6452" s="123"/>
    </row>
    <row r="6453" spans="5:5" ht="16.5">
      <c r="E6453" s="123"/>
    </row>
    <row r="6454" spans="5:5" ht="16.5">
      <c r="E6454" s="123"/>
    </row>
    <row r="6455" spans="5:5" ht="16.5">
      <c r="E6455" s="123"/>
    </row>
    <row r="6456" spans="5:5" ht="16.5">
      <c r="E6456" s="123"/>
    </row>
    <row r="6457" spans="5:5" ht="16.5">
      <c r="E6457" s="123"/>
    </row>
    <row r="6458" spans="5:5" ht="16.5">
      <c r="E6458" s="123"/>
    </row>
    <row r="6459" spans="5:5" ht="16.5">
      <c r="E6459" s="123"/>
    </row>
    <row r="6460" spans="5:5" ht="16.5">
      <c r="E6460" s="123"/>
    </row>
    <row r="6461" spans="5:5" ht="16.5">
      <c r="E6461" s="123"/>
    </row>
    <row r="6462" spans="5:5" ht="16.5">
      <c r="E6462" s="123"/>
    </row>
    <row r="6463" spans="5:5" ht="16.5">
      <c r="E6463" s="123"/>
    </row>
    <row r="6464" spans="5:5" ht="16.5">
      <c r="E6464" s="123"/>
    </row>
    <row r="6465" spans="5:5" ht="16.5">
      <c r="E6465" s="123"/>
    </row>
    <row r="6466" spans="5:5" ht="16.5">
      <c r="E6466" s="123"/>
    </row>
    <row r="6467" spans="5:5" ht="16.5">
      <c r="E6467" s="123"/>
    </row>
    <row r="6468" spans="5:5" ht="16.5">
      <c r="E6468" s="123"/>
    </row>
    <row r="6469" spans="5:5" ht="16.5">
      <c r="E6469" s="123"/>
    </row>
    <row r="6470" spans="5:5" ht="16.5">
      <c r="E6470" s="123"/>
    </row>
    <row r="6471" spans="5:5" ht="16.5">
      <c r="E6471" s="123"/>
    </row>
    <row r="6472" spans="5:5" ht="16.5">
      <c r="E6472" s="123"/>
    </row>
    <row r="6473" spans="5:5" ht="16.5">
      <c r="E6473" s="123"/>
    </row>
    <row r="6474" spans="5:5" ht="16.5">
      <c r="E6474" s="123"/>
    </row>
    <row r="6475" spans="5:5" ht="16.5">
      <c r="E6475" s="123"/>
    </row>
    <row r="6476" spans="5:5" ht="16.5">
      <c r="E6476" s="123"/>
    </row>
    <row r="6477" spans="5:5" ht="16.5">
      <c r="E6477" s="123"/>
    </row>
    <row r="6478" spans="5:5" ht="16.5">
      <c r="E6478" s="123"/>
    </row>
    <row r="6479" spans="5:5" ht="16.5">
      <c r="E6479" s="123"/>
    </row>
    <row r="6480" spans="5:5" ht="16.5">
      <c r="E6480" s="123"/>
    </row>
    <row r="6481" spans="5:5" ht="16.5">
      <c r="E6481" s="123"/>
    </row>
    <row r="6482" spans="5:5" ht="16.5">
      <c r="E6482" s="123"/>
    </row>
    <row r="6483" spans="5:5" ht="16.5">
      <c r="E6483" s="123"/>
    </row>
    <row r="6484" spans="5:5" ht="16.5">
      <c r="E6484" s="123"/>
    </row>
    <row r="6485" spans="5:5" ht="16.5">
      <c r="E6485" s="123"/>
    </row>
    <row r="6486" spans="5:5" ht="16.5">
      <c r="E6486" s="123"/>
    </row>
    <row r="6487" spans="5:5" ht="16.5">
      <c r="E6487" s="123"/>
    </row>
    <row r="6488" spans="5:5" ht="16.5">
      <c r="E6488" s="123"/>
    </row>
    <row r="6489" spans="5:5" ht="16.5">
      <c r="E6489" s="123"/>
    </row>
    <row r="6490" spans="5:5" ht="16.5">
      <c r="E6490" s="123"/>
    </row>
    <row r="6491" spans="5:5" ht="16.5">
      <c r="E6491" s="123"/>
    </row>
    <row r="6492" spans="5:5" ht="16.5">
      <c r="E6492" s="123"/>
    </row>
    <row r="6493" spans="5:5" ht="16.5">
      <c r="E6493" s="123"/>
    </row>
    <row r="6494" spans="5:5" ht="16.5">
      <c r="E6494" s="123"/>
    </row>
    <row r="6495" spans="5:5" ht="16.5">
      <c r="E6495" s="123"/>
    </row>
    <row r="6496" spans="5:5" ht="16.5">
      <c r="E6496" s="123"/>
    </row>
    <row r="6497" spans="5:5" ht="16.5">
      <c r="E6497" s="123"/>
    </row>
    <row r="6498" spans="5:5" ht="16.5">
      <c r="E6498" s="123"/>
    </row>
    <row r="6499" spans="5:5" ht="16.5">
      <c r="E6499" s="123"/>
    </row>
    <row r="6500" spans="5:5" ht="16.5">
      <c r="E6500" s="123"/>
    </row>
    <row r="6501" spans="5:5" ht="16.5">
      <c r="E6501" s="123"/>
    </row>
    <row r="6502" spans="5:5" ht="16.5">
      <c r="E6502" s="123"/>
    </row>
    <row r="6503" spans="5:5" ht="16.5">
      <c r="E6503" s="123"/>
    </row>
    <row r="6504" spans="5:5" ht="16.5">
      <c r="E6504" s="123"/>
    </row>
    <row r="6505" spans="5:5" ht="16.5">
      <c r="E6505" s="123"/>
    </row>
    <row r="6506" spans="5:5" ht="16.5">
      <c r="E6506" s="123"/>
    </row>
    <row r="6507" spans="5:5" ht="16.5">
      <c r="E6507" s="123"/>
    </row>
    <row r="6508" spans="5:5" ht="16.5">
      <c r="E6508" s="123"/>
    </row>
    <row r="6509" spans="5:5" ht="16.5">
      <c r="E6509" s="123"/>
    </row>
    <row r="6510" spans="5:5" ht="16.5">
      <c r="E6510" s="123"/>
    </row>
    <row r="6511" spans="5:5" ht="16.5">
      <c r="E6511" s="123"/>
    </row>
    <row r="6512" spans="5:5" ht="16.5">
      <c r="E6512" s="123"/>
    </row>
    <row r="6513" spans="5:5" ht="16.5">
      <c r="E6513" s="123"/>
    </row>
    <row r="6514" spans="5:5" ht="16.5">
      <c r="E6514" s="123"/>
    </row>
    <row r="6515" spans="5:5" ht="16.5">
      <c r="E6515" s="123"/>
    </row>
    <row r="6516" spans="5:5" ht="16.5">
      <c r="E6516" s="123"/>
    </row>
    <row r="6517" spans="5:5" ht="16.5">
      <c r="E6517" s="123"/>
    </row>
    <row r="6518" spans="5:5" ht="16.5">
      <c r="E6518" s="123"/>
    </row>
    <row r="6519" spans="5:5" ht="16.5">
      <c r="E6519" s="123"/>
    </row>
    <row r="6520" spans="5:5" ht="16.5">
      <c r="E6520" s="123"/>
    </row>
    <row r="6521" spans="5:5" ht="16.5">
      <c r="E6521" s="123"/>
    </row>
    <row r="6522" spans="5:5" ht="16.5">
      <c r="E6522" s="123"/>
    </row>
    <row r="6523" spans="5:5" ht="16.5">
      <c r="E6523" s="123"/>
    </row>
    <row r="6524" spans="5:5" ht="16.5">
      <c r="E6524" s="123"/>
    </row>
    <row r="6525" spans="5:5" ht="16.5">
      <c r="E6525" s="123"/>
    </row>
    <row r="6526" spans="5:5" ht="16.5">
      <c r="E6526" s="123"/>
    </row>
    <row r="6527" spans="5:5" ht="16.5">
      <c r="E6527" s="123"/>
    </row>
    <row r="6528" spans="5:5" ht="16.5">
      <c r="E6528" s="123"/>
    </row>
    <row r="6529" spans="5:5" ht="16.5">
      <c r="E6529" s="123"/>
    </row>
    <row r="6530" spans="5:5" ht="16.5">
      <c r="E6530" s="123"/>
    </row>
    <row r="6531" spans="5:5" ht="16.5">
      <c r="E6531" s="123"/>
    </row>
    <row r="6532" spans="5:5" ht="16.5">
      <c r="E6532" s="123"/>
    </row>
    <row r="6533" spans="5:5" ht="16.5">
      <c r="E6533" s="123"/>
    </row>
    <row r="6534" spans="5:5" ht="16.5">
      <c r="E6534" s="123"/>
    </row>
    <row r="6535" spans="5:5" ht="16.5">
      <c r="E6535" s="123"/>
    </row>
    <row r="6536" spans="5:5" ht="16.5">
      <c r="E6536" s="123"/>
    </row>
    <row r="6537" spans="5:5" ht="16.5">
      <c r="E6537" s="123"/>
    </row>
    <row r="6538" spans="5:5" ht="16.5">
      <c r="E6538" s="123"/>
    </row>
    <row r="6539" spans="5:5" ht="16.5">
      <c r="E6539" s="123"/>
    </row>
    <row r="6540" spans="5:5" ht="16.5">
      <c r="E6540" s="123"/>
    </row>
    <row r="6541" spans="5:5" ht="16.5">
      <c r="E6541" s="123"/>
    </row>
    <row r="6542" spans="5:5" ht="16.5">
      <c r="E6542" s="123"/>
    </row>
    <row r="6543" spans="5:5" ht="16.5">
      <c r="E6543" s="123"/>
    </row>
    <row r="6544" spans="5:5" ht="16.5">
      <c r="E6544" s="123"/>
    </row>
    <row r="6545" spans="5:5" ht="16.5">
      <c r="E6545" s="123"/>
    </row>
    <row r="6546" spans="5:5" ht="16.5">
      <c r="E6546" s="123"/>
    </row>
    <row r="6547" spans="5:5" ht="16.5">
      <c r="E6547" s="123"/>
    </row>
    <row r="6548" spans="5:5" ht="16.5">
      <c r="E6548" s="123"/>
    </row>
    <row r="6549" spans="5:5" ht="16.5">
      <c r="E6549" s="123"/>
    </row>
    <row r="6550" spans="5:5" ht="16.5">
      <c r="E6550" s="123"/>
    </row>
    <row r="6551" spans="5:5" ht="16.5">
      <c r="E6551" s="123"/>
    </row>
    <row r="6552" spans="5:5" ht="16.5">
      <c r="E6552" s="123"/>
    </row>
    <row r="6553" spans="5:5" ht="16.5">
      <c r="E6553" s="123"/>
    </row>
    <row r="6554" spans="5:5" ht="16.5">
      <c r="E6554" s="123"/>
    </row>
    <row r="6555" spans="5:5" ht="16.5">
      <c r="E6555" s="123"/>
    </row>
    <row r="6556" spans="5:5" ht="16.5">
      <c r="E6556" s="123"/>
    </row>
    <row r="6557" spans="5:5" ht="16.5">
      <c r="E6557" s="123"/>
    </row>
    <row r="6558" spans="5:5" ht="16.5">
      <c r="E6558" s="123"/>
    </row>
    <row r="6559" spans="5:5" ht="16.5">
      <c r="E6559" s="123"/>
    </row>
    <row r="6560" spans="5:5" ht="16.5">
      <c r="E6560" s="123"/>
    </row>
    <row r="6561" spans="5:5" ht="16.5">
      <c r="E6561" s="123"/>
    </row>
    <row r="6562" spans="5:5" ht="16.5">
      <c r="E6562" s="123"/>
    </row>
    <row r="6563" spans="5:5" ht="16.5">
      <c r="E6563" s="123"/>
    </row>
    <row r="6564" spans="5:5" ht="16.5">
      <c r="E6564" s="123"/>
    </row>
    <row r="6565" spans="5:5" ht="16.5">
      <c r="E6565" s="123"/>
    </row>
    <row r="6566" spans="5:5" ht="16.5">
      <c r="E6566" s="123"/>
    </row>
    <row r="6567" spans="5:5" ht="16.5">
      <c r="E6567" s="123"/>
    </row>
    <row r="6568" spans="5:5" ht="16.5">
      <c r="E6568" s="123"/>
    </row>
    <row r="6569" spans="5:5" ht="16.5">
      <c r="E6569" s="123"/>
    </row>
    <row r="6570" spans="5:5" ht="16.5">
      <c r="E6570" s="123"/>
    </row>
    <row r="6571" spans="5:5" ht="16.5">
      <c r="E6571" s="123"/>
    </row>
    <row r="6572" spans="5:5" ht="16.5">
      <c r="E6572" s="123"/>
    </row>
    <row r="6573" spans="5:5" ht="16.5">
      <c r="E6573" s="123"/>
    </row>
    <row r="6574" spans="5:5" ht="16.5">
      <c r="E6574" s="123"/>
    </row>
    <row r="6575" spans="5:5" ht="16.5">
      <c r="E6575" s="123"/>
    </row>
    <row r="6576" spans="5:5" ht="16.5">
      <c r="E6576" s="123"/>
    </row>
    <row r="6577" spans="5:5" ht="16.5">
      <c r="E6577" s="123"/>
    </row>
    <row r="6578" spans="5:5" ht="16.5">
      <c r="E6578" s="123"/>
    </row>
    <row r="6579" spans="5:5" ht="16.5">
      <c r="E6579" s="123"/>
    </row>
    <row r="6580" spans="5:5" ht="16.5">
      <c r="E6580" s="123"/>
    </row>
    <row r="6581" spans="5:5" ht="16.5">
      <c r="E6581" s="123"/>
    </row>
    <row r="6582" spans="5:5" ht="16.5">
      <c r="E6582" s="123"/>
    </row>
    <row r="6583" spans="5:5" ht="16.5">
      <c r="E6583" s="123"/>
    </row>
    <row r="6584" spans="5:5" ht="16.5">
      <c r="E6584" s="123"/>
    </row>
    <row r="6585" spans="5:5" ht="16.5">
      <c r="E6585" s="123"/>
    </row>
    <row r="6586" spans="5:5" ht="16.5">
      <c r="E6586" s="123"/>
    </row>
    <row r="6587" spans="5:5" ht="16.5">
      <c r="E6587" s="123"/>
    </row>
    <row r="6588" spans="5:5" ht="16.5">
      <c r="E6588" s="123"/>
    </row>
    <row r="6589" spans="5:5" ht="16.5">
      <c r="E6589" s="123"/>
    </row>
    <row r="6590" spans="5:5" ht="16.5">
      <c r="E6590" s="123"/>
    </row>
    <row r="6591" spans="5:5" ht="16.5">
      <c r="E6591" s="123"/>
    </row>
    <row r="6592" spans="5:5" ht="16.5">
      <c r="E6592" s="123"/>
    </row>
    <row r="6593" spans="5:5" ht="16.5">
      <c r="E6593" s="123"/>
    </row>
    <row r="6594" spans="5:5" ht="16.5">
      <c r="E6594" s="123"/>
    </row>
    <row r="6595" spans="5:5" ht="16.5">
      <c r="E6595" s="123"/>
    </row>
    <row r="6596" spans="5:5" ht="16.5">
      <c r="E6596" s="123"/>
    </row>
    <row r="6597" spans="5:5" ht="16.5">
      <c r="E6597" s="123"/>
    </row>
    <row r="6598" spans="5:5" ht="16.5">
      <c r="E6598" s="123"/>
    </row>
    <row r="6599" spans="5:5" ht="16.5">
      <c r="E6599" s="123"/>
    </row>
    <row r="6600" spans="5:5" ht="16.5">
      <c r="E6600" s="123"/>
    </row>
    <row r="6601" spans="5:5" ht="16.5">
      <c r="E6601" s="123"/>
    </row>
    <row r="6602" spans="5:5" ht="16.5">
      <c r="E6602" s="123"/>
    </row>
    <row r="6603" spans="5:5" ht="16.5">
      <c r="E6603" s="123"/>
    </row>
    <row r="6604" spans="5:5" ht="16.5">
      <c r="E6604" s="123"/>
    </row>
    <row r="6605" spans="5:5" ht="16.5">
      <c r="E6605" s="123"/>
    </row>
    <row r="6606" spans="5:5" ht="16.5">
      <c r="E6606" s="123"/>
    </row>
    <row r="6607" spans="5:5" ht="16.5">
      <c r="E6607" s="123"/>
    </row>
    <row r="6608" spans="5:5" ht="16.5">
      <c r="E6608" s="123"/>
    </row>
    <row r="6609" spans="5:5" ht="16.5">
      <c r="E6609" s="123"/>
    </row>
    <row r="6610" spans="5:5" ht="16.5">
      <c r="E6610" s="123"/>
    </row>
    <row r="6611" spans="5:5" ht="16.5">
      <c r="E6611" s="123"/>
    </row>
    <row r="6612" spans="5:5" ht="16.5">
      <c r="E6612" s="123"/>
    </row>
    <row r="6613" spans="5:5" ht="16.5">
      <c r="E6613" s="123"/>
    </row>
    <row r="6614" spans="5:5" ht="16.5">
      <c r="E6614" s="123"/>
    </row>
    <row r="6615" spans="5:5" ht="16.5">
      <c r="E6615" s="123"/>
    </row>
    <row r="6616" spans="5:5" ht="16.5">
      <c r="E6616" s="123"/>
    </row>
    <row r="6617" spans="5:5" ht="16.5">
      <c r="E6617" s="123"/>
    </row>
    <row r="6618" spans="5:5" ht="16.5">
      <c r="E6618" s="123"/>
    </row>
    <row r="6619" spans="5:5" ht="16.5">
      <c r="E6619" s="123"/>
    </row>
    <row r="6620" spans="5:5" ht="16.5">
      <c r="E6620" s="123"/>
    </row>
    <row r="6621" spans="5:5" ht="16.5">
      <c r="E6621" s="123"/>
    </row>
    <row r="6622" spans="5:5" ht="16.5">
      <c r="E6622" s="123"/>
    </row>
    <row r="6623" spans="5:5" ht="16.5">
      <c r="E6623" s="123"/>
    </row>
    <row r="6624" spans="5:5" ht="16.5">
      <c r="E6624" s="123"/>
    </row>
    <row r="6625" spans="5:5" ht="16.5">
      <c r="E6625" s="123"/>
    </row>
    <row r="6626" spans="5:5" ht="16.5">
      <c r="E6626" s="123"/>
    </row>
    <row r="6627" spans="5:5" ht="16.5">
      <c r="E6627" s="123"/>
    </row>
    <row r="6628" spans="5:5" ht="16.5">
      <c r="E6628" s="123"/>
    </row>
    <row r="6629" spans="5:5" ht="16.5">
      <c r="E6629" s="123"/>
    </row>
    <row r="6630" spans="5:5" ht="16.5">
      <c r="E6630" s="123"/>
    </row>
    <row r="6631" spans="5:5" ht="16.5">
      <c r="E6631" s="123"/>
    </row>
    <row r="6632" spans="5:5" ht="16.5">
      <c r="E6632" s="123"/>
    </row>
    <row r="6633" spans="5:5" ht="16.5">
      <c r="E6633" s="123"/>
    </row>
    <row r="6634" spans="5:5" ht="16.5">
      <c r="E6634" s="123"/>
    </row>
    <row r="6635" spans="5:5" ht="16.5">
      <c r="E6635" s="123"/>
    </row>
    <row r="6636" spans="5:5" ht="16.5">
      <c r="E6636" s="123"/>
    </row>
    <row r="6637" spans="5:5" ht="16.5">
      <c r="E6637" s="123"/>
    </row>
    <row r="6638" spans="5:5" ht="16.5">
      <c r="E6638" s="123"/>
    </row>
    <row r="6639" spans="5:5" ht="16.5">
      <c r="E6639" s="123"/>
    </row>
    <row r="6640" spans="5:5" ht="16.5">
      <c r="E6640" s="123"/>
    </row>
    <row r="6641" spans="5:5" ht="16.5">
      <c r="E6641" s="123"/>
    </row>
    <row r="6642" spans="5:5" ht="16.5">
      <c r="E6642" s="123"/>
    </row>
    <row r="6643" spans="5:5" ht="16.5">
      <c r="E6643" s="123"/>
    </row>
    <row r="6644" spans="5:5" ht="16.5">
      <c r="E6644" s="123"/>
    </row>
    <row r="6645" spans="5:5" ht="16.5">
      <c r="E6645" s="123"/>
    </row>
    <row r="6646" spans="5:5" ht="16.5">
      <c r="E6646" s="123"/>
    </row>
    <row r="6647" spans="5:5" ht="16.5">
      <c r="E6647" s="123"/>
    </row>
    <row r="6648" spans="5:5" ht="16.5">
      <c r="E6648" s="123"/>
    </row>
    <row r="6649" spans="5:5" ht="16.5">
      <c r="E6649" s="123"/>
    </row>
    <row r="6650" spans="5:5" ht="16.5">
      <c r="E6650" s="123"/>
    </row>
    <row r="6651" spans="5:5" ht="16.5">
      <c r="E6651" s="123"/>
    </row>
    <row r="6652" spans="5:5" ht="16.5">
      <c r="E6652" s="123"/>
    </row>
    <row r="6653" spans="5:5" ht="16.5">
      <c r="E6653" s="123"/>
    </row>
    <row r="6654" spans="5:5" ht="16.5">
      <c r="E6654" s="123"/>
    </row>
    <row r="6655" spans="5:5" ht="16.5">
      <c r="E6655" s="123"/>
    </row>
    <row r="6656" spans="5:5" ht="16.5">
      <c r="E6656" s="123"/>
    </row>
    <row r="6657" spans="5:5" ht="16.5">
      <c r="E6657" s="123"/>
    </row>
    <row r="6658" spans="5:5" ht="16.5">
      <c r="E6658" s="123"/>
    </row>
    <row r="6659" spans="5:5" ht="16.5">
      <c r="E6659" s="123"/>
    </row>
    <row r="6660" spans="5:5" ht="16.5">
      <c r="E6660" s="123"/>
    </row>
    <row r="6661" spans="5:5" ht="16.5">
      <c r="E6661" s="123"/>
    </row>
    <row r="6662" spans="5:5" ht="16.5">
      <c r="E6662" s="123"/>
    </row>
    <row r="6663" spans="5:5" ht="16.5">
      <c r="E6663" s="123"/>
    </row>
    <row r="6664" spans="5:5" ht="16.5">
      <c r="E6664" s="123"/>
    </row>
    <row r="6665" spans="5:5" ht="16.5">
      <c r="E6665" s="123"/>
    </row>
    <row r="6666" spans="5:5" ht="16.5">
      <c r="E6666" s="123"/>
    </row>
    <row r="6667" spans="5:5" ht="16.5">
      <c r="E6667" s="123"/>
    </row>
    <row r="6668" spans="5:5" ht="16.5">
      <c r="E6668" s="123"/>
    </row>
    <row r="6669" spans="5:5" ht="16.5">
      <c r="E6669" s="123"/>
    </row>
    <row r="6670" spans="5:5" ht="16.5">
      <c r="E6670" s="123"/>
    </row>
    <row r="6671" spans="5:5" ht="16.5">
      <c r="E6671" s="123"/>
    </row>
    <row r="6672" spans="5:5" ht="16.5">
      <c r="E6672" s="123"/>
    </row>
    <row r="6673" spans="5:5" ht="16.5">
      <c r="E6673" s="123"/>
    </row>
    <row r="6674" spans="5:5" ht="16.5">
      <c r="E6674" s="123"/>
    </row>
    <row r="6675" spans="5:5" ht="16.5">
      <c r="E6675" s="123"/>
    </row>
    <row r="6676" spans="5:5" ht="16.5">
      <c r="E6676" s="123"/>
    </row>
    <row r="6677" spans="5:5" ht="16.5">
      <c r="E6677" s="123"/>
    </row>
    <row r="6678" spans="5:5" ht="16.5">
      <c r="E6678" s="123"/>
    </row>
    <row r="6679" spans="5:5" ht="16.5">
      <c r="E6679" s="123"/>
    </row>
    <row r="6680" spans="5:5" ht="16.5">
      <c r="E6680" s="123"/>
    </row>
    <row r="6681" spans="5:5" ht="16.5">
      <c r="E6681" s="123"/>
    </row>
    <row r="6682" spans="5:5" ht="16.5">
      <c r="E6682" s="123"/>
    </row>
    <row r="6683" spans="5:5" ht="16.5">
      <c r="E6683" s="123"/>
    </row>
    <row r="6684" spans="5:5" ht="16.5">
      <c r="E6684" s="123"/>
    </row>
    <row r="6685" spans="5:5" ht="16.5">
      <c r="E6685" s="123"/>
    </row>
    <row r="6686" spans="5:5" ht="16.5">
      <c r="E6686" s="123"/>
    </row>
    <row r="6687" spans="5:5" ht="16.5">
      <c r="E6687" s="123"/>
    </row>
    <row r="6688" spans="5:5" ht="16.5">
      <c r="E6688" s="123"/>
    </row>
    <row r="6689" spans="5:5" ht="16.5">
      <c r="E6689" s="123"/>
    </row>
    <row r="6690" spans="5:5" ht="16.5">
      <c r="E6690" s="123"/>
    </row>
    <row r="6691" spans="5:5" ht="16.5">
      <c r="E6691" s="123"/>
    </row>
    <row r="6692" spans="5:5" ht="16.5">
      <c r="E6692" s="123"/>
    </row>
    <row r="6693" spans="5:5" ht="16.5">
      <c r="E6693" s="123"/>
    </row>
    <row r="6694" spans="5:5" ht="16.5">
      <c r="E6694" s="123"/>
    </row>
    <row r="6695" spans="5:5" ht="16.5">
      <c r="E6695" s="123"/>
    </row>
    <row r="6696" spans="5:5" ht="16.5">
      <c r="E6696" s="123"/>
    </row>
    <row r="6697" spans="5:5" ht="16.5">
      <c r="E6697" s="123"/>
    </row>
    <row r="6698" spans="5:5" ht="16.5">
      <c r="E6698" s="123"/>
    </row>
    <row r="6699" spans="5:5" ht="16.5">
      <c r="E6699" s="123"/>
    </row>
    <row r="6700" spans="5:5" ht="16.5">
      <c r="E6700" s="123"/>
    </row>
    <row r="6701" spans="5:5" ht="16.5">
      <c r="E6701" s="123"/>
    </row>
    <row r="6702" spans="5:5" ht="16.5">
      <c r="E6702" s="123"/>
    </row>
    <row r="6703" spans="5:5" ht="16.5">
      <c r="E6703" s="123"/>
    </row>
    <row r="6704" spans="5:5" ht="16.5">
      <c r="E6704" s="123"/>
    </row>
    <row r="6705" spans="5:5" ht="16.5">
      <c r="E6705" s="123"/>
    </row>
    <row r="6706" spans="5:5" ht="16.5">
      <c r="E6706" s="123"/>
    </row>
    <row r="6707" spans="5:5" ht="16.5">
      <c r="E6707" s="123"/>
    </row>
    <row r="6708" spans="5:5" ht="16.5">
      <c r="E6708" s="123"/>
    </row>
    <row r="6709" spans="5:5" ht="16.5">
      <c r="E6709" s="123"/>
    </row>
    <row r="6710" spans="5:5" ht="16.5">
      <c r="E6710" s="123"/>
    </row>
    <row r="6711" spans="5:5" ht="16.5">
      <c r="E6711" s="123"/>
    </row>
    <row r="6712" spans="5:5" ht="16.5">
      <c r="E6712" s="123"/>
    </row>
    <row r="6713" spans="5:5" ht="16.5">
      <c r="E6713" s="123"/>
    </row>
    <row r="6714" spans="5:5" ht="16.5">
      <c r="E6714" s="123"/>
    </row>
    <row r="6715" spans="5:5" ht="16.5">
      <c r="E6715" s="123"/>
    </row>
    <row r="6716" spans="5:5" ht="16.5">
      <c r="E6716" s="123"/>
    </row>
    <row r="6717" spans="5:5" ht="16.5">
      <c r="E6717" s="123"/>
    </row>
    <row r="6718" spans="5:5" ht="16.5">
      <c r="E6718" s="123"/>
    </row>
    <row r="6719" spans="5:5" ht="16.5">
      <c r="E6719" s="123"/>
    </row>
    <row r="6720" spans="5:5" ht="16.5">
      <c r="E6720" s="123"/>
    </row>
    <row r="6721" spans="5:5" ht="16.5">
      <c r="E6721" s="123"/>
    </row>
    <row r="6722" spans="5:5" ht="16.5">
      <c r="E6722" s="123"/>
    </row>
    <row r="6723" spans="5:5" ht="16.5">
      <c r="E6723" s="123"/>
    </row>
    <row r="6724" spans="5:5" ht="16.5">
      <c r="E6724" s="123"/>
    </row>
    <row r="6725" spans="5:5" ht="16.5">
      <c r="E6725" s="123"/>
    </row>
    <row r="6726" spans="5:5" ht="16.5">
      <c r="E6726" s="123"/>
    </row>
    <row r="6727" spans="5:5" ht="16.5">
      <c r="E6727" s="123"/>
    </row>
    <row r="6728" spans="5:5" ht="16.5">
      <c r="E6728" s="123"/>
    </row>
    <row r="6729" spans="5:5" ht="16.5">
      <c r="E6729" s="123"/>
    </row>
    <row r="6730" spans="5:5" ht="16.5">
      <c r="E6730" s="123"/>
    </row>
    <row r="6731" spans="5:5" ht="16.5">
      <c r="E6731" s="123"/>
    </row>
    <row r="6732" spans="5:5" ht="16.5">
      <c r="E6732" s="123"/>
    </row>
    <row r="6733" spans="5:5" ht="16.5">
      <c r="E6733" s="123"/>
    </row>
    <row r="6734" spans="5:5" ht="16.5">
      <c r="E6734" s="123"/>
    </row>
    <row r="6735" spans="5:5" ht="16.5">
      <c r="E6735" s="123"/>
    </row>
    <row r="6736" spans="5:5" ht="16.5">
      <c r="E6736" s="123"/>
    </row>
    <row r="6737" spans="5:5" ht="16.5">
      <c r="E6737" s="123"/>
    </row>
    <row r="6738" spans="5:5" ht="16.5">
      <c r="E6738" s="123"/>
    </row>
    <row r="6739" spans="5:5" ht="16.5">
      <c r="E6739" s="123"/>
    </row>
    <row r="6740" spans="5:5" ht="16.5">
      <c r="E6740" s="123"/>
    </row>
    <row r="6741" spans="5:5" ht="16.5">
      <c r="E6741" s="123"/>
    </row>
    <row r="6742" spans="5:5" ht="16.5">
      <c r="E6742" s="123"/>
    </row>
    <row r="6743" spans="5:5" ht="16.5">
      <c r="E6743" s="123"/>
    </row>
    <row r="6744" spans="5:5" ht="16.5">
      <c r="E6744" s="123"/>
    </row>
    <row r="6745" spans="5:5" ht="16.5">
      <c r="E6745" s="123"/>
    </row>
    <row r="6746" spans="5:5" ht="16.5">
      <c r="E6746" s="123"/>
    </row>
    <row r="6747" spans="5:5" ht="16.5">
      <c r="E6747" s="123"/>
    </row>
    <row r="6748" spans="5:5" ht="16.5">
      <c r="E6748" s="123"/>
    </row>
    <row r="6749" spans="5:5" ht="16.5">
      <c r="E6749" s="123"/>
    </row>
    <row r="6750" spans="5:5" ht="16.5">
      <c r="E6750" s="123"/>
    </row>
    <row r="6751" spans="5:5" ht="16.5">
      <c r="E6751" s="123"/>
    </row>
    <row r="6752" spans="5:5" ht="16.5">
      <c r="E6752" s="123"/>
    </row>
    <row r="6753" spans="5:5" ht="16.5">
      <c r="E6753" s="123"/>
    </row>
    <row r="6754" spans="5:5" ht="16.5">
      <c r="E6754" s="123"/>
    </row>
    <row r="6755" spans="5:5" ht="16.5">
      <c r="E6755" s="123"/>
    </row>
    <row r="6756" spans="5:5" ht="16.5">
      <c r="E6756" s="123"/>
    </row>
    <row r="6757" spans="5:5" ht="16.5">
      <c r="E6757" s="123"/>
    </row>
    <row r="6758" spans="5:5" ht="16.5">
      <c r="E6758" s="123"/>
    </row>
    <row r="6759" spans="5:5" ht="16.5">
      <c r="E6759" s="123"/>
    </row>
    <row r="6760" spans="5:5" ht="16.5">
      <c r="E6760" s="123"/>
    </row>
    <row r="6761" spans="5:5" ht="16.5">
      <c r="E6761" s="123"/>
    </row>
    <row r="6762" spans="5:5" ht="16.5">
      <c r="E6762" s="123"/>
    </row>
    <row r="6763" spans="5:5" ht="16.5">
      <c r="E6763" s="123"/>
    </row>
    <row r="6764" spans="5:5" ht="16.5">
      <c r="E6764" s="123"/>
    </row>
    <row r="6765" spans="5:5" ht="16.5">
      <c r="E6765" s="123"/>
    </row>
    <row r="6766" spans="5:5" ht="16.5">
      <c r="E6766" s="123"/>
    </row>
    <row r="6767" spans="5:5" ht="16.5">
      <c r="E6767" s="123"/>
    </row>
    <row r="6768" spans="5:5" ht="16.5">
      <c r="E6768" s="123"/>
    </row>
    <row r="6769" spans="5:5" ht="16.5">
      <c r="E6769" s="123"/>
    </row>
    <row r="6770" spans="5:5" ht="16.5">
      <c r="E6770" s="123"/>
    </row>
    <row r="6771" spans="5:5" ht="16.5">
      <c r="E6771" s="123"/>
    </row>
    <row r="6772" spans="5:5" ht="16.5">
      <c r="E6772" s="123"/>
    </row>
    <row r="6773" spans="5:5" ht="16.5">
      <c r="E6773" s="123"/>
    </row>
    <row r="6774" spans="5:5" ht="16.5">
      <c r="E6774" s="123"/>
    </row>
    <row r="6775" spans="5:5" ht="16.5">
      <c r="E6775" s="123"/>
    </row>
    <row r="6776" spans="5:5" ht="16.5">
      <c r="E6776" s="123"/>
    </row>
    <row r="6777" spans="5:5" ht="16.5">
      <c r="E6777" s="123"/>
    </row>
    <row r="6778" spans="5:5" ht="16.5">
      <c r="E6778" s="123"/>
    </row>
    <row r="6779" spans="5:5" ht="16.5">
      <c r="E6779" s="123"/>
    </row>
    <row r="6780" spans="5:5" ht="16.5">
      <c r="E6780" s="123"/>
    </row>
    <row r="6781" spans="5:5" ht="16.5">
      <c r="E6781" s="123"/>
    </row>
    <row r="6782" spans="5:5" ht="16.5">
      <c r="E6782" s="123"/>
    </row>
    <row r="6783" spans="5:5" ht="16.5">
      <c r="E6783" s="123"/>
    </row>
    <row r="6784" spans="5:5" ht="16.5">
      <c r="E6784" s="123"/>
    </row>
    <row r="6785" spans="5:5" ht="16.5">
      <c r="E6785" s="123"/>
    </row>
    <row r="6786" spans="5:5" ht="16.5">
      <c r="E6786" s="123"/>
    </row>
    <row r="6787" spans="5:5" ht="16.5">
      <c r="E6787" s="123"/>
    </row>
    <row r="6788" spans="5:5" ht="16.5">
      <c r="E6788" s="123"/>
    </row>
    <row r="6789" spans="5:5" ht="16.5">
      <c r="E6789" s="123"/>
    </row>
    <row r="6790" spans="5:5" ht="16.5">
      <c r="E6790" s="123"/>
    </row>
    <row r="6791" spans="5:5" ht="16.5">
      <c r="E6791" s="123"/>
    </row>
    <row r="6792" spans="5:5" ht="16.5">
      <c r="E6792" s="123"/>
    </row>
    <row r="6793" spans="5:5" ht="16.5">
      <c r="E6793" s="123"/>
    </row>
    <row r="6794" spans="5:5" ht="16.5">
      <c r="E6794" s="123"/>
    </row>
    <row r="6795" spans="5:5" ht="16.5">
      <c r="E6795" s="123"/>
    </row>
    <row r="6796" spans="5:5" ht="16.5">
      <c r="E6796" s="123"/>
    </row>
    <row r="6797" spans="5:5" ht="16.5">
      <c r="E6797" s="123"/>
    </row>
    <row r="6798" spans="5:5" ht="16.5">
      <c r="E6798" s="123"/>
    </row>
    <row r="6799" spans="5:5" ht="16.5">
      <c r="E6799" s="123"/>
    </row>
    <row r="6800" spans="5:5" ht="16.5">
      <c r="E6800" s="123"/>
    </row>
    <row r="6801" spans="5:5" ht="16.5">
      <c r="E6801" s="123"/>
    </row>
    <row r="6802" spans="5:5" ht="16.5">
      <c r="E6802" s="123"/>
    </row>
    <row r="6803" spans="5:5" ht="16.5">
      <c r="E6803" s="123"/>
    </row>
    <row r="6804" spans="5:5" ht="16.5">
      <c r="E6804" s="123"/>
    </row>
    <row r="6805" spans="5:5" ht="16.5">
      <c r="E6805" s="123"/>
    </row>
    <row r="6806" spans="5:5" ht="16.5">
      <c r="E6806" s="123"/>
    </row>
    <row r="6807" spans="5:5" ht="16.5">
      <c r="E6807" s="123"/>
    </row>
    <row r="6808" spans="5:5" ht="16.5">
      <c r="E6808" s="123"/>
    </row>
    <row r="6809" spans="5:5" ht="16.5">
      <c r="E6809" s="123"/>
    </row>
    <row r="6810" spans="5:5" ht="16.5">
      <c r="E6810" s="123"/>
    </row>
    <row r="6811" spans="5:5" ht="16.5">
      <c r="E6811" s="123"/>
    </row>
    <row r="6812" spans="5:5" ht="16.5">
      <c r="E6812" s="123"/>
    </row>
    <row r="6813" spans="5:5" ht="16.5">
      <c r="E6813" s="123"/>
    </row>
    <row r="6814" spans="5:5" ht="16.5">
      <c r="E6814" s="123"/>
    </row>
    <row r="6815" spans="5:5" ht="16.5">
      <c r="E6815" s="123"/>
    </row>
    <row r="6816" spans="5:5" ht="16.5">
      <c r="E6816" s="123"/>
    </row>
    <row r="6817" spans="5:5" ht="16.5">
      <c r="E6817" s="123"/>
    </row>
    <row r="6818" spans="5:5" ht="16.5">
      <c r="E6818" s="123"/>
    </row>
    <row r="6819" spans="5:5" ht="16.5">
      <c r="E6819" s="123"/>
    </row>
    <row r="6820" spans="5:5" ht="16.5">
      <c r="E6820" s="123"/>
    </row>
    <row r="6821" spans="5:5" ht="16.5">
      <c r="E6821" s="123"/>
    </row>
    <row r="6822" spans="5:5" ht="16.5">
      <c r="E6822" s="123"/>
    </row>
    <row r="6823" spans="5:5" ht="16.5">
      <c r="E6823" s="123"/>
    </row>
    <row r="6824" spans="5:5" ht="16.5">
      <c r="E6824" s="123"/>
    </row>
    <row r="6825" spans="5:5" ht="16.5">
      <c r="E6825" s="123"/>
    </row>
    <row r="6826" spans="5:5" ht="16.5">
      <c r="E6826" s="123"/>
    </row>
    <row r="6827" spans="5:5" ht="16.5">
      <c r="E6827" s="123"/>
    </row>
    <row r="6828" spans="5:5" ht="16.5">
      <c r="E6828" s="123"/>
    </row>
    <row r="6829" spans="5:5" ht="16.5">
      <c r="E6829" s="123"/>
    </row>
    <row r="6830" spans="5:5" ht="16.5">
      <c r="E6830" s="123"/>
    </row>
    <row r="6831" spans="5:5" ht="16.5">
      <c r="E6831" s="123"/>
    </row>
    <row r="6832" spans="5:5" ht="16.5">
      <c r="E6832" s="123"/>
    </row>
    <row r="6833" spans="5:5" ht="16.5">
      <c r="E6833" s="123"/>
    </row>
    <row r="6834" spans="5:5" ht="16.5">
      <c r="E6834" s="123"/>
    </row>
    <row r="6835" spans="5:5" ht="16.5">
      <c r="E6835" s="123"/>
    </row>
    <row r="6836" spans="5:5" ht="16.5">
      <c r="E6836" s="123"/>
    </row>
    <row r="6837" spans="5:5" ht="16.5">
      <c r="E6837" s="123"/>
    </row>
    <row r="6838" spans="5:5" ht="16.5">
      <c r="E6838" s="123"/>
    </row>
    <row r="6839" spans="5:5" ht="16.5">
      <c r="E6839" s="123"/>
    </row>
    <row r="6840" spans="5:5" ht="16.5">
      <c r="E6840" s="123"/>
    </row>
    <row r="6841" spans="5:5" ht="16.5">
      <c r="E6841" s="123"/>
    </row>
    <row r="6842" spans="5:5" ht="16.5">
      <c r="E6842" s="123"/>
    </row>
    <row r="6843" spans="5:5" ht="16.5">
      <c r="E6843" s="123"/>
    </row>
    <row r="6844" spans="5:5" ht="16.5">
      <c r="E6844" s="123"/>
    </row>
    <row r="6845" spans="5:5" ht="16.5">
      <c r="E6845" s="123"/>
    </row>
    <row r="6846" spans="5:5" ht="16.5">
      <c r="E6846" s="123"/>
    </row>
    <row r="6847" spans="5:5" ht="16.5">
      <c r="E6847" s="123"/>
    </row>
    <row r="6848" spans="5:5" ht="16.5">
      <c r="E6848" s="123"/>
    </row>
    <row r="6849" spans="5:5" ht="16.5">
      <c r="E6849" s="123"/>
    </row>
    <row r="6850" spans="5:5" ht="16.5">
      <c r="E6850" s="123"/>
    </row>
    <row r="6851" spans="5:5" ht="16.5">
      <c r="E6851" s="123"/>
    </row>
    <row r="6852" spans="5:5" ht="16.5">
      <c r="E6852" s="123"/>
    </row>
    <row r="6853" spans="5:5" ht="16.5">
      <c r="E6853" s="123"/>
    </row>
    <row r="6854" spans="5:5" ht="16.5">
      <c r="E6854" s="123"/>
    </row>
    <row r="6855" spans="5:5" ht="16.5">
      <c r="E6855" s="123"/>
    </row>
    <row r="6856" spans="5:5" ht="16.5">
      <c r="E6856" s="123"/>
    </row>
    <row r="6857" spans="5:5" ht="16.5">
      <c r="E6857" s="123"/>
    </row>
    <row r="6858" spans="5:5" ht="16.5">
      <c r="E6858" s="123"/>
    </row>
    <row r="6859" spans="5:5" ht="16.5">
      <c r="E6859" s="123"/>
    </row>
    <row r="6860" spans="5:5" ht="16.5">
      <c r="E6860" s="123"/>
    </row>
    <row r="6861" spans="5:5" ht="16.5">
      <c r="E6861" s="123"/>
    </row>
    <row r="6862" spans="5:5" ht="16.5">
      <c r="E6862" s="123"/>
    </row>
    <row r="6863" spans="5:5" ht="16.5">
      <c r="E6863" s="123"/>
    </row>
    <row r="6864" spans="5:5" ht="16.5">
      <c r="E6864" s="123"/>
    </row>
    <row r="6865" spans="5:5" ht="16.5">
      <c r="E6865" s="123"/>
    </row>
    <row r="6866" spans="5:5" ht="16.5">
      <c r="E6866" s="123"/>
    </row>
    <row r="6867" spans="5:5" ht="16.5">
      <c r="E6867" s="123"/>
    </row>
    <row r="6868" spans="5:5" ht="16.5">
      <c r="E6868" s="123"/>
    </row>
    <row r="6869" spans="5:5" ht="16.5">
      <c r="E6869" s="123"/>
    </row>
    <row r="6870" spans="5:5" ht="16.5">
      <c r="E6870" s="123"/>
    </row>
    <row r="6871" spans="5:5" ht="16.5">
      <c r="E6871" s="123"/>
    </row>
    <row r="6872" spans="5:5" ht="16.5">
      <c r="E6872" s="123"/>
    </row>
    <row r="6873" spans="5:5" ht="16.5">
      <c r="E6873" s="123"/>
    </row>
    <row r="6874" spans="5:5" ht="16.5">
      <c r="E6874" s="123"/>
    </row>
    <row r="6875" spans="5:5" ht="16.5">
      <c r="E6875" s="123"/>
    </row>
    <row r="6876" spans="5:5" ht="16.5">
      <c r="E6876" s="123"/>
    </row>
    <row r="6877" spans="5:5" ht="16.5">
      <c r="E6877" s="123"/>
    </row>
    <row r="6878" spans="5:5" ht="16.5">
      <c r="E6878" s="123"/>
    </row>
    <row r="6879" spans="5:5" ht="16.5">
      <c r="E6879" s="123"/>
    </row>
    <row r="6880" spans="5:5" ht="16.5">
      <c r="E6880" s="123"/>
    </row>
    <row r="6881" spans="5:5" ht="16.5">
      <c r="E6881" s="123"/>
    </row>
    <row r="6882" spans="5:5" ht="16.5">
      <c r="E6882" s="123"/>
    </row>
    <row r="6883" spans="5:5" ht="16.5">
      <c r="E6883" s="123"/>
    </row>
    <row r="6884" spans="5:5" ht="16.5">
      <c r="E6884" s="123"/>
    </row>
    <row r="6885" spans="5:5" ht="16.5">
      <c r="E6885" s="123"/>
    </row>
    <row r="6886" spans="5:5" ht="16.5">
      <c r="E6886" s="123"/>
    </row>
    <row r="6887" spans="5:5" ht="16.5">
      <c r="E6887" s="123"/>
    </row>
    <row r="6888" spans="5:5" ht="16.5">
      <c r="E6888" s="123"/>
    </row>
    <row r="6889" spans="5:5" ht="16.5">
      <c r="E6889" s="123"/>
    </row>
    <row r="6890" spans="5:5" ht="16.5">
      <c r="E6890" s="123"/>
    </row>
    <row r="6891" spans="5:5" ht="16.5">
      <c r="E6891" s="123"/>
    </row>
    <row r="6892" spans="5:5" ht="16.5">
      <c r="E6892" s="123"/>
    </row>
    <row r="6893" spans="5:5" ht="16.5">
      <c r="E6893" s="123"/>
    </row>
    <row r="6894" spans="5:5" ht="16.5">
      <c r="E6894" s="123"/>
    </row>
    <row r="6895" spans="5:5" ht="16.5">
      <c r="E6895" s="123"/>
    </row>
    <row r="6896" spans="5:5" ht="16.5">
      <c r="E6896" s="123"/>
    </row>
    <row r="6897" spans="5:5" ht="16.5">
      <c r="E6897" s="123"/>
    </row>
    <row r="6898" spans="5:5" ht="16.5">
      <c r="E6898" s="123"/>
    </row>
    <row r="6899" spans="5:5" ht="16.5">
      <c r="E6899" s="123"/>
    </row>
    <row r="6900" spans="5:5" ht="16.5">
      <c r="E6900" s="123"/>
    </row>
    <row r="6901" spans="5:5" ht="16.5">
      <c r="E6901" s="123"/>
    </row>
    <row r="6902" spans="5:5" ht="16.5">
      <c r="E6902" s="123"/>
    </row>
    <row r="6903" spans="5:5" ht="16.5">
      <c r="E6903" s="123"/>
    </row>
    <row r="6904" spans="5:5" ht="16.5">
      <c r="E6904" s="123"/>
    </row>
    <row r="6905" spans="5:5" ht="16.5">
      <c r="E6905" s="123"/>
    </row>
    <row r="6906" spans="5:5" ht="16.5">
      <c r="E6906" s="123"/>
    </row>
    <row r="6907" spans="5:5" ht="16.5">
      <c r="E6907" s="123"/>
    </row>
    <row r="6908" spans="5:5" ht="16.5">
      <c r="E6908" s="123"/>
    </row>
    <row r="6909" spans="5:5" ht="16.5">
      <c r="E6909" s="123"/>
    </row>
    <row r="6910" spans="5:5" ht="16.5">
      <c r="E6910" s="123"/>
    </row>
    <row r="6911" spans="5:5" ht="16.5">
      <c r="E6911" s="123"/>
    </row>
    <row r="6912" spans="5:5" ht="16.5">
      <c r="E6912" s="123"/>
    </row>
    <row r="6913" spans="5:5" ht="16.5">
      <c r="E6913" s="123"/>
    </row>
    <row r="6914" spans="5:5" ht="16.5">
      <c r="E6914" s="123"/>
    </row>
    <row r="6915" spans="5:5" ht="16.5">
      <c r="E6915" s="123"/>
    </row>
    <row r="6916" spans="5:5" ht="16.5">
      <c r="E6916" s="123"/>
    </row>
    <row r="6917" spans="5:5" ht="16.5">
      <c r="E6917" s="123"/>
    </row>
    <row r="6918" spans="5:5" ht="16.5">
      <c r="E6918" s="123"/>
    </row>
    <row r="6919" spans="5:5" ht="16.5">
      <c r="E6919" s="123"/>
    </row>
    <row r="6920" spans="5:5" ht="16.5">
      <c r="E6920" s="123"/>
    </row>
    <row r="6921" spans="5:5" ht="16.5">
      <c r="E6921" s="123"/>
    </row>
    <row r="6922" spans="5:5" ht="16.5">
      <c r="E6922" s="123"/>
    </row>
    <row r="6923" spans="5:5" ht="16.5">
      <c r="E6923" s="123"/>
    </row>
    <row r="6924" spans="5:5" ht="16.5">
      <c r="E6924" s="123"/>
    </row>
    <row r="6925" spans="5:5" ht="16.5">
      <c r="E6925" s="123"/>
    </row>
    <row r="6926" spans="5:5" ht="16.5">
      <c r="E6926" s="123"/>
    </row>
    <row r="6927" spans="5:5" ht="16.5">
      <c r="E6927" s="123"/>
    </row>
    <row r="6928" spans="5:5" ht="16.5">
      <c r="E6928" s="123"/>
    </row>
    <row r="6929" spans="5:5" ht="16.5">
      <c r="E6929" s="123"/>
    </row>
    <row r="6930" spans="5:5" ht="16.5">
      <c r="E6930" s="123"/>
    </row>
    <row r="6931" spans="5:5" ht="16.5">
      <c r="E6931" s="123"/>
    </row>
    <row r="6932" spans="5:5" ht="16.5">
      <c r="E6932" s="123"/>
    </row>
    <row r="6933" spans="5:5" ht="16.5">
      <c r="E6933" s="123"/>
    </row>
    <row r="6934" spans="5:5" ht="16.5">
      <c r="E6934" s="123"/>
    </row>
    <row r="6935" spans="5:5" ht="16.5">
      <c r="E6935" s="123"/>
    </row>
    <row r="6936" spans="5:5" ht="16.5">
      <c r="E6936" s="123"/>
    </row>
    <row r="6937" spans="5:5" ht="16.5">
      <c r="E6937" s="123"/>
    </row>
    <row r="6938" spans="5:5" ht="16.5">
      <c r="E6938" s="123"/>
    </row>
    <row r="6939" spans="5:5" ht="16.5">
      <c r="E6939" s="123"/>
    </row>
    <row r="6940" spans="5:5" ht="16.5">
      <c r="E6940" s="123"/>
    </row>
    <row r="6941" spans="5:5" ht="16.5">
      <c r="E6941" s="123"/>
    </row>
    <row r="6942" spans="5:5" ht="16.5">
      <c r="E6942" s="123"/>
    </row>
    <row r="6943" spans="5:5" ht="16.5">
      <c r="E6943" s="123"/>
    </row>
    <row r="6944" spans="5:5" ht="16.5">
      <c r="E6944" s="123"/>
    </row>
    <row r="6945" spans="5:5" ht="16.5">
      <c r="E6945" s="123"/>
    </row>
    <row r="6946" spans="5:5" ht="16.5">
      <c r="E6946" s="123"/>
    </row>
    <row r="6947" spans="5:5" ht="16.5">
      <c r="E6947" s="123"/>
    </row>
    <row r="6948" spans="5:5" ht="16.5">
      <c r="E6948" s="123"/>
    </row>
    <row r="6949" spans="5:5" ht="16.5">
      <c r="E6949" s="123"/>
    </row>
    <row r="6950" spans="5:5" ht="16.5">
      <c r="E6950" s="123"/>
    </row>
    <row r="6951" spans="5:5" ht="16.5">
      <c r="E6951" s="123"/>
    </row>
    <row r="6952" spans="5:5" ht="16.5">
      <c r="E6952" s="123"/>
    </row>
    <row r="6953" spans="5:5" ht="16.5">
      <c r="E6953" s="123"/>
    </row>
    <row r="6954" spans="5:5" ht="16.5">
      <c r="E6954" s="123"/>
    </row>
    <row r="6955" spans="5:5" ht="16.5">
      <c r="E6955" s="123"/>
    </row>
    <row r="6956" spans="5:5" ht="16.5">
      <c r="E6956" s="123"/>
    </row>
    <row r="6957" spans="5:5" ht="16.5">
      <c r="E6957" s="123"/>
    </row>
    <row r="6958" spans="5:5" ht="16.5">
      <c r="E6958" s="123"/>
    </row>
    <row r="6959" spans="5:5" ht="16.5">
      <c r="E6959" s="123"/>
    </row>
    <row r="6960" spans="5:5" ht="16.5">
      <c r="E6960" s="123"/>
    </row>
    <row r="6961" spans="5:5" ht="16.5">
      <c r="E6961" s="123"/>
    </row>
    <row r="6962" spans="5:5" ht="16.5">
      <c r="E6962" s="123"/>
    </row>
    <row r="6963" spans="5:5" ht="16.5">
      <c r="E6963" s="123"/>
    </row>
    <row r="6964" spans="5:5" ht="16.5">
      <c r="E6964" s="123"/>
    </row>
    <row r="6965" spans="5:5" ht="16.5">
      <c r="E6965" s="123"/>
    </row>
    <row r="6966" spans="5:5" ht="16.5">
      <c r="E6966" s="123"/>
    </row>
    <row r="6967" spans="5:5" ht="16.5">
      <c r="E6967" s="123"/>
    </row>
    <row r="6968" spans="5:5" ht="16.5">
      <c r="E6968" s="123"/>
    </row>
    <row r="6969" spans="5:5" ht="16.5">
      <c r="E6969" s="123"/>
    </row>
    <row r="6970" spans="5:5" ht="16.5">
      <c r="E6970" s="123"/>
    </row>
    <row r="6971" spans="5:5" ht="16.5">
      <c r="E6971" s="123"/>
    </row>
    <row r="6972" spans="5:5" ht="16.5">
      <c r="E6972" s="123"/>
    </row>
    <row r="6973" spans="5:5" ht="16.5">
      <c r="E6973" s="123"/>
    </row>
    <row r="6974" spans="5:5" ht="16.5">
      <c r="E6974" s="123"/>
    </row>
    <row r="6975" spans="5:5" ht="16.5">
      <c r="E6975" s="123"/>
    </row>
    <row r="6976" spans="5:5" ht="16.5">
      <c r="E6976" s="123"/>
    </row>
    <row r="6977" spans="5:5" ht="16.5">
      <c r="E6977" s="123"/>
    </row>
    <row r="6978" spans="5:5" ht="16.5">
      <c r="E6978" s="123"/>
    </row>
    <row r="6979" spans="5:5" ht="16.5">
      <c r="E6979" s="123"/>
    </row>
    <row r="6980" spans="5:5" ht="16.5">
      <c r="E6980" s="123"/>
    </row>
    <row r="6981" spans="5:5" ht="16.5">
      <c r="E6981" s="123"/>
    </row>
    <row r="6982" spans="5:5" ht="16.5">
      <c r="E6982" s="123"/>
    </row>
    <row r="6983" spans="5:5" ht="16.5">
      <c r="E6983" s="123"/>
    </row>
    <row r="6984" spans="5:5" ht="16.5">
      <c r="E6984" s="123"/>
    </row>
    <row r="6985" spans="5:5" ht="16.5">
      <c r="E6985" s="123"/>
    </row>
    <row r="6986" spans="5:5" ht="16.5">
      <c r="E6986" s="123"/>
    </row>
    <row r="6987" spans="5:5" ht="16.5">
      <c r="E6987" s="123"/>
    </row>
    <row r="6988" spans="5:5" ht="16.5">
      <c r="E6988" s="123"/>
    </row>
    <row r="6989" spans="5:5" ht="16.5">
      <c r="E6989" s="123"/>
    </row>
    <row r="6990" spans="5:5" ht="16.5">
      <c r="E6990" s="123"/>
    </row>
    <row r="6991" spans="5:5" ht="16.5">
      <c r="E6991" s="123"/>
    </row>
    <row r="6992" spans="5:5" ht="16.5">
      <c r="E6992" s="123"/>
    </row>
    <row r="6993" spans="5:5" ht="16.5">
      <c r="E6993" s="123"/>
    </row>
    <row r="6994" spans="5:5" ht="16.5">
      <c r="E6994" s="123"/>
    </row>
    <row r="6995" spans="5:5" ht="16.5">
      <c r="E6995" s="123"/>
    </row>
    <row r="6996" spans="5:5" ht="16.5">
      <c r="E6996" s="123"/>
    </row>
    <row r="6997" spans="5:5" ht="16.5">
      <c r="E6997" s="123"/>
    </row>
    <row r="6998" spans="5:5" ht="16.5">
      <c r="E6998" s="123"/>
    </row>
    <row r="6999" spans="5:5" ht="16.5">
      <c r="E6999" s="123"/>
    </row>
    <row r="7000" spans="5:5" ht="16.5">
      <c r="E7000" s="123"/>
    </row>
    <row r="7001" spans="5:5" ht="16.5">
      <c r="E7001" s="123"/>
    </row>
    <row r="7002" spans="5:5" ht="16.5">
      <c r="E7002" s="123"/>
    </row>
    <row r="7003" spans="5:5" ht="16.5">
      <c r="E7003" s="123"/>
    </row>
    <row r="7004" spans="5:5" ht="16.5">
      <c r="E7004" s="123"/>
    </row>
    <row r="7005" spans="5:5" ht="16.5">
      <c r="E7005" s="123"/>
    </row>
    <row r="7006" spans="5:5" ht="16.5">
      <c r="E7006" s="123"/>
    </row>
    <row r="7007" spans="5:5" ht="16.5">
      <c r="E7007" s="123"/>
    </row>
    <row r="7008" spans="5:5" ht="16.5">
      <c r="E7008" s="123"/>
    </row>
    <row r="7009" spans="5:5" ht="16.5">
      <c r="E7009" s="123"/>
    </row>
    <row r="7010" spans="5:5" ht="16.5">
      <c r="E7010" s="123"/>
    </row>
    <row r="7011" spans="5:5" ht="16.5">
      <c r="E7011" s="123"/>
    </row>
    <row r="7012" spans="5:5" ht="16.5">
      <c r="E7012" s="123"/>
    </row>
    <row r="7013" spans="5:5" ht="16.5">
      <c r="E7013" s="123"/>
    </row>
    <row r="7014" spans="5:5" ht="16.5">
      <c r="E7014" s="123"/>
    </row>
    <row r="7015" spans="5:5" ht="16.5">
      <c r="E7015" s="123"/>
    </row>
    <row r="7016" spans="5:5" ht="16.5">
      <c r="E7016" s="123"/>
    </row>
    <row r="7017" spans="5:5" ht="16.5">
      <c r="E7017" s="123"/>
    </row>
    <row r="7018" spans="5:5" ht="16.5">
      <c r="E7018" s="123"/>
    </row>
    <row r="7019" spans="5:5" ht="16.5">
      <c r="E7019" s="123"/>
    </row>
    <row r="7020" spans="5:5" ht="16.5">
      <c r="E7020" s="123"/>
    </row>
    <row r="7021" spans="5:5" ht="16.5">
      <c r="E7021" s="123"/>
    </row>
    <row r="7022" spans="5:5" ht="16.5">
      <c r="E7022" s="123"/>
    </row>
    <row r="7023" spans="5:5" ht="16.5">
      <c r="E7023" s="123"/>
    </row>
    <row r="7024" spans="5:5" ht="16.5">
      <c r="E7024" s="123"/>
    </row>
    <row r="7025" spans="5:5" ht="16.5">
      <c r="E7025" s="123"/>
    </row>
    <row r="7026" spans="5:5" ht="16.5">
      <c r="E7026" s="123"/>
    </row>
    <row r="7027" spans="5:5" ht="16.5">
      <c r="E7027" s="123"/>
    </row>
    <row r="7028" spans="5:5" ht="16.5">
      <c r="E7028" s="123"/>
    </row>
    <row r="7029" spans="5:5" ht="16.5">
      <c r="E7029" s="123"/>
    </row>
    <row r="7030" spans="5:5" ht="16.5">
      <c r="E7030" s="123"/>
    </row>
    <row r="7031" spans="5:5" ht="16.5">
      <c r="E7031" s="123"/>
    </row>
    <row r="7032" spans="5:5" ht="16.5">
      <c r="E7032" s="123"/>
    </row>
    <row r="7033" spans="5:5" ht="16.5">
      <c r="E7033" s="123"/>
    </row>
    <row r="7034" spans="5:5" ht="16.5">
      <c r="E7034" s="123"/>
    </row>
    <row r="7035" spans="5:5" ht="16.5">
      <c r="E7035" s="123"/>
    </row>
    <row r="7036" spans="5:5" ht="16.5">
      <c r="E7036" s="123"/>
    </row>
    <row r="7037" spans="5:5" ht="16.5">
      <c r="E7037" s="123"/>
    </row>
    <row r="7038" spans="5:5" ht="16.5">
      <c r="E7038" s="123"/>
    </row>
    <row r="7039" spans="5:5" ht="16.5">
      <c r="E7039" s="123"/>
    </row>
    <row r="7040" spans="5:5" ht="16.5">
      <c r="E7040" s="123"/>
    </row>
    <row r="7041" spans="5:5" ht="16.5">
      <c r="E7041" s="123"/>
    </row>
    <row r="7042" spans="5:5" ht="16.5">
      <c r="E7042" s="123"/>
    </row>
    <row r="7043" spans="5:5" ht="16.5">
      <c r="E7043" s="123"/>
    </row>
    <row r="7044" spans="5:5" ht="16.5">
      <c r="E7044" s="123"/>
    </row>
    <row r="7045" spans="5:5" ht="16.5">
      <c r="E7045" s="123"/>
    </row>
    <row r="7046" spans="5:5" ht="16.5">
      <c r="E7046" s="123"/>
    </row>
    <row r="7047" spans="5:5" ht="16.5">
      <c r="E7047" s="123"/>
    </row>
    <row r="7048" spans="5:5" ht="16.5">
      <c r="E7048" s="123"/>
    </row>
    <row r="7049" spans="5:5" ht="16.5">
      <c r="E7049" s="123"/>
    </row>
    <row r="7050" spans="5:5" ht="16.5">
      <c r="E7050" s="123"/>
    </row>
    <row r="7051" spans="5:5" ht="16.5">
      <c r="E7051" s="123"/>
    </row>
    <row r="7052" spans="5:5" ht="16.5">
      <c r="E7052" s="123"/>
    </row>
    <row r="7053" spans="5:5" ht="16.5">
      <c r="E7053" s="123"/>
    </row>
    <row r="7054" spans="5:5" ht="16.5">
      <c r="E7054" s="123"/>
    </row>
    <row r="7055" spans="5:5" ht="16.5">
      <c r="E7055" s="123"/>
    </row>
    <row r="7056" spans="5:5" ht="16.5">
      <c r="E7056" s="123"/>
    </row>
    <row r="7057" spans="5:5" ht="16.5">
      <c r="E7057" s="123"/>
    </row>
    <row r="7058" spans="5:5" ht="16.5">
      <c r="E7058" s="123"/>
    </row>
    <row r="7059" spans="5:5" ht="16.5">
      <c r="E7059" s="123"/>
    </row>
    <row r="7060" spans="5:5" ht="16.5">
      <c r="E7060" s="123"/>
    </row>
    <row r="7061" spans="5:5" ht="16.5">
      <c r="E7061" s="123"/>
    </row>
    <row r="7062" spans="5:5" ht="16.5">
      <c r="E7062" s="123"/>
    </row>
    <row r="7063" spans="5:5" ht="16.5">
      <c r="E7063" s="123"/>
    </row>
    <row r="7064" spans="5:5" ht="16.5">
      <c r="E7064" s="123"/>
    </row>
    <row r="7065" spans="5:5" ht="16.5">
      <c r="E7065" s="123"/>
    </row>
    <row r="7066" spans="5:5" ht="16.5">
      <c r="E7066" s="123"/>
    </row>
    <row r="7067" spans="5:5" ht="16.5">
      <c r="E7067" s="123"/>
    </row>
    <row r="7068" spans="5:5" ht="16.5">
      <c r="E7068" s="123"/>
    </row>
    <row r="7069" spans="5:5" ht="16.5">
      <c r="E7069" s="123"/>
    </row>
    <row r="7070" spans="5:5" ht="16.5">
      <c r="E7070" s="123"/>
    </row>
    <row r="7071" spans="5:5" ht="16.5">
      <c r="E7071" s="123"/>
    </row>
    <row r="7072" spans="5:5" ht="16.5">
      <c r="E7072" s="123"/>
    </row>
    <row r="7073" spans="5:5" ht="16.5">
      <c r="E7073" s="123"/>
    </row>
    <row r="7074" spans="5:5" ht="16.5">
      <c r="E7074" s="123"/>
    </row>
    <row r="7075" spans="5:5" ht="16.5">
      <c r="E7075" s="123"/>
    </row>
    <row r="7076" spans="5:5" ht="16.5">
      <c r="E7076" s="123"/>
    </row>
    <row r="7077" spans="5:5" ht="16.5">
      <c r="E7077" s="123"/>
    </row>
    <row r="7078" spans="5:5" ht="16.5">
      <c r="E7078" s="123"/>
    </row>
    <row r="7079" spans="5:5" ht="16.5">
      <c r="E7079" s="123"/>
    </row>
    <row r="7080" spans="5:5" ht="16.5">
      <c r="E7080" s="123"/>
    </row>
    <row r="7081" spans="5:5" ht="16.5">
      <c r="E7081" s="123"/>
    </row>
    <row r="7082" spans="5:5" ht="16.5">
      <c r="E7082" s="123"/>
    </row>
    <row r="7083" spans="5:5" ht="16.5">
      <c r="E7083" s="123"/>
    </row>
    <row r="7084" spans="5:5" ht="16.5">
      <c r="E7084" s="123"/>
    </row>
    <row r="7085" spans="5:5" ht="16.5">
      <c r="E7085" s="123"/>
    </row>
    <row r="7086" spans="5:5" ht="16.5">
      <c r="E7086" s="123"/>
    </row>
    <row r="7087" spans="5:5" ht="16.5">
      <c r="E7087" s="123"/>
    </row>
    <row r="7088" spans="5:5" ht="16.5">
      <c r="E7088" s="123"/>
    </row>
    <row r="7089" spans="5:5" ht="16.5">
      <c r="E7089" s="123"/>
    </row>
    <row r="7090" spans="5:5" ht="16.5">
      <c r="E7090" s="123"/>
    </row>
    <row r="7091" spans="5:5" ht="16.5">
      <c r="E7091" s="123"/>
    </row>
    <row r="7092" spans="5:5" ht="16.5">
      <c r="E7092" s="123"/>
    </row>
    <row r="7093" spans="5:5" ht="16.5">
      <c r="E7093" s="123"/>
    </row>
    <row r="7094" spans="5:5" ht="16.5">
      <c r="E7094" s="123"/>
    </row>
    <row r="7095" spans="5:5" ht="16.5">
      <c r="E7095" s="123"/>
    </row>
    <row r="7096" spans="5:5" ht="16.5">
      <c r="E7096" s="123"/>
    </row>
    <row r="7097" spans="5:5" ht="16.5">
      <c r="E7097" s="123"/>
    </row>
    <row r="7098" spans="5:5" ht="16.5">
      <c r="E7098" s="123"/>
    </row>
    <row r="7099" spans="5:5" ht="16.5">
      <c r="E7099" s="123"/>
    </row>
    <row r="7100" spans="5:5" ht="16.5">
      <c r="E7100" s="123"/>
    </row>
    <row r="7101" spans="5:5" ht="16.5">
      <c r="E7101" s="123"/>
    </row>
    <row r="7102" spans="5:5" ht="16.5">
      <c r="E7102" s="123"/>
    </row>
    <row r="7103" spans="5:5" ht="16.5">
      <c r="E7103" s="123"/>
    </row>
    <row r="7104" spans="5:5" ht="16.5">
      <c r="E7104" s="123"/>
    </row>
    <row r="7105" spans="5:5" ht="16.5">
      <c r="E7105" s="123"/>
    </row>
    <row r="7106" spans="5:5" ht="16.5">
      <c r="E7106" s="123"/>
    </row>
    <row r="7107" spans="5:5" ht="16.5">
      <c r="E7107" s="123"/>
    </row>
    <row r="7108" spans="5:5" ht="16.5">
      <c r="E7108" s="123"/>
    </row>
    <row r="7109" spans="5:5" ht="16.5">
      <c r="E7109" s="123"/>
    </row>
    <row r="7110" spans="5:5" ht="16.5">
      <c r="E7110" s="123"/>
    </row>
    <row r="7111" spans="5:5" ht="16.5">
      <c r="E7111" s="123"/>
    </row>
    <row r="7112" spans="5:5" ht="16.5">
      <c r="E7112" s="123"/>
    </row>
    <row r="7113" spans="5:5" ht="16.5">
      <c r="E7113" s="123"/>
    </row>
    <row r="7114" spans="5:5" ht="16.5">
      <c r="E7114" s="123"/>
    </row>
    <row r="7115" spans="5:5" ht="16.5">
      <c r="E7115" s="123"/>
    </row>
    <row r="7116" spans="5:5" ht="16.5">
      <c r="E7116" s="123"/>
    </row>
    <row r="7117" spans="5:5" ht="16.5">
      <c r="E7117" s="123"/>
    </row>
    <row r="7118" spans="5:5" ht="16.5">
      <c r="E7118" s="123"/>
    </row>
    <row r="7119" spans="5:5" ht="16.5">
      <c r="E7119" s="123"/>
    </row>
    <row r="7120" spans="5:5" ht="16.5">
      <c r="E7120" s="123"/>
    </row>
    <row r="7121" spans="5:5" ht="16.5">
      <c r="E7121" s="123"/>
    </row>
    <row r="7122" spans="5:5" ht="16.5">
      <c r="E7122" s="123"/>
    </row>
    <row r="7123" spans="5:5" ht="16.5">
      <c r="E7123" s="123"/>
    </row>
    <row r="7124" spans="5:5" ht="16.5">
      <c r="E7124" s="123"/>
    </row>
    <row r="7125" spans="5:5" ht="16.5">
      <c r="E7125" s="123"/>
    </row>
    <row r="7126" spans="5:5" ht="16.5">
      <c r="E7126" s="123"/>
    </row>
    <row r="7127" spans="5:5" ht="16.5">
      <c r="E7127" s="123"/>
    </row>
    <row r="7128" spans="5:5" ht="16.5">
      <c r="E7128" s="123"/>
    </row>
    <row r="7129" spans="5:5" ht="16.5">
      <c r="E7129" s="123"/>
    </row>
    <row r="7130" spans="5:5" ht="16.5">
      <c r="E7130" s="123"/>
    </row>
    <row r="7131" spans="5:5" ht="16.5">
      <c r="E7131" s="123"/>
    </row>
    <row r="7132" spans="5:5" ht="16.5">
      <c r="E7132" s="123"/>
    </row>
    <row r="7133" spans="5:5" ht="16.5">
      <c r="E7133" s="123"/>
    </row>
    <row r="7134" spans="5:5" ht="16.5">
      <c r="E7134" s="123"/>
    </row>
    <row r="7135" spans="5:5" ht="16.5">
      <c r="E7135" s="123"/>
    </row>
    <row r="7136" spans="5:5" ht="16.5">
      <c r="E7136" s="123"/>
    </row>
    <row r="7137" spans="5:5" ht="16.5">
      <c r="E7137" s="123"/>
    </row>
    <row r="7138" spans="5:5" ht="16.5">
      <c r="E7138" s="123"/>
    </row>
    <row r="7139" spans="5:5" ht="16.5">
      <c r="E7139" s="123"/>
    </row>
    <row r="7140" spans="5:5" ht="16.5">
      <c r="E7140" s="123"/>
    </row>
    <row r="7141" spans="5:5" ht="16.5">
      <c r="E7141" s="123"/>
    </row>
    <row r="7142" spans="5:5" ht="16.5">
      <c r="E7142" s="123"/>
    </row>
    <row r="7143" spans="5:5" ht="16.5">
      <c r="E7143" s="123"/>
    </row>
    <row r="7144" spans="5:5" ht="16.5">
      <c r="E7144" s="123"/>
    </row>
    <row r="7145" spans="5:5" ht="16.5">
      <c r="E7145" s="123"/>
    </row>
    <row r="7146" spans="5:5" ht="16.5">
      <c r="E7146" s="123"/>
    </row>
    <row r="7147" spans="5:5" ht="16.5">
      <c r="E7147" s="123"/>
    </row>
    <row r="7148" spans="5:5" ht="16.5">
      <c r="E7148" s="123"/>
    </row>
    <row r="7149" spans="5:5" ht="16.5">
      <c r="E7149" s="123"/>
    </row>
    <row r="7150" spans="5:5" ht="16.5">
      <c r="E7150" s="123"/>
    </row>
    <row r="7151" spans="5:5" ht="16.5">
      <c r="E7151" s="123"/>
    </row>
    <row r="7152" spans="5:5" ht="16.5">
      <c r="E7152" s="123"/>
    </row>
    <row r="7153" spans="5:5" ht="16.5">
      <c r="E7153" s="123"/>
    </row>
    <row r="7154" spans="5:5" ht="16.5">
      <c r="E7154" s="123"/>
    </row>
    <row r="7155" spans="5:5" ht="16.5">
      <c r="E7155" s="123"/>
    </row>
    <row r="7156" spans="5:5" ht="16.5">
      <c r="E7156" s="123"/>
    </row>
    <row r="7157" spans="5:5" ht="16.5">
      <c r="E7157" s="123"/>
    </row>
    <row r="7158" spans="5:5" ht="16.5">
      <c r="E7158" s="123"/>
    </row>
    <row r="7159" spans="5:5" ht="16.5">
      <c r="E7159" s="123"/>
    </row>
    <row r="7160" spans="5:5" ht="16.5">
      <c r="E7160" s="123"/>
    </row>
    <row r="7161" spans="5:5" ht="16.5">
      <c r="E7161" s="123"/>
    </row>
    <row r="7162" spans="5:5" ht="16.5">
      <c r="E7162" s="123"/>
    </row>
    <row r="7163" spans="5:5" ht="16.5">
      <c r="E7163" s="123"/>
    </row>
    <row r="7164" spans="5:5" ht="16.5">
      <c r="E7164" s="123"/>
    </row>
    <row r="7165" spans="5:5" ht="16.5">
      <c r="E7165" s="123"/>
    </row>
    <row r="7166" spans="5:5" ht="16.5">
      <c r="E7166" s="123"/>
    </row>
    <row r="7167" spans="5:5" ht="16.5">
      <c r="E7167" s="123"/>
    </row>
    <row r="7168" spans="5:5" ht="16.5">
      <c r="E7168" s="123"/>
    </row>
    <row r="7169" spans="5:5" ht="16.5">
      <c r="E7169" s="123"/>
    </row>
    <row r="7170" spans="5:5" ht="16.5">
      <c r="E7170" s="123"/>
    </row>
    <row r="7171" spans="5:5" ht="16.5">
      <c r="E7171" s="123"/>
    </row>
    <row r="7172" spans="5:5" ht="16.5">
      <c r="E7172" s="123"/>
    </row>
    <row r="7173" spans="5:5" ht="16.5">
      <c r="E7173" s="123"/>
    </row>
    <row r="7174" spans="5:5" ht="16.5">
      <c r="E7174" s="123"/>
    </row>
    <row r="7175" spans="5:5" ht="16.5">
      <c r="E7175" s="123"/>
    </row>
    <row r="7176" spans="5:5" ht="16.5">
      <c r="E7176" s="123"/>
    </row>
    <row r="7177" spans="5:5" ht="16.5">
      <c r="E7177" s="123"/>
    </row>
    <row r="7178" spans="5:5" ht="16.5">
      <c r="E7178" s="123"/>
    </row>
    <row r="7179" spans="5:5" ht="16.5">
      <c r="E7179" s="123"/>
    </row>
    <row r="7180" spans="5:5" ht="16.5">
      <c r="E7180" s="123"/>
    </row>
    <row r="7181" spans="5:5" ht="16.5">
      <c r="E7181" s="123"/>
    </row>
    <row r="7182" spans="5:5" ht="16.5">
      <c r="E7182" s="123"/>
    </row>
    <row r="7183" spans="5:5" ht="16.5">
      <c r="E7183" s="123"/>
    </row>
    <row r="7184" spans="5:5" ht="16.5">
      <c r="E7184" s="123"/>
    </row>
    <row r="7185" spans="5:5" ht="16.5">
      <c r="E7185" s="123"/>
    </row>
    <row r="7186" spans="5:5" ht="16.5">
      <c r="E7186" s="123"/>
    </row>
    <row r="7187" spans="5:5" ht="16.5">
      <c r="E7187" s="123"/>
    </row>
    <row r="7188" spans="5:5" ht="16.5">
      <c r="E7188" s="123"/>
    </row>
    <row r="7189" spans="5:5" ht="16.5">
      <c r="E7189" s="123"/>
    </row>
    <row r="7190" spans="5:5" ht="16.5">
      <c r="E7190" s="123"/>
    </row>
    <row r="7191" spans="5:5" ht="16.5">
      <c r="E7191" s="123"/>
    </row>
    <row r="7192" spans="5:5" ht="16.5">
      <c r="E7192" s="123"/>
    </row>
    <row r="7193" spans="5:5" ht="16.5">
      <c r="E7193" s="123"/>
    </row>
    <row r="7194" spans="5:5" ht="16.5">
      <c r="E7194" s="123"/>
    </row>
    <row r="7195" spans="5:5" ht="16.5">
      <c r="E7195" s="123"/>
    </row>
    <row r="7196" spans="5:5" ht="16.5">
      <c r="E7196" s="123"/>
    </row>
    <row r="7197" spans="5:5" ht="16.5">
      <c r="E7197" s="123"/>
    </row>
    <row r="7198" spans="5:5" ht="16.5">
      <c r="E7198" s="123"/>
    </row>
    <row r="7199" spans="5:5" ht="16.5">
      <c r="E7199" s="123"/>
    </row>
    <row r="7200" spans="5:5" ht="16.5">
      <c r="E7200" s="123"/>
    </row>
    <row r="7201" spans="5:5" ht="16.5">
      <c r="E7201" s="123"/>
    </row>
    <row r="7202" spans="5:5" ht="16.5">
      <c r="E7202" s="123"/>
    </row>
    <row r="7203" spans="5:5" ht="16.5">
      <c r="E7203" s="123"/>
    </row>
    <row r="7204" spans="5:5" ht="16.5">
      <c r="E7204" s="123"/>
    </row>
    <row r="7205" spans="5:5" ht="16.5">
      <c r="E7205" s="123"/>
    </row>
    <row r="7206" spans="5:5" ht="16.5">
      <c r="E7206" s="123"/>
    </row>
    <row r="7207" spans="5:5" ht="16.5">
      <c r="E7207" s="123"/>
    </row>
    <row r="7208" spans="5:5" ht="16.5">
      <c r="E7208" s="123"/>
    </row>
    <row r="7209" spans="5:5" ht="16.5">
      <c r="E7209" s="123"/>
    </row>
    <row r="7210" spans="5:5" ht="16.5">
      <c r="E7210" s="123"/>
    </row>
    <row r="7211" spans="5:5" ht="16.5">
      <c r="E7211" s="123"/>
    </row>
    <row r="7212" spans="5:5" ht="16.5">
      <c r="E7212" s="123"/>
    </row>
    <row r="7213" spans="5:5" ht="16.5">
      <c r="E7213" s="123"/>
    </row>
    <row r="7214" spans="5:5" ht="16.5">
      <c r="E7214" s="123"/>
    </row>
    <row r="7215" spans="5:5" ht="16.5">
      <c r="E7215" s="123"/>
    </row>
    <row r="7216" spans="5:5" ht="16.5">
      <c r="E7216" s="123"/>
    </row>
    <row r="7217" spans="5:5" ht="16.5">
      <c r="E7217" s="123"/>
    </row>
    <row r="7218" spans="5:5" ht="16.5">
      <c r="E7218" s="123"/>
    </row>
    <row r="7219" spans="5:5" ht="16.5">
      <c r="E7219" s="123"/>
    </row>
    <row r="7220" spans="5:5" ht="16.5">
      <c r="E7220" s="123"/>
    </row>
    <row r="7221" spans="5:5" ht="16.5">
      <c r="E7221" s="123"/>
    </row>
    <row r="7222" spans="5:5" ht="16.5">
      <c r="E7222" s="123"/>
    </row>
    <row r="7223" spans="5:5" ht="16.5">
      <c r="E7223" s="123"/>
    </row>
    <row r="7224" spans="5:5" ht="16.5">
      <c r="E7224" s="123"/>
    </row>
    <row r="7225" spans="5:5" ht="16.5">
      <c r="E7225" s="123"/>
    </row>
    <row r="7226" spans="5:5" ht="16.5">
      <c r="E7226" s="123"/>
    </row>
    <row r="7227" spans="5:5" ht="16.5">
      <c r="E7227" s="123"/>
    </row>
    <row r="7228" spans="5:5" ht="16.5">
      <c r="E7228" s="123"/>
    </row>
    <row r="7229" spans="5:5" ht="16.5">
      <c r="E7229" s="123"/>
    </row>
    <row r="7230" spans="5:5" ht="16.5">
      <c r="E7230" s="123"/>
    </row>
    <row r="7231" spans="5:5" ht="16.5">
      <c r="E7231" s="123"/>
    </row>
    <row r="7232" spans="5:5" ht="16.5">
      <c r="E7232" s="123"/>
    </row>
    <row r="7233" spans="5:5" ht="16.5">
      <c r="E7233" s="123"/>
    </row>
    <row r="7234" spans="5:5" ht="16.5">
      <c r="E7234" s="123"/>
    </row>
    <row r="7235" spans="5:5" ht="16.5">
      <c r="E7235" s="123"/>
    </row>
    <row r="7236" spans="5:5" ht="16.5">
      <c r="E7236" s="123"/>
    </row>
    <row r="7237" spans="5:5" ht="16.5">
      <c r="E7237" s="123"/>
    </row>
    <row r="7238" spans="5:5" ht="16.5">
      <c r="E7238" s="123"/>
    </row>
    <row r="7239" spans="5:5" ht="16.5">
      <c r="E7239" s="123"/>
    </row>
    <row r="7240" spans="5:5" ht="16.5">
      <c r="E7240" s="123"/>
    </row>
    <row r="7241" spans="5:5" ht="16.5">
      <c r="E7241" s="123"/>
    </row>
    <row r="7242" spans="5:5" ht="16.5">
      <c r="E7242" s="123"/>
    </row>
    <row r="7243" spans="5:5" ht="16.5">
      <c r="E7243" s="123"/>
    </row>
    <row r="7244" spans="5:5" ht="16.5">
      <c r="E7244" s="123"/>
    </row>
    <row r="7245" spans="5:5" ht="16.5">
      <c r="E7245" s="123"/>
    </row>
    <row r="7246" spans="5:5" ht="16.5">
      <c r="E7246" s="123"/>
    </row>
    <row r="7247" spans="5:5" ht="16.5">
      <c r="E7247" s="123"/>
    </row>
    <row r="7248" spans="5:5" ht="16.5">
      <c r="E7248" s="123"/>
    </row>
    <row r="7249" spans="5:5" ht="16.5">
      <c r="E7249" s="123"/>
    </row>
    <row r="7250" spans="5:5" ht="16.5">
      <c r="E7250" s="123"/>
    </row>
    <row r="7251" spans="5:5" ht="16.5">
      <c r="E7251" s="123"/>
    </row>
    <row r="7252" spans="5:5" ht="16.5">
      <c r="E7252" s="123"/>
    </row>
    <row r="7253" spans="5:5" ht="16.5">
      <c r="E7253" s="123"/>
    </row>
    <row r="7254" spans="5:5" ht="16.5">
      <c r="E7254" s="123"/>
    </row>
    <row r="7255" spans="5:5" ht="16.5">
      <c r="E7255" s="123"/>
    </row>
    <row r="7256" spans="5:5" ht="16.5">
      <c r="E7256" s="123"/>
    </row>
    <row r="7257" spans="5:5" ht="16.5">
      <c r="E7257" s="123"/>
    </row>
    <row r="7258" spans="5:5" ht="16.5">
      <c r="E7258" s="123"/>
    </row>
    <row r="7259" spans="5:5" ht="16.5">
      <c r="E7259" s="123"/>
    </row>
    <row r="7260" spans="5:5" ht="16.5">
      <c r="E7260" s="123"/>
    </row>
    <row r="7261" spans="5:5" ht="16.5">
      <c r="E7261" s="123"/>
    </row>
    <row r="7262" spans="5:5" ht="16.5">
      <c r="E7262" s="123"/>
    </row>
    <row r="7263" spans="5:5" ht="16.5">
      <c r="E7263" s="123"/>
    </row>
    <row r="7264" spans="5:5" ht="16.5">
      <c r="E7264" s="123"/>
    </row>
    <row r="7265" spans="5:5" ht="16.5">
      <c r="E7265" s="123"/>
    </row>
    <row r="7266" spans="5:5" ht="16.5">
      <c r="E7266" s="123"/>
    </row>
    <row r="7267" spans="5:5" ht="16.5">
      <c r="E7267" s="123"/>
    </row>
    <row r="7268" spans="5:5" ht="16.5">
      <c r="E7268" s="123"/>
    </row>
    <row r="7269" spans="5:5" ht="16.5">
      <c r="E7269" s="123"/>
    </row>
    <row r="7270" spans="5:5" ht="16.5">
      <c r="E7270" s="123"/>
    </row>
    <row r="7271" spans="5:5" ht="16.5">
      <c r="E7271" s="123"/>
    </row>
    <row r="7272" spans="5:5" ht="16.5">
      <c r="E7272" s="123"/>
    </row>
    <row r="7273" spans="5:5" ht="16.5">
      <c r="E7273" s="123"/>
    </row>
    <row r="7274" spans="5:5" ht="16.5">
      <c r="E7274" s="123"/>
    </row>
    <row r="7275" spans="5:5" ht="16.5">
      <c r="E7275" s="123"/>
    </row>
    <row r="7276" spans="5:5" ht="16.5">
      <c r="E7276" s="123"/>
    </row>
    <row r="7277" spans="5:5" ht="16.5">
      <c r="E7277" s="123"/>
    </row>
    <row r="7278" spans="5:5" ht="16.5">
      <c r="E7278" s="123"/>
    </row>
    <row r="7279" spans="5:5" ht="16.5">
      <c r="E7279" s="123"/>
    </row>
    <row r="7280" spans="5:5" ht="16.5">
      <c r="E7280" s="123"/>
    </row>
    <row r="7281" spans="5:5" ht="16.5">
      <c r="E7281" s="123"/>
    </row>
    <row r="7282" spans="5:5" ht="16.5">
      <c r="E7282" s="123"/>
    </row>
    <row r="7283" spans="5:5" ht="16.5">
      <c r="E7283" s="123"/>
    </row>
    <row r="7284" spans="5:5" ht="16.5">
      <c r="E7284" s="123"/>
    </row>
    <row r="7285" spans="5:5" ht="16.5">
      <c r="E7285" s="123"/>
    </row>
    <row r="7286" spans="5:5" ht="16.5">
      <c r="E7286" s="123"/>
    </row>
    <row r="7287" spans="5:5" ht="16.5">
      <c r="E7287" s="123"/>
    </row>
    <row r="7288" spans="5:5" ht="16.5">
      <c r="E7288" s="123"/>
    </row>
    <row r="7289" spans="5:5" ht="16.5">
      <c r="E7289" s="123"/>
    </row>
    <row r="7290" spans="5:5" ht="16.5">
      <c r="E7290" s="123"/>
    </row>
    <row r="7291" spans="5:5" ht="16.5">
      <c r="E7291" s="123"/>
    </row>
    <row r="7292" spans="5:5" ht="16.5">
      <c r="E7292" s="123"/>
    </row>
    <row r="7293" spans="5:5" ht="16.5">
      <c r="E7293" s="123"/>
    </row>
    <row r="7294" spans="5:5" ht="16.5">
      <c r="E7294" s="123"/>
    </row>
    <row r="7295" spans="5:5" ht="16.5">
      <c r="E7295" s="123"/>
    </row>
    <row r="7296" spans="5:5" ht="16.5">
      <c r="E7296" s="123"/>
    </row>
    <row r="7297" spans="5:5" ht="16.5">
      <c r="E7297" s="123"/>
    </row>
    <row r="7298" spans="5:5" ht="16.5">
      <c r="E7298" s="123"/>
    </row>
    <row r="7299" spans="5:5" ht="16.5">
      <c r="E7299" s="123"/>
    </row>
    <row r="7300" spans="5:5" ht="16.5">
      <c r="E7300" s="123"/>
    </row>
    <row r="7301" spans="5:5" ht="16.5">
      <c r="E7301" s="123"/>
    </row>
    <row r="7302" spans="5:5" ht="16.5">
      <c r="E7302" s="123"/>
    </row>
    <row r="7303" spans="5:5" ht="16.5">
      <c r="E7303" s="123"/>
    </row>
    <row r="7304" spans="5:5" ht="16.5">
      <c r="E7304" s="123"/>
    </row>
    <row r="7305" spans="5:5" ht="16.5">
      <c r="E7305" s="123"/>
    </row>
    <row r="7306" spans="5:5" ht="16.5">
      <c r="E7306" s="123"/>
    </row>
    <row r="7307" spans="5:5" ht="16.5">
      <c r="E7307" s="123"/>
    </row>
    <row r="7308" spans="5:5" ht="16.5">
      <c r="E7308" s="123"/>
    </row>
    <row r="7309" spans="5:5" ht="16.5">
      <c r="E7309" s="123"/>
    </row>
    <row r="7310" spans="5:5" ht="16.5">
      <c r="E7310" s="123"/>
    </row>
    <row r="7311" spans="5:5" ht="16.5">
      <c r="E7311" s="123"/>
    </row>
    <row r="7312" spans="5:5" ht="16.5">
      <c r="E7312" s="123"/>
    </row>
    <row r="7313" spans="5:5" ht="16.5">
      <c r="E7313" s="123"/>
    </row>
    <row r="7314" spans="5:5" ht="16.5">
      <c r="E7314" s="123"/>
    </row>
    <row r="7315" spans="5:5" ht="16.5">
      <c r="E7315" s="123"/>
    </row>
    <row r="7316" spans="5:5" ht="16.5">
      <c r="E7316" s="123"/>
    </row>
    <row r="7317" spans="5:5" ht="16.5">
      <c r="E7317" s="123"/>
    </row>
    <row r="7318" spans="5:5" ht="16.5">
      <c r="E7318" s="123"/>
    </row>
    <row r="7319" spans="5:5" ht="16.5">
      <c r="E7319" s="123"/>
    </row>
    <row r="7320" spans="5:5" ht="16.5">
      <c r="E7320" s="123"/>
    </row>
    <row r="7321" spans="5:5" ht="16.5">
      <c r="E7321" s="123"/>
    </row>
    <row r="7322" spans="5:5" ht="16.5">
      <c r="E7322" s="123"/>
    </row>
    <row r="7323" spans="5:5" ht="16.5">
      <c r="E7323" s="123"/>
    </row>
    <row r="7324" spans="5:5" ht="16.5">
      <c r="E7324" s="123"/>
    </row>
    <row r="7325" spans="5:5" ht="16.5">
      <c r="E7325" s="123"/>
    </row>
    <row r="7326" spans="5:5" ht="16.5">
      <c r="E7326" s="123"/>
    </row>
    <row r="7327" spans="5:5" ht="16.5">
      <c r="E7327" s="123"/>
    </row>
    <row r="7328" spans="5:5" ht="16.5">
      <c r="E7328" s="123"/>
    </row>
    <row r="7329" spans="5:5" ht="16.5">
      <c r="E7329" s="123"/>
    </row>
    <row r="7330" spans="5:5" ht="16.5">
      <c r="E7330" s="123"/>
    </row>
    <row r="7331" spans="5:5" ht="16.5">
      <c r="E7331" s="123"/>
    </row>
    <row r="7332" spans="5:5" ht="16.5">
      <c r="E7332" s="123"/>
    </row>
    <row r="7333" spans="5:5" ht="16.5">
      <c r="E7333" s="123"/>
    </row>
    <row r="7334" spans="5:5" ht="16.5">
      <c r="E7334" s="123"/>
    </row>
    <row r="7335" spans="5:5" ht="16.5">
      <c r="E7335" s="123"/>
    </row>
    <row r="7336" spans="5:5" ht="16.5">
      <c r="E7336" s="123"/>
    </row>
    <row r="7337" spans="5:5" ht="16.5">
      <c r="E7337" s="123"/>
    </row>
    <row r="7338" spans="5:5" ht="16.5">
      <c r="E7338" s="123"/>
    </row>
    <row r="7339" spans="5:5" ht="16.5">
      <c r="E7339" s="123"/>
    </row>
    <row r="7340" spans="5:5" ht="16.5">
      <c r="E7340" s="123"/>
    </row>
    <row r="7341" spans="5:5" ht="16.5">
      <c r="E7341" s="123"/>
    </row>
    <row r="7342" spans="5:5" ht="16.5">
      <c r="E7342" s="123"/>
    </row>
    <row r="7343" spans="5:5" ht="16.5">
      <c r="E7343" s="123"/>
    </row>
    <row r="7344" spans="5:5" ht="16.5">
      <c r="E7344" s="123"/>
    </row>
    <row r="7345" spans="5:5" ht="16.5">
      <c r="E7345" s="123"/>
    </row>
    <row r="7346" spans="5:5" ht="16.5">
      <c r="E7346" s="123"/>
    </row>
    <row r="7347" spans="5:5" ht="16.5">
      <c r="E7347" s="123"/>
    </row>
    <row r="7348" spans="5:5" ht="16.5">
      <c r="E7348" s="123"/>
    </row>
    <row r="7349" spans="5:5" ht="16.5">
      <c r="E7349" s="123"/>
    </row>
    <row r="7350" spans="5:5" ht="16.5">
      <c r="E7350" s="123"/>
    </row>
    <row r="7351" spans="5:5" ht="16.5">
      <c r="E7351" s="123"/>
    </row>
    <row r="7352" spans="5:5" ht="16.5">
      <c r="E7352" s="123"/>
    </row>
    <row r="7353" spans="5:5" ht="16.5">
      <c r="E7353" s="123"/>
    </row>
    <row r="7354" spans="5:5" ht="16.5">
      <c r="E7354" s="123"/>
    </row>
    <row r="7355" spans="5:5" ht="16.5">
      <c r="E7355" s="123"/>
    </row>
    <row r="7356" spans="5:5" ht="16.5">
      <c r="E7356" s="123"/>
    </row>
    <row r="7357" spans="5:5" ht="16.5">
      <c r="E7357" s="123"/>
    </row>
    <row r="7358" spans="5:5" ht="16.5">
      <c r="E7358" s="123"/>
    </row>
    <row r="7359" spans="5:5" ht="16.5">
      <c r="E7359" s="123"/>
    </row>
    <row r="7360" spans="5:5" ht="16.5">
      <c r="E7360" s="123"/>
    </row>
    <row r="7361" spans="5:5" ht="16.5">
      <c r="E7361" s="123"/>
    </row>
    <row r="7362" spans="5:5" ht="16.5">
      <c r="E7362" s="123"/>
    </row>
    <row r="7363" spans="5:5" ht="16.5">
      <c r="E7363" s="123"/>
    </row>
    <row r="7364" spans="5:5" ht="16.5">
      <c r="E7364" s="123"/>
    </row>
    <row r="7365" spans="5:5" ht="16.5">
      <c r="E7365" s="123"/>
    </row>
    <row r="7366" spans="5:5" ht="16.5">
      <c r="E7366" s="123"/>
    </row>
    <row r="7367" spans="5:5" ht="16.5">
      <c r="E7367" s="123"/>
    </row>
    <row r="7368" spans="5:5" ht="16.5">
      <c r="E7368" s="123"/>
    </row>
    <row r="7369" spans="5:5" ht="16.5">
      <c r="E7369" s="123"/>
    </row>
    <row r="7370" spans="5:5" ht="16.5">
      <c r="E7370" s="123"/>
    </row>
    <row r="7371" spans="5:5" ht="16.5">
      <c r="E7371" s="123"/>
    </row>
    <row r="7372" spans="5:5" ht="16.5">
      <c r="E7372" s="123"/>
    </row>
    <row r="7373" spans="5:5" ht="16.5">
      <c r="E7373" s="123"/>
    </row>
    <row r="7374" spans="5:5" ht="16.5">
      <c r="E7374" s="123"/>
    </row>
    <row r="7375" spans="5:5" ht="16.5">
      <c r="E7375" s="123"/>
    </row>
    <row r="7376" spans="5:5" ht="16.5">
      <c r="E7376" s="123"/>
    </row>
    <row r="7377" spans="5:5" ht="16.5">
      <c r="E7377" s="123"/>
    </row>
    <row r="7378" spans="5:5" ht="16.5">
      <c r="E7378" s="123"/>
    </row>
    <row r="7379" spans="5:5" ht="16.5">
      <c r="E7379" s="123"/>
    </row>
    <row r="7380" spans="5:5" ht="16.5">
      <c r="E7380" s="123"/>
    </row>
    <row r="7381" spans="5:5" ht="16.5">
      <c r="E7381" s="123"/>
    </row>
    <row r="7382" spans="5:5" ht="16.5">
      <c r="E7382" s="123"/>
    </row>
    <row r="7383" spans="5:5" ht="16.5">
      <c r="E7383" s="123"/>
    </row>
    <row r="7384" spans="5:5" ht="16.5">
      <c r="E7384" s="123"/>
    </row>
    <row r="7385" spans="5:5" ht="16.5">
      <c r="E7385" s="123"/>
    </row>
    <row r="7386" spans="5:5" ht="16.5">
      <c r="E7386" s="123"/>
    </row>
    <row r="7387" spans="5:5" ht="16.5">
      <c r="E7387" s="123"/>
    </row>
    <row r="7388" spans="5:5" ht="16.5">
      <c r="E7388" s="123"/>
    </row>
    <row r="7389" spans="5:5" ht="16.5">
      <c r="E7389" s="123"/>
    </row>
    <row r="7390" spans="5:5" ht="16.5">
      <c r="E7390" s="123"/>
    </row>
    <row r="7391" spans="5:5" ht="16.5">
      <c r="E7391" s="123"/>
    </row>
    <row r="7392" spans="5:5" ht="16.5">
      <c r="E7392" s="123"/>
    </row>
    <row r="7393" spans="5:5" ht="16.5">
      <c r="E7393" s="123"/>
    </row>
    <row r="7394" spans="5:5" ht="16.5">
      <c r="E7394" s="123"/>
    </row>
    <row r="7395" spans="5:5" ht="16.5">
      <c r="E7395" s="123"/>
    </row>
    <row r="7396" spans="5:5" ht="16.5">
      <c r="E7396" s="123"/>
    </row>
    <row r="7397" spans="5:5" ht="16.5">
      <c r="E7397" s="123"/>
    </row>
    <row r="7398" spans="5:5" ht="16.5">
      <c r="E7398" s="123"/>
    </row>
    <row r="7399" spans="5:5" ht="16.5">
      <c r="E7399" s="123"/>
    </row>
    <row r="7400" spans="5:5" ht="16.5">
      <c r="E7400" s="123"/>
    </row>
    <row r="7401" spans="5:5" ht="16.5">
      <c r="E7401" s="123"/>
    </row>
    <row r="7402" spans="5:5" ht="16.5">
      <c r="E7402" s="123"/>
    </row>
    <row r="7403" spans="5:5" ht="16.5">
      <c r="E7403" s="123"/>
    </row>
    <row r="7404" spans="5:5" ht="16.5">
      <c r="E7404" s="123"/>
    </row>
    <row r="7405" spans="5:5" ht="16.5">
      <c r="E7405" s="123"/>
    </row>
    <row r="7406" spans="5:5" ht="16.5">
      <c r="E7406" s="123"/>
    </row>
    <row r="7407" spans="5:5" ht="16.5">
      <c r="E7407" s="123"/>
    </row>
    <row r="7408" spans="5:5" ht="16.5">
      <c r="E7408" s="123"/>
    </row>
    <row r="7409" spans="5:5" ht="16.5">
      <c r="E7409" s="123"/>
    </row>
    <row r="7410" spans="5:5" ht="16.5">
      <c r="E7410" s="123"/>
    </row>
    <row r="7411" spans="5:5" ht="16.5">
      <c r="E7411" s="123"/>
    </row>
    <row r="7412" spans="5:5" ht="16.5">
      <c r="E7412" s="123"/>
    </row>
    <row r="7413" spans="5:5" ht="16.5">
      <c r="E7413" s="123"/>
    </row>
    <row r="7414" spans="5:5" ht="16.5">
      <c r="E7414" s="123"/>
    </row>
    <row r="7415" spans="5:5" ht="16.5">
      <c r="E7415" s="123"/>
    </row>
    <row r="7416" spans="5:5" ht="16.5">
      <c r="E7416" s="123"/>
    </row>
    <row r="7417" spans="5:5" ht="16.5">
      <c r="E7417" s="123"/>
    </row>
    <row r="7418" spans="5:5" ht="16.5">
      <c r="E7418" s="123"/>
    </row>
    <row r="7419" spans="5:5" ht="16.5">
      <c r="E7419" s="123"/>
    </row>
    <row r="7420" spans="5:5" ht="16.5">
      <c r="E7420" s="123"/>
    </row>
    <row r="7421" spans="5:5" ht="16.5">
      <c r="E7421" s="123"/>
    </row>
    <row r="7422" spans="5:5" ht="16.5">
      <c r="E7422" s="123"/>
    </row>
    <row r="7423" spans="5:5" ht="16.5">
      <c r="E7423" s="123"/>
    </row>
    <row r="7424" spans="5:5" ht="16.5">
      <c r="E7424" s="123"/>
    </row>
    <row r="7425" spans="5:5" ht="16.5">
      <c r="E7425" s="123"/>
    </row>
    <row r="7426" spans="5:5" ht="16.5">
      <c r="E7426" s="123"/>
    </row>
    <row r="7427" spans="5:5" ht="16.5">
      <c r="E7427" s="123"/>
    </row>
    <row r="7428" spans="5:5" ht="16.5">
      <c r="E7428" s="123"/>
    </row>
    <row r="7429" spans="5:5" ht="16.5">
      <c r="E7429" s="123"/>
    </row>
    <row r="7430" spans="5:5" ht="16.5">
      <c r="E7430" s="123"/>
    </row>
    <row r="7431" spans="5:5" ht="16.5">
      <c r="E7431" s="123"/>
    </row>
    <row r="7432" spans="5:5" ht="16.5">
      <c r="E7432" s="123"/>
    </row>
    <row r="7433" spans="5:5" ht="16.5">
      <c r="E7433" s="123"/>
    </row>
    <row r="7434" spans="5:5" ht="16.5">
      <c r="E7434" s="123"/>
    </row>
    <row r="7435" spans="5:5" ht="16.5">
      <c r="E7435" s="123"/>
    </row>
    <row r="7436" spans="5:5" ht="16.5">
      <c r="E7436" s="123"/>
    </row>
    <row r="7437" spans="5:5" ht="16.5">
      <c r="E7437" s="123"/>
    </row>
    <row r="7438" spans="5:5" ht="16.5">
      <c r="E7438" s="123"/>
    </row>
    <row r="7439" spans="5:5" ht="16.5">
      <c r="E7439" s="123"/>
    </row>
    <row r="7440" spans="5:5" ht="16.5">
      <c r="E7440" s="123"/>
    </row>
    <row r="7441" spans="5:5" ht="16.5">
      <c r="E7441" s="123"/>
    </row>
    <row r="7442" spans="5:5" ht="16.5">
      <c r="E7442" s="123"/>
    </row>
    <row r="7443" spans="5:5" ht="16.5">
      <c r="E7443" s="123"/>
    </row>
    <row r="7444" spans="5:5" ht="16.5">
      <c r="E7444" s="123"/>
    </row>
    <row r="7445" spans="5:5" ht="16.5">
      <c r="E7445" s="123"/>
    </row>
    <row r="7446" spans="5:5" ht="16.5">
      <c r="E7446" s="123"/>
    </row>
    <row r="7447" spans="5:5" ht="16.5">
      <c r="E7447" s="123"/>
    </row>
    <row r="7448" spans="5:5" ht="16.5">
      <c r="E7448" s="123"/>
    </row>
    <row r="7449" spans="5:5" ht="16.5">
      <c r="E7449" s="123"/>
    </row>
    <row r="7450" spans="5:5" ht="16.5">
      <c r="E7450" s="123"/>
    </row>
    <row r="7451" spans="5:5" ht="16.5">
      <c r="E7451" s="123"/>
    </row>
    <row r="7452" spans="5:5" ht="16.5">
      <c r="E7452" s="123"/>
    </row>
    <row r="7453" spans="5:5" ht="16.5">
      <c r="E7453" s="123"/>
    </row>
    <row r="7454" spans="5:5" ht="16.5">
      <c r="E7454" s="123"/>
    </row>
    <row r="7455" spans="5:5" ht="16.5">
      <c r="E7455" s="123"/>
    </row>
    <row r="7456" spans="5:5" ht="16.5">
      <c r="E7456" s="123"/>
    </row>
    <row r="7457" spans="5:5" ht="16.5">
      <c r="E7457" s="123"/>
    </row>
    <row r="7458" spans="5:5" ht="16.5">
      <c r="E7458" s="123"/>
    </row>
    <row r="7459" spans="5:5" ht="16.5">
      <c r="E7459" s="123"/>
    </row>
    <row r="7460" spans="5:5" ht="16.5">
      <c r="E7460" s="123"/>
    </row>
    <row r="7461" spans="5:5" ht="16.5">
      <c r="E7461" s="123"/>
    </row>
    <row r="7462" spans="5:5" ht="16.5">
      <c r="E7462" s="123"/>
    </row>
    <row r="7463" spans="5:5" ht="16.5">
      <c r="E7463" s="123"/>
    </row>
    <row r="7464" spans="5:5" ht="16.5">
      <c r="E7464" s="123"/>
    </row>
    <row r="7465" spans="5:5" ht="16.5">
      <c r="E7465" s="123"/>
    </row>
    <row r="7466" spans="5:5" ht="16.5">
      <c r="E7466" s="123"/>
    </row>
    <row r="7467" spans="5:5" ht="16.5">
      <c r="E7467" s="123"/>
    </row>
    <row r="7468" spans="5:5" ht="16.5">
      <c r="E7468" s="123"/>
    </row>
    <row r="7469" spans="5:5" ht="16.5">
      <c r="E7469" s="123"/>
    </row>
    <row r="7470" spans="5:5" ht="16.5">
      <c r="E7470" s="123"/>
    </row>
    <row r="7471" spans="5:5" ht="16.5">
      <c r="E7471" s="123"/>
    </row>
    <row r="7472" spans="5:5" ht="16.5">
      <c r="E7472" s="123"/>
    </row>
    <row r="7473" spans="5:5" ht="16.5">
      <c r="E7473" s="123"/>
    </row>
    <row r="7474" spans="5:5" ht="16.5">
      <c r="E7474" s="123"/>
    </row>
    <row r="7475" spans="5:5" ht="16.5">
      <c r="E7475" s="123"/>
    </row>
    <row r="7476" spans="5:5" ht="16.5">
      <c r="E7476" s="123"/>
    </row>
    <row r="7477" spans="5:5" ht="16.5">
      <c r="E7477" s="123"/>
    </row>
    <row r="7478" spans="5:5" ht="16.5">
      <c r="E7478" s="123"/>
    </row>
    <row r="7479" spans="5:5" ht="16.5">
      <c r="E7479" s="123"/>
    </row>
    <row r="7480" spans="5:5" ht="16.5">
      <c r="E7480" s="123"/>
    </row>
    <row r="7481" spans="5:5" ht="16.5">
      <c r="E7481" s="123"/>
    </row>
    <row r="7482" spans="5:5" ht="16.5">
      <c r="E7482" s="123"/>
    </row>
    <row r="7483" spans="5:5" ht="16.5">
      <c r="E7483" s="123"/>
    </row>
    <row r="7484" spans="5:5" ht="16.5">
      <c r="E7484" s="123"/>
    </row>
    <row r="7485" spans="5:5" ht="16.5">
      <c r="E7485" s="123"/>
    </row>
    <row r="7486" spans="5:5" ht="16.5">
      <c r="E7486" s="123"/>
    </row>
    <row r="7487" spans="5:5" ht="16.5">
      <c r="E7487" s="123"/>
    </row>
    <row r="7488" spans="5:5" ht="16.5">
      <c r="E7488" s="123"/>
    </row>
    <row r="7489" spans="5:5" ht="16.5">
      <c r="E7489" s="123"/>
    </row>
    <row r="7490" spans="5:5" ht="16.5">
      <c r="E7490" s="123"/>
    </row>
    <row r="7491" spans="5:5" ht="16.5">
      <c r="E7491" s="123"/>
    </row>
    <row r="7492" spans="5:5" ht="16.5">
      <c r="E7492" s="123"/>
    </row>
    <row r="7493" spans="5:5" ht="16.5">
      <c r="E7493" s="123"/>
    </row>
    <row r="7494" spans="5:5" ht="16.5">
      <c r="E7494" s="123"/>
    </row>
    <row r="7495" spans="5:5" ht="16.5">
      <c r="E7495" s="123"/>
    </row>
    <row r="7496" spans="5:5" ht="16.5">
      <c r="E7496" s="123"/>
    </row>
    <row r="7497" spans="5:5" ht="16.5">
      <c r="E7497" s="123"/>
    </row>
    <row r="7498" spans="5:5" ht="16.5">
      <c r="E7498" s="123"/>
    </row>
    <row r="7499" spans="5:5" ht="16.5">
      <c r="E7499" s="123"/>
    </row>
    <row r="7500" spans="5:5" ht="16.5">
      <c r="E7500" s="123"/>
    </row>
    <row r="7501" spans="5:5" ht="16.5">
      <c r="E7501" s="123"/>
    </row>
    <row r="7502" spans="5:5" ht="16.5">
      <c r="E7502" s="123"/>
    </row>
    <row r="7503" spans="5:5" ht="16.5">
      <c r="E7503" s="123"/>
    </row>
    <row r="7504" spans="5:5" ht="16.5">
      <c r="E7504" s="123"/>
    </row>
    <row r="7505" spans="5:5" ht="16.5">
      <c r="E7505" s="123"/>
    </row>
    <row r="7506" spans="5:5" ht="16.5">
      <c r="E7506" s="123"/>
    </row>
    <row r="7507" spans="5:5" ht="16.5">
      <c r="E7507" s="123"/>
    </row>
    <row r="7508" spans="5:5" ht="16.5">
      <c r="E7508" s="123"/>
    </row>
    <row r="7509" spans="5:5" ht="16.5">
      <c r="E7509" s="123"/>
    </row>
    <row r="7510" spans="5:5" ht="16.5">
      <c r="E7510" s="123"/>
    </row>
    <row r="7511" spans="5:5" ht="16.5">
      <c r="E7511" s="123"/>
    </row>
    <row r="7512" spans="5:5" ht="16.5">
      <c r="E7512" s="123"/>
    </row>
    <row r="7513" spans="5:5" ht="16.5">
      <c r="E7513" s="123"/>
    </row>
    <row r="7514" spans="5:5" ht="16.5">
      <c r="E7514" s="123"/>
    </row>
    <row r="7515" spans="5:5" ht="16.5">
      <c r="E7515" s="123"/>
    </row>
    <row r="7516" spans="5:5" ht="16.5">
      <c r="E7516" s="123"/>
    </row>
    <row r="7517" spans="5:5" ht="16.5">
      <c r="E7517" s="123"/>
    </row>
    <row r="7518" spans="5:5" ht="16.5">
      <c r="E7518" s="123"/>
    </row>
    <row r="7519" spans="5:5" ht="16.5">
      <c r="E7519" s="123"/>
    </row>
    <row r="7520" spans="5:5" ht="16.5">
      <c r="E7520" s="123"/>
    </row>
    <row r="7521" spans="5:5" ht="16.5">
      <c r="E7521" s="123"/>
    </row>
    <row r="7522" spans="5:5" ht="16.5">
      <c r="E7522" s="123"/>
    </row>
    <row r="7523" spans="5:5" ht="16.5">
      <c r="E7523" s="123"/>
    </row>
    <row r="7524" spans="5:5" ht="16.5">
      <c r="E7524" s="123"/>
    </row>
    <row r="7525" spans="5:5" ht="16.5">
      <c r="E7525" s="123"/>
    </row>
    <row r="7526" spans="5:5" ht="16.5">
      <c r="E7526" s="123"/>
    </row>
    <row r="7527" spans="5:5" ht="16.5">
      <c r="E7527" s="123"/>
    </row>
    <row r="7528" spans="5:5" ht="16.5">
      <c r="E7528" s="123"/>
    </row>
    <row r="7529" spans="5:5" ht="16.5">
      <c r="E7529" s="123"/>
    </row>
    <row r="7530" spans="5:5" ht="16.5">
      <c r="E7530" s="123"/>
    </row>
    <row r="7531" spans="5:5" ht="16.5">
      <c r="E7531" s="123"/>
    </row>
    <row r="7532" spans="5:5" ht="16.5">
      <c r="E7532" s="123"/>
    </row>
    <row r="7533" spans="5:5" ht="16.5">
      <c r="E7533" s="123"/>
    </row>
    <row r="7534" spans="5:5" ht="16.5">
      <c r="E7534" s="123"/>
    </row>
    <row r="7535" spans="5:5" ht="16.5">
      <c r="E7535" s="123"/>
    </row>
    <row r="7536" spans="5:5" ht="16.5">
      <c r="E7536" s="123"/>
    </row>
    <row r="7537" spans="5:5" ht="16.5">
      <c r="E7537" s="123"/>
    </row>
    <row r="7538" spans="5:5" ht="16.5">
      <c r="E7538" s="123"/>
    </row>
    <row r="7539" spans="5:5" ht="16.5">
      <c r="E7539" s="123"/>
    </row>
    <row r="7540" spans="5:5" ht="16.5">
      <c r="E7540" s="123"/>
    </row>
    <row r="7541" spans="5:5" ht="16.5">
      <c r="E7541" s="123"/>
    </row>
    <row r="7542" spans="5:5" ht="16.5">
      <c r="E7542" s="123"/>
    </row>
    <row r="7543" spans="5:5" ht="16.5">
      <c r="E7543" s="123"/>
    </row>
    <row r="7544" spans="5:5" ht="16.5">
      <c r="E7544" s="123"/>
    </row>
    <row r="7545" spans="5:5" ht="16.5">
      <c r="E7545" s="123"/>
    </row>
    <row r="7546" spans="5:5" ht="16.5">
      <c r="E7546" s="123"/>
    </row>
    <row r="7547" spans="5:5" ht="16.5">
      <c r="E7547" s="123"/>
    </row>
    <row r="7548" spans="5:5" ht="16.5">
      <c r="E7548" s="123"/>
    </row>
    <row r="7549" spans="5:5" ht="16.5">
      <c r="E7549" s="123"/>
    </row>
    <row r="7550" spans="5:5" ht="16.5">
      <c r="E7550" s="123"/>
    </row>
    <row r="7551" spans="5:5" ht="16.5">
      <c r="E7551" s="123"/>
    </row>
    <row r="7552" spans="5:5" ht="16.5">
      <c r="E7552" s="123"/>
    </row>
    <row r="7553" spans="5:5" ht="16.5">
      <c r="E7553" s="123"/>
    </row>
    <row r="7554" spans="5:5" ht="16.5">
      <c r="E7554" s="123"/>
    </row>
    <row r="7555" spans="5:5" ht="16.5">
      <c r="E7555" s="123"/>
    </row>
    <row r="7556" spans="5:5" ht="16.5">
      <c r="E7556" s="123"/>
    </row>
    <row r="7557" spans="5:5" ht="16.5">
      <c r="E7557" s="123"/>
    </row>
    <row r="7558" spans="5:5" ht="16.5">
      <c r="E7558" s="123"/>
    </row>
    <row r="7559" spans="5:5" ht="16.5">
      <c r="E7559" s="123"/>
    </row>
    <row r="7560" spans="5:5" ht="16.5">
      <c r="E7560" s="123"/>
    </row>
    <row r="7561" spans="5:5" ht="16.5">
      <c r="E7561" s="123"/>
    </row>
    <row r="7562" spans="5:5" ht="16.5">
      <c r="E7562" s="123"/>
    </row>
    <row r="7563" spans="5:5" ht="16.5">
      <c r="E7563" s="123"/>
    </row>
    <row r="7564" spans="5:5" ht="16.5">
      <c r="E7564" s="123"/>
    </row>
    <row r="7565" spans="5:5" ht="16.5">
      <c r="E7565" s="123"/>
    </row>
    <row r="7566" spans="5:5" ht="16.5">
      <c r="E7566" s="123"/>
    </row>
    <row r="7567" spans="5:5" ht="16.5">
      <c r="E7567" s="123"/>
    </row>
    <row r="7568" spans="5:5" ht="16.5">
      <c r="E7568" s="123"/>
    </row>
    <row r="7569" spans="5:5" ht="16.5">
      <c r="E7569" s="123"/>
    </row>
    <row r="7570" spans="5:5" ht="16.5">
      <c r="E7570" s="123"/>
    </row>
    <row r="7571" spans="5:5" ht="16.5">
      <c r="E7571" s="123"/>
    </row>
    <row r="7572" spans="5:5" ht="16.5">
      <c r="E7572" s="123"/>
    </row>
    <row r="7573" spans="5:5" ht="16.5">
      <c r="E7573" s="123"/>
    </row>
    <row r="7574" spans="5:5" ht="16.5">
      <c r="E7574" s="123"/>
    </row>
    <row r="7575" spans="5:5" ht="16.5">
      <c r="E7575" s="123"/>
    </row>
    <row r="7576" spans="5:5" ht="16.5">
      <c r="E7576" s="123"/>
    </row>
    <row r="7577" spans="5:5" ht="16.5">
      <c r="E7577" s="123"/>
    </row>
    <row r="7578" spans="5:5" ht="16.5">
      <c r="E7578" s="123"/>
    </row>
    <row r="7579" spans="5:5" ht="16.5">
      <c r="E7579" s="123"/>
    </row>
    <row r="7580" spans="5:5" ht="16.5">
      <c r="E7580" s="123"/>
    </row>
    <row r="7581" spans="5:5" ht="16.5">
      <c r="E7581" s="123"/>
    </row>
    <row r="7582" spans="5:5" ht="16.5">
      <c r="E7582" s="123"/>
    </row>
    <row r="7583" spans="5:5" ht="16.5">
      <c r="E7583" s="123"/>
    </row>
    <row r="7584" spans="5:5" ht="16.5">
      <c r="E7584" s="123"/>
    </row>
    <row r="7585" spans="5:5" ht="16.5">
      <c r="E7585" s="123"/>
    </row>
    <row r="7586" spans="5:5" ht="16.5">
      <c r="E7586" s="123"/>
    </row>
    <row r="7587" spans="5:5" ht="16.5">
      <c r="E7587" s="123"/>
    </row>
    <row r="7588" spans="5:5" ht="16.5">
      <c r="E7588" s="123"/>
    </row>
    <row r="7589" spans="5:5" ht="16.5">
      <c r="E7589" s="123"/>
    </row>
    <row r="7590" spans="5:5" ht="16.5">
      <c r="E7590" s="123"/>
    </row>
    <row r="7591" spans="5:5" ht="16.5">
      <c r="E7591" s="123"/>
    </row>
    <row r="7592" spans="5:5" ht="16.5">
      <c r="E7592" s="123"/>
    </row>
    <row r="7593" spans="5:5" ht="16.5">
      <c r="E7593" s="123"/>
    </row>
    <row r="7594" spans="5:5" ht="16.5">
      <c r="E7594" s="123"/>
    </row>
    <row r="7595" spans="5:5" ht="16.5">
      <c r="E7595" s="123"/>
    </row>
    <row r="7596" spans="5:5" ht="16.5">
      <c r="E7596" s="123"/>
    </row>
    <row r="7597" spans="5:5" ht="16.5">
      <c r="E7597" s="123"/>
    </row>
    <row r="7598" spans="5:5" ht="16.5">
      <c r="E7598" s="123"/>
    </row>
    <row r="7599" spans="5:5" ht="16.5">
      <c r="E7599" s="123"/>
    </row>
    <row r="7600" spans="5:5" ht="16.5">
      <c r="E7600" s="123"/>
    </row>
    <row r="7601" spans="5:5" ht="16.5">
      <c r="E7601" s="123"/>
    </row>
    <row r="7602" spans="5:5" ht="16.5">
      <c r="E7602" s="123"/>
    </row>
    <row r="7603" spans="5:5" ht="16.5">
      <c r="E7603" s="123"/>
    </row>
    <row r="7604" spans="5:5" ht="16.5">
      <c r="E7604" s="123"/>
    </row>
    <row r="7605" spans="5:5" ht="16.5">
      <c r="E7605" s="123"/>
    </row>
    <row r="7606" spans="5:5" ht="16.5">
      <c r="E7606" s="123"/>
    </row>
    <row r="7607" spans="5:5" ht="16.5">
      <c r="E7607" s="123"/>
    </row>
    <row r="7608" spans="5:5" ht="16.5">
      <c r="E7608" s="123"/>
    </row>
    <row r="7609" spans="5:5" ht="16.5">
      <c r="E7609" s="123"/>
    </row>
    <row r="7610" spans="5:5" ht="16.5">
      <c r="E7610" s="123"/>
    </row>
    <row r="7611" spans="5:5" ht="16.5">
      <c r="E7611" s="123"/>
    </row>
    <row r="7612" spans="5:5" ht="16.5">
      <c r="E7612" s="123"/>
    </row>
    <row r="7613" spans="5:5" ht="16.5">
      <c r="E7613" s="123"/>
    </row>
    <row r="7614" spans="5:5" ht="16.5">
      <c r="E7614" s="123"/>
    </row>
    <row r="7615" spans="5:5" ht="16.5">
      <c r="E7615" s="123"/>
    </row>
    <row r="7616" spans="5:5" ht="16.5">
      <c r="E7616" s="123"/>
    </row>
    <row r="7617" spans="5:5" ht="16.5">
      <c r="E7617" s="123"/>
    </row>
    <row r="7618" spans="5:5" ht="16.5">
      <c r="E7618" s="123"/>
    </row>
    <row r="7619" spans="5:5" ht="16.5">
      <c r="E7619" s="123"/>
    </row>
    <row r="7620" spans="5:5" ht="16.5">
      <c r="E7620" s="123"/>
    </row>
    <row r="7621" spans="5:5" ht="16.5">
      <c r="E7621" s="123"/>
    </row>
    <row r="7622" spans="5:5" ht="16.5">
      <c r="E7622" s="123"/>
    </row>
    <row r="7623" spans="5:5" ht="16.5">
      <c r="E7623" s="123"/>
    </row>
    <row r="7624" spans="5:5" ht="16.5">
      <c r="E7624" s="123"/>
    </row>
    <row r="7625" spans="5:5" ht="16.5">
      <c r="E7625" s="123"/>
    </row>
    <row r="7626" spans="5:5" ht="16.5">
      <c r="E7626" s="123"/>
    </row>
    <row r="7627" spans="5:5" ht="16.5">
      <c r="E7627" s="123"/>
    </row>
    <row r="7628" spans="5:5" ht="16.5">
      <c r="E7628" s="123"/>
    </row>
    <row r="7629" spans="5:5" ht="16.5">
      <c r="E7629" s="123"/>
    </row>
    <row r="7630" spans="5:5" ht="16.5">
      <c r="E7630" s="123"/>
    </row>
    <row r="7631" spans="5:5" ht="16.5">
      <c r="E7631" s="123"/>
    </row>
    <row r="7632" spans="5:5" ht="16.5">
      <c r="E7632" s="123"/>
    </row>
    <row r="7633" spans="5:5" ht="16.5">
      <c r="E7633" s="123"/>
    </row>
    <row r="7634" spans="5:5" ht="16.5">
      <c r="E7634" s="123"/>
    </row>
    <row r="7635" spans="5:5" ht="16.5">
      <c r="E7635" s="123"/>
    </row>
    <row r="7636" spans="5:5" ht="16.5">
      <c r="E7636" s="123"/>
    </row>
    <row r="7637" spans="5:5" ht="16.5">
      <c r="E7637" s="123"/>
    </row>
    <row r="7638" spans="5:5" ht="16.5">
      <c r="E7638" s="123"/>
    </row>
    <row r="7639" spans="5:5" ht="16.5">
      <c r="E7639" s="123"/>
    </row>
    <row r="7640" spans="5:5" ht="16.5">
      <c r="E7640" s="123"/>
    </row>
    <row r="7641" spans="5:5" ht="16.5">
      <c r="E7641" s="123"/>
    </row>
    <row r="7642" spans="5:5" ht="16.5">
      <c r="E7642" s="123"/>
    </row>
    <row r="7643" spans="5:5" ht="16.5">
      <c r="E7643" s="123"/>
    </row>
    <row r="7644" spans="5:5" ht="16.5">
      <c r="E7644" s="123"/>
    </row>
    <row r="7645" spans="5:5" ht="16.5">
      <c r="E7645" s="123"/>
    </row>
    <row r="7646" spans="5:5" ht="16.5">
      <c r="E7646" s="123"/>
    </row>
    <row r="7647" spans="5:5" ht="16.5">
      <c r="E7647" s="123"/>
    </row>
    <row r="7648" spans="5:5" ht="16.5">
      <c r="E7648" s="123"/>
    </row>
    <row r="7649" spans="5:5" ht="16.5">
      <c r="E7649" s="123"/>
    </row>
    <row r="7650" spans="5:5" ht="16.5">
      <c r="E7650" s="123"/>
    </row>
    <row r="7651" spans="5:5" ht="16.5">
      <c r="E7651" s="123"/>
    </row>
    <row r="7652" spans="5:5" ht="16.5">
      <c r="E7652" s="123"/>
    </row>
    <row r="7653" spans="5:5" ht="16.5">
      <c r="E7653" s="123"/>
    </row>
    <row r="7654" spans="5:5" ht="16.5">
      <c r="E7654" s="123"/>
    </row>
    <row r="7655" spans="5:5" ht="16.5">
      <c r="E7655" s="123"/>
    </row>
    <row r="7656" spans="5:5" ht="16.5">
      <c r="E7656" s="123"/>
    </row>
    <row r="7657" spans="5:5" ht="16.5">
      <c r="E7657" s="123"/>
    </row>
    <row r="7658" spans="5:5" ht="16.5">
      <c r="E7658" s="123"/>
    </row>
    <row r="7659" spans="5:5" ht="16.5">
      <c r="E7659" s="123"/>
    </row>
    <row r="7660" spans="5:5" ht="16.5">
      <c r="E7660" s="123"/>
    </row>
    <row r="7661" spans="5:5" ht="16.5">
      <c r="E7661" s="123"/>
    </row>
    <row r="7662" spans="5:5" ht="16.5">
      <c r="E7662" s="123"/>
    </row>
    <row r="7663" spans="5:5" ht="16.5">
      <c r="E7663" s="123"/>
    </row>
    <row r="7664" spans="5:5" ht="16.5">
      <c r="E7664" s="123"/>
    </row>
    <row r="7665" spans="5:5" ht="16.5">
      <c r="E7665" s="123"/>
    </row>
    <row r="7666" spans="5:5" ht="16.5">
      <c r="E7666" s="123"/>
    </row>
    <row r="7667" spans="5:5" ht="16.5">
      <c r="E7667" s="123"/>
    </row>
    <row r="7668" spans="5:5" ht="16.5">
      <c r="E7668" s="123"/>
    </row>
    <row r="7669" spans="5:5" ht="16.5">
      <c r="E7669" s="123"/>
    </row>
    <row r="7670" spans="5:5" ht="16.5">
      <c r="E7670" s="123"/>
    </row>
    <row r="7671" spans="5:5" ht="16.5">
      <c r="E7671" s="123"/>
    </row>
    <row r="7672" spans="5:5" ht="16.5">
      <c r="E7672" s="123"/>
    </row>
    <row r="7673" spans="5:5" ht="16.5">
      <c r="E7673" s="123"/>
    </row>
    <row r="7674" spans="5:5" ht="16.5">
      <c r="E7674" s="123"/>
    </row>
    <row r="7675" spans="5:5" ht="16.5">
      <c r="E7675" s="123"/>
    </row>
    <row r="7676" spans="5:5" ht="16.5">
      <c r="E7676" s="123"/>
    </row>
    <row r="7677" spans="5:5" ht="16.5">
      <c r="E7677" s="123"/>
    </row>
    <row r="7678" spans="5:5" ht="16.5">
      <c r="E7678" s="123"/>
    </row>
    <row r="7679" spans="5:5" ht="16.5">
      <c r="E7679" s="123"/>
    </row>
    <row r="7680" spans="5:5" ht="16.5">
      <c r="E7680" s="123"/>
    </row>
    <row r="7681" spans="5:5" ht="16.5">
      <c r="E7681" s="123"/>
    </row>
    <row r="7682" spans="5:5" ht="16.5">
      <c r="E7682" s="123"/>
    </row>
    <row r="7683" spans="5:5" ht="16.5">
      <c r="E7683" s="123"/>
    </row>
    <row r="7684" spans="5:5" ht="16.5">
      <c r="E7684" s="123"/>
    </row>
    <row r="7685" spans="5:5" ht="16.5">
      <c r="E7685" s="123"/>
    </row>
    <row r="7686" spans="5:5" ht="16.5">
      <c r="E7686" s="123"/>
    </row>
    <row r="7687" spans="5:5" ht="16.5">
      <c r="E7687" s="123"/>
    </row>
    <row r="7688" spans="5:5" ht="16.5">
      <c r="E7688" s="123"/>
    </row>
    <row r="7689" spans="5:5" ht="16.5">
      <c r="E7689" s="123"/>
    </row>
    <row r="7690" spans="5:5" ht="16.5">
      <c r="E7690" s="123"/>
    </row>
    <row r="7691" spans="5:5" ht="16.5">
      <c r="E7691" s="123"/>
    </row>
    <row r="7692" spans="5:5" ht="16.5">
      <c r="E7692" s="123"/>
    </row>
    <row r="7693" spans="5:5" ht="16.5">
      <c r="E7693" s="123"/>
    </row>
    <row r="7694" spans="5:5" ht="16.5">
      <c r="E7694" s="123"/>
    </row>
    <row r="7695" spans="5:5" ht="16.5">
      <c r="E7695" s="123"/>
    </row>
    <row r="7696" spans="5:5" ht="16.5">
      <c r="E7696" s="123"/>
    </row>
    <row r="7697" spans="5:5" ht="16.5">
      <c r="E7697" s="123"/>
    </row>
    <row r="7698" spans="5:5" ht="16.5">
      <c r="E7698" s="123"/>
    </row>
    <row r="7699" spans="5:5" ht="16.5">
      <c r="E7699" s="123"/>
    </row>
    <row r="7700" spans="5:5" ht="16.5">
      <c r="E7700" s="123"/>
    </row>
    <row r="7701" spans="5:5" ht="16.5">
      <c r="E7701" s="123"/>
    </row>
    <row r="7702" spans="5:5" ht="16.5">
      <c r="E7702" s="123"/>
    </row>
    <row r="7703" spans="5:5" ht="16.5">
      <c r="E7703" s="123"/>
    </row>
    <row r="7704" spans="5:5" ht="16.5">
      <c r="E7704" s="123"/>
    </row>
    <row r="7705" spans="5:5" ht="16.5">
      <c r="E7705" s="123"/>
    </row>
    <row r="7706" spans="5:5" ht="16.5">
      <c r="E7706" s="123"/>
    </row>
    <row r="7707" spans="5:5" ht="16.5">
      <c r="E7707" s="123"/>
    </row>
    <row r="7708" spans="5:5" ht="16.5">
      <c r="E7708" s="123"/>
    </row>
    <row r="7709" spans="5:5" ht="16.5">
      <c r="E7709" s="123"/>
    </row>
    <row r="7710" spans="5:5" ht="16.5">
      <c r="E7710" s="123"/>
    </row>
    <row r="7711" spans="5:5" ht="16.5">
      <c r="E7711" s="123"/>
    </row>
    <row r="7712" spans="5:5" ht="16.5">
      <c r="E7712" s="123"/>
    </row>
    <row r="7713" spans="5:5" ht="16.5">
      <c r="E7713" s="123"/>
    </row>
    <row r="7714" spans="5:5" ht="16.5">
      <c r="E7714" s="123"/>
    </row>
    <row r="7715" spans="5:5" ht="16.5">
      <c r="E7715" s="123"/>
    </row>
    <row r="7716" spans="5:5" ht="16.5">
      <c r="E7716" s="123"/>
    </row>
    <row r="7717" spans="5:5" ht="16.5">
      <c r="E7717" s="123"/>
    </row>
    <row r="7718" spans="5:5" ht="16.5">
      <c r="E7718" s="123"/>
    </row>
    <row r="7719" spans="5:5" ht="16.5">
      <c r="E7719" s="123"/>
    </row>
    <row r="7720" spans="5:5" ht="16.5">
      <c r="E7720" s="123"/>
    </row>
    <row r="7721" spans="5:5" ht="16.5">
      <c r="E7721" s="123"/>
    </row>
    <row r="7722" spans="5:5" ht="16.5">
      <c r="E7722" s="123"/>
    </row>
    <row r="7723" spans="5:5" ht="16.5">
      <c r="E7723" s="123"/>
    </row>
    <row r="7724" spans="5:5" ht="16.5">
      <c r="E7724" s="123"/>
    </row>
    <row r="7725" spans="5:5" ht="16.5">
      <c r="E7725" s="123"/>
    </row>
    <row r="7726" spans="5:5" ht="16.5">
      <c r="E7726" s="123"/>
    </row>
    <row r="7727" spans="5:5" ht="16.5">
      <c r="E7727" s="123"/>
    </row>
    <row r="7728" spans="5:5" ht="16.5">
      <c r="E7728" s="123"/>
    </row>
    <row r="7729" spans="5:5" ht="16.5">
      <c r="E7729" s="123"/>
    </row>
    <row r="7730" spans="5:5" ht="16.5">
      <c r="E7730" s="123"/>
    </row>
    <row r="7731" spans="5:5" ht="16.5">
      <c r="E7731" s="123"/>
    </row>
    <row r="7732" spans="5:5" ht="16.5">
      <c r="E7732" s="123"/>
    </row>
    <row r="7733" spans="5:5" ht="16.5">
      <c r="E7733" s="123"/>
    </row>
    <row r="7734" spans="5:5" ht="16.5">
      <c r="E7734" s="123"/>
    </row>
    <row r="7735" spans="5:5" ht="16.5">
      <c r="E7735" s="123"/>
    </row>
    <row r="7736" spans="5:5" ht="16.5">
      <c r="E7736" s="123"/>
    </row>
    <row r="7737" spans="5:5" ht="16.5">
      <c r="E7737" s="123"/>
    </row>
    <row r="7738" spans="5:5" ht="16.5">
      <c r="E7738" s="123"/>
    </row>
    <row r="7739" spans="5:5" ht="16.5">
      <c r="E7739" s="123"/>
    </row>
    <row r="7740" spans="5:5" ht="16.5">
      <c r="E7740" s="123"/>
    </row>
    <row r="7741" spans="5:5" ht="16.5">
      <c r="E7741" s="123"/>
    </row>
    <row r="7742" spans="5:5" ht="16.5">
      <c r="E7742" s="123"/>
    </row>
    <row r="7743" spans="5:5" ht="16.5">
      <c r="E7743" s="123"/>
    </row>
    <row r="7744" spans="5:5" ht="16.5">
      <c r="E7744" s="123"/>
    </row>
    <row r="7745" spans="5:5" ht="16.5">
      <c r="E7745" s="123"/>
    </row>
    <row r="7746" spans="5:5" ht="16.5">
      <c r="E7746" s="123"/>
    </row>
    <row r="7747" spans="5:5" ht="16.5">
      <c r="E7747" s="123"/>
    </row>
    <row r="7748" spans="5:5" ht="16.5">
      <c r="E7748" s="123"/>
    </row>
    <row r="7749" spans="5:5" ht="16.5">
      <c r="E7749" s="123"/>
    </row>
    <row r="7750" spans="5:5" ht="16.5">
      <c r="E7750" s="123"/>
    </row>
    <row r="7751" spans="5:5" ht="16.5">
      <c r="E7751" s="123"/>
    </row>
    <row r="7752" spans="5:5" ht="16.5">
      <c r="E7752" s="123"/>
    </row>
    <row r="7753" spans="5:5" ht="16.5">
      <c r="E7753" s="123"/>
    </row>
    <row r="7754" spans="5:5" ht="16.5">
      <c r="E7754" s="123"/>
    </row>
    <row r="7755" spans="5:5" ht="16.5">
      <c r="E7755" s="123"/>
    </row>
    <row r="7756" spans="5:5" ht="16.5">
      <c r="E7756" s="123"/>
    </row>
    <row r="7757" spans="5:5" ht="16.5">
      <c r="E7757" s="123"/>
    </row>
    <row r="7758" spans="5:5" ht="16.5">
      <c r="E7758" s="123"/>
    </row>
    <row r="7759" spans="5:5" ht="16.5">
      <c r="E7759" s="123"/>
    </row>
    <row r="7760" spans="5:5" ht="16.5">
      <c r="E7760" s="123"/>
    </row>
    <row r="7761" spans="5:5" ht="16.5">
      <c r="E7761" s="123"/>
    </row>
    <row r="7762" spans="5:5" ht="16.5">
      <c r="E7762" s="123"/>
    </row>
    <row r="7763" spans="5:5" ht="16.5">
      <c r="E7763" s="123"/>
    </row>
    <row r="7764" spans="5:5" ht="16.5">
      <c r="E7764" s="123"/>
    </row>
    <row r="7765" spans="5:5" ht="16.5">
      <c r="E7765" s="123"/>
    </row>
    <row r="7766" spans="5:5" ht="16.5">
      <c r="E7766" s="123"/>
    </row>
    <row r="7767" spans="5:5" ht="16.5">
      <c r="E7767" s="123"/>
    </row>
    <row r="7768" spans="5:5" ht="16.5">
      <c r="E7768" s="123"/>
    </row>
    <row r="7769" spans="5:5" ht="16.5">
      <c r="E7769" s="123"/>
    </row>
    <row r="7770" spans="5:5" ht="16.5">
      <c r="E7770" s="123"/>
    </row>
    <row r="7771" spans="5:5" ht="16.5">
      <c r="E7771" s="123"/>
    </row>
    <row r="7772" spans="5:5" ht="16.5">
      <c r="E7772" s="123"/>
    </row>
    <row r="7773" spans="5:5" ht="16.5">
      <c r="E7773" s="123"/>
    </row>
    <row r="7774" spans="5:5" ht="16.5">
      <c r="E7774" s="123"/>
    </row>
    <row r="7775" spans="5:5" ht="16.5">
      <c r="E7775" s="123"/>
    </row>
    <row r="7776" spans="5:5" ht="16.5">
      <c r="E7776" s="123"/>
    </row>
    <row r="7777" spans="5:5" ht="16.5">
      <c r="E7777" s="123"/>
    </row>
    <row r="7778" spans="5:5" ht="16.5">
      <c r="E7778" s="123"/>
    </row>
    <row r="7779" spans="5:5" ht="16.5">
      <c r="E7779" s="123"/>
    </row>
    <row r="7780" spans="5:5" ht="16.5">
      <c r="E7780" s="123"/>
    </row>
    <row r="7781" spans="5:5" ht="16.5">
      <c r="E7781" s="123"/>
    </row>
    <row r="7782" spans="5:5" ht="16.5">
      <c r="E7782" s="123"/>
    </row>
    <row r="7783" spans="5:5" ht="16.5">
      <c r="E7783" s="123"/>
    </row>
    <row r="7784" spans="5:5" ht="16.5">
      <c r="E7784" s="123"/>
    </row>
    <row r="7785" spans="5:5" ht="16.5">
      <c r="E7785" s="123"/>
    </row>
    <row r="7786" spans="5:5" ht="16.5">
      <c r="E7786" s="123"/>
    </row>
    <row r="7787" spans="5:5" ht="16.5">
      <c r="E7787" s="123"/>
    </row>
    <row r="7788" spans="5:5" ht="16.5">
      <c r="E7788" s="123"/>
    </row>
    <row r="7789" spans="5:5" ht="16.5">
      <c r="E7789" s="123"/>
    </row>
    <row r="7790" spans="5:5" ht="16.5">
      <c r="E7790" s="123"/>
    </row>
    <row r="7791" spans="5:5" ht="16.5">
      <c r="E7791" s="123"/>
    </row>
    <row r="7792" spans="5:5" ht="16.5">
      <c r="E7792" s="123"/>
    </row>
    <row r="7793" spans="5:5" ht="16.5">
      <c r="E7793" s="123"/>
    </row>
    <row r="7794" spans="5:5" ht="16.5">
      <c r="E7794" s="123"/>
    </row>
    <row r="7795" spans="5:5" ht="16.5">
      <c r="E7795" s="123"/>
    </row>
    <row r="7796" spans="5:5" ht="16.5">
      <c r="E7796" s="123"/>
    </row>
    <row r="7797" spans="5:5" ht="16.5">
      <c r="E7797" s="123"/>
    </row>
    <row r="7798" spans="5:5" ht="16.5">
      <c r="E7798" s="123"/>
    </row>
    <row r="7799" spans="5:5" ht="16.5">
      <c r="E7799" s="123"/>
    </row>
    <row r="7800" spans="5:5" ht="16.5">
      <c r="E7800" s="123"/>
    </row>
    <row r="7801" spans="5:5" ht="16.5">
      <c r="E7801" s="123"/>
    </row>
    <row r="7802" spans="5:5" ht="16.5">
      <c r="E7802" s="123"/>
    </row>
    <row r="7803" spans="5:5" ht="16.5">
      <c r="E7803" s="123"/>
    </row>
    <row r="7804" spans="5:5" ht="16.5">
      <c r="E7804" s="123"/>
    </row>
    <row r="7805" spans="5:5" ht="16.5">
      <c r="E7805" s="123"/>
    </row>
    <row r="7806" spans="5:5" ht="16.5">
      <c r="E7806" s="123"/>
    </row>
    <row r="7807" spans="5:5" ht="16.5">
      <c r="E7807" s="123"/>
    </row>
    <row r="7808" spans="5:5" ht="16.5">
      <c r="E7808" s="123"/>
    </row>
    <row r="7809" spans="5:5" ht="16.5">
      <c r="E7809" s="123"/>
    </row>
    <row r="7810" spans="5:5" ht="16.5">
      <c r="E7810" s="123"/>
    </row>
    <row r="7811" spans="5:5" ht="16.5">
      <c r="E7811" s="123"/>
    </row>
    <row r="7812" spans="5:5" ht="16.5">
      <c r="E7812" s="123"/>
    </row>
    <row r="7813" spans="5:5" ht="16.5">
      <c r="E7813" s="123"/>
    </row>
    <row r="7814" spans="5:5" ht="16.5">
      <c r="E7814" s="123"/>
    </row>
    <row r="7815" spans="5:5" ht="16.5">
      <c r="E7815" s="123"/>
    </row>
    <row r="7816" spans="5:5" ht="16.5">
      <c r="E7816" s="123"/>
    </row>
    <row r="7817" spans="5:5" ht="16.5">
      <c r="E7817" s="123"/>
    </row>
    <row r="7818" spans="5:5" ht="16.5">
      <c r="E7818" s="123"/>
    </row>
    <row r="7819" spans="5:5" ht="16.5">
      <c r="E7819" s="123"/>
    </row>
    <row r="7820" spans="5:5" ht="16.5">
      <c r="E7820" s="123"/>
    </row>
    <row r="7821" spans="5:5" ht="16.5">
      <c r="E7821" s="123"/>
    </row>
    <row r="7822" spans="5:5" ht="16.5">
      <c r="E7822" s="123"/>
    </row>
    <row r="7823" spans="5:5" ht="16.5">
      <c r="E7823" s="123"/>
    </row>
    <row r="7824" spans="5:5" ht="16.5">
      <c r="E7824" s="123"/>
    </row>
    <row r="7825" spans="5:5" ht="16.5">
      <c r="E7825" s="123"/>
    </row>
    <row r="7826" spans="5:5" ht="16.5">
      <c r="E7826" s="123"/>
    </row>
    <row r="7827" spans="5:5" ht="16.5">
      <c r="E7827" s="123"/>
    </row>
    <row r="7828" spans="5:5" ht="16.5">
      <c r="E7828" s="123"/>
    </row>
    <row r="7829" spans="5:5" ht="16.5">
      <c r="E7829" s="123"/>
    </row>
    <row r="7830" spans="5:5" ht="16.5">
      <c r="E7830" s="123"/>
    </row>
    <row r="7831" spans="5:5" ht="16.5">
      <c r="E7831" s="123"/>
    </row>
    <row r="7832" spans="5:5" ht="16.5">
      <c r="E7832" s="123"/>
    </row>
    <row r="7833" spans="5:5" ht="16.5">
      <c r="E7833" s="123"/>
    </row>
    <row r="7834" spans="5:5" ht="16.5">
      <c r="E7834" s="123"/>
    </row>
    <row r="7835" spans="5:5" ht="16.5">
      <c r="E7835" s="123"/>
    </row>
    <row r="7836" spans="5:5" ht="16.5">
      <c r="E7836" s="123"/>
    </row>
    <row r="7837" spans="5:5" ht="16.5">
      <c r="E7837" s="123"/>
    </row>
    <row r="7838" spans="5:5" ht="16.5">
      <c r="E7838" s="123"/>
    </row>
    <row r="7839" spans="5:5" ht="16.5">
      <c r="E7839" s="123"/>
    </row>
    <row r="7840" spans="5:5" ht="16.5">
      <c r="E7840" s="123"/>
    </row>
    <row r="7841" spans="5:5" ht="16.5">
      <c r="E7841" s="123"/>
    </row>
    <row r="7842" spans="5:5" ht="16.5">
      <c r="E7842" s="123"/>
    </row>
    <row r="7843" spans="5:5" ht="16.5">
      <c r="E7843" s="123"/>
    </row>
    <row r="7844" spans="5:5" ht="16.5">
      <c r="E7844" s="123"/>
    </row>
    <row r="7845" spans="5:5" ht="16.5">
      <c r="E7845" s="123"/>
    </row>
    <row r="7846" spans="5:5" ht="16.5">
      <c r="E7846" s="123"/>
    </row>
    <row r="7847" spans="5:5" ht="16.5">
      <c r="E7847" s="123"/>
    </row>
    <row r="7848" spans="5:5" ht="16.5">
      <c r="E7848" s="123"/>
    </row>
    <row r="7849" spans="5:5" ht="16.5">
      <c r="E7849" s="123"/>
    </row>
    <row r="7850" spans="5:5" ht="16.5">
      <c r="E7850" s="123"/>
    </row>
    <row r="7851" spans="5:5" ht="16.5">
      <c r="E7851" s="123"/>
    </row>
    <row r="7852" spans="5:5" ht="16.5">
      <c r="E7852" s="123"/>
    </row>
    <row r="7853" spans="5:5" ht="16.5">
      <c r="E7853" s="123"/>
    </row>
    <row r="7854" spans="5:5" ht="16.5">
      <c r="E7854" s="123"/>
    </row>
    <row r="7855" spans="5:5" ht="16.5">
      <c r="E7855" s="123"/>
    </row>
    <row r="7856" spans="5:5" ht="16.5">
      <c r="E7856" s="123"/>
    </row>
    <row r="7857" spans="5:5" ht="16.5">
      <c r="E7857" s="123"/>
    </row>
    <row r="7858" spans="5:5" ht="16.5">
      <c r="E7858" s="123"/>
    </row>
    <row r="7859" spans="5:5" ht="16.5">
      <c r="E7859" s="123"/>
    </row>
    <row r="7860" spans="5:5" ht="16.5">
      <c r="E7860" s="123"/>
    </row>
    <row r="7861" spans="5:5" ht="16.5">
      <c r="E7861" s="123"/>
    </row>
    <row r="7862" spans="5:5" ht="16.5">
      <c r="E7862" s="123"/>
    </row>
    <row r="7863" spans="5:5" ht="16.5">
      <c r="E7863" s="123"/>
    </row>
    <row r="7864" spans="5:5" ht="16.5">
      <c r="E7864" s="123"/>
    </row>
    <row r="7865" spans="5:5" ht="16.5">
      <c r="E7865" s="123"/>
    </row>
    <row r="7866" spans="5:5" ht="16.5">
      <c r="E7866" s="123"/>
    </row>
    <row r="7867" spans="5:5" ht="16.5">
      <c r="E7867" s="123"/>
    </row>
    <row r="7868" spans="5:5" ht="16.5">
      <c r="E7868" s="123"/>
    </row>
    <row r="7869" spans="5:5" ht="16.5">
      <c r="E7869" s="123"/>
    </row>
    <row r="7870" spans="5:5" ht="16.5">
      <c r="E7870" s="123"/>
    </row>
    <row r="7871" spans="5:5" ht="16.5">
      <c r="E7871" s="123"/>
    </row>
    <row r="7872" spans="5:5" ht="16.5">
      <c r="E7872" s="123"/>
    </row>
    <row r="7873" spans="5:5" ht="16.5">
      <c r="E7873" s="123"/>
    </row>
    <row r="7874" spans="5:5" ht="16.5">
      <c r="E7874" s="123"/>
    </row>
    <row r="7875" spans="5:5" ht="16.5">
      <c r="E7875" s="123"/>
    </row>
    <row r="7876" spans="5:5" ht="16.5">
      <c r="E7876" s="123"/>
    </row>
    <row r="7877" spans="5:5" ht="16.5">
      <c r="E7877" s="123"/>
    </row>
    <row r="7878" spans="5:5" ht="16.5">
      <c r="E7878" s="123"/>
    </row>
    <row r="7879" spans="5:5" ht="16.5">
      <c r="E7879" s="123"/>
    </row>
    <row r="7880" spans="5:5" ht="16.5">
      <c r="E7880" s="123"/>
    </row>
    <row r="7881" spans="5:5" ht="16.5">
      <c r="E7881" s="123"/>
    </row>
    <row r="7882" spans="5:5" ht="16.5">
      <c r="E7882" s="123"/>
    </row>
    <row r="7883" spans="5:5" ht="16.5">
      <c r="E7883" s="123"/>
    </row>
    <row r="7884" spans="5:5" ht="16.5">
      <c r="E7884" s="123"/>
    </row>
    <row r="7885" spans="5:5" ht="16.5">
      <c r="E7885" s="123"/>
    </row>
    <row r="7886" spans="5:5" ht="16.5">
      <c r="E7886" s="123"/>
    </row>
    <row r="7887" spans="5:5" ht="16.5">
      <c r="E7887" s="123"/>
    </row>
    <row r="7888" spans="5:5" ht="16.5">
      <c r="E7888" s="123"/>
    </row>
    <row r="7889" spans="5:5" ht="16.5">
      <c r="E7889" s="123"/>
    </row>
    <row r="7890" spans="5:5" ht="16.5">
      <c r="E7890" s="123"/>
    </row>
    <row r="7891" spans="5:5" ht="16.5">
      <c r="E7891" s="123"/>
    </row>
    <row r="7892" spans="5:5" ht="16.5">
      <c r="E7892" s="123"/>
    </row>
    <row r="7893" spans="5:5" ht="16.5">
      <c r="E7893" s="123"/>
    </row>
    <row r="7894" spans="5:5" ht="16.5">
      <c r="E7894" s="123"/>
    </row>
    <row r="7895" spans="5:5" ht="16.5">
      <c r="E7895" s="123"/>
    </row>
    <row r="7896" spans="5:5" ht="16.5">
      <c r="E7896" s="123"/>
    </row>
    <row r="7897" spans="5:5" ht="16.5">
      <c r="E7897" s="123"/>
    </row>
    <row r="7898" spans="5:5" ht="16.5">
      <c r="E7898" s="123"/>
    </row>
    <row r="7899" spans="5:5" ht="16.5">
      <c r="E7899" s="123"/>
    </row>
    <row r="7900" spans="5:5" ht="16.5">
      <c r="E7900" s="123"/>
    </row>
    <row r="7901" spans="5:5" ht="16.5">
      <c r="E7901" s="123"/>
    </row>
    <row r="7902" spans="5:5" ht="16.5">
      <c r="E7902" s="123"/>
    </row>
    <row r="7903" spans="5:5" ht="16.5">
      <c r="E7903" s="123"/>
    </row>
    <row r="7904" spans="5:5" ht="16.5">
      <c r="E7904" s="123"/>
    </row>
    <row r="7905" spans="5:5" ht="16.5">
      <c r="E7905" s="123"/>
    </row>
    <row r="7906" spans="5:5" ht="16.5">
      <c r="E7906" s="123"/>
    </row>
    <row r="7907" spans="5:5" ht="16.5">
      <c r="E7907" s="123"/>
    </row>
    <row r="7908" spans="5:5" ht="16.5">
      <c r="E7908" s="123"/>
    </row>
    <row r="7909" spans="5:5" ht="16.5">
      <c r="E7909" s="123"/>
    </row>
    <row r="7910" spans="5:5" ht="16.5">
      <c r="E7910" s="123"/>
    </row>
    <row r="7911" spans="5:5" ht="16.5">
      <c r="E7911" s="123"/>
    </row>
    <row r="7912" spans="5:5" ht="16.5">
      <c r="E7912" s="123"/>
    </row>
    <row r="7913" spans="5:5" ht="16.5">
      <c r="E7913" s="123"/>
    </row>
    <row r="7914" spans="5:5" ht="16.5">
      <c r="E7914" s="123"/>
    </row>
    <row r="7915" spans="5:5" ht="16.5">
      <c r="E7915" s="123"/>
    </row>
    <row r="7916" spans="5:5" ht="16.5">
      <c r="E7916" s="123"/>
    </row>
    <row r="7917" spans="5:5" ht="16.5">
      <c r="E7917" s="123"/>
    </row>
    <row r="7918" spans="5:5" ht="16.5">
      <c r="E7918" s="123"/>
    </row>
    <row r="7919" spans="5:5" ht="16.5">
      <c r="E7919" s="123"/>
    </row>
    <row r="7920" spans="5:5" ht="16.5">
      <c r="E7920" s="123"/>
    </row>
    <row r="7921" spans="5:5" ht="16.5">
      <c r="E7921" s="123"/>
    </row>
    <row r="7922" spans="5:5" ht="16.5">
      <c r="E7922" s="123"/>
    </row>
    <row r="7923" spans="5:5" ht="16.5">
      <c r="E7923" s="123"/>
    </row>
    <row r="7924" spans="5:5" ht="16.5">
      <c r="E7924" s="123"/>
    </row>
    <row r="7925" spans="5:5" ht="16.5">
      <c r="E7925" s="123"/>
    </row>
    <row r="7926" spans="5:5" ht="16.5">
      <c r="E7926" s="123"/>
    </row>
    <row r="7927" spans="5:5" ht="16.5">
      <c r="E7927" s="123"/>
    </row>
    <row r="7928" spans="5:5" ht="16.5">
      <c r="E7928" s="123"/>
    </row>
    <row r="7929" spans="5:5" ht="16.5">
      <c r="E7929" s="123"/>
    </row>
    <row r="7930" spans="5:5" ht="16.5">
      <c r="E7930" s="123"/>
    </row>
    <row r="7931" spans="5:5" ht="16.5">
      <c r="E7931" s="123"/>
    </row>
    <row r="7932" spans="5:5" ht="16.5">
      <c r="E7932" s="123"/>
    </row>
    <row r="7933" spans="5:5" ht="16.5">
      <c r="E7933" s="123"/>
    </row>
    <row r="7934" spans="5:5" ht="16.5">
      <c r="E7934" s="123"/>
    </row>
    <row r="7935" spans="5:5" ht="16.5">
      <c r="E7935" s="123"/>
    </row>
    <row r="7936" spans="5:5" ht="16.5">
      <c r="E7936" s="123"/>
    </row>
    <row r="7937" spans="5:5" ht="16.5">
      <c r="E7937" s="123"/>
    </row>
    <row r="7938" spans="5:5" ht="16.5">
      <c r="E7938" s="123"/>
    </row>
    <row r="7939" spans="5:5" ht="16.5">
      <c r="E7939" s="123"/>
    </row>
    <row r="7940" spans="5:5" ht="16.5">
      <c r="E7940" s="123"/>
    </row>
    <row r="7941" spans="5:5" ht="16.5">
      <c r="E7941" s="123"/>
    </row>
    <row r="7942" spans="5:5" ht="16.5">
      <c r="E7942" s="123"/>
    </row>
    <row r="7943" spans="5:5" ht="16.5">
      <c r="E7943" s="123"/>
    </row>
    <row r="7944" spans="5:5" ht="16.5">
      <c r="E7944" s="123"/>
    </row>
    <row r="7945" spans="5:5" ht="16.5">
      <c r="E7945" s="123"/>
    </row>
    <row r="7946" spans="5:5" ht="16.5">
      <c r="E7946" s="123"/>
    </row>
    <row r="7947" spans="5:5" ht="16.5">
      <c r="E7947" s="123"/>
    </row>
    <row r="7948" spans="5:5" ht="16.5">
      <c r="E7948" s="123"/>
    </row>
    <row r="7949" spans="5:5" ht="16.5">
      <c r="E7949" s="123"/>
    </row>
    <row r="7950" spans="5:5" ht="16.5">
      <c r="E7950" s="123"/>
    </row>
    <row r="7951" spans="5:5" ht="16.5">
      <c r="E7951" s="123"/>
    </row>
    <row r="7952" spans="5:5" ht="16.5">
      <c r="E7952" s="123"/>
    </row>
    <row r="7953" spans="5:5" ht="16.5">
      <c r="E7953" s="123"/>
    </row>
    <row r="7954" spans="5:5" ht="16.5">
      <c r="E7954" s="123"/>
    </row>
    <row r="7955" spans="5:5" ht="16.5">
      <c r="E7955" s="123"/>
    </row>
    <row r="7956" spans="5:5" ht="16.5">
      <c r="E7956" s="123"/>
    </row>
    <row r="7957" spans="5:5" ht="16.5">
      <c r="E7957" s="123"/>
    </row>
    <row r="7958" spans="5:5" ht="16.5">
      <c r="E7958" s="123"/>
    </row>
    <row r="7959" spans="5:5" ht="16.5">
      <c r="E7959" s="123"/>
    </row>
    <row r="7960" spans="5:5" ht="16.5">
      <c r="E7960" s="123"/>
    </row>
    <row r="7961" spans="5:5" ht="16.5">
      <c r="E7961" s="123"/>
    </row>
    <row r="7962" spans="5:5" ht="16.5">
      <c r="E7962" s="123"/>
    </row>
    <row r="7963" spans="5:5" ht="16.5">
      <c r="E7963" s="123"/>
    </row>
    <row r="7964" spans="5:5" ht="16.5">
      <c r="E7964" s="123"/>
    </row>
    <row r="7965" spans="5:5" ht="16.5">
      <c r="E7965" s="123"/>
    </row>
    <row r="7966" spans="5:5" ht="16.5">
      <c r="E7966" s="123"/>
    </row>
    <row r="7967" spans="5:5" ht="16.5">
      <c r="E7967" s="123"/>
    </row>
    <row r="7968" spans="5:5" ht="16.5">
      <c r="E7968" s="123"/>
    </row>
    <row r="7969" spans="5:5" ht="16.5">
      <c r="E7969" s="123"/>
    </row>
    <row r="7970" spans="5:5" ht="16.5">
      <c r="E7970" s="123"/>
    </row>
    <row r="7971" spans="5:5" ht="16.5">
      <c r="E7971" s="123"/>
    </row>
    <row r="7972" spans="5:5" ht="16.5">
      <c r="E7972" s="123"/>
    </row>
    <row r="7973" spans="5:5" ht="16.5">
      <c r="E7973" s="123"/>
    </row>
    <row r="7974" spans="5:5" ht="16.5">
      <c r="E7974" s="123"/>
    </row>
    <row r="7975" spans="5:5" ht="16.5">
      <c r="E7975" s="123"/>
    </row>
    <row r="7976" spans="5:5" ht="16.5">
      <c r="E7976" s="123"/>
    </row>
    <row r="7977" spans="5:5" ht="16.5">
      <c r="E7977" s="123"/>
    </row>
    <row r="7978" spans="5:5" ht="16.5">
      <c r="E7978" s="123"/>
    </row>
    <row r="7979" spans="5:5" ht="16.5">
      <c r="E7979" s="123"/>
    </row>
    <row r="7980" spans="5:5" ht="16.5">
      <c r="E7980" s="123"/>
    </row>
    <row r="7981" spans="5:5" ht="16.5">
      <c r="E7981" s="123"/>
    </row>
    <row r="7982" spans="5:5" ht="16.5">
      <c r="E7982" s="123"/>
    </row>
    <row r="7983" spans="5:5" ht="16.5">
      <c r="E7983" s="123"/>
    </row>
    <row r="7984" spans="5:5" ht="16.5">
      <c r="E7984" s="123"/>
    </row>
    <row r="7985" spans="5:5" ht="16.5">
      <c r="E7985" s="123"/>
    </row>
    <row r="7986" spans="5:5" ht="16.5">
      <c r="E7986" s="123"/>
    </row>
    <row r="7987" spans="5:5" ht="16.5">
      <c r="E7987" s="123"/>
    </row>
    <row r="7988" spans="5:5" ht="16.5">
      <c r="E7988" s="123"/>
    </row>
    <row r="7989" spans="5:5" ht="16.5">
      <c r="E7989" s="123"/>
    </row>
    <row r="7990" spans="5:5" ht="16.5">
      <c r="E7990" s="123"/>
    </row>
    <row r="7991" spans="5:5" ht="16.5">
      <c r="E7991" s="123"/>
    </row>
    <row r="7992" spans="5:5" ht="16.5">
      <c r="E7992" s="123"/>
    </row>
    <row r="7993" spans="5:5" ht="16.5">
      <c r="E7993" s="123"/>
    </row>
    <row r="7994" spans="5:5" ht="16.5">
      <c r="E7994" s="123"/>
    </row>
    <row r="7995" spans="5:5" ht="16.5">
      <c r="E7995" s="123"/>
    </row>
    <row r="7996" spans="5:5" ht="16.5">
      <c r="E7996" s="123"/>
    </row>
    <row r="7997" spans="5:5" ht="16.5">
      <c r="E7997" s="123"/>
    </row>
    <row r="7998" spans="5:5" ht="16.5">
      <c r="E7998" s="123"/>
    </row>
    <row r="7999" spans="5:5" ht="16.5">
      <c r="E7999" s="123"/>
    </row>
    <row r="8000" spans="5:5" ht="16.5">
      <c r="E8000" s="123"/>
    </row>
    <row r="8001" spans="5:5" ht="16.5">
      <c r="E8001" s="123"/>
    </row>
    <row r="8002" spans="5:5" ht="16.5">
      <c r="E8002" s="123"/>
    </row>
    <row r="8003" spans="5:5" ht="16.5">
      <c r="E8003" s="123"/>
    </row>
    <row r="8004" spans="5:5" ht="16.5">
      <c r="E8004" s="123"/>
    </row>
    <row r="8005" spans="5:5" ht="16.5">
      <c r="E8005" s="123"/>
    </row>
    <row r="8006" spans="5:5" ht="16.5">
      <c r="E8006" s="123"/>
    </row>
    <row r="8007" spans="5:5" ht="16.5">
      <c r="E8007" s="123"/>
    </row>
    <row r="8008" spans="5:5" ht="16.5">
      <c r="E8008" s="123"/>
    </row>
    <row r="8009" spans="5:5" ht="16.5">
      <c r="E8009" s="123"/>
    </row>
    <row r="8010" spans="5:5" ht="16.5">
      <c r="E8010" s="123"/>
    </row>
    <row r="8011" spans="5:5" ht="16.5">
      <c r="E8011" s="123"/>
    </row>
    <row r="8012" spans="5:5" ht="16.5">
      <c r="E8012" s="123"/>
    </row>
    <row r="8013" spans="5:5" ht="16.5">
      <c r="E8013" s="123"/>
    </row>
    <row r="8014" spans="5:5" ht="16.5">
      <c r="E8014" s="123"/>
    </row>
    <row r="8015" spans="5:5" ht="16.5">
      <c r="E8015" s="123"/>
    </row>
    <row r="8016" spans="5:5" ht="16.5">
      <c r="E8016" s="123"/>
    </row>
    <row r="8017" spans="5:5" ht="16.5">
      <c r="E8017" s="123"/>
    </row>
    <row r="8018" spans="5:5" ht="16.5">
      <c r="E8018" s="123"/>
    </row>
    <row r="8019" spans="5:5" ht="16.5">
      <c r="E8019" s="123"/>
    </row>
    <row r="8020" spans="5:5" ht="16.5">
      <c r="E8020" s="123"/>
    </row>
    <row r="8021" spans="5:5" ht="16.5">
      <c r="E8021" s="123"/>
    </row>
    <row r="8022" spans="5:5" ht="16.5">
      <c r="E8022" s="123"/>
    </row>
    <row r="8023" spans="5:5" ht="16.5">
      <c r="E8023" s="123"/>
    </row>
    <row r="8024" spans="5:5" ht="16.5">
      <c r="E8024" s="123"/>
    </row>
    <row r="8025" spans="5:5" ht="16.5">
      <c r="E8025" s="123"/>
    </row>
    <row r="8026" spans="5:5" ht="16.5">
      <c r="E8026" s="123"/>
    </row>
    <row r="8027" spans="5:5" ht="16.5">
      <c r="E8027" s="123"/>
    </row>
    <row r="8028" spans="5:5" ht="16.5">
      <c r="E8028" s="123"/>
    </row>
    <row r="8029" spans="5:5" ht="16.5">
      <c r="E8029" s="123"/>
    </row>
    <row r="8030" spans="5:5" ht="16.5">
      <c r="E8030" s="123"/>
    </row>
    <row r="8031" spans="5:5" ht="16.5">
      <c r="E8031" s="123"/>
    </row>
    <row r="8032" spans="5:5" ht="16.5">
      <c r="E8032" s="123"/>
    </row>
    <row r="8033" spans="5:5" ht="16.5">
      <c r="E8033" s="123"/>
    </row>
    <row r="8034" spans="5:5" ht="16.5">
      <c r="E8034" s="123"/>
    </row>
    <row r="8035" spans="5:5" ht="16.5">
      <c r="E8035" s="123"/>
    </row>
    <row r="8036" spans="5:5" ht="16.5">
      <c r="E8036" s="123"/>
    </row>
    <row r="8037" spans="5:5" ht="16.5">
      <c r="E8037" s="123"/>
    </row>
    <row r="8038" spans="5:5" ht="16.5">
      <c r="E8038" s="123"/>
    </row>
    <row r="8039" spans="5:5" ht="16.5">
      <c r="E8039" s="123"/>
    </row>
    <row r="8040" spans="5:5" ht="16.5">
      <c r="E8040" s="123"/>
    </row>
    <row r="8041" spans="5:5" ht="16.5">
      <c r="E8041" s="123"/>
    </row>
    <row r="8042" spans="5:5" ht="16.5">
      <c r="E8042" s="123"/>
    </row>
    <row r="8043" spans="5:5" ht="16.5">
      <c r="E8043" s="123"/>
    </row>
    <row r="8044" spans="5:5" ht="16.5">
      <c r="E8044" s="123"/>
    </row>
    <row r="8045" spans="5:5" ht="16.5">
      <c r="E8045" s="123"/>
    </row>
    <row r="8046" spans="5:5" ht="16.5">
      <c r="E8046" s="123"/>
    </row>
    <row r="8047" spans="5:5" ht="16.5">
      <c r="E8047" s="123"/>
    </row>
    <row r="8048" spans="5:5" ht="16.5">
      <c r="E8048" s="123"/>
    </row>
    <row r="8049" spans="5:5" ht="16.5">
      <c r="E8049" s="123"/>
    </row>
    <row r="8050" spans="5:5" ht="16.5">
      <c r="E8050" s="123"/>
    </row>
    <row r="8051" spans="5:5" ht="16.5">
      <c r="E8051" s="123"/>
    </row>
    <row r="8052" spans="5:5" ht="16.5">
      <c r="E8052" s="123"/>
    </row>
    <row r="8053" spans="5:5" ht="16.5">
      <c r="E8053" s="123"/>
    </row>
    <row r="8054" spans="5:5" ht="16.5">
      <c r="E8054" s="123"/>
    </row>
    <row r="8055" spans="5:5" ht="16.5">
      <c r="E8055" s="123"/>
    </row>
    <row r="8056" spans="5:5" ht="16.5">
      <c r="E8056" s="123"/>
    </row>
    <row r="8057" spans="5:5" ht="16.5">
      <c r="E8057" s="123"/>
    </row>
    <row r="8058" spans="5:5" ht="16.5">
      <c r="E8058" s="123"/>
    </row>
    <row r="8059" spans="5:5" ht="16.5">
      <c r="E8059" s="123"/>
    </row>
    <row r="8060" spans="5:5" ht="16.5">
      <c r="E8060" s="123"/>
    </row>
    <row r="8061" spans="5:5" ht="16.5">
      <c r="E8061" s="123"/>
    </row>
    <row r="8062" spans="5:5" ht="16.5">
      <c r="E8062" s="123"/>
    </row>
    <row r="8063" spans="5:5" ht="16.5">
      <c r="E8063" s="123"/>
    </row>
    <row r="8064" spans="5:5" ht="16.5">
      <c r="E8064" s="123"/>
    </row>
    <row r="8065" spans="5:5" ht="16.5">
      <c r="E8065" s="123"/>
    </row>
    <row r="8066" spans="5:5" ht="16.5">
      <c r="E8066" s="123"/>
    </row>
    <row r="8067" spans="5:5" ht="16.5">
      <c r="E8067" s="123"/>
    </row>
    <row r="8068" spans="5:5" ht="16.5">
      <c r="E8068" s="123"/>
    </row>
    <row r="8069" spans="5:5" ht="16.5">
      <c r="E8069" s="123"/>
    </row>
    <row r="8070" spans="5:5" ht="16.5">
      <c r="E8070" s="123"/>
    </row>
    <row r="8071" spans="5:5" ht="16.5">
      <c r="E8071" s="123"/>
    </row>
    <row r="8072" spans="5:5" ht="16.5">
      <c r="E8072" s="123"/>
    </row>
    <row r="8073" spans="5:5" ht="16.5">
      <c r="E8073" s="123"/>
    </row>
    <row r="8074" spans="5:5" ht="16.5">
      <c r="E8074" s="123"/>
    </row>
    <row r="8075" spans="5:5" ht="16.5">
      <c r="E8075" s="123"/>
    </row>
    <row r="8076" spans="5:5" ht="16.5">
      <c r="E8076" s="123"/>
    </row>
    <row r="8077" spans="5:5" ht="16.5">
      <c r="E8077" s="123"/>
    </row>
    <row r="8078" spans="5:5" ht="16.5">
      <c r="E8078" s="123"/>
    </row>
    <row r="8079" spans="5:5" ht="16.5">
      <c r="E8079" s="123"/>
    </row>
    <row r="8080" spans="5:5" ht="16.5">
      <c r="E8080" s="123"/>
    </row>
    <row r="8081" spans="5:5" ht="16.5">
      <c r="E8081" s="123"/>
    </row>
    <row r="8082" spans="5:5" ht="16.5">
      <c r="E8082" s="123"/>
    </row>
    <row r="8083" spans="5:5" ht="16.5">
      <c r="E8083" s="123"/>
    </row>
    <row r="8084" spans="5:5" ht="16.5">
      <c r="E8084" s="123"/>
    </row>
    <row r="8085" spans="5:5" ht="16.5">
      <c r="E8085" s="123"/>
    </row>
    <row r="8086" spans="5:5" ht="16.5">
      <c r="E8086" s="123"/>
    </row>
    <row r="8087" spans="5:5" ht="16.5">
      <c r="E8087" s="123"/>
    </row>
    <row r="8088" spans="5:5" ht="16.5">
      <c r="E8088" s="123"/>
    </row>
    <row r="8089" spans="5:5" ht="16.5">
      <c r="E8089" s="123"/>
    </row>
    <row r="8090" spans="5:5" ht="16.5">
      <c r="E8090" s="123"/>
    </row>
    <row r="8091" spans="5:5" ht="16.5">
      <c r="E8091" s="123"/>
    </row>
    <row r="8092" spans="5:5" ht="16.5">
      <c r="E8092" s="123"/>
    </row>
    <row r="8093" spans="5:5" ht="16.5">
      <c r="E8093" s="123"/>
    </row>
    <row r="8094" spans="5:5" ht="16.5">
      <c r="E8094" s="123"/>
    </row>
    <row r="8095" spans="5:5" ht="16.5">
      <c r="E8095" s="123"/>
    </row>
    <row r="8096" spans="5:5" ht="16.5">
      <c r="E8096" s="123"/>
    </row>
    <row r="8097" spans="5:5" ht="16.5">
      <c r="E8097" s="123"/>
    </row>
    <row r="8098" spans="5:5" ht="16.5">
      <c r="E8098" s="123"/>
    </row>
    <row r="8099" spans="5:5" ht="16.5">
      <c r="E8099" s="123"/>
    </row>
    <row r="8100" spans="5:5" ht="16.5">
      <c r="E8100" s="123"/>
    </row>
    <row r="8101" spans="5:5" ht="16.5">
      <c r="E8101" s="123"/>
    </row>
    <row r="8102" spans="5:5" ht="16.5">
      <c r="E8102" s="123"/>
    </row>
    <row r="8103" spans="5:5" ht="16.5">
      <c r="E8103" s="123"/>
    </row>
    <row r="8104" spans="5:5" ht="16.5">
      <c r="E8104" s="123"/>
    </row>
    <row r="8105" spans="5:5" ht="16.5">
      <c r="E8105" s="123"/>
    </row>
    <row r="8106" spans="5:5" ht="16.5">
      <c r="E8106" s="123"/>
    </row>
    <row r="8107" spans="5:5" ht="16.5">
      <c r="E8107" s="123"/>
    </row>
    <row r="8108" spans="5:5" ht="16.5">
      <c r="E8108" s="123"/>
    </row>
    <row r="8109" spans="5:5" ht="16.5">
      <c r="E8109" s="123"/>
    </row>
    <row r="8110" spans="5:5" ht="16.5">
      <c r="E8110" s="123"/>
    </row>
    <row r="8111" spans="5:5" ht="16.5">
      <c r="E8111" s="123"/>
    </row>
    <row r="8112" spans="5:5" ht="16.5">
      <c r="E8112" s="123"/>
    </row>
    <row r="8113" spans="5:5" ht="16.5">
      <c r="E8113" s="123"/>
    </row>
    <row r="8114" spans="5:5" ht="16.5">
      <c r="E8114" s="123"/>
    </row>
    <row r="8115" spans="5:5" ht="16.5">
      <c r="E8115" s="123"/>
    </row>
    <row r="8116" spans="5:5" ht="16.5">
      <c r="E8116" s="123"/>
    </row>
    <row r="8117" spans="5:5" ht="16.5">
      <c r="E8117" s="123"/>
    </row>
    <row r="8118" spans="5:5" ht="16.5">
      <c r="E8118" s="123"/>
    </row>
    <row r="8119" spans="5:5" ht="16.5">
      <c r="E8119" s="123"/>
    </row>
    <row r="8120" spans="5:5" ht="16.5">
      <c r="E8120" s="123"/>
    </row>
    <row r="8121" spans="5:5" ht="16.5">
      <c r="E8121" s="123"/>
    </row>
    <row r="8122" spans="5:5" ht="16.5">
      <c r="E8122" s="123"/>
    </row>
    <row r="8123" spans="5:5" ht="16.5">
      <c r="E8123" s="123"/>
    </row>
    <row r="8124" spans="5:5" ht="16.5">
      <c r="E8124" s="123"/>
    </row>
    <row r="8125" spans="5:5" ht="16.5">
      <c r="E8125" s="123"/>
    </row>
    <row r="8126" spans="5:5" ht="16.5">
      <c r="E8126" s="123"/>
    </row>
    <row r="8127" spans="5:5" ht="16.5">
      <c r="E8127" s="123"/>
    </row>
    <row r="8128" spans="5:5" ht="16.5">
      <c r="E8128" s="123"/>
    </row>
    <row r="8129" spans="5:5" ht="16.5">
      <c r="E8129" s="123"/>
    </row>
    <row r="8130" spans="5:5" ht="16.5">
      <c r="E8130" s="123"/>
    </row>
    <row r="8131" spans="5:5" ht="16.5">
      <c r="E8131" s="123"/>
    </row>
    <row r="8132" spans="5:5" ht="16.5">
      <c r="E8132" s="123"/>
    </row>
    <row r="8133" spans="5:5" ht="16.5">
      <c r="E8133" s="123"/>
    </row>
    <row r="8134" spans="5:5" ht="16.5">
      <c r="E8134" s="123"/>
    </row>
    <row r="8135" spans="5:5" ht="16.5">
      <c r="E8135" s="123"/>
    </row>
    <row r="8136" spans="5:5" ht="16.5">
      <c r="E8136" s="123"/>
    </row>
    <row r="8137" spans="5:5" ht="16.5">
      <c r="E8137" s="123"/>
    </row>
    <row r="8138" spans="5:5" ht="16.5">
      <c r="E8138" s="123"/>
    </row>
    <row r="8139" spans="5:5" ht="16.5">
      <c r="E8139" s="123"/>
    </row>
    <row r="8140" spans="5:5" ht="16.5">
      <c r="E8140" s="123"/>
    </row>
    <row r="8141" spans="5:5" ht="16.5">
      <c r="E8141" s="123"/>
    </row>
    <row r="8142" spans="5:5" ht="16.5">
      <c r="E8142" s="123"/>
    </row>
    <row r="8143" spans="5:5" ht="16.5">
      <c r="E8143" s="123"/>
    </row>
    <row r="8144" spans="5:5" ht="16.5">
      <c r="E8144" s="123"/>
    </row>
    <row r="8145" spans="5:5" ht="16.5">
      <c r="E8145" s="123"/>
    </row>
    <row r="8146" spans="5:5" ht="16.5">
      <c r="E8146" s="123"/>
    </row>
    <row r="8147" spans="5:5" ht="16.5">
      <c r="E8147" s="123"/>
    </row>
    <row r="8148" spans="5:5" ht="16.5">
      <c r="E8148" s="123"/>
    </row>
    <row r="8149" spans="5:5" ht="16.5">
      <c r="E8149" s="123"/>
    </row>
    <row r="8150" spans="5:5" ht="16.5">
      <c r="E8150" s="123"/>
    </row>
    <row r="8151" spans="5:5" ht="16.5">
      <c r="E8151" s="123"/>
    </row>
    <row r="8152" spans="5:5" ht="16.5">
      <c r="E8152" s="123"/>
    </row>
    <row r="8153" spans="5:5" ht="16.5">
      <c r="E8153" s="123"/>
    </row>
    <row r="8154" spans="5:5" ht="16.5">
      <c r="E8154" s="123"/>
    </row>
    <row r="8155" spans="5:5" ht="16.5">
      <c r="E8155" s="123"/>
    </row>
    <row r="8156" spans="5:5" ht="16.5">
      <c r="E8156" s="123"/>
    </row>
    <row r="8157" spans="5:5" ht="16.5">
      <c r="E8157" s="123"/>
    </row>
    <row r="8158" spans="5:5" ht="16.5">
      <c r="E8158" s="123"/>
    </row>
    <row r="8159" spans="5:5" ht="16.5">
      <c r="E8159" s="123"/>
    </row>
    <row r="8160" spans="5:5" ht="16.5">
      <c r="E8160" s="123"/>
    </row>
    <row r="8161" spans="5:5" ht="16.5">
      <c r="E8161" s="123"/>
    </row>
    <row r="8162" spans="5:5" ht="16.5">
      <c r="E8162" s="123"/>
    </row>
    <row r="8163" spans="5:5" ht="16.5">
      <c r="E8163" s="123"/>
    </row>
    <row r="8164" spans="5:5" ht="16.5">
      <c r="E8164" s="123"/>
    </row>
    <row r="8165" spans="5:5" ht="16.5">
      <c r="E8165" s="123"/>
    </row>
    <row r="8166" spans="5:5" ht="16.5">
      <c r="E8166" s="123"/>
    </row>
    <row r="8167" spans="5:5" ht="16.5">
      <c r="E8167" s="123"/>
    </row>
    <row r="8168" spans="5:5" ht="16.5">
      <c r="E8168" s="123"/>
    </row>
    <row r="8169" spans="5:5" ht="16.5">
      <c r="E8169" s="123"/>
    </row>
    <row r="8170" spans="5:5" ht="16.5">
      <c r="E8170" s="123"/>
    </row>
    <row r="8171" spans="5:5" ht="16.5">
      <c r="E8171" s="123"/>
    </row>
    <row r="8172" spans="5:5" ht="16.5">
      <c r="E8172" s="123"/>
    </row>
    <row r="8173" spans="5:5" ht="16.5">
      <c r="E8173" s="123"/>
    </row>
    <row r="8174" spans="5:5" ht="16.5">
      <c r="E8174" s="123"/>
    </row>
    <row r="8175" spans="5:5" ht="16.5">
      <c r="E8175" s="123"/>
    </row>
    <row r="8176" spans="5:5" ht="16.5">
      <c r="E8176" s="123"/>
    </row>
    <row r="8177" spans="5:5" ht="16.5">
      <c r="E8177" s="123"/>
    </row>
    <row r="8178" spans="5:5" ht="16.5">
      <c r="E8178" s="123"/>
    </row>
    <row r="8179" spans="5:5" ht="16.5">
      <c r="E8179" s="123"/>
    </row>
    <row r="8180" spans="5:5" ht="16.5">
      <c r="E8180" s="123"/>
    </row>
    <row r="8181" spans="5:5" ht="16.5">
      <c r="E8181" s="123"/>
    </row>
    <row r="8182" spans="5:5" ht="16.5">
      <c r="E8182" s="123"/>
    </row>
    <row r="8183" spans="5:5" ht="16.5">
      <c r="E8183" s="123"/>
    </row>
    <row r="8184" spans="5:5" ht="16.5">
      <c r="E8184" s="123"/>
    </row>
    <row r="8185" spans="5:5" ht="16.5">
      <c r="E8185" s="123"/>
    </row>
    <row r="8186" spans="5:5" ht="16.5">
      <c r="E8186" s="123"/>
    </row>
    <row r="8187" spans="5:5" ht="16.5">
      <c r="E8187" s="123"/>
    </row>
    <row r="8188" spans="5:5" ht="16.5">
      <c r="E8188" s="123"/>
    </row>
    <row r="8189" spans="5:5" ht="16.5">
      <c r="E8189" s="123"/>
    </row>
    <row r="8190" spans="5:5" ht="16.5">
      <c r="E8190" s="123"/>
    </row>
    <row r="8191" spans="5:5" ht="16.5">
      <c r="E8191" s="123"/>
    </row>
    <row r="8192" spans="5:5" ht="16.5">
      <c r="E8192" s="123"/>
    </row>
    <row r="8193" spans="5:5" ht="16.5">
      <c r="E8193" s="123"/>
    </row>
    <row r="8194" spans="5:5" ht="16.5">
      <c r="E8194" s="123"/>
    </row>
    <row r="8195" spans="5:5" ht="16.5">
      <c r="E8195" s="123"/>
    </row>
    <row r="8196" spans="5:5" ht="16.5">
      <c r="E8196" s="123"/>
    </row>
    <row r="8197" spans="5:5" ht="16.5">
      <c r="E8197" s="123"/>
    </row>
    <row r="8198" spans="5:5" ht="16.5">
      <c r="E8198" s="123"/>
    </row>
    <row r="8199" spans="5:5" ht="16.5">
      <c r="E8199" s="123"/>
    </row>
    <row r="8200" spans="5:5" ht="16.5">
      <c r="E8200" s="123"/>
    </row>
    <row r="8201" spans="5:5" ht="16.5">
      <c r="E8201" s="123"/>
    </row>
    <row r="8202" spans="5:5" ht="16.5">
      <c r="E8202" s="123"/>
    </row>
    <row r="8203" spans="5:5" ht="16.5">
      <c r="E8203" s="123"/>
    </row>
    <row r="8204" spans="5:5" ht="16.5">
      <c r="E8204" s="123"/>
    </row>
    <row r="8205" spans="5:5" ht="16.5">
      <c r="E8205" s="123"/>
    </row>
    <row r="8206" spans="5:5" ht="16.5">
      <c r="E8206" s="123"/>
    </row>
    <row r="8207" spans="5:5" ht="16.5">
      <c r="E8207" s="123"/>
    </row>
    <row r="8208" spans="5:5" ht="16.5">
      <c r="E8208" s="123"/>
    </row>
    <row r="8209" spans="5:5" ht="16.5">
      <c r="E8209" s="123"/>
    </row>
    <row r="8210" spans="5:5" ht="16.5">
      <c r="E8210" s="123"/>
    </row>
    <row r="8211" spans="5:5" ht="16.5">
      <c r="E8211" s="123"/>
    </row>
    <row r="8212" spans="5:5" ht="16.5">
      <c r="E8212" s="123"/>
    </row>
    <row r="8213" spans="5:5" ht="16.5">
      <c r="E8213" s="123"/>
    </row>
    <row r="8214" spans="5:5" ht="16.5">
      <c r="E8214" s="123"/>
    </row>
    <row r="8215" spans="5:5" ht="16.5">
      <c r="E8215" s="123"/>
    </row>
    <row r="8216" spans="5:5" ht="16.5">
      <c r="E8216" s="123"/>
    </row>
    <row r="8217" spans="5:5" ht="16.5">
      <c r="E8217" s="123"/>
    </row>
    <row r="8218" spans="5:5" ht="16.5">
      <c r="E8218" s="123"/>
    </row>
    <row r="8219" spans="5:5" ht="16.5">
      <c r="E8219" s="123"/>
    </row>
    <row r="8220" spans="5:5" ht="16.5">
      <c r="E8220" s="123"/>
    </row>
    <row r="8221" spans="5:5" ht="16.5">
      <c r="E8221" s="123"/>
    </row>
    <row r="8222" spans="5:5" ht="16.5">
      <c r="E8222" s="123"/>
    </row>
    <row r="8223" spans="5:5" ht="16.5">
      <c r="E8223" s="123"/>
    </row>
    <row r="8224" spans="5:5" ht="16.5">
      <c r="E8224" s="123"/>
    </row>
    <row r="8225" spans="5:5" ht="16.5">
      <c r="E8225" s="123"/>
    </row>
    <row r="8226" spans="5:5" ht="16.5">
      <c r="E8226" s="123"/>
    </row>
    <row r="8227" spans="5:5" ht="16.5">
      <c r="E8227" s="123"/>
    </row>
    <row r="8228" spans="5:5" ht="16.5">
      <c r="E8228" s="123"/>
    </row>
    <row r="8229" spans="5:5" ht="16.5">
      <c r="E8229" s="123"/>
    </row>
    <row r="8230" spans="5:5" ht="16.5">
      <c r="E8230" s="123"/>
    </row>
    <row r="8231" spans="5:5" ht="16.5">
      <c r="E8231" s="123"/>
    </row>
    <row r="8232" spans="5:5" ht="16.5">
      <c r="E8232" s="123"/>
    </row>
    <row r="8233" spans="5:5" ht="16.5">
      <c r="E8233" s="123"/>
    </row>
    <row r="8234" spans="5:5" ht="16.5">
      <c r="E8234" s="123"/>
    </row>
    <row r="8235" spans="5:5" ht="16.5">
      <c r="E8235" s="123"/>
    </row>
    <row r="8236" spans="5:5" ht="16.5">
      <c r="E8236" s="123"/>
    </row>
    <row r="8237" spans="5:5" ht="16.5">
      <c r="E8237" s="123"/>
    </row>
    <row r="8238" spans="5:5" ht="16.5">
      <c r="E8238" s="123"/>
    </row>
    <row r="8239" spans="5:5" ht="16.5">
      <c r="E8239" s="123"/>
    </row>
    <row r="8240" spans="5:5" ht="16.5">
      <c r="E8240" s="123"/>
    </row>
    <row r="8241" spans="5:5" ht="16.5">
      <c r="E8241" s="123"/>
    </row>
    <row r="8242" spans="5:5" ht="16.5">
      <c r="E8242" s="123"/>
    </row>
    <row r="8243" spans="5:5" ht="16.5">
      <c r="E8243" s="123"/>
    </row>
    <row r="8244" spans="5:5" ht="16.5">
      <c r="E8244" s="123"/>
    </row>
    <row r="8245" spans="5:5" ht="16.5">
      <c r="E8245" s="123"/>
    </row>
    <row r="8246" spans="5:5" ht="16.5">
      <c r="E8246" s="123"/>
    </row>
    <row r="8247" spans="5:5" ht="16.5">
      <c r="E8247" s="123"/>
    </row>
    <row r="8248" spans="5:5" ht="16.5">
      <c r="E8248" s="123"/>
    </row>
    <row r="8249" spans="5:5" ht="16.5">
      <c r="E8249" s="123"/>
    </row>
    <row r="8250" spans="5:5" ht="16.5">
      <c r="E8250" s="123"/>
    </row>
    <row r="8251" spans="5:5" ht="16.5">
      <c r="E8251" s="123"/>
    </row>
    <row r="8252" spans="5:5" ht="16.5">
      <c r="E8252" s="123"/>
    </row>
    <row r="8253" spans="5:5" ht="16.5">
      <c r="E8253" s="123"/>
    </row>
    <row r="8254" spans="5:5" ht="16.5">
      <c r="E8254" s="123"/>
    </row>
    <row r="8255" spans="5:5" ht="16.5">
      <c r="E8255" s="123"/>
    </row>
    <row r="8256" spans="5:5" ht="16.5">
      <c r="E8256" s="123"/>
    </row>
    <row r="8257" spans="5:5" ht="16.5">
      <c r="E8257" s="123"/>
    </row>
    <row r="8258" spans="5:5" ht="16.5">
      <c r="E8258" s="123"/>
    </row>
    <row r="8259" spans="5:5" ht="16.5">
      <c r="E8259" s="123"/>
    </row>
    <row r="8260" spans="5:5" ht="16.5">
      <c r="E8260" s="123"/>
    </row>
    <row r="8261" spans="5:5" ht="16.5">
      <c r="E8261" s="123"/>
    </row>
    <row r="8262" spans="5:5" ht="16.5">
      <c r="E8262" s="123"/>
    </row>
    <row r="8263" spans="5:5" ht="16.5">
      <c r="E8263" s="123"/>
    </row>
    <row r="8264" spans="5:5" ht="16.5">
      <c r="E8264" s="123"/>
    </row>
    <row r="8265" spans="5:5" ht="16.5">
      <c r="E8265" s="123"/>
    </row>
    <row r="8266" spans="5:5" ht="16.5">
      <c r="E8266" s="123"/>
    </row>
    <row r="8267" spans="5:5" ht="16.5">
      <c r="E8267" s="123"/>
    </row>
    <row r="8268" spans="5:5" ht="16.5">
      <c r="E8268" s="123"/>
    </row>
    <row r="8269" spans="5:5" ht="16.5">
      <c r="E8269" s="123"/>
    </row>
    <row r="8270" spans="5:5" ht="16.5">
      <c r="E8270" s="123"/>
    </row>
    <row r="8271" spans="5:5" ht="16.5">
      <c r="E8271" s="123"/>
    </row>
    <row r="8272" spans="5:5" ht="16.5">
      <c r="E8272" s="123"/>
    </row>
    <row r="8273" spans="5:5" ht="16.5">
      <c r="E8273" s="123"/>
    </row>
    <row r="8274" spans="5:5" ht="16.5">
      <c r="E8274" s="123"/>
    </row>
    <row r="8275" spans="5:5" ht="16.5">
      <c r="E8275" s="123"/>
    </row>
    <row r="8276" spans="5:5" ht="16.5">
      <c r="E8276" s="123"/>
    </row>
    <row r="8277" spans="5:5" ht="16.5">
      <c r="E8277" s="123"/>
    </row>
    <row r="8278" spans="5:5" ht="16.5">
      <c r="E8278" s="123"/>
    </row>
    <row r="8279" spans="5:5" ht="16.5">
      <c r="E8279" s="123"/>
    </row>
    <row r="8280" spans="5:5" ht="16.5">
      <c r="E8280" s="123"/>
    </row>
    <row r="8281" spans="5:5" ht="16.5">
      <c r="E8281" s="123"/>
    </row>
    <row r="8282" spans="5:5" ht="16.5">
      <c r="E8282" s="123"/>
    </row>
    <row r="8283" spans="5:5" ht="16.5">
      <c r="E8283" s="123"/>
    </row>
    <row r="8284" spans="5:5" ht="16.5">
      <c r="E8284" s="123"/>
    </row>
    <row r="8285" spans="5:5" ht="16.5">
      <c r="E8285" s="123"/>
    </row>
    <row r="8286" spans="5:5" ht="16.5">
      <c r="E8286" s="123"/>
    </row>
    <row r="8287" spans="5:5" ht="16.5">
      <c r="E8287" s="123"/>
    </row>
    <row r="8288" spans="5:5" ht="16.5">
      <c r="E8288" s="123"/>
    </row>
    <row r="8289" spans="5:5" ht="16.5">
      <c r="E8289" s="123"/>
    </row>
    <row r="8290" spans="5:5" ht="16.5">
      <c r="E8290" s="123"/>
    </row>
    <row r="8291" spans="5:5" ht="16.5">
      <c r="E8291" s="123"/>
    </row>
    <row r="8292" spans="5:5" ht="16.5">
      <c r="E8292" s="123"/>
    </row>
    <row r="8293" spans="5:5" ht="16.5">
      <c r="E8293" s="123"/>
    </row>
    <row r="8294" spans="5:5" ht="16.5">
      <c r="E8294" s="123"/>
    </row>
    <row r="8295" spans="5:5" ht="16.5">
      <c r="E8295" s="123"/>
    </row>
    <row r="8296" spans="5:5" ht="16.5">
      <c r="E8296" s="123"/>
    </row>
    <row r="8297" spans="5:5" ht="16.5">
      <c r="E8297" s="123"/>
    </row>
    <row r="8298" spans="5:5" ht="16.5">
      <c r="E8298" s="123"/>
    </row>
    <row r="8299" spans="5:5" ht="16.5">
      <c r="E8299" s="123"/>
    </row>
    <row r="8300" spans="5:5" ht="16.5">
      <c r="E8300" s="123"/>
    </row>
    <row r="8301" spans="5:5" ht="16.5">
      <c r="E8301" s="123"/>
    </row>
    <row r="8302" spans="5:5" ht="16.5">
      <c r="E8302" s="123"/>
    </row>
    <row r="8303" spans="5:5" ht="16.5">
      <c r="E8303" s="123"/>
    </row>
    <row r="8304" spans="5:5" ht="16.5">
      <c r="E8304" s="123"/>
    </row>
    <row r="8305" spans="5:5" ht="16.5">
      <c r="E8305" s="123"/>
    </row>
    <row r="8306" spans="5:5" ht="16.5">
      <c r="E8306" s="123"/>
    </row>
    <row r="8307" spans="5:5" ht="16.5">
      <c r="E8307" s="123"/>
    </row>
    <row r="8308" spans="5:5" ht="16.5">
      <c r="E8308" s="123"/>
    </row>
    <row r="8309" spans="5:5" ht="16.5">
      <c r="E8309" s="123"/>
    </row>
    <row r="8310" spans="5:5" ht="16.5">
      <c r="E8310" s="123"/>
    </row>
    <row r="8311" spans="5:5" ht="16.5">
      <c r="E8311" s="123"/>
    </row>
    <row r="8312" spans="5:5" ht="16.5">
      <c r="E8312" s="123"/>
    </row>
    <row r="8313" spans="5:5" ht="16.5">
      <c r="E8313" s="123"/>
    </row>
    <row r="8314" spans="5:5" ht="16.5">
      <c r="E8314" s="123"/>
    </row>
    <row r="8315" spans="5:5" ht="16.5">
      <c r="E8315" s="123"/>
    </row>
    <row r="8316" spans="5:5" ht="16.5">
      <c r="E8316" s="123"/>
    </row>
    <row r="8317" spans="5:5" ht="16.5">
      <c r="E8317" s="123"/>
    </row>
    <row r="8318" spans="5:5" ht="16.5">
      <c r="E8318" s="123"/>
    </row>
    <row r="8319" spans="5:5" ht="16.5">
      <c r="E8319" s="123"/>
    </row>
    <row r="8320" spans="5:5" ht="16.5">
      <c r="E8320" s="123"/>
    </row>
    <row r="8321" spans="5:5" ht="16.5">
      <c r="E8321" s="123"/>
    </row>
    <row r="8322" spans="5:5" ht="16.5">
      <c r="E8322" s="123"/>
    </row>
    <row r="8323" spans="5:5" ht="16.5">
      <c r="E8323" s="123"/>
    </row>
    <row r="8324" spans="5:5" ht="16.5">
      <c r="E8324" s="123"/>
    </row>
    <row r="8325" spans="5:5" ht="16.5">
      <c r="E8325" s="123"/>
    </row>
    <row r="8326" spans="5:5" ht="16.5">
      <c r="E8326" s="123"/>
    </row>
    <row r="8327" spans="5:5" ht="16.5">
      <c r="E8327" s="123"/>
    </row>
    <row r="8328" spans="5:5" ht="16.5">
      <c r="E8328" s="123"/>
    </row>
    <row r="8329" spans="5:5" ht="16.5">
      <c r="E8329" s="123"/>
    </row>
    <row r="8330" spans="5:5" ht="16.5">
      <c r="E8330" s="123"/>
    </row>
    <row r="8331" spans="5:5" ht="16.5">
      <c r="E8331" s="123"/>
    </row>
    <row r="8332" spans="5:5" ht="16.5">
      <c r="E8332" s="123"/>
    </row>
    <row r="8333" spans="5:5" ht="16.5">
      <c r="E8333" s="123"/>
    </row>
    <row r="8334" spans="5:5" ht="16.5">
      <c r="E8334" s="123"/>
    </row>
    <row r="8335" spans="5:5" ht="16.5">
      <c r="E8335" s="123"/>
    </row>
    <row r="8336" spans="5:5" ht="16.5">
      <c r="E8336" s="123"/>
    </row>
    <row r="8337" spans="5:5" ht="16.5">
      <c r="E8337" s="123"/>
    </row>
    <row r="8338" spans="5:5" ht="16.5">
      <c r="E8338" s="123"/>
    </row>
    <row r="8339" spans="5:5" ht="16.5">
      <c r="E8339" s="123"/>
    </row>
    <row r="8340" spans="5:5" ht="16.5">
      <c r="E8340" s="123"/>
    </row>
    <row r="8341" spans="5:5" ht="16.5">
      <c r="E8341" s="123"/>
    </row>
    <row r="8342" spans="5:5" ht="16.5">
      <c r="E8342" s="123"/>
    </row>
    <row r="8343" spans="5:5" ht="16.5">
      <c r="E8343" s="123"/>
    </row>
    <row r="8344" spans="5:5" ht="16.5">
      <c r="E8344" s="123"/>
    </row>
    <row r="8345" spans="5:5" ht="16.5">
      <c r="E8345" s="123"/>
    </row>
    <row r="8346" spans="5:5" ht="16.5">
      <c r="E8346" s="123"/>
    </row>
    <row r="8347" spans="5:5" ht="16.5">
      <c r="E8347" s="123"/>
    </row>
    <row r="8348" spans="5:5" ht="16.5">
      <c r="E8348" s="123"/>
    </row>
    <row r="8349" spans="5:5" ht="16.5">
      <c r="E8349" s="123"/>
    </row>
    <row r="8350" spans="5:5" ht="16.5">
      <c r="E8350" s="123"/>
    </row>
    <row r="8351" spans="5:5" ht="16.5">
      <c r="E8351" s="123"/>
    </row>
    <row r="8352" spans="5:5" ht="16.5">
      <c r="E8352" s="123"/>
    </row>
    <row r="8353" spans="5:5" ht="16.5">
      <c r="E8353" s="123"/>
    </row>
    <row r="8354" spans="5:5" ht="16.5">
      <c r="E8354" s="123"/>
    </row>
    <row r="8355" spans="5:5" ht="16.5">
      <c r="E8355" s="123"/>
    </row>
    <row r="8356" spans="5:5" ht="16.5">
      <c r="E8356" s="123"/>
    </row>
    <row r="8357" spans="5:5" ht="16.5">
      <c r="E8357" s="123"/>
    </row>
    <row r="8358" spans="5:5" ht="16.5">
      <c r="E8358" s="123"/>
    </row>
    <row r="8359" spans="5:5" ht="16.5">
      <c r="E8359" s="123"/>
    </row>
    <row r="8360" spans="5:5" ht="16.5">
      <c r="E8360" s="123"/>
    </row>
    <row r="8361" spans="5:5" ht="16.5">
      <c r="E8361" s="123"/>
    </row>
    <row r="8362" spans="5:5" ht="16.5">
      <c r="E8362" s="123"/>
    </row>
    <row r="8363" spans="5:5" ht="16.5">
      <c r="E8363" s="123"/>
    </row>
    <row r="8364" spans="5:5" ht="16.5">
      <c r="E8364" s="123"/>
    </row>
    <row r="8365" spans="5:5" ht="16.5">
      <c r="E8365" s="123"/>
    </row>
    <row r="8366" spans="5:5" ht="16.5">
      <c r="E8366" s="123"/>
    </row>
    <row r="8367" spans="5:5" ht="16.5">
      <c r="E8367" s="123"/>
    </row>
    <row r="8368" spans="5:5" ht="16.5">
      <c r="E8368" s="123"/>
    </row>
    <row r="8369" spans="5:5" ht="16.5">
      <c r="E8369" s="123"/>
    </row>
    <row r="8370" spans="5:5" ht="16.5">
      <c r="E8370" s="123"/>
    </row>
    <row r="8371" spans="5:5" ht="16.5">
      <c r="E8371" s="123"/>
    </row>
    <row r="8372" spans="5:5" ht="16.5">
      <c r="E8372" s="123"/>
    </row>
    <row r="8373" spans="5:5" ht="16.5">
      <c r="E8373" s="123"/>
    </row>
    <row r="8374" spans="5:5" ht="16.5">
      <c r="E8374" s="123"/>
    </row>
    <row r="8375" spans="5:5" ht="16.5">
      <c r="E8375" s="123"/>
    </row>
    <row r="8376" spans="5:5" ht="16.5">
      <c r="E8376" s="123"/>
    </row>
    <row r="8377" spans="5:5" ht="16.5">
      <c r="E8377" s="123"/>
    </row>
    <row r="8378" spans="5:5" ht="16.5">
      <c r="E8378" s="123"/>
    </row>
    <row r="8379" spans="5:5" ht="16.5">
      <c r="E8379" s="123"/>
    </row>
    <row r="8380" spans="5:5" ht="16.5">
      <c r="E8380" s="123"/>
    </row>
    <row r="8381" spans="5:5" ht="16.5">
      <c r="E8381" s="123"/>
    </row>
    <row r="8382" spans="5:5" ht="16.5">
      <c r="E8382" s="123"/>
    </row>
    <row r="8383" spans="5:5" ht="16.5">
      <c r="E8383" s="123"/>
    </row>
    <row r="8384" spans="5:5" ht="16.5">
      <c r="E8384" s="123"/>
    </row>
    <row r="8385" spans="5:5" ht="16.5">
      <c r="E8385" s="123"/>
    </row>
    <row r="8386" spans="5:5" ht="16.5">
      <c r="E8386" s="123"/>
    </row>
    <row r="8387" spans="5:5" ht="16.5">
      <c r="E8387" s="123"/>
    </row>
    <row r="8388" spans="5:5" ht="16.5">
      <c r="E8388" s="123"/>
    </row>
    <row r="8389" spans="5:5" ht="16.5">
      <c r="E8389" s="123"/>
    </row>
    <row r="8390" spans="5:5" ht="16.5">
      <c r="E8390" s="123"/>
    </row>
    <row r="8391" spans="5:5" ht="16.5">
      <c r="E8391" s="123"/>
    </row>
    <row r="8392" spans="5:5" ht="16.5">
      <c r="E8392" s="123"/>
    </row>
    <row r="8393" spans="5:5" ht="16.5">
      <c r="E8393" s="123"/>
    </row>
    <row r="8394" spans="5:5" ht="16.5">
      <c r="E8394" s="123"/>
    </row>
    <row r="8395" spans="5:5" ht="16.5">
      <c r="E8395" s="123"/>
    </row>
    <row r="8396" spans="5:5" ht="16.5">
      <c r="E8396" s="123"/>
    </row>
    <row r="8397" spans="5:5" ht="16.5">
      <c r="E8397" s="123"/>
    </row>
    <row r="8398" spans="5:5" ht="16.5">
      <c r="E8398" s="123"/>
    </row>
    <row r="8399" spans="5:5" ht="16.5">
      <c r="E8399" s="123"/>
    </row>
    <row r="8400" spans="5:5" ht="16.5">
      <c r="E8400" s="123"/>
    </row>
    <row r="8401" spans="5:5" ht="16.5">
      <c r="E8401" s="123"/>
    </row>
    <row r="8402" spans="5:5" ht="16.5">
      <c r="E8402" s="123"/>
    </row>
    <row r="8403" spans="5:5" ht="16.5">
      <c r="E8403" s="123"/>
    </row>
    <row r="8404" spans="5:5" ht="16.5">
      <c r="E8404" s="123"/>
    </row>
    <row r="8405" spans="5:5" ht="16.5">
      <c r="E8405" s="123"/>
    </row>
    <row r="8406" spans="5:5" ht="16.5">
      <c r="E8406" s="123"/>
    </row>
    <row r="8407" spans="5:5" ht="16.5">
      <c r="E8407" s="123"/>
    </row>
    <row r="8408" spans="5:5" ht="16.5">
      <c r="E8408" s="123"/>
    </row>
    <row r="8409" spans="5:5" ht="16.5">
      <c r="E8409" s="123"/>
    </row>
    <row r="8410" spans="5:5" ht="16.5">
      <c r="E8410" s="123"/>
    </row>
    <row r="8411" spans="5:5" ht="16.5">
      <c r="E8411" s="123"/>
    </row>
    <row r="8412" spans="5:5" ht="16.5">
      <c r="E8412" s="123"/>
    </row>
    <row r="8413" spans="5:5" ht="16.5">
      <c r="E8413" s="123"/>
    </row>
    <row r="8414" spans="5:5" ht="16.5">
      <c r="E8414" s="123"/>
    </row>
    <row r="8415" spans="5:5" ht="16.5">
      <c r="E8415" s="123"/>
    </row>
    <row r="8416" spans="5:5" ht="16.5">
      <c r="E8416" s="123"/>
    </row>
    <row r="8417" spans="5:5" ht="16.5">
      <c r="E8417" s="123"/>
    </row>
    <row r="8418" spans="5:5" ht="16.5">
      <c r="E8418" s="123"/>
    </row>
    <row r="8419" spans="5:5" ht="16.5">
      <c r="E8419" s="123"/>
    </row>
    <row r="8420" spans="5:5" ht="16.5">
      <c r="E8420" s="123"/>
    </row>
    <row r="8421" spans="5:5" ht="16.5">
      <c r="E8421" s="123"/>
    </row>
    <row r="8422" spans="5:5" ht="16.5">
      <c r="E8422" s="123"/>
    </row>
    <row r="8423" spans="5:5" ht="16.5">
      <c r="E8423" s="123"/>
    </row>
    <row r="8424" spans="5:5" ht="16.5">
      <c r="E8424" s="123"/>
    </row>
    <row r="8425" spans="5:5" ht="16.5">
      <c r="E8425" s="123"/>
    </row>
    <row r="8426" spans="5:5" ht="16.5">
      <c r="E8426" s="123"/>
    </row>
    <row r="8427" spans="5:5" ht="16.5">
      <c r="E8427" s="123"/>
    </row>
    <row r="8428" spans="5:5" ht="16.5">
      <c r="E8428" s="123"/>
    </row>
    <row r="8429" spans="5:5" ht="16.5">
      <c r="E8429" s="123"/>
    </row>
    <row r="8430" spans="5:5" ht="16.5">
      <c r="E8430" s="123"/>
    </row>
    <row r="8431" spans="5:5" ht="16.5">
      <c r="E8431" s="123"/>
    </row>
    <row r="8432" spans="5:5" ht="16.5">
      <c r="E8432" s="123"/>
    </row>
    <row r="8433" spans="5:5" ht="16.5">
      <c r="E8433" s="123"/>
    </row>
    <row r="8434" spans="5:5" ht="16.5">
      <c r="E8434" s="123"/>
    </row>
    <row r="8435" spans="5:5" ht="16.5">
      <c r="E8435" s="123"/>
    </row>
    <row r="8436" spans="5:5" ht="16.5">
      <c r="E8436" s="123"/>
    </row>
    <row r="8437" spans="5:5" ht="16.5">
      <c r="E8437" s="123"/>
    </row>
    <row r="8438" spans="5:5" ht="16.5">
      <c r="E8438" s="123"/>
    </row>
    <row r="8439" spans="5:5" ht="16.5">
      <c r="E8439" s="123"/>
    </row>
    <row r="8440" spans="5:5" ht="16.5">
      <c r="E8440" s="123"/>
    </row>
    <row r="8441" spans="5:5" ht="16.5">
      <c r="E8441" s="123"/>
    </row>
    <row r="8442" spans="5:5" ht="16.5">
      <c r="E8442" s="123"/>
    </row>
    <row r="8443" spans="5:5" ht="16.5">
      <c r="E8443" s="123"/>
    </row>
    <row r="8444" spans="5:5" ht="16.5">
      <c r="E8444" s="123"/>
    </row>
    <row r="8445" spans="5:5" ht="16.5">
      <c r="E8445" s="123"/>
    </row>
    <row r="8446" spans="5:5" ht="16.5">
      <c r="E8446" s="123"/>
    </row>
    <row r="8447" spans="5:5" ht="16.5">
      <c r="E8447" s="123"/>
    </row>
    <row r="8448" spans="5:5" ht="16.5">
      <c r="E8448" s="123"/>
    </row>
    <row r="8449" spans="5:5" ht="16.5">
      <c r="E8449" s="123"/>
    </row>
    <row r="8450" spans="5:5" ht="16.5">
      <c r="E8450" s="123"/>
    </row>
    <row r="8451" spans="5:5" ht="16.5">
      <c r="E8451" s="123"/>
    </row>
    <row r="8452" spans="5:5" ht="16.5">
      <c r="E8452" s="123"/>
    </row>
    <row r="8453" spans="5:5" ht="16.5">
      <c r="E8453" s="123"/>
    </row>
    <row r="8454" spans="5:5" ht="16.5">
      <c r="E8454" s="123"/>
    </row>
    <row r="8455" spans="5:5" ht="16.5">
      <c r="E8455" s="123"/>
    </row>
    <row r="8456" spans="5:5" ht="16.5">
      <c r="E8456" s="123"/>
    </row>
    <row r="8457" spans="5:5" ht="16.5">
      <c r="E8457" s="123"/>
    </row>
    <row r="8458" spans="5:5" ht="16.5">
      <c r="E8458" s="123"/>
    </row>
    <row r="8459" spans="5:5" ht="16.5">
      <c r="E8459" s="123"/>
    </row>
    <row r="8460" spans="5:5" ht="16.5">
      <c r="E8460" s="123"/>
    </row>
    <row r="8461" spans="5:5" ht="16.5">
      <c r="E8461" s="123"/>
    </row>
    <row r="8462" spans="5:5" ht="16.5">
      <c r="E8462" s="123"/>
    </row>
    <row r="8463" spans="5:5" ht="16.5">
      <c r="E8463" s="123"/>
    </row>
    <row r="8464" spans="5:5" ht="16.5">
      <c r="E8464" s="123"/>
    </row>
    <row r="8465" spans="5:5" ht="16.5">
      <c r="E8465" s="123"/>
    </row>
    <row r="8466" spans="5:5" ht="16.5">
      <c r="E8466" s="123"/>
    </row>
    <row r="8467" spans="5:5" ht="16.5">
      <c r="E8467" s="123"/>
    </row>
    <row r="8468" spans="5:5" ht="16.5">
      <c r="E8468" s="123"/>
    </row>
    <row r="8469" spans="5:5" ht="16.5">
      <c r="E8469" s="123"/>
    </row>
    <row r="8470" spans="5:5" ht="16.5">
      <c r="E8470" s="123"/>
    </row>
    <row r="8471" spans="5:5" ht="16.5">
      <c r="E8471" s="123"/>
    </row>
    <row r="8472" spans="5:5" ht="16.5">
      <c r="E8472" s="123"/>
    </row>
    <row r="8473" spans="5:5" ht="16.5">
      <c r="E8473" s="123"/>
    </row>
    <row r="8474" spans="5:5" ht="16.5">
      <c r="E8474" s="123"/>
    </row>
    <row r="8475" spans="5:5" ht="16.5">
      <c r="E8475" s="123"/>
    </row>
    <row r="8476" spans="5:5" ht="16.5">
      <c r="E8476" s="123"/>
    </row>
    <row r="8477" spans="5:5" ht="16.5">
      <c r="E8477" s="123"/>
    </row>
    <row r="8478" spans="5:5" ht="16.5">
      <c r="E8478" s="123"/>
    </row>
    <row r="8479" spans="5:5" ht="16.5">
      <c r="E8479" s="123"/>
    </row>
    <row r="8480" spans="5:5" ht="16.5">
      <c r="E8480" s="123"/>
    </row>
    <row r="8481" spans="5:5" ht="16.5">
      <c r="E8481" s="123"/>
    </row>
    <row r="8482" spans="5:5" ht="16.5">
      <c r="E8482" s="123"/>
    </row>
    <row r="8483" spans="5:5" ht="16.5">
      <c r="E8483" s="123"/>
    </row>
    <row r="8484" spans="5:5" ht="16.5">
      <c r="E8484" s="123"/>
    </row>
    <row r="8485" spans="5:5" ht="16.5">
      <c r="E8485" s="123"/>
    </row>
    <row r="8486" spans="5:5" ht="16.5">
      <c r="E8486" s="123"/>
    </row>
    <row r="8487" spans="5:5" ht="16.5">
      <c r="E8487" s="123"/>
    </row>
    <row r="8488" spans="5:5" ht="16.5">
      <c r="E8488" s="123"/>
    </row>
    <row r="8489" spans="5:5" ht="16.5">
      <c r="E8489" s="123"/>
    </row>
    <row r="8490" spans="5:5" ht="16.5">
      <c r="E8490" s="123"/>
    </row>
    <row r="8491" spans="5:5" ht="16.5">
      <c r="E8491" s="123"/>
    </row>
    <row r="8492" spans="5:5" ht="16.5">
      <c r="E8492" s="123"/>
    </row>
    <row r="8493" spans="5:5" ht="16.5">
      <c r="E8493" s="123"/>
    </row>
    <row r="8494" spans="5:5" ht="16.5">
      <c r="E8494" s="123"/>
    </row>
    <row r="8495" spans="5:5" ht="16.5">
      <c r="E8495" s="123"/>
    </row>
    <row r="8496" spans="5:5" ht="16.5">
      <c r="E8496" s="123"/>
    </row>
    <row r="8497" spans="5:5" ht="16.5">
      <c r="E8497" s="123"/>
    </row>
    <row r="8498" spans="5:5" ht="16.5">
      <c r="E8498" s="123"/>
    </row>
    <row r="8499" spans="5:5" ht="16.5">
      <c r="E8499" s="123"/>
    </row>
    <row r="8500" spans="5:5" ht="16.5">
      <c r="E8500" s="123"/>
    </row>
    <row r="8501" spans="5:5" ht="16.5">
      <c r="E8501" s="123"/>
    </row>
    <row r="8502" spans="5:5" ht="16.5">
      <c r="E8502" s="123"/>
    </row>
    <row r="8503" spans="5:5" ht="16.5">
      <c r="E8503" s="123"/>
    </row>
    <row r="8504" spans="5:5" ht="16.5">
      <c r="E8504" s="123"/>
    </row>
    <row r="8505" spans="5:5" ht="16.5">
      <c r="E8505" s="123"/>
    </row>
    <row r="8506" spans="5:5" ht="16.5">
      <c r="E8506" s="123"/>
    </row>
    <row r="8507" spans="5:5" ht="16.5">
      <c r="E8507" s="123"/>
    </row>
    <row r="8508" spans="5:5" ht="16.5">
      <c r="E8508" s="123"/>
    </row>
    <row r="8509" spans="5:5" ht="16.5">
      <c r="E8509" s="123"/>
    </row>
    <row r="8510" spans="5:5" ht="16.5">
      <c r="E8510" s="123"/>
    </row>
    <row r="8511" spans="5:5" ht="16.5">
      <c r="E8511" s="123"/>
    </row>
    <row r="8512" spans="5:5" ht="16.5">
      <c r="E8512" s="123"/>
    </row>
    <row r="8513" spans="5:5" ht="16.5">
      <c r="E8513" s="123"/>
    </row>
    <row r="8514" spans="5:5" ht="16.5">
      <c r="E8514" s="123"/>
    </row>
    <row r="8515" spans="5:5" ht="16.5">
      <c r="E8515" s="123"/>
    </row>
    <row r="8516" spans="5:5" ht="16.5">
      <c r="E8516" s="123"/>
    </row>
    <row r="8517" spans="5:5" ht="16.5">
      <c r="E8517" s="123"/>
    </row>
    <row r="8518" spans="5:5" ht="16.5">
      <c r="E8518" s="123"/>
    </row>
    <row r="8519" spans="5:5" ht="16.5">
      <c r="E8519" s="123"/>
    </row>
    <row r="8520" spans="5:5" ht="16.5">
      <c r="E8520" s="123"/>
    </row>
    <row r="8521" spans="5:5" ht="16.5">
      <c r="E8521" s="123"/>
    </row>
    <row r="8522" spans="5:5" ht="16.5">
      <c r="E8522" s="123"/>
    </row>
    <row r="8523" spans="5:5" ht="16.5">
      <c r="E8523" s="123"/>
    </row>
    <row r="8524" spans="5:5" ht="16.5">
      <c r="E8524" s="123"/>
    </row>
    <row r="8525" spans="5:5" ht="16.5">
      <c r="E8525" s="123"/>
    </row>
    <row r="8526" spans="5:5" ht="16.5">
      <c r="E8526" s="123"/>
    </row>
    <row r="8527" spans="5:5" ht="16.5">
      <c r="E8527" s="123"/>
    </row>
    <row r="8528" spans="5:5" ht="16.5">
      <c r="E8528" s="123"/>
    </row>
    <row r="8529" spans="5:5" ht="16.5">
      <c r="E8529" s="123"/>
    </row>
    <row r="8530" spans="5:5" ht="16.5">
      <c r="E8530" s="123"/>
    </row>
    <row r="8531" spans="5:5" ht="16.5">
      <c r="E8531" s="123"/>
    </row>
    <row r="8532" spans="5:5" ht="16.5">
      <c r="E8532" s="123"/>
    </row>
    <row r="8533" spans="5:5" ht="16.5">
      <c r="E8533" s="123"/>
    </row>
    <row r="8534" spans="5:5" ht="16.5">
      <c r="E8534" s="123"/>
    </row>
    <row r="8535" spans="5:5" ht="16.5">
      <c r="E8535" s="123"/>
    </row>
    <row r="8536" spans="5:5" ht="16.5">
      <c r="E8536" s="123"/>
    </row>
    <row r="8537" spans="5:5" ht="16.5">
      <c r="E8537" s="123"/>
    </row>
    <row r="8538" spans="5:5" ht="16.5">
      <c r="E8538" s="123"/>
    </row>
    <row r="8539" spans="5:5" ht="16.5">
      <c r="E8539" s="123"/>
    </row>
    <row r="8540" spans="5:5" ht="16.5">
      <c r="E8540" s="123"/>
    </row>
    <row r="8541" spans="5:5" ht="16.5">
      <c r="E8541" s="123"/>
    </row>
    <row r="8542" spans="5:5" ht="16.5">
      <c r="E8542" s="123"/>
    </row>
    <row r="8543" spans="5:5" ht="16.5">
      <c r="E8543" s="123"/>
    </row>
    <row r="8544" spans="5:5" ht="16.5">
      <c r="E8544" s="123"/>
    </row>
    <row r="8545" spans="5:5" ht="16.5">
      <c r="E8545" s="123"/>
    </row>
    <row r="8546" spans="5:5" ht="16.5">
      <c r="E8546" s="123"/>
    </row>
    <row r="8547" spans="5:5" ht="16.5">
      <c r="E8547" s="123"/>
    </row>
    <row r="8548" spans="5:5" ht="16.5">
      <c r="E8548" s="123"/>
    </row>
    <row r="8549" spans="5:5" ht="16.5">
      <c r="E8549" s="123"/>
    </row>
    <row r="8550" spans="5:5" ht="16.5">
      <c r="E8550" s="123"/>
    </row>
    <row r="8551" spans="5:5" ht="16.5">
      <c r="E8551" s="123"/>
    </row>
    <row r="8552" spans="5:5" ht="16.5">
      <c r="E8552" s="123"/>
    </row>
    <row r="8553" spans="5:5" ht="16.5">
      <c r="E8553" s="123"/>
    </row>
    <row r="8554" spans="5:5" ht="16.5">
      <c r="E8554" s="123"/>
    </row>
    <row r="8555" spans="5:5" ht="16.5">
      <c r="E8555" s="123"/>
    </row>
    <row r="8556" spans="5:5" ht="16.5">
      <c r="E8556" s="123"/>
    </row>
    <row r="8557" spans="5:5" ht="16.5">
      <c r="E8557" s="123"/>
    </row>
    <row r="8558" spans="5:5" ht="16.5">
      <c r="E8558" s="123"/>
    </row>
    <row r="8559" spans="5:5" ht="16.5">
      <c r="E8559" s="123"/>
    </row>
    <row r="8560" spans="5:5" ht="16.5">
      <c r="E8560" s="123"/>
    </row>
    <row r="8561" spans="5:5" ht="16.5">
      <c r="E8561" s="123"/>
    </row>
    <row r="8562" spans="5:5" ht="16.5">
      <c r="E8562" s="123"/>
    </row>
    <row r="8563" spans="5:5" ht="16.5">
      <c r="E8563" s="123"/>
    </row>
    <row r="8564" spans="5:5" ht="16.5">
      <c r="E8564" s="123"/>
    </row>
    <row r="8565" spans="5:5" ht="16.5">
      <c r="E8565" s="123"/>
    </row>
    <row r="8566" spans="5:5" ht="16.5">
      <c r="E8566" s="123"/>
    </row>
    <row r="8567" spans="5:5" ht="16.5">
      <c r="E8567" s="123"/>
    </row>
    <row r="8568" spans="5:5" ht="16.5">
      <c r="E8568" s="123"/>
    </row>
    <row r="8569" spans="5:5" ht="16.5">
      <c r="E8569" s="123"/>
    </row>
    <row r="8570" spans="5:5" ht="16.5">
      <c r="E8570" s="123"/>
    </row>
    <row r="8571" spans="5:5" ht="16.5">
      <c r="E8571" s="123"/>
    </row>
    <row r="8572" spans="5:5" ht="16.5">
      <c r="E8572" s="123"/>
    </row>
    <row r="8573" spans="5:5" ht="16.5">
      <c r="E8573" s="123"/>
    </row>
    <row r="8574" spans="5:5" ht="16.5">
      <c r="E8574" s="123"/>
    </row>
    <row r="8575" spans="5:5" ht="16.5">
      <c r="E8575" s="123"/>
    </row>
    <row r="8576" spans="5:5" ht="16.5">
      <c r="E8576" s="123"/>
    </row>
    <row r="8577" spans="5:5" ht="16.5">
      <c r="E8577" s="123"/>
    </row>
    <row r="8578" spans="5:5" ht="16.5">
      <c r="E8578" s="123"/>
    </row>
    <row r="8579" spans="5:5" ht="16.5">
      <c r="E8579" s="123"/>
    </row>
    <row r="8580" spans="5:5" ht="16.5">
      <c r="E8580" s="123"/>
    </row>
    <row r="8581" spans="5:5" ht="16.5">
      <c r="E8581" s="123"/>
    </row>
    <row r="8582" spans="5:5" ht="16.5">
      <c r="E8582" s="123"/>
    </row>
    <row r="8583" spans="5:5" ht="16.5">
      <c r="E8583" s="123"/>
    </row>
    <row r="8584" spans="5:5" ht="16.5">
      <c r="E8584" s="123"/>
    </row>
    <row r="8585" spans="5:5" ht="16.5">
      <c r="E8585" s="123"/>
    </row>
    <row r="8586" spans="5:5" ht="16.5">
      <c r="E8586" s="123"/>
    </row>
    <row r="8587" spans="5:5" ht="16.5">
      <c r="E8587" s="123"/>
    </row>
    <row r="8588" spans="5:5" ht="16.5">
      <c r="E8588" s="123"/>
    </row>
    <row r="8589" spans="5:5" ht="16.5">
      <c r="E8589" s="123"/>
    </row>
    <row r="8590" spans="5:5" ht="16.5">
      <c r="E8590" s="123"/>
    </row>
    <row r="8591" spans="5:5" ht="16.5">
      <c r="E8591" s="123"/>
    </row>
    <row r="8592" spans="5:5" ht="16.5">
      <c r="E8592" s="123"/>
    </row>
    <row r="8593" spans="5:5" ht="16.5">
      <c r="E8593" s="123"/>
    </row>
    <row r="8594" spans="5:5" ht="16.5">
      <c r="E8594" s="123"/>
    </row>
    <row r="8595" spans="5:5" ht="16.5">
      <c r="E8595" s="123"/>
    </row>
    <row r="8596" spans="5:5" ht="16.5">
      <c r="E8596" s="123"/>
    </row>
    <row r="8597" spans="5:5" ht="16.5">
      <c r="E8597" s="123"/>
    </row>
    <row r="8598" spans="5:5" ht="16.5">
      <c r="E8598" s="123"/>
    </row>
    <row r="8599" spans="5:5" ht="16.5">
      <c r="E8599" s="123"/>
    </row>
    <row r="8600" spans="5:5" ht="16.5">
      <c r="E8600" s="123"/>
    </row>
    <row r="8601" spans="5:5" ht="16.5">
      <c r="E8601" s="123"/>
    </row>
    <row r="8602" spans="5:5" ht="16.5">
      <c r="E8602" s="123"/>
    </row>
    <row r="8603" spans="5:5" ht="16.5">
      <c r="E8603" s="123"/>
    </row>
    <row r="8604" spans="5:5" ht="16.5">
      <c r="E8604" s="123"/>
    </row>
    <row r="8605" spans="5:5" ht="16.5">
      <c r="E8605" s="123"/>
    </row>
    <row r="8606" spans="5:5" ht="16.5">
      <c r="E8606" s="123"/>
    </row>
    <row r="8607" spans="5:5" ht="16.5">
      <c r="E8607" s="123"/>
    </row>
    <row r="8608" spans="5:5" ht="16.5">
      <c r="E8608" s="123"/>
    </row>
    <row r="8609" spans="5:5" ht="16.5">
      <c r="E8609" s="123"/>
    </row>
    <row r="8610" spans="5:5" ht="16.5">
      <c r="E8610" s="123"/>
    </row>
    <row r="8611" spans="5:5" ht="16.5">
      <c r="E8611" s="123"/>
    </row>
    <row r="8612" spans="5:5" ht="16.5">
      <c r="E8612" s="123"/>
    </row>
    <row r="8613" spans="5:5" ht="16.5">
      <c r="E8613" s="123"/>
    </row>
    <row r="8614" spans="5:5" ht="16.5">
      <c r="E8614" s="123"/>
    </row>
    <row r="8615" spans="5:5" ht="16.5">
      <c r="E8615" s="123"/>
    </row>
    <row r="8616" spans="5:5" ht="16.5">
      <c r="E8616" s="123"/>
    </row>
    <row r="8617" spans="5:5" ht="16.5">
      <c r="E8617" s="123"/>
    </row>
    <row r="8618" spans="5:5" ht="16.5">
      <c r="E8618" s="123"/>
    </row>
    <row r="8619" spans="5:5" ht="16.5">
      <c r="E8619" s="123"/>
    </row>
    <row r="8620" spans="5:5" ht="16.5">
      <c r="E8620" s="123"/>
    </row>
    <row r="8621" spans="5:5" ht="16.5">
      <c r="E8621" s="123"/>
    </row>
    <row r="8622" spans="5:5" ht="16.5">
      <c r="E8622" s="123"/>
    </row>
    <row r="8623" spans="5:5" ht="16.5">
      <c r="E8623" s="123"/>
    </row>
    <row r="8624" spans="5:5" ht="16.5">
      <c r="E8624" s="123"/>
    </row>
    <row r="8625" spans="5:5" ht="16.5">
      <c r="E8625" s="123"/>
    </row>
    <row r="8626" spans="5:5" ht="16.5">
      <c r="E8626" s="123"/>
    </row>
    <row r="8627" spans="5:5" ht="16.5">
      <c r="E8627" s="123"/>
    </row>
    <row r="8628" spans="5:5" ht="16.5">
      <c r="E8628" s="123"/>
    </row>
    <row r="8629" spans="5:5" ht="16.5">
      <c r="E8629" s="123"/>
    </row>
    <row r="8630" spans="5:5" ht="16.5">
      <c r="E8630" s="123"/>
    </row>
    <row r="8631" spans="5:5" ht="16.5">
      <c r="E8631" s="123"/>
    </row>
    <row r="8632" spans="5:5" ht="16.5">
      <c r="E8632" s="123"/>
    </row>
    <row r="8633" spans="5:5" ht="16.5">
      <c r="E8633" s="123"/>
    </row>
    <row r="8634" spans="5:5" ht="16.5">
      <c r="E8634" s="123"/>
    </row>
    <row r="8635" spans="5:5" ht="16.5">
      <c r="E8635" s="123"/>
    </row>
    <row r="8636" spans="5:5" ht="16.5">
      <c r="E8636" s="123"/>
    </row>
    <row r="8637" spans="5:5" ht="16.5">
      <c r="E8637" s="123"/>
    </row>
    <row r="8638" spans="5:5" ht="16.5">
      <c r="E8638" s="123"/>
    </row>
    <row r="8639" spans="5:5" ht="16.5">
      <c r="E8639" s="123"/>
    </row>
    <row r="8640" spans="5:5" ht="16.5">
      <c r="E8640" s="123"/>
    </row>
    <row r="8641" spans="5:5" ht="16.5">
      <c r="E8641" s="123"/>
    </row>
    <row r="8642" spans="5:5" ht="16.5">
      <c r="E8642" s="123"/>
    </row>
    <row r="8643" spans="5:5" ht="16.5">
      <c r="E8643" s="123"/>
    </row>
    <row r="8644" spans="5:5" ht="16.5">
      <c r="E8644" s="123"/>
    </row>
    <row r="8645" spans="5:5" ht="16.5">
      <c r="E8645" s="123"/>
    </row>
    <row r="8646" spans="5:5" ht="16.5">
      <c r="E8646" s="123"/>
    </row>
    <row r="8647" spans="5:5" ht="16.5">
      <c r="E8647" s="123"/>
    </row>
    <row r="8648" spans="5:5" ht="16.5">
      <c r="E8648" s="123"/>
    </row>
    <row r="8649" spans="5:5" ht="16.5">
      <c r="E8649" s="123"/>
    </row>
    <row r="8650" spans="5:5" ht="16.5">
      <c r="E8650" s="123"/>
    </row>
    <row r="8651" spans="5:5" ht="16.5">
      <c r="E8651" s="123"/>
    </row>
    <row r="8652" spans="5:5" ht="16.5">
      <c r="E8652" s="123"/>
    </row>
    <row r="8653" spans="5:5" ht="16.5">
      <c r="E8653" s="123"/>
    </row>
    <row r="8654" spans="5:5" ht="16.5">
      <c r="E8654" s="123"/>
    </row>
    <row r="8655" spans="5:5" ht="16.5">
      <c r="E8655" s="123"/>
    </row>
    <row r="8656" spans="5:5" ht="16.5">
      <c r="E8656" s="123"/>
    </row>
    <row r="8657" spans="5:5" ht="16.5">
      <c r="E8657" s="123"/>
    </row>
    <row r="8658" spans="5:5" ht="16.5">
      <c r="E8658" s="123"/>
    </row>
    <row r="8659" spans="5:5" ht="16.5">
      <c r="E8659" s="123"/>
    </row>
    <row r="8660" spans="5:5" ht="16.5">
      <c r="E8660" s="123"/>
    </row>
    <row r="8661" spans="5:5" ht="16.5">
      <c r="E8661" s="123"/>
    </row>
    <row r="8662" spans="5:5" ht="16.5">
      <c r="E8662" s="123"/>
    </row>
    <row r="8663" spans="5:5" ht="16.5">
      <c r="E8663" s="123"/>
    </row>
    <row r="8664" spans="5:5" ht="16.5">
      <c r="E8664" s="123"/>
    </row>
    <row r="8665" spans="5:5" ht="16.5">
      <c r="E8665" s="123"/>
    </row>
    <row r="8666" spans="5:5" ht="16.5">
      <c r="E8666" s="123"/>
    </row>
    <row r="8667" spans="5:5" ht="16.5">
      <c r="E8667" s="123"/>
    </row>
    <row r="8668" spans="5:5" ht="16.5">
      <c r="E8668" s="123"/>
    </row>
    <row r="8669" spans="5:5" ht="16.5">
      <c r="E8669" s="123"/>
    </row>
    <row r="8670" spans="5:5" ht="16.5">
      <c r="E8670" s="123"/>
    </row>
    <row r="8671" spans="5:5" ht="16.5">
      <c r="E8671" s="123"/>
    </row>
    <row r="8672" spans="5:5" ht="16.5">
      <c r="E8672" s="123"/>
    </row>
    <row r="8673" spans="5:5" ht="16.5">
      <c r="E8673" s="123"/>
    </row>
    <row r="8674" spans="5:5" ht="16.5">
      <c r="E8674" s="123"/>
    </row>
    <row r="8675" spans="5:5" ht="16.5">
      <c r="E8675" s="123"/>
    </row>
    <row r="8676" spans="5:5" ht="16.5">
      <c r="E8676" s="123"/>
    </row>
    <row r="8677" spans="5:5" ht="16.5">
      <c r="E8677" s="123"/>
    </row>
    <row r="8678" spans="5:5" ht="16.5">
      <c r="E8678" s="123"/>
    </row>
    <row r="8679" spans="5:5" ht="16.5">
      <c r="E8679" s="123"/>
    </row>
    <row r="8680" spans="5:5" ht="16.5">
      <c r="E8680" s="123"/>
    </row>
    <row r="8681" spans="5:5" ht="16.5">
      <c r="E8681" s="123"/>
    </row>
    <row r="8682" spans="5:5" ht="16.5">
      <c r="E8682" s="123"/>
    </row>
    <row r="8683" spans="5:5" ht="16.5">
      <c r="E8683" s="123"/>
    </row>
    <row r="8684" spans="5:5" ht="16.5">
      <c r="E8684" s="123"/>
    </row>
    <row r="8685" spans="5:5" ht="16.5">
      <c r="E8685" s="123"/>
    </row>
    <row r="8686" spans="5:5" ht="16.5">
      <c r="E8686" s="123"/>
    </row>
    <row r="8687" spans="5:5" ht="16.5">
      <c r="E8687" s="123"/>
    </row>
    <row r="8688" spans="5:5" ht="16.5">
      <c r="E8688" s="123"/>
    </row>
    <row r="8689" spans="5:5" ht="16.5">
      <c r="E8689" s="123"/>
    </row>
    <row r="8690" spans="5:5" ht="16.5">
      <c r="E8690" s="123"/>
    </row>
    <row r="8691" spans="5:5" ht="16.5">
      <c r="E8691" s="123"/>
    </row>
    <row r="8692" spans="5:5" ht="16.5">
      <c r="E8692" s="123"/>
    </row>
    <row r="8693" spans="5:5" ht="16.5">
      <c r="E8693" s="123"/>
    </row>
    <row r="8694" spans="5:5" ht="16.5">
      <c r="E8694" s="123"/>
    </row>
    <row r="8695" spans="5:5" ht="16.5">
      <c r="E8695" s="123"/>
    </row>
    <row r="8696" spans="5:5" ht="16.5">
      <c r="E8696" s="123"/>
    </row>
    <row r="8697" spans="5:5" ht="16.5">
      <c r="E8697" s="123"/>
    </row>
    <row r="8698" spans="5:5" ht="16.5">
      <c r="E8698" s="123"/>
    </row>
    <row r="8699" spans="5:5" ht="16.5">
      <c r="E8699" s="123"/>
    </row>
    <row r="8700" spans="5:5" ht="16.5">
      <c r="E8700" s="123"/>
    </row>
    <row r="8701" spans="5:5" ht="16.5">
      <c r="E8701" s="123"/>
    </row>
    <row r="8702" spans="5:5" ht="16.5">
      <c r="E8702" s="123"/>
    </row>
    <row r="8703" spans="5:5" ht="16.5">
      <c r="E8703" s="123"/>
    </row>
    <row r="8704" spans="5:5" ht="16.5">
      <c r="E8704" s="123"/>
    </row>
    <row r="8705" spans="5:5" ht="16.5">
      <c r="E8705" s="123"/>
    </row>
    <row r="8706" spans="5:5" ht="16.5">
      <c r="E8706" s="123"/>
    </row>
    <row r="8707" spans="5:5" ht="16.5">
      <c r="E8707" s="123"/>
    </row>
    <row r="8708" spans="5:5" ht="16.5">
      <c r="E8708" s="123"/>
    </row>
    <row r="8709" spans="5:5" ht="16.5">
      <c r="E8709" s="123"/>
    </row>
    <row r="8710" spans="5:5" ht="16.5">
      <c r="E8710" s="123"/>
    </row>
    <row r="8711" spans="5:5" ht="16.5">
      <c r="E8711" s="123"/>
    </row>
    <row r="8712" spans="5:5" ht="16.5">
      <c r="E8712" s="123"/>
    </row>
    <row r="8713" spans="5:5" ht="16.5">
      <c r="E8713" s="123"/>
    </row>
    <row r="8714" spans="5:5" ht="16.5">
      <c r="E8714" s="123"/>
    </row>
    <row r="8715" spans="5:5" ht="16.5">
      <c r="E8715" s="123"/>
    </row>
    <row r="8716" spans="5:5" ht="16.5">
      <c r="E8716" s="123"/>
    </row>
    <row r="8717" spans="5:5" ht="16.5">
      <c r="E8717" s="123"/>
    </row>
    <row r="8718" spans="5:5" ht="16.5">
      <c r="E8718" s="123"/>
    </row>
    <row r="8719" spans="5:5" ht="16.5">
      <c r="E8719" s="123"/>
    </row>
    <row r="8720" spans="5:5" ht="16.5">
      <c r="E8720" s="123"/>
    </row>
    <row r="8721" spans="5:5" ht="16.5">
      <c r="E8721" s="123"/>
    </row>
    <row r="8722" spans="5:5" ht="16.5">
      <c r="E8722" s="123"/>
    </row>
    <row r="8723" spans="5:5" ht="16.5">
      <c r="E8723" s="123"/>
    </row>
    <row r="8724" spans="5:5" ht="16.5">
      <c r="E8724" s="123"/>
    </row>
    <row r="8725" spans="5:5" ht="16.5">
      <c r="E8725" s="123"/>
    </row>
    <row r="8726" spans="5:5" ht="16.5">
      <c r="E8726" s="123"/>
    </row>
    <row r="8727" spans="5:5" ht="16.5">
      <c r="E8727" s="123"/>
    </row>
    <row r="8728" spans="5:5" ht="16.5">
      <c r="E8728" s="123"/>
    </row>
    <row r="8729" spans="5:5" ht="16.5">
      <c r="E8729" s="123"/>
    </row>
    <row r="8730" spans="5:5" ht="16.5">
      <c r="E8730" s="123"/>
    </row>
    <row r="8731" spans="5:5" ht="16.5">
      <c r="E8731" s="123"/>
    </row>
    <row r="8732" spans="5:5" ht="16.5">
      <c r="E8732" s="123"/>
    </row>
    <row r="8733" spans="5:5" ht="16.5">
      <c r="E8733" s="123"/>
    </row>
    <row r="8734" spans="5:5" ht="16.5">
      <c r="E8734" s="123"/>
    </row>
    <row r="8735" spans="5:5" ht="16.5">
      <c r="E8735" s="123"/>
    </row>
    <row r="8736" spans="5:5" ht="16.5">
      <c r="E8736" s="123"/>
    </row>
    <row r="8737" spans="5:5" ht="16.5">
      <c r="E8737" s="123"/>
    </row>
    <row r="8738" spans="5:5" ht="16.5">
      <c r="E8738" s="123"/>
    </row>
    <row r="8739" spans="5:5" ht="16.5">
      <c r="E8739" s="123"/>
    </row>
    <row r="8740" spans="5:5" ht="16.5">
      <c r="E8740" s="123"/>
    </row>
    <row r="8741" spans="5:5" ht="16.5">
      <c r="E8741" s="123"/>
    </row>
    <row r="8742" spans="5:5" ht="16.5">
      <c r="E8742" s="123"/>
    </row>
    <row r="8743" spans="5:5" ht="16.5">
      <c r="E8743" s="123"/>
    </row>
    <row r="8744" spans="5:5" ht="16.5">
      <c r="E8744" s="123"/>
    </row>
    <row r="8745" spans="5:5" ht="16.5">
      <c r="E8745" s="123"/>
    </row>
    <row r="8746" spans="5:5" ht="16.5">
      <c r="E8746" s="123"/>
    </row>
    <row r="8747" spans="5:5" ht="16.5">
      <c r="E8747" s="123"/>
    </row>
    <row r="8748" spans="5:5" ht="16.5">
      <c r="E8748" s="123"/>
    </row>
    <row r="8749" spans="5:5" ht="16.5">
      <c r="E8749" s="123"/>
    </row>
    <row r="8750" spans="5:5" ht="16.5">
      <c r="E8750" s="123"/>
    </row>
    <row r="8751" spans="5:5" ht="16.5">
      <c r="E8751" s="123"/>
    </row>
    <row r="8752" spans="5:5" ht="16.5">
      <c r="E8752" s="123"/>
    </row>
    <row r="8753" spans="5:5" ht="16.5">
      <c r="E8753" s="123"/>
    </row>
    <row r="8754" spans="5:5" ht="16.5">
      <c r="E8754" s="123"/>
    </row>
    <row r="8755" spans="5:5" ht="16.5">
      <c r="E8755" s="123"/>
    </row>
    <row r="8756" spans="5:5" ht="16.5">
      <c r="E8756" s="123"/>
    </row>
    <row r="8757" spans="5:5" ht="16.5">
      <c r="E8757" s="123"/>
    </row>
    <row r="8758" spans="5:5" ht="16.5">
      <c r="E8758" s="123"/>
    </row>
    <row r="8759" spans="5:5" ht="16.5">
      <c r="E8759" s="123"/>
    </row>
    <row r="8760" spans="5:5" ht="16.5">
      <c r="E8760" s="123"/>
    </row>
    <row r="8761" spans="5:5" ht="16.5">
      <c r="E8761" s="123"/>
    </row>
    <row r="8762" spans="5:5" ht="16.5">
      <c r="E8762" s="123"/>
    </row>
    <row r="8763" spans="5:5" ht="16.5">
      <c r="E8763" s="123"/>
    </row>
    <row r="8764" spans="5:5" ht="16.5">
      <c r="E8764" s="123"/>
    </row>
    <row r="8765" spans="5:5" ht="16.5">
      <c r="E8765" s="123"/>
    </row>
    <row r="8766" spans="5:5" ht="16.5">
      <c r="E8766" s="123"/>
    </row>
    <row r="8767" spans="5:5" ht="16.5">
      <c r="E8767" s="123"/>
    </row>
    <row r="8768" spans="5:5" ht="16.5">
      <c r="E8768" s="123"/>
    </row>
    <row r="8769" spans="5:5" ht="16.5">
      <c r="E8769" s="123"/>
    </row>
    <row r="8770" spans="5:5" ht="16.5">
      <c r="E8770" s="123"/>
    </row>
    <row r="8771" spans="5:5" ht="16.5">
      <c r="E8771" s="123"/>
    </row>
    <row r="8772" spans="5:5" ht="16.5">
      <c r="E8772" s="123"/>
    </row>
    <row r="8773" spans="5:5" ht="16.5">
      <c r="E8773" s="123"/>
    </row>
    <row r="8774" spans="5:5" ht="16.5">
      <c r="E8774" s="123"/>
    </row>
    <row r="8775" spans="5:5" ht="16.5">
      <c r="E8775" s="123"/>
    </row>
    <row r="8776" spans="5:5" ht="16.5">
      <c r="E8776" s="123"/>
    </row>
    <row r="8777" spans="5:5" ht="16.5">
      <c r="E8777" s="123"/>
    </row>
    <row r="8778" spans="5:5" ht="16.5">
      <c r="E8778" s="123"/>
    </row>
    <row r="8779" spans="5:5" ht="16.5">
      <c r="E8779" s="123"/>
    </row>
    <row r="8780" spans="5:5" ht="16.5">
      <c r="E8780" s="123"/>
    </row>
    <row r="8781" spans="5:5" ht="16.5">
      <c r="E8781" s="123"/>
    </row>
    <row r="8782" spans="5:5" ht="16.5">
      <c r="E8782" s="123"/>
    </row>
    <row r="8783" spans="5:5" ht="16.5">
      <c r="E8783" s="123"/>
    </row>
    <row r="8784" spans="5:5" ht="16.5">
      <c r="E8784" s="123"/>
    </row>
    <row r="8785" spans="5:5" ht="16.5">
      <c r="E8785" s="123"/>
    </row>
    <row r="8786" spans="5:5" ht="16.5">
      <c r="E8786" s="123"/>
    </row>
    <row r="8787" spans="5:5" ht="16.5">
      <c r="E8787" s="123"/>
    </row>
    <row r="8788" spans="5:5" ht="16.5">
      <c r="E8788" s="123"/>
    </row>
    <row r="8789" spans="5:5" ht="16.5">
      <c r="E8789" s="123"/>
    </row>
    <row r="8790" spans="5:5" ht="16.5">
      <c r="E8790" s="123"/>
    </row>
    <row r="8791" spans="5:5" ht="16.5">
      <c r="E8791" s="123"/>
    </row>
    <row r="8792" spans="5:5" ht="16.5">
      <c r="E8792" s="123"/>
    </row>
    <row r="8793" spans="5:5" ht="16.5">
      <c r="E8793" s="123"/>
    </row>
    <row r="8794" spans="5:5" ht="16.5">
      <c r="E8794" s="123"/>
    </row>
    <row r="8795" spans="5:5" ht="16.5">
      <c r="E8795" s="123"/>
    </row>
    <row r="8796" spans="5:5" ht="16.5">
      <c r="E8796" s="123"/>
    </row>
    <row r="8797" spans="5:5" ht="16.5">
      <c r="E8797" s="123"/>
    </row>
    <row r="8798" spans="5:5" ht="16.5">
      <c r="E8798" s="123"/>
    </row>
    <row r="8799" spans="5:5" ht="16.5">
      <c r="E8799" s="123"/>
    </row>
    <row r="8800" spans="5:5" ht="16.5">
      <c r="E8800" s="123"/>
    </row>
    <row r="8801" spans="5:5" ht="16.5">
      <c r="E8801" s="123"/>
    </row>
    <row r="8802" spans="5:5" ht="16.5">
      <c r="E8802" s="123"/>
    </row>
    <row r="8803" spans="5:5" ht="16.5">
      <c r="E8803" s="123"/>
    </row>
    <row r="8804" spans="5:5" ht="16.5">
      <c r="E8804" s="123"/>
    </row>
    <row r="8805" spans="5:5" ht="16.5">
      <c r="E8805" s="123"/>
    </row>
    <row r="8806" spans="5:5" ht="16.5">
      <c r="E8806" s="123"/>
    </row>
    <row r="8807" spans="5:5" ht="16.5">
      <c r="E8807" s="123"/>
    </row>
    <row r="8808" spans="5:5" ht="16.5">
      <c r="E8808" s="123"/>
    </row>
    <row r="8809" spans="5:5" ht="16.5">
      <c r="E8809" s="123"/>
    </row>
    <row r="8810" spans="5:5" ht="16.5">
      <c r="E8810" s="123"/>
    </row>
    <row r="8811" spans="5:5" ht="16.5">
      <c r="E8811" s="123"/>
    </row>
    <row r="8812" spans="5:5" ht="16.5">
      <c r="E8812" s="123"/>
    </row>
    <row r="8813" spans="5:5" ht="16.5">
      <c r="E8813" s="123"/>
    </row>
    <row r="8814" spans="5:5" ht="16.5">
      <c r="E8814" s="123"/>
    </row>
    <row r="8815" spans="5:5" ht="16.5">
      <c r="E8815" s="123"/>
    </row>
    <row r="8816" spans="5:5" ht="16.5">
      <c r="E8816" s="123"/>
    </row>
    <row r="8817" spans="5:5" ht="16.5">
      <c r="E8817" s="123"/>
    </row>
    <row r="8818" spans="5:5" ht="16.5">
      <c r="E8818" s="123"/>
    </row>
    <row r="8819" spans="5:5" ht="16.5">
      <c r="E8819" s="123"/>
    </row>
    <row r="8820" spans="5:5" ht="16.5">
      <c r="E8820" s="123"/>
    </row>
    <row r="8821" spans="5:5" ht="16.5">
      <c r="E8821" s="123"/>
    </row>
    <row r="8822" spans="5:5" ht="16.5">
      <c r="E8822" s="123"/>
    </row>
    <row r="8823" spans="5:5" ht="16.5">
      <c r="E8823" s="123"/>
    </row>
    <row r="8824" spans="5:5" ht="16.5">
      <c r="E8824" s="123"/>
    </row>
    <row r="8825" spans="5:5" ht="16.5">
      <c r="E8825" s="123"/>
    </row>
    <row r="8826" spans="5:5" ht="16.5">
      <c r="E8826" s="123"/>
    </row>
    <row r="8827" spans="5:5" ht="16.5">
      <c r="E8827" s="123"/>
    </row>
    <row r="8828" spans="5:5" ht="16.5">
      <c r="E8828" s="123"/>
    </row>
    <row r="8829" spans="5:5" ht="16.5">
      <c r="E8829" s="123"/>
    </row>
    <row r="8830" spans="5:5" ht="16.5">
      <c r="E8830" s="123"/>
    </row>
    <row r="8831" spans="5:5" ht="16.5">
      <c r="E8831" s="123"/>
    </row>
    <row r="8832" spans="5:5" ht="16.5">
      <c r="E8832" s="123"/>
    </row>
    <row r="8833" spans="5:5" ht="16.5">
      <c r="E8833" s="123"/>
    </row>
    <row r="8834" spans="5:5" ht="16.5">
      <c r="E8834" s="123"/>
    </row>
    <row r="8835" spans="5:5" ht="16.5">
      <c r="E8835" s="123"/>
    </row>
    <row r="8836" spans="5:5" ht="16.5">
      <c r="E8836" s="123"/>
    </row>
    <row r="8837" spans="5:5" ht="16.5">
      <c r="E8837" s="123"/>
    </row>
    <row r="8838" spans="5:5" ht="16.5">
      <c r="E8838" s="123"/>
    </row>
    <row r="8839" spans="5:5" ht="16.5">
      <c r="E8839" s="123"/>
    </row>
    <row r="8840" spans="5:5" ht="16.5">
      <c r="E8840" s="123"/>
    </row>
    <row r="8841" spans="5:5" ht="16.5">
      <c r="E8841" s="123"/>
    </row>
    <row r="8842" spans="5:5" ht="16.5">
      <c r="E8842" s="123"/>
    </row>
    <row r="8843" spans="5:5" ht="16.5">
      <c r="E8843" s="123"/>
    </row>
    <row r="8844" spans="5:5" ht="16.5">
      <c r="E8844" s="123"/>
    </row>
    <row r="8845" spans="5:5" ht="16.5">
      <c r="E8845" s="123"/>
    </row>
    <row r="8846" spans="5:5" ht="16.5">
      <c r="E8846" s="123"/>
    </row>
    <row r="8847" spans="5:5" ht="16.5">
      <c r="E8847" s="123"/>
    </row>
    <row r="8848" spans="5:5" ht="16.5">
      <c r="E8848" s="123"/>
    </row>
    <row r="8849" spans="5:5" ht="16.5">
      <c r="E8849" s="123"/>
    </row>
    <row r="8850" spans="5:5" ht="16.5">
      <c r="E8850" s="123"/>
    </row>
    <row r="8851" spans="5:5" ht="16.5">
      <c r="E8851" s="123"/>
    </row>
    <row r="8852" spans="5:5" ht="16.5">
      <c r="E8852" s="123"/>
    </row>
    <row r="8853" spans="5:5" ht="16.5">
      <c r="E8853" s="123"/>
    </row>
    <row r="8854" spans="5:5" ht="16.5">
      <c r="E8854" s="123"/>
    </row>
    <row r="8855" spans="5:5" ht="16.5">
      <c r="E8855" s="123"/>
    </row>
    <row r="8856" spans="5:5" ht="16.5">
      <c r="E8856" s="123"/>
    </row>
    <row r="8857" spans="5:5" ht="16.5">
      <c r="E8857" s="123"/>
    </row>
    <row r="8858" spans="5:5" ht="16.5">
      <c r="E8858" s="123"/>
    </row>
    <row r="8859" spans="5:5" ht="16.5">
      <c r="E8859" s="123"/>
    </row>
    <row r="8860" spans="5:5" ht="16.5">
      <c r="E8860" s="123"/>
    </row>
    <row r="8861" spans="5:5" ht="16.5">
      <c r="E8861" s="123"/>
    </row>
    <row r="8862" spans="5:5" ht="16.5">
      <c r="E8862" s="123"/>
    </row>
    <row r="8863" spans="5:5" ht="16.5">
      <c r="E8863" s="123"/>
    </row>
    <row r="8864" spans="5:5" ht="16.5">
      <c r="E8864" s="123"/>
    </row>
    <row r="8865" spans="5:5" ht="16.5">
      <c r="E8865" s="123"/>
    </row>
    <row r="8866" spans="5:5" ht="16.5">
      <c r="E8866" s="123"/>
    </row>
    <row r="8867" spans="5:5" ht="16.5">
      <c r="E8867" s="123"/>
    </row>
    <row r="8868" spans="5:5" ht="16.5">
      <c r="E8868" s="123"/>
    </row>
    <row r="8869" spans="5:5" ht="16.5">
      <c r="E8869" s="123"/>
    </row>
    <row r="8870" spans="5:5" ht="16.5">
      <c r="E8870" s="123"/>
    </row>
    <row r="8871" spans="5:5" ht="16.5">
      <c r="E8871" s="123"/>
    </row>
    <row r="8872" spans="5:5" ht="16.5">
      <c r="E8872" s="123"/>
    </row>
    <row r="8873" spans="5:5" ht="16.5">
      <c r="E8873" s="123"/>
    </row>
    <row r="8874" spans="5:5" ht="16.5">
      <c r="E8874" s="123"/>
    </row>
    <row r="8875" spans="5:5" ht="16.5">
      <c r="E8875" s="123"/>
    </row>
    <row r="8876" spans="5:5" ht="16.5">
      <c r="E8876" s="123"/>
    </row>
    <row r="8877" spans="5:5" ht="16.5">
      <c r="E8877" s="123"/>
    </row>
    <row r="8878" spans="5:5" ht="16.5">
      <c r="E8878" s="123"/>
    </row>
    <row r="8879" spans="5:5" ht="16.5">
      <c r="E8879" s="123"/>
    </row>
    <row r="8880" spans="5:5" ht="16.5">
      <c r="E8880" s="123"/>
    </row>
    <row r="8881" spans="5:5" ht="16.5">
      <c r="E8881" s="123"/>
    </row>
    <row r="8882" spans="5:5" ht="16.5">
      <c r="E8882" s="123"/>
    </row>
    <row r="8883" spans="5:5" ht="16.5">
      <c r="E8883" s="123"/>
    </row>
    <row r="8884" spans="5:5" ht="16.5">
      <c r="E8884" s="123"/>
    </row>
    <row r="8885" spans="5:5" ht="16.5">
      <c r="E8885" s="123"/>
    </row>
    <row r="8886" spans="5:5" ht="16.5">
      <c r="E8886" s="123"/>
    </row>
    <row r="8887" spans="5:5" ht="16.5">
      <c r="E8887" s="123"/>
    </row>
    <row r="8888" spans="5:5" ht="16.5">
      <c r="E8888" s="123"/>
    </row>
    <row r="8889" spans="5:5" ht="16.5">
      <c r="E8889" s="123"/>
    </row>
    <row r="8890" spans="5:5" ht="16.5">
      <c r="E8890" s="123"/>
    </row>
    <row r="8891" spans="5:5" ht="16.5">
      <c r="E8891" s="123"/>
    </row>
    <row r="8892" spans="5:5" ht="16.5">
      <c r="E8892" s="123"/>
    </row>
    <row r="8893" spans="5:5" ht="16.5">
      <c r="E8893" s="123"/>
    </row>
    <row r="8894" spans="5:5" ht="16.5">
      <c r="E8894" s="123"/>
    </row>
    <row r="8895" spans="5:5" ht="16.5">
      <c r="E8895" s="123"/>
    </row>
    <row r="8896" spans="5:5" ht="16.5">
      <c r="E8896" s="123"/>
    </row>
    <row r="8897" spans="5:5" ht="16.5">
      <c r="E8897" s="123"/>
    </row>
    <row r="8898" spans="5:5" ht="16.5">
      <c r="E8898" s="123"/>
    </row>
    <row r="8899" spans="5:5" ht="16.5">
      <c r="E8899" s="123"/>
    </row>
    <row r="8900" spans="5:5" ht="16.5">
      <c r="E8900" s="123"/>
    </row>
    <row r="8901" spans="5:5" ht="16.5">
      <c r="E8901" s="123"/>
    </row>
    <row r="8902" spans="5:5" ht="16.5">
      <c r="E8902" s="123"/>
    </row>
    <row r="8903" spans="5:5" ht="16.5">
      <c r="E8903" s="123"/>
    </row>
    <row r="8904" spans="5:5" ht="16.5">
      <c r="E8904" s="123"/>
    </row>
    <row r="8905" spans="5:5" ht="16.5">
      <c r="E8905" s="123"/>
    </row>
    <row r="8906" spans="5:5" ht="16.5">
      <c r="E8906" s="123"/>
    </row>
    <row r="8907" spans="5:5" ht="16.5">
      <c r="E8907" s="123"/>
    </row>
    <row r="8908" spans="5:5" ht="16.5">
      <c r="E8908" s="123"/>
    </row>
    <row r="8909" spans="5:5" ht="16.5">
      <c r="E8909" s="123"/>
    </row>
    <row r="8910" spans="5:5" ht="16.5">
      <c r="E8910" s="123"/>
    </row>
    <row r="8911" spans="5:5" ht="16.5">
      <c r="E8911" s="123"/>
    </row>
    <row r="8912" spans="5:5" ht="16.5">
      <c r="E8912" s="123"/>
    </row>
    <row r="8913" spans="5:5" ht="16.5">
      <c r="E8913" s="123"/>
    </row>
    <row r="8914" spans="5:5" ht="16.5">
      <c r="E8914" s="123"/>
    </row>
    <row r="8915" spans="5:5" ht="16.5">
      <c r="E8915" s="123"/>
    </row>
    <row r="8916" spans="5:5" ht="16.5">
      <c r="E8916" s="123"/>
    </row>
    <row r="8917" spans="5:5" ht="16.5">
      <c r="E8917" s="123"/>
    </row>
    <row r="8918" spans="5:5" ht="16.5">
      <c r="E8918" s="123"/>
    </row>
    <row r="8919" spans="5:5" ht="16.5">
      <c r="E8919" s="123"/>
    </row>
    <row r="8920" spans="5:5" ht="16.5">
      <c r="E8920" s="123"/>
    </row>
    <row r="8921" spans="5:5" ht="16.5">
      <c r="E8921" s="123"/>
    </row>
    <row r="8922" spans="5:5" ht="16.5">
      <c r="E8922" s="123"/>
    </row>
    <row r="8923" spans="5:5" ht="16.5">
      <c r="E8923" s="123"/>
    </row>
    <row r="8924" spans="5:5" ht="16.5">
      <c r="E8924" s="123"/>
    </row>
    <row r="8925" spans="5:5" ht="16.5">
      <c r="E8925" s="123"/>
    </row>
    <row r="8926" spans="5:5" ht="16.5">
      <c r="E8926" s="123"/>
    </row>
    <row r="8927" spans="5:5" ht="16.5">
      <c r="E8927" s="123"/>
    </row>
    <row r="8928" spans="5:5" ht="16.5">
      <c r="E8928" s="123"/>
    </row>
    <row r="8929" spans="5:5" ht="16.5">
      <c r="E8929" s="123"/>
    </row>
    <row r="8930" spans="5:5" ht="16.5">
      <c r="E8930" s="123"/>
    </row>
    <row r="8931" spans="5:5" ht="16.5">
      <c r="E8931" s="123"/>
    </row>
    <row r="8932" spans="5:5" ht="16.5">
      <c r="E8932" s="123"/>
    </row>
    <row r="8933" spans="5:5" ht="16.5">
      <c r="E8933" s="123"/>
    </row>
    <row r="8934" spans="5:5" ht="16.5">
      <c r="E8934" s="123"/>
    </row>
    <row r="8935" spans="5:5" ht="16.5">
      <c r="E8935" s="123"/>
    </row>
    <row r="8936" spans="5:5" ht="16.5">
      <c r="E8936" s="123"/>
    </row>
    <row r="8937" spans="5:5" ht="16.5">
      <c r="E8937" s="123"/>
    </row>
    <row r="8938" spans="5:5" ht="16.5">
      <c r="E8938" s="123"/>
    </row>
    <row r="8939" spans="5:5" ht="16.5">
      <c r="E8939" s="123"/>
    </row>
    <row r="8940" spans="5:5" ht="16.5">
      <c r="E8940" s="123"/>
    </row>
    <row r="8941" spans="5:5" ht="16.5">
      <c r="E8941" s="123"/>
    </row>
    <row r="8942" spans="5:5" ht="16.5">
      <c r="E8942" s="123"/>
    </row>
    <row r="8943" spans="5:5" ht="16.5">
      <c r="E8943" s="123"/>
    </row>
    <row r="8944" spans="5:5" ht="16.5">
      <c r="E8944" s="123"/>
    </row>
    <row r="8945" spans="5:5" ht="16.5">
      <c r="E8945" s="123"/>
    </row>
    <row r="8946" spans="5:5" ht="16.5">
      <c r="E8946" s="123"/>
    </row>
    <row r="8947" spans="5:5" ht="16.5">
      <c r="E8947" s="123"/>
    </row>
    <row r="8948" spans="5:5" ht="16.5">
      <c r="E8948" s="123"/>
    </row>
    <row r="8949" spans="5:5" ht="16.5">
      <c r="E8949" s="123"/>
    </row>
    <row r="8950" spans="5:5" ht="16.5">
      <c r="E8950" s="123"/>
    </row>
    <row r="8951" spans="5:5" ht="16.5">
      <c r="E8951" s="123"/>
    </row>
    <row r="8952" spans="5:5" ht="16.5">
      <c r="E8952" s="123"/>
    </row>
    <row r="8953" spans="5:5" ht="16.5">
      <c r="E8953" s="123"/>
    </row>
    <row r="8954" spans="5:5" ht="16.5">
      <c r="E8954" s="123"/>
    </row>
    <row r="8955" spans="5:5" ht="16.5">
      <c r="E8955" s="123"/>
    </row>
    <row r="8956" spans="5:5" ht="16.5">
      <c r="E8956" s="123"/>
    </row>
    <row r="8957" spans="5:5" ht="16.5">
      <c r="E8957" s="123"/>
    </row>
    <row r="8958" spans="5:5" ht="16.5">
      <c r="E8958" s="123"/>
    </row>
    <row r="8959" spans="5:5" ht="16.5">
      <c r="E8959" s="123"/>
    </row>
    <row r="8960" spans="5:5" ht="16.5">
      <c r="E8960" s="123"/>
    </row>
    <row r="8961" spans="5:5" ht="16.5">
      <c r="E8961" s="123"/>
    </row>
    <row r="8962" spans="5:5" ht="16.5">
      <c r="E8962" s="123"/>
    </row>
    <row r="8963" spans="5:5" ht="16.5">
      <c r="E8963" s="123"/>
    </row>
    <row r="8964" spans="5:5" ht="16.5">
      <c r="E8964" s="123"/>
    </row>
    <row r="8965" spans="5:5" ht="16.5">
      <c r="E8965" s="123"/>
    </row>
    <row r="8966" spans="5:5" ht="16.5">
      <c r="E8966" s="123"/>
    </row>
    <row r="8967" spans="5:5" ht="16.5">
      <c r="E8967" s="123"/>
    </row>
    <row r="8968" spans="5:5" ht="16.5">
      <c r="E8968" s="123"/>
    </row>
    <row r="8969" spans="5:5" ht="16.5">
      <c r="E8969" s="123"/>
    </row>
    <row r="8970" spans="5:5" ht="16.5">
      <c r="E8970" s="123"/>
    </row>
    <row r="8971" spans="5:5" ht="16.5">
      <c r="E8971" s="123"/>
    </row>
    <row r="8972" spans="5:5" ht="16.5">
      <c r="E8972" s="123"/>
    </row>
    <row r="8973" spans="5:5" ht="16.5">
      <c r="E8973" s="123"/>
    </row>
    <row r="8974" spans="5:5" ht="16.5">
      <c r="E8974" s="123"/>
    </row>
    <row r="8975" spans="5:5" ht="16.5">
      <c r="E8975" s="123"/>
    </row>
    <row r="8976" spans="5:5" ht="16.5">
      <c r="E8976" s="123"/>
    </row>
    <row r="8977" spans="5:5" ht="16.5">
      <c r="E8977" s="123"/>
    </row>
    <row r="8978" spans="5:5" ht="16.5">
      <c r="E8978" s="123"/>
    </row>
    <row r="8979" spans="5:5" ht="16.5">
      <c r="E8979" s="123"/>
    </row>
    <row r="8980" spans="5:5" ht="16.5">
      <c r="E8980" s="123"/>
    </row>
    <row r="8981" spans="5:5" ht="16.5">
      <c r="E8981" s="123"/>
    </row>
    <row r="8982" spans="5:5" ht="16.5">
      <c r="E8982" s="123"/>
    </row>
    <row r="8983" spans="5:5" ht="16.5">
      <c r="E8983" s="123"/>
    </row>
    <row r="8984" spans="5:5" ht="16.5">
      <c r="E8984" s="123"/>
    </row>
    <row r="8985" spans="5:5" ht="16.5">
      <c r="E8985" s="123"/>
    </row>
    <row r="8986" spans="5:5" ht="16.5">
      <c r="E8986" s="123"/>
    </row>
    <row r="8987" spans="5:5" ht="16.5">
      <c r="E8987" s="123"/>
    </row>
    <row r="8988" spans="5:5" ht="16.5">
      <c r="E8988" s="123"/>
    </row>
    <row r="8989" spans="5:5" ht="16.5">
      <c r="E8989" s="123"/>
    </row>
    <row r="8990" spans="5:5" ht="16.5">
      <c r="E8990" s="123"/>
    </row>
    <row r="8991" spans="5:5" ht="16.5">
      <c r="E8991" s="123"/>
    </row>
    <row r="8992" spans="5:5" ht="16.5">
      <c r="E8992" s="123"/>
    </row>
    <row r="8993" spans="5:5" ht="16.5">
      <c r="E8993" s="123"/>
    </row>
    <row r="8994" spans="5:5" ht="16.5">
      <c r="E8994" s="123"/>
    </row>
    <row r="8995" spans="5:5" ht="16.5">
      <c r="E8995" s="123"/>
    </row>
    <row r="8996" spans="5:5" ht="16.5">
      <c r="E8996" s="123"/>
    </row>
    <row r="8997" spans="5:5" ht="16.5">
      <c r="E8997" s="123"/>
    </row>
    <row r="8998" spans="5:5" ht="16.5">
      <c r="E8998" s="123"/>
    </row>
    <row r="8999" spans="5:5" ht="16.5">
      <c r="E8999" s="123"/>
    </row>
    <row r="9000" spans="5:5" ht="16.5">
      <c r="E9000" s="123"/>
    </row>
    <row r="9001" spans="5:5" ht="16.5">
      <c r="E9001" s="123"/>
    </row>
    <row r="9002" spans="5:5" ht="16.5">
      <c r="E9002" s="123"/>
    </row>
    <row r="9003" spans="5:5" ht="16.5">
      <c r="E9003" s="123"/>
    </row>
    <row r="9004" spans="5:5" ht="16.5">
      <c r="E9004" s="123"/>
    </row>
    <row r="9005" spans="5:5" ht="16.5">
      <c r="E9005" s="123"/>
    </row>
    <row r="9006" spans="5:5" ht="16.5">
      <c r="E9006" s="123"/>
    </row>
    <row r="9007" spans="5:5" ht="16.5">
      <c r="E9007" s="123"/>
    </row>
    <row r="9008" spans="5:5" ht="16.5">
      <c r="E9008" s="123"/>
    </row>
    <row r="9009" spans="5:5" ht="16.5">
      <c r="E9009" s="123"/>
    </row>
    <row r="9010" spans="5:5" ht="16.5">
      <c r="E9010" s="123"/>
    </row>
    <row r="9011" spans="5:5" ht="16.5">
      <c r="E9011" s="123"/>
    </row>
    <row r="9012" spans="5:5" ht="16.5">
      <c r="E9012" s="123"/>
    </row>
    <row r="9013" spans="5:5" ht="16.5">
      <c r="E9013" s="123"/>
    </row>
    <row r="9014" spans="5:5" ht="16.5">
      <c r="E9014" s="123"/>
    </row>
    <row r="9015" spans="5:5" ht="16.5">
      <c r="E9015" s="123"/>
    </row>
    <row r="9016" spans="5:5" ht="16.5">
      <c r="E9016" s="123"/>
    </row>
    <row r="9017" spans="5:5" ht="16.5">
      <c r="E9017" s="123"/>
    </row>
    <row r="9018" spans="5:5" ht="16.5">
      <c r="E9018" s="123"/>
    </row>
    <row r="9019" spans="5:5" ht="16.5">
      <c r="E9019" s="123"/>
    </row>
    <row r="9020" spans="5:5" ht="16.5">
      <c r="E9020" s="123"/>
    </row>
    <row r="9021" spans="5:5" ht="16.5">
      <c r="E9021" s="123"/>
    </row>
    <row r="9022" spans="5:5" ht="16.5">
      <c r="E9022" s="123"/>
    </row>
    <row r="9023" spans="5:5" ht="16.5">
      <c r="E9023" s="123"/>
    </row>
    <row r="9024" spans="5:5" ht="16.5">
      <c r="E9024" s="123"/>
    </row>
    <row r="9025" spans="5:5" ht="16.5">
      <c r="E9025" s="123"/>
    </row>
    <row r="9026" spans="5:5" ht="16.5">
      <c r="E9026" s="123"/>
    </row>
    <row r="9027" spans="5:5" ht="16.5">
      <c r="E9027" s="123"/>
    </row>
    <row r="9028" spans="5:5" ht="16.5">
      <c r="E9028" s="123"/>
    </row>
    <row r="9029" spans="5:5" ht="16.5">
      <c r="E9029" s="123"/>
    </row>
    <row r="9030" spans="5:5" ht="16.5">
      <c r="E9030" s="123"/>
    </row>
    <row r="9031" spans="5:5" ht="16.5">
      <c r="E9031" s="123"/>
    </row>
    <row r="9032" spans="5:5" ht="16.5">
      <c r="E9032" s="123"/>
    </row>
    <row r="9033" spans="5:5" ht="16.5">
      <c r="E9033" s="123"/>
    </row>
    <row r="9034" spans="5:5" ht="16.5">
      <c r="E9034" s="123"/>
    </row>
    <row r="9035" spans="5:5" ht="16.5">
      <c r="E9035" s="123"/>
    </row>
    <row r="9036" spans="5:5" ht="16.5">
      <c r="E9036" s="123"/>
    </row>
    <row r="9037" spans="5:5" ht="16.5">
      <c r="E9037" s="123"/>
    </row>
    <row r="9038" spans="5:5" ht="16.5">
      <c r="E9038" s="123"/>
    </row>
    <row r="9039" spans="5:5" ht="16.5">
      <c r="E9039" s="123"/>
    </row>
    <row r="9040" spans="5:5" ht="16.5">
      <c r="E9040" s="123"/>
    </row>
    <row r="9041" spans="5:5" ht="16.5">
      <c r="E9041" s="123"/>
    </row>
    <row r="9042" spans="5:5" ht="16.5">
      <c r="E9042" s="123"/>
    </row>
    <row r="9043" spans="5:5" ht="16.5">
      <c r="E9043" s="123"/>
    </row>
    <row r="9044" spans="5:5" ht="16.5">
      <c r="E9044" s="123"/>
    </row>
    <row r="9045" spans="5:5" ht="16.5">
      <c r="E9045" s="123"/>
    </row>
    <row r="9046" spans="5:5" ht="16.5">
      <c r="E9046" s="123"/>
    </row>
    <row r="9047" spans="5:5" ht="16.5">
      <c r="E9047" s="123"/>
    </row>
    <row r="9048" spans="5:5" ht="16.5">
      <c r="E9048" s="123"/>
    </row>
    <row r="9049" spans="5:5" ht="16.5">
      <c r="E9049" s="123"/>
    </row>
    <row r="9050" spans="5:5" ht="16.5">
      <c r="E9050" s="123"/>
    </row>
    <row r="9051" spans="5:5" ht="16.5">
      <c r="E9051" s="123"/>
    </row>
    <row r="9052" spans="5:5" ht="16.5">
      <c r="E9052" s="123"/>
    </row>
    <row r="9053" spans="5:5" ht="16.5">
      <c r="E9053" s="123"/>
    </row>
    <row r="9054" spans="5:5" ht="16.5">
      <c r="E9054" s="123"/>
    </row>
    <row r="9055" spans="5:5" ht="16.5">
      <c r="E9055" s="123"/>
    </row>
    <row r="9056" spans="5:5" ht="16.5">
      <c r="E9056" s="123"/>
    </row>
    <row r="9057" spans="5:5" ht="16.5">
      <c r="E9057" s="123"/>
    </row>
    <row r="9058" spans="5:5" ht="16.5">
      <c r="E9058" s="123"/>
    </row>
    <row r="9059" spans="5:5" ht="16.5">
      <c r="E9059" s="123"/>
    </row>
    <row r="9060" spans="5:5" ht="16.5">
      <c r="E9060" s="123"/>
    </row>
    <row r="9061" spans="5:5" ht="16.5">
      <c r="E9061" s="123"/>
    </row>
    <row r="9062" spans="5:5" ht="16.5">
      <c r="E9062" s="123"/>
    </row>
    <row r="9063" spans="5:5" ht="16.5">
      <c r="E9063" s="123"/>
    </row>
    <row r="9064" spans="5:5" ht="16.5">
      <c r="E9064" s="123"/>
    </row>
    <row r="9065" spans="5:5" ht="16.5">
      <c r="E9065" s="123"/>
    </row>
    <row r="9066" spans="5:5" ht="16.5">
      <c r="E9066" s="123"/>
    </row>
    <row r="9067" spans="5:5" ht="16.5">
      <c r="E9067" s="123"/>
    </row>
    <row r="9068" spans="5:5" ht="16.5">
      <c r="E9068" s="123"/>
    </row>
    <row r="9069" spans="5:5" ht="16.5">
      <c r="E9069" s="123"/>
    </row>
    <row r="9070" spans="5:5" ht="16.5">
      <c r="E9070" s="123"/>
    </row>
    <row r="9071" spans="5:5" ht="16.5">
      <c r="E9071" s="123"/>
    </row>
    <row r="9072" spans="5:5" ht="16.5">
      <c r="E9072" s="123"/>
    </row>
    <row r="9073" spans="5:5" ht="16.5">
      <c r="E9073" s="123"/>
    </row>
    <row r="9074" spans="5:5" ht="16.5">
      <c r="E9074" s="123"/>
    </row>
    <row r="9075" spans="5:5" ht="16.5">
      <c r="E9075" s="123"/>
    </row>
    <row r="9076" spans="5:5" ht="16.5">
      <c r="E9076" s="123"/>
    </row>
    <row r="9077" spans="5:5" ht="16.5">
      <c r="E9077" s="123"/>
    </row>
    <row r="9078" spans="5:5" ht="16.5">
      <c r="E9078" s="123"/>
    </row>
    <row r="9079" spans="5:5" ht="16.5">
      <c r="E9079" s="123"/>
    </row>
    <row r="9080" spans="5:5" ht="16.5">
      <c r="E9080" s="123"/>
    </row>
    <row r="9081" spans="5:5" ht="16.5">
      <c r="E9081" s="123"/>
    </row>
    <row r="9082" spans="5:5" ht="16.5">
      <c r="E9082" s="123"/>
    </row>
    <row r="9083" spans="5:5" ht="16.5">
      <c r="E9083" s="123"/>
    </row>
    <row r="9084" spans="5:5" ht="16.5">
      <c r="E9084" s="123"/>
    </row>
    <row r="9085" spans="5:5" ht="16.5">
      <c r="E9085" s="123"/>
    </row>
    <row r="9086" spans="5:5" ht="16.5">
      <c r="E9086" s="123"/>
    </row>
    <row r="9087" spans="5:5" ht="16.5">
      <c r="E9087" s="123"/>
    </row>
    <row r="9088" spans="5:5" ht="16.5">
      <c r="E9088" s="123"/>
    </row>
    <row r="9089" spans="5:5" ht="16.5">
      <c r="E9089" s="123"/>
    </row>
    <row r="9090" spans="5:5" ht="16.5">
      <c r="E9090" s="123"/>
    </row>
    <row r="9091" spans="5:5" ht="16.5">
      <c r="E9091" s="123"/>
    </row>
    <row r="9092" spans="5:5" ht="16.5">
      <c r="E9092" s="123"/>
    </row>
    <row r="9093" spans="5:5" ht="16.5">
      <c r="E9093" s="123"/>
    </row>
    <row r="9094" spans="5:5" ht="16.5">
      <c r="E9094" s="123"/>
    </row>
    <row r="9095" spans="5:5" ht="16.5">
      <c r="E9095" s="123"/>
    </row>
    <row r="9096" spans="5:5" ht="16.5">
      <c r="E9096" s="123"/>
    </row>
    <row r="9097" spans="5:5" ht="16.5">
      <c r="E9097" s="123"/>
    </row>
    <row r="9098" spans="5:5" ht="16.5">
      <c r="E9098" s="123"/>
    </row>
    <row r="9099" spans="5:5" ht="16.5">
      <c r="E9099" s="123"/>
    </row>
    <row r="9100" spans="5:5" ht="16.5">
      <c r="E9100" s="123"/>
    </row>
    <row r="9101" spans="5:5" ht="16.5">
      <c r="E9101" s="123"/>
    </row>
    <row r="9102" spans="5:5" ht="16.5">
      <c r="E9102" s="123"/>
    </row>
    <row r="9103" spans="5:5" ht="16.5">
      <c r="E9103" s="123"/>
    </row>
    <row r="9104" spans="5:5" ht="16.5">
      <c r="E9104" s="123"/>
    </row>
    <row r="9105" spans="5:5" ht="16.5">
      <c r="E9105" s="123"/>
    </row>
    <row r="9106" spans="5:5" ht="16.5">
      <c r="E9106" s="123"/>
    </row>
    <row r="9107" spans="5:5" ht="16.5">
      <c r="E9107" s="123"/>
    </row>
    <row r="9108" spans="5:5" ht="16.5">
      <c r="E9108" s="123"/>
    </row>
    <row r="9109" spans="5:5" ht="16.5">
      <c r="E9109" s="123"/>
    </row>
    <row r="9110" spans="5:5" ht="16.5">
      <c r="E9110" s="123"/>
    </row>
    <row r="9111" spans="5:5" ht="16.5">
      <c r="E9111" s="123"/>
    </row>
    <row r="9112" spans="5:5" ht="16.5">
      <c r="E9112" s="123"/>
    </row>
    <row r="9113" spans="5:5" ht="16.5">
      <c r="E9113" s="123"/>
    </row>
    <row r="9114" spans="5:5" ht="16.5">
      <c r="E9114" s="123"/>
    </row>
    <row r="9115" spans="5:5" ht="16.5">
      <c r="E9115" s="123"/>
    </row>
    <row r="9116" spans="5:5" ht="16.5">
      <c r="E9116" s="123"/>
    </row>
    <row r="9117" spans="5:5" ht="16.5">
      <c r="E9117" s="123"/>
    </row>
    <row r="9118" spans="5:5" ht="16.5">
      <c r="E9118" s="123"/>
    </row>
    <row r="9119" spans="5:5" ht="16.5">
      <c r="E9119" s="123"/>
    </row>
    <row r="9120" spans="5:5" ht="16.5">
      <c r="E9120" s="123"/>
    </row>
    <row r="9121" spans="5:5" ht="16.5">
      <c r="E9121" s="123"/>
    </row>
    <row r="9122" spans="5:5" ht="16.5">
      <c r="E9122" s="123"/>
    </row>
    <row r="9123" spans="5:5" ht="16.5">
      <c r="E9123" s="123"/>
    </row>
    <row r="9124" spans="5:5" ht="16.5">
      <c r="E9124" s="123"/>
    </row>
    <row r="9125" spans="5:5" ht="16.5">
      <c r="E9125" s="123"/>
    </row>
    <row r="9126" spans="5:5" ht="16.5">
      <c r="E9126" s="123"/>
    </row>
    <row r="9127" spans="5:5" ht="16.5">
      <c r="E9127" s="123"/>
    </row>
    <row r="9128" spans="5:5" ht="16.5">
      <c r="E9128" s="123"/>
    </row>
    <row r="9129" spans="5:5" ht="16.5">
      <c r="E9129" s="123"/>
    </row>
    <row r="9130" spans="5:5" ht="16.5">
      <c r="E9130" s="123"/>
    </row>
    <row r="9131" spans="5:5" ht="16.5">
      <c r="E9131" s="123"/>
    </row>
    <row r="9132" spans="5:5" ht="16.5">
      <c r="E9132" s="123"/>
    </row>
    <row r="9133" spans="5:5" ht="16.5">
      <c r="E9133" s="123"/>
    </row>
    <row r="9134" spans="5:5" ht="16.5">
      <c r="E9134" s="123"/>
    </row>
    <row r="9135" spans="5:5" ht="16.5">
      <c r="E9135" s="123"/>
    </row>
    <row r="9136" spans="5:5" ht="16.5">
      <c r="E9136" s="123"/>
    </row>
    <row r="9137" spans="5:5" ht="16.5">
      <c r="E9137" s="123"/>
    </row>
    <row r="9138" spans="5:5" ht="16.5">
      <c r="E9138" s="123"/>
    </row>
    <row r="9139" spans="5:5" ht="16.5">
      <c r="E9139" s="123"/>
    </row>
    <row r="9140" spans="5:5" ht="16.5">
      <c r="E9140" s="123"/>
    </row>
    <row r="9141" spans="5:5" ht="16.5">
      <c r="E9141" s="123"/>
    </row>
    <row r="9142" spans="5:5" ht="16.5">
      <c r="E9142" s="123"/>
    </row>
    <row r="9143" spans="5:5" ht="16.5">
      <c r="E9143" s="123"/>
    </row>
    <row r="9144" spans="5:5" ht="16.5">
      <c r="E9144" s="123"/>
    </row>
    <row r="9145" spans="5:5" ht="16.5">
      <c r="E9145" s="123"/>
    </row>
    <row r="9146" spans="5:5" ht="16.5">
      <c r="E9146" s="123"/>
    </row>
    <row r="9147" spans="5:5" ht="16.5">
      <c r="E9147" s="123"/>
    </row>
    <row r="9148" spans="5:5" ht="16.5">
      <c r="E9148" s="123"/>
    </row>
    <row r="9149" spans="5:5" ht="16.5">
      <c r="E9149" s="123"/>
    </row>
    <row r="9150" spans="5:5" ht="16.5">
      <c r="E9150" s="123"/>
    </row>
    <row r="9151" spans="5:5" ht="16.5">
      <c r="E9151" s="123"/>
    </row>
    <row r="9152" spans="5:5" ht="16.5">
      <c r="E9152" s="123"/>
    </row>
    <row r="9153" spans="5:5" ht="16.5">
      <c r="E9153" s="123"/>
    </row>
    <row r="9154" spans="5:5" ht="16.5">
      <c r="E9154" s="123"/>
    </row>
    <row r="9155" spans="5:5" ht="16.5">
      <c r="E9155" s="123"/>
    </row>
    <row r="9156" spans="5:5" ht="16.5">
      <c r="E9156" s="123"/>
    </row>
    <row r="9157" spans="5:5" ht="16.5">
      <c r="E9157" s="123"/>
    </row>
    <row r="9158" spans="5:5" ht="16.5">
      <c r="E9158" s="123"/>
    </row>
    <row r="9159" spans="5:5" ht="16.5">
      <c r="E9159" s="123"/>
    </row>
    <row r="9160" spans="5:5" ht="16.5">
      <c r="E9160" s="123"/>
    </row>
    <row r="9161" spans="5:5" ht="16.5">
      <c r="E9161" s="123"/>
    </row>
    <row r="9162" spans="5:5" ht="16.5">
      <c r="E9162" s="123"/>
    </row>
    <row r="9163" spans="5:5" ht="16.5">
      <c r="E9163" s="123"/>
    </row>
    <row r="9164" spans="5:5" ht="16.5">
      <c r="E9164" s="123"/>
    </row>
    <row r="9165" spans="5:5" ht="16.5">
      <c r="E9165" s="123"/>
    </row>
    <row r="9166" spans="5:5" ht="16.5">
      <c r="E9166" s="123"/>
    </row>
    <row r="9167" spans="5:5" ht="16.5">
      <c r="E9167" s="123"/>
    </row>
    <row r="9168" spans="5:5" ht="16.5">
      <c r="E9168" s="123"/>
    </row>
    <row r="9169" spans="5:5" ht="16.5">
      <c r="E9169" s="123"/>
    </row>
    <row r="9170" spans="5:5" ht="16.5">
      <c r="E9170" s="123"/>
    </row>
    <row r="9171" spans="5:5" ht="16.5">
      <c r="E9171" s="123"/>
    </row>
    <row r="9172" spans="5:5" ht="16.5">
      <c r="E9172" s="123"/>
    </row>
    <row r="9173" spans="5:5" ht="16.5">
      <c r="E9173" s="123"/>
    </row>
    <row r="9174" spans="5:5" ht="16.5">
      <c r="E9174" s="123"/>
    </row>
    <row r="9175" spans="5:5" ht="16.5">
      <c r="E9175" s="123"/>
    </row>
    <row r="9176" spans="5:5" ht="16.5">
      <c r="E9176" s="123"/>
    </row>
    <row r="9177" spans="5:5" ht="16.5">
      <c r="E9177" s="123"/>
    </row>
    <row r="9178" spans="5:5" ht="16.5">
      <c r="E9178" s="123"/>
    </row>
    <row r="9179" spans="5:5" ht="16.5">
      <c r="E9179" s="123"/>
    </row>
    <row r="9180" spans="5:5" ht="16.5">
      <c r="E9180" s="123"/>
    </row>
    <row r="9181" spans="5:5" ht="16.5">
      <c r="E9181" s="123"/>
    </row>
    <row r="9182" spans="5:5" ht="16.5">
      <c r="E9182" s="123"/>
    </row>
    <row r="9183" spans="5:5" ht="16.5">
      <c r="E9183" s="123"/>
    </row>
    <row r="9184" spans="5:5" ht="16.5">
      <c r="E9184" s="123"/>
    </row>
    <row r="9185" spans="5:5" ht="16.5">
      <c r="E9185" s="123"/>
    </row>
    <row r="9186" spans="5:5" ht="16.5">
      <c r="E9186" s="123"/>
    </row>
    <row r="9187" spans="5:5" ht="16.5">
      <c r="E9187" s="123"/>
    </row>
    <row r="9188" spans="5:5" ht="16.5">
      <c r="E9188" s="123"/>
    </row>
    <row r="9189" spans="5:5" ht="16.5">
      <c r="E9189" s="123"/>
    </row>
    <row r="9190" spans="5:5" ht="16.5">
      <c r="E9190" s="123"/>
    </row>
    <row r="9191" spans="5:5" ht="16.5">
      <c r="E9191" s="123"/>
    </row>
    <row r="9192" spans="5:5" ht="16.5">
      <c r="E9192" s="123"/>
    </row>
    <row r="9193" spans="5:5" ht="16.5">
      <c r="E9193" s="123"/>
    </row>
    <row r="9194" spans="5:5" ht="16.5">
      <c r="E9194" s="123"/>
    </row>
    <row r="9195" spans="5:5" ht="16.5">
      <c r="E9195" s="123"/>
    </row>
    <row r="9196" spans="5:5" ht="16.5">
      <c r="E9196" s="123"/>
    </row>
    <row r="9197" spans="5:5" ht="16.5">
      <c r="E9197" s="123"/>
    </row>
    <row r="9198" spans="5:5" ht="16.5">
      <c r="E9198" s="123"/>
    </row>
    <row r="9199" spans="5:5" ht="16.5">
      <c r="E9199" s="123"/>
    </row>
    <row r="9200" spans="5:5" ht="16.5">
      <c r="E9200" s="123"/>
    </row>
    <row r="9201" spans="5:5" ht="16.5">
      <c r="E9201" s="123"/>
    </row>
    <row r="9202" spans="5:5" ht="16.5">
      <c r="E9202" s="123"/>
    </row>
    <row r="9203" spans="5:5" ht="16.5">
      <c r="E9203" s="123"/>
    </row>
    <row r="9204" spans="5:5" ht="16.5">
      <c r="E9204" s="123"/>
    </row>
    <row r="9205" spans="5:5" ht="16.5">
      <c r="E9205" s="123"/>
    </row>
    <row r="9206" spans="5:5" ht="16.5">
      <c r="E9206" s="123"/>
    </row>
    <row r="9207" spans="5:5" ht="16.5">
      <c r="E9207" s="123"/>
    </row>
    <row r="9208" spans="5:5" ht="16.5">
      <c r="E9208" s="123"/>
    </row>
    <row r="9209" spans="5:5" ht="16.5">
      <c r="E9209" s="123"/>
    </row>
    <row r="9210" spans="5:5" ht="16.5">
      <c r="E9210" s="123"/>
    </row>
    <row r="9211" spans="5:5" ht="16.5">
      <c r="E9211" s="123"/>
    </row>
    <row r="9212" spans="5:5" ht="16.5">
      <c r="E9212" s="123"/>
    </row>
    <row r="9213" spans="5:5" ht="16.5">
      <c r="E9213" s="123"/>
    </row>
    <row r="9214" spans="5:5" ht="16.5">
      <c r="E9214" s="123"/>
    </row>
    <row r="9215" spans="5:5" ht="16.5">
      <c r="E9215" s="123"/>
    </row>
    <row r="9216" spans="5:5" ht="16.5">
      <c r="E9216" s="123"/>
    </row>
    <row r="9217" spans="5:5" ht="16.5">
      <c r="E9217" s="123"/>
    </row>
    <row r="9218" spans="5:5" ht="16.5">
      <c r="E9218" s="123"/>
    </row>
    <row r="9219" spans="5:5" ht="16.5">
      <c r="E9219" s="123"/>
    </row>
    <row r="9220" spans="5:5" ht="16.5">
      <c r="E9220" s="123"/>
    </row>
    <row r="9221" spans="5:5" ht="16.5">
      <c r="E9221" s="123"/>
    </row>
    <row r="9222" spans="5:5" ht="16.5">
      <c r="E9222" s="123"/>
    </row>
    <row r="9223" spans="5:5" ht="16.5">
      <c r="E9223" s="123"/>
    </row>
    <row r="9224" spans="5:5" ht="16.5">
      <c r="E9224" s="123"/>
    </row>
    <row r="9225" spans="5:5" ht="16.5">
      <c r="E9225" s="123"/>
    </row>
    <row r="9226" spans="5:5" ht="16.5">
      <c r="E9226" s="123"/>
    </row>
    <row r="9227" spans="5:5" ht="16.5">
      <c r="E9227" s="123"/>
    </row>
    <row r="9228" spans="5:5" ht="16.5">
      <c r="E9228" s="123"/>
    </row>
    <row r="9229" spans="5:5" ht="16.5">
      <c r="E9229" s="123"/>
    </row>
    <row r="9230" spans="5:5" ht="16.5">
      <c r="E9230" s="123"/>
    </row>
    <row r="9231" spans="5:5" ht="16.5">
      <c r="E9231" s="123"/>
    </row>
    <row r="9232" spans="5:5" ht="16.5">
      <c r="E9232" s="123"/>
    </row>
    <row r="9233" spans="5:5" ht="16.5">
      <c r="E9233" s="123"/>
    </row>
    <row r="9234" spans="5:5" ht="16.5">
      <c r="E9234" s="123"/>
    </row>
    <row r="9235" spans="5:5" ht="16.5">
      <c r="E9235" s="123"/>
    </row>
    <row r="9236" spans="5:5" ht="16.5">
      <c r="E9236" s="123"/>
    </row>
    <row r="9237" spans="5:5" ht="16.5">
      <c r="E9237" s="123"/>
    </row>
    <row r="9238" spans="5:5" ht="16.5">
      <c r="E9238" s="123"/>
    </row>
    <row r="9239" spans="5:5" ht="16.5">
      <c r="E9239" s="123"/>
    </row>
    <row r="9240" spans="5:5" ht="16.5">
      <c r="E9240" s="123"/>
    </row>
    <row r="9241" spans="5:5" ht="16.5">
      <c r="E9241" s="123"/>
    </row>
    <row r="9242" spans="5:5" ht="16.5">
      <c r="E9242" s="123"/>
    </row>
    <row r="9243" spans="5:5" ht="16.5">
      <c r="E9243" s="123"/>
    </row>
    <row r="9244" spans="5:5" ht="16.5">
      <c r="E9244" s="123"/>
    </row>
    <row r="9245" spans="5:5" ht="16.5">
      <c r="E9245" s="123"/>
    </row>
    <row r="9246" spans="5:5" ht="16.5">
      <c r="E9246" s="123"/>
    </row>
    <row r="9247" spans="5:5" ht="16.5">
      <c r="E9247" s="123"/>
    </row>
    <row r="9248" spans="5:5" ht="16.5">
      <c r="E9248" s="123"/>
    </row>
    <row r="9249" spans="5:5" ht="16.5">
      <c r="E9249" s="123"/>
    </row>
    <row r="9250" spans="5:5" ht="16.5">
      <c r="E9250" s="123"/>
    </row>
    <row r="9251" spans="5:5" ht="16.5">
      <c r="E9251" s="123"/>
    </row>
    <row r="9252" spans="5:5" ht="16.5">
      <c r="E9252" s="123"/>
    </row>
    <row r="9253" spans="5:5" ht="16.5">
      <c r="E9253" s="123"/>
    </row>
    <row r="9254" spans="5:5" ht="16.5">
      <c r="E9254" s="123"/>
    </row>
    <row r="9255" spans="5:5" ht="16.5">
      <c r="E9255" s="123"/>
    </row>
    <row r="9256" spans="5:5" ht="16.5">
      <c r="E9256" s="123"/>
    </row>
    <row r="9257" spans="5:5" ht="16.5">
      <c r="E9257" s="123"/>
    </row>
    <row r="9258" spans="5:5" ht="16.5">
      <c r="E9258" s="123"/>
    </row>
    <row r="9259" spans="5:5" ht="16.5">
      <c r="E9259" s="123"/>
    </row>
    <row r="9260" spans="5:5" ht="16.5">
      <c r="E9260" s="123"/>
    </row>
    <row r="9261" spans="5:5" ht="16.5">
      <c r="E9261" s="123"/>
    </row>
    <row r="9262" spans="5:5" ht="16.5">
      <c r="E9262" s="123"/>
    </row>
    <row r="9263" spans="5:5" ht="16.5">
      <c r="E9263" s="123"/>
    </row>
    <row r="9264" spans="5:5" ht="16.5">
      <c r="E9264" s="123"/>
    </row>
    <row r="9265" spans="5:5" ht="16.5">
      <c r="E9265" s="123"/>
    </row>
    <row r="9266" spans="5:5" ht="16.5">
      <c r="E9266" s="123"/>
    </row>
    <row r="9267" spans="5:5" ht="16.5">
      <c r="E9267" s="123"/>
    </row>
    <row r="9268" spans="5:5" ht="16.5">
      <c r="E9268" s="123"/>
    </row>
    <row r="9269" spans="5:5" ht="16.5">
      <c r="E9269" s="123"/>
    </row>
    <row r="9270" spans="5:5" ht="16.5">
      <c r="E9270" s="123"/>
    </row>
    <row r="9271" spans="5:5" ht="16.5">
      <c r="E9271" s="123"/>
    </row>
    <row r="9272" spans="5:5" ht="16.5">
      <c r="E9272" s="123"/>
    </row>
    <row r="9273" spans="5:5" ht="16.5">
      <c r="E9273" s="123"/>
    </row>
    <row r="9274" spans="5:5" ht="16.5">
      <c r="E9274" s="123"/>
    </row>
    <row r="9275" spans="5:5" ht="16.5">
      <c r="E9275" s="123"/>
    </row>
    <row r="9276" spans="5:5" ht="16.5">
      <c r="E9276" s="123"/>
    </row>
    <row r="9277" spans="5:5" ht="16.5">
      <c r="E9277" s="123"/>
    </row>
    <row r="9278" spans="5:5" ht="16.5">
      <c r="E9278" s="123"/>
    </row>
    <row r="9279" spans="5:5" ht="16.5">
      <c r="E9279" s="123"/>
    </row>
    <row r="9280" spans="5:5" ht="16.5">
      <c r="E9280" s="123"/>
    </row>
    <row r="9281" spans="5:5" ht="16.5">
      <c r="E9281" s="123"/>
    </row>
    <row r="9282" spans="5:5" ht="16.5">
      <c r="E9282" s="123"/>
    </row>
    <row r="9283" spans="5:5" ht="16.5">
      <c r="E9283" s="123"/>
    </row>
    <row r="9284" spans="5:5" ht="16.5">
      <c r="E9284" s="123"/>
    </row>
    <row r="9285" spans="5:5" ht="16.5">
      <c r="E9285" s="123"/>
    </row>
    <row r="9286" spans="5:5" ht="16.5">
      <c r="E9286" s="123"/>
    </row>
    <row r="9287" spans="5:5" ht="16.5">
      <c r="E9287" s="123"/>
    </row>
    <row r="9288" spans="5:5" ht="16.5">
      <c r="E9288" s="123"/>
    </row>
    <row r="9289" spans="5:5" ht="16.5">
      <c r="E9289" s="123"/>
    </row>
    <row r="9290" spans="5:5" ht="16.5">
      <c r="E9290" s="123"/>
    </row>
    <row r="9291" spans="5:5" ht="16.5">
      <c r="E9291" s="123"/>
    </row>
    <row r="9292" spans="5:5" ht="16.5">
      <c r="E9292" s="123"/>
    </row>
    <row r="9293" spans="5:5" ht="16.5">
      <c r="E9293" s="123"/>
    </row>
    <row r="9294" spans="5:5" ht="16.5">
      <c r="E9294" s="123"/>
    </row>
    <row r="9295" spans="5:5" ht="16.5">
      <c r="E9295" s="123"/>
    </row>
    <row r="9296" spans="5:5" ht="16.5">
      <c r="E9296" s="123"/>
    </row>
    <row r="9297" spans="5:5" ht="16.5">
      <c r="E9297" s="123"/>
    </row>
    <row r="9298" spans="5:5" ht="16.5">
      <c r="E9298" s="123"/>
    </row>
    <row r="9299" spans="5:5" ht="16.5">
      <c r="E9299" s="123"/>
    </row>
    <row r="9300" spans="5:5" ht="16.5">
      <c r="E9300" s="123"/>
    </row>
    <row r="9301" spans="5:5" ht="16.5">
      <c r="E9301" s="123"/>
    </row>
    <row r="9302" spans="5:5" ht="16.5">
      <c r="E9302" s="123"/>
    </row>
    <row r="9303" spans="5:5" ht="16.5">
      <c r="E9303" s="123"/>
    </row>
    <row r="9304" spans="5:5" ht="16.5">
      <c r="E9304" s="123"/>
    </row>
    <row r="9305" spans="5:5" ht="16.5">
      <c r="E9305" s="123"/>
    </row>
    <row r="9306" spans="5:5" ht="16.5">
      <c r="E9306" s="123"/>
    </row>
    <row r="9307" spans="5:5" ht="16.5">
      <c r="E9307" s="123"/>
    </row>
    <row r="9308" spans="5:5" ht="16.5">
      <c r="E9308" s="123"/>
    </row>
    <row r="9309" spans="5:5" ht="16.5">
      <c r="E9309" s="123"/>
    </row>
    <row r="9310" spans="5:5" ht="16.5">
      <c r="E9310" s="123"/>
    </row>
    <row r="9311" spans="5:5" ht="16.5">
      <c r="E9311" s="123"/>
    </row>
    <row r="9312" spans="5:5" ht="16.5">
      <c r="E9312" s="123"/>
    </row>
    <row r="9313" spans="5:5" ht="16.5">
      <c r="E9313" s="123"/>
    </row>
    <row r="9314" spans="5:5" ht="16.5">
      <c r="E9314" s="123"/>
    </row>
    <row r="9315" spans="5:5" ht="16.5">
      <c r="E9315" s="123"/>
    </row>
    <row r="9316" spans="5:5" ht="16.5">
      <c r="E9316" s="123"/>
    </row>
    <row r="9317" spans="5:5" ht="16.5">
      <c r="E9317" s="123"/>
    </row>
    <row r="9318" spans="5:5" ht="16.5">
      <c r="E9318" s="123"/>
    </row>
    <row r="9319" spans="5:5" ht="16.5">
      <c r="E9319" s="123"/>
    </row>
    <row r="9320" spans="5:5" ht="16.5">
      <c r="E9320" s="123"/>
    </row>
    <row r="9321" spans="5:5" ht="16.5">
      <c r="E9321" s="123"/>
    </row>
    <row r="9322" spans="5:5" ht="16.5">
      <c r="E9322" s="123"/>
    </row>
    <row r="9323" spans="5:5" ht="16.5">
      <c r="E9323" s="123"/>
    </row>
    <row r="9324" spans="5:5" ht="16.5">
      <c r="E9324" s="123"/>
    </row>
    <row r="9325" spans="5:5" ht="16.5">
      <c r="E9325" s="123"/>
    </row>
    <row r="9326" spans="5:5" ht="16.5">
      <c r="E9326" s="123"/>
    </row>
    <row r="9327" spans="5:5" ht="16.5">
      <c r="E9327" s="123"/>
    </row>
    <row r="9328" spans="5:5" ht="16.5">
      <c r="E9328" s="123"/>
    </row>
    <row r="9329" spans="5:5" ht="16.5">
      <c r="E9329" s="123"/>
    </row>
    <row r="9330" spans="5:5" ht="16.5">
      <c r="E9330" s="123"/>
    </row>
    <row r="9331" spans="5:5" ht="16.5">
      <c r="E9331" s="123"/>
    </row>
    <row r="9332" spans="5:5" ht="16.5">
      <c r="E9332" s="123"/>
    </row>
    <row r="9333" spans="5:5" ht="16.5">
      <c r="E9333" s="123"/>
    </row>
    <row r="9334" spans="5:5" ht="16.5">
      <c r="E9334" s="123"/>
    </row>
    <row r="9335" spans="5:5" ht="16.5">
      <c r="E9335" s="123"/>
    </row>
    <row r="9336" spans="5:5" ht="16.5">
      <c r="E9336" s="123"/>
    </row>
    <row r="9337" spans="5:5" ht="16.5">
      <c r="E9337" s="123"/>
    </row>
    <row r="9338" spans="5:5" ht="16.5">
      <c r="E9338" s="123"/>
    </row>
    <row r="9339" spans="5:5" ht="16.5">
      <c r="E9339" s="123"/>
    </row>
    <row r="9340" spans="5:5" ht="16.5">
      <c r="E9340" s="123"/>
    </row>
    <row r="9341" spans="5:5" ht="16.5">
      <c r="E9341" s="123"/>
    </row>
    <row r="9342" spans="5:5" ht="16.5">
      <c r="E9342" s="123"/>
    </row>
    <row r="9343" spans="5:5" ht="16.5">
      <c r="E9343" s="123"/>
    </row>
    <row r="9344" spans="5:5" ht="16.5">
      <c r="E9344" s="123"/>
    </row>
    <row r="9345" spans="5:5" ht="16.5">
      <c r="E9345" s="123"/>
    </row>
    <row r="9346" spans="5:5" ht="16.5">
      <c r="E9346" s="123"/>
    </row>
    <row r="9347" spans="5:5" ht="16.5">
      <c r="E9347" s="123"/>
    </row>
    <row r="9348" spans="5:5" ht="16.5">
      <c r="E9348" s="123"/>
    </row>
    <row r="9349" spans="5:5" ht="16.5">
      <c r="E9349" s="123"/>
    </row>
    <row r="9350" spans="5:5" ht="16.5">
      <c r="E9350" s="123"/>
    </row>
    <row r="9351" spans="5:5" ht="16.5">
      <c r="E9351" s="123"/>
    </row>
    <row r="9352" spans="5:5" ht="16.5">
      <c r="E9352" s="123"/>
    </row>
    <row r="9353" spans="5:5" ht="16.5">
      <c r="E9353" s="123"/>
    </row>
    <row r="9354" spans="5:5" ht="16.5">
      <c r="E9354" s="123"/>
    </row>
    <row r="9355" spans="5:5" ht="16.5">
      <c r="E9355" s="123"/>
    </row>
    <row r="9356" spans="5:5" ht="16.5">
      <c r="E9356" s="123"/>
    </row>
    <row r="9357" spans="5:5" ht="16.5">
      <c r="E9357" s="123"/>
    </row>
    <row r="9358" spans="5:5" ht="16.5">
      <c r="E9358" s="123"/>
    </row>
    <row r="9359" spans="5:5" ht="16.5">
      <c r="E9359" s="123"/>
    </row>
    <row r="9360" spans="5:5" ht="16.5">
      <c r="E9360" s="123"/>
    </row>
    <row r="9361" spans="5:5" ht="16.5">
      <c r="E9361" s="123"/>
    </row>
    <row r="9362" spans="5:5" ht="16.5">
      <c r="E9362" s="123"/>
    </row>
    <row r="9363" spans="5:5" ht="16.5">
      <c r="E9363" s="123"/>
    </row>
    <row r="9364" spans="5:5" ht="16.5">
      <c r="E9364" s="123"/>
    </row>
    <row r="9365" spans="5:5" ht="16.5">
      <c r="E9365" s="123"/>
    </row>
    <row r="9366" spans="5:5" ht="16.5">
      <c r="E9366" s="123"/>
    </row>
    <row r="9367" spans="5:5" ht="16.5">
      <c r="E9367" s="123"/>
    </row>
    <row r="9368" spans="5:5" ht="16.5">
      <c r="E9368" s="123"/>
    </row>
    <row r="9369" spans="5:5" ht="16.5">
      <c r="E9369" s="123"/>
    </row>
    <row r="9370" spans="5:5" ht="16.5">
      <c r="E9370" s="123"/>
    </row>
    <row r="9371" spans="5:5" ht="16.5">
      <c r="E9371" s="123"/>
    </row>
    <row r="9372" spans="5:5" ht="16.5">
      <c r="E9372" s="123"/>
    </row>
    <row r="9373" spans="5:5" ht="16.5">
      <c r="E9373" s="123"/>
    </row>
    <row r="9374" spans="5:5" ht="16.5">
      <c r="E9374" s="123"/>
    </row>
    <row r="9375" spans="5:5" ht="16.5">
      <c r="E9375" s="123"/>
    </row>
    <row r="9376" spans="5:5" ht="16.5">
      <c r="E9376" s="123"/>
    </row>
    <row r="9377" spans="5:5" ht="16.5">
      <c r="E9377" s="123"/>
    </row>
    <row r="9378" spans="5:5" ht="16.5">
      <c r="E9378" s="123"/>
    </row>
    <row r="9379" spans="5:5" ht="16.5">
      <c r="E9379" s="123"/>
    </row>
    <row r="9380" spans="5:5" ht="16.5">
      <c r="E9380" s="123"/>
    </row>
    <row r="9381" spans="5:5" ht="16.5">
      <c r="E9381" s="123"/>
    </row>
    <row r="9382" spans="5:5" ht="16.5">
      <c r="E9382" s="123"/>
    </row>
    <row r="9383" spans="5:5" ht="16.5">
      <c r="E9383" s="123"/>
    </row>
    <row r="9384" spans="5:5" ht="16.5">
      <c r="E9384" s="123"/>
    </row>
    <row r="9385" spans="5:5" ht="16.5">
      <c r="E9385" s="123"/>
    </row>
    <row r="9386" spans="5:5" ht="16.5">
      <c r="E9386" s="123"/>
    </row>
    <row r="9387" spans="5:5" ht="16.5">
      <c r="E9387" s="123"/>
    </row>
    <row r="9388" spans="5:5" ht="16.5">
      <c r="E9388" s="123"/>
    </row>
    <row r="9389" spans="5:5" ht="16.5">
      <c r="E9389" s="123"/>
    </row>
    <row r="9390" spans="5:5" ht="16.5">
      <c r="E9390" s="123"/>
    </row>
    <row r="9391" spans="5:5" ht="16.5">
      <c r="E9391" s="123"/>
    </row>
    <row r="9392" spans="5:5" ht="16.5">
      <c r="E9392" s="123"/>
    </row>
    <row r="9393" spans="5:5" ht="16.5">
      <c r="E9393" s="123"/>
    </row>
    <row r="9394" spans="5:5" ht="16.5">
      <c r="E9394" s="123"/>
    </row>
    <row r="9395" spans="5:5" ht="16.5">
      <c r="E9395" s="123"/>
    </row>
    <row r="9396" spans="5:5" ht="16.5">
      <c r="E9396" s="123"/>
    </row>
    <row r="9397" spans="5:5" ht="16.5">
      <c r="E9397" s="123"/>
    </row>
    <row r="9398" spans="5:5" ht="16.5">
      <c r="E9398" s="123"/>
    </row>
    <row r="9399" spans="5:5" ht="16.5">
      <c r="E9399" s="123"/>
    </row>
    <row r="9400" spans="5:5" ht="16.5">
      <c r="E9400" s="123"/>
    </row>
    <row r="9401" spans="5:5" ht="16.5">
      <c r="E9401" s="123"/>
    </row>
    <row r="9402" spans="5:5" ht="16.5">
      <c r="E9402" s="123"/>
    </row>
    <row r="9403" spans="5:5" ht="16.5">
      <c r="E9403" s="123"/>
    </row>
    <row r="9404" spans="5:5" ht="16.5">
      <c r="E9404" s="123"/>
    </row>
    <row r="9405" spans="5:5" ht="16.5">
      <c r="E9405" s="123"/>
    </row>
    <row r="9406" spans="5:5" ht="16.5">
      <c r="E9406" s="123"/>
    </row>
    <row r="9407" spans="5:5" ht="16.5">
      <c r="E9407" s="123"/>
    </row>
    <row r="9408" spans="5:5" ht="16.5">
      <c r="E9408" s="123"/>
    </row>
    <row r="9409" spans="5:5" ht="16.5">
      <c r="E9409" s="123"/>
    </row>
    <row r="9410" spans="5:5" ht="16.5">
      <c r="E9410" s="123"/>
    </row>
    <row r="9411" spans="5:5" ht="16.5">
      <c r="E9411" s="123"/>
    </row>
    <row r="9412" spans="5:5" ht="16.5">
      <c r="E9412" s="123"/>
    </row>
    <row r="9413" spans="5:5" ht="16.5">
      <c r="E9413" s="123"/>
    </row>
    <row r="9414" spans="5:5" ht="16.5">
      <c r="E9414" s="123"/>
    </row>
    <row r="9415" spans="5:5" ht="16.5">
      <c r="E9415" s="123"/>
    </row>
    <row r="9416" spans="5:5" ht="16.5">
      <c r="E9416" s="123"/>
    </row>
    <row r="9417" spans="5:5" ht="16.5">
      <c r="E9417" s="123"/>
    </row>
    <row r="9418" spans="5:5" ht="16.5">
      <c r="E9418" s="123"/>
    </row>
    <row r="9419" spans="5:5" ht="16.5">
      <c r="E9419" s="123"/>
    </row>
    <row r="9420" spans="5:5" ht="16.5">
      <c r="E9420" s="123"/>
    </row>
    <row r="9421" spans="5:5" ht="16.5">
      <c r="E9421" s="123"/>
    </row>
    <row r="9422" spans="5:5" ht="16.5">
      <c r="E9422" s="123"/>
    </row>
    <row r="9423" spans="5:5" ht="16.5">
      <c r="E9423" s="123"/>
    </row>
    <row r="9424" spans="5:5" ht="16.5">
      <c r="E9424" s="123"/>
    </row>
    <row r="9425" spans="5:5" ht="16.5">
      <c r="E9425" s="123"/>
    </row>
    <row r="9426" spans="5:5" ht="16.5">
      <c r="E9426" s="123"/>
    </row>
    <row r="9427" spans="5:5" ht="16.5">
      <c r="E9427" s="123"/>
    </row>
    <row r="9428" spans="5:5" ht="16.5">
      <c r="E9428" s="123"/>
    </row>
    <row r="9429" spans="5:5" ht="16.5">
      <c r="E9429" s="123"/>
    </row>
    <row r="9430" spans="5:5" ht="16.5">
      <c r="E9430" s="123"/>
    </row>
    <row r="9431" spans="5:5" ht="16.5">
      <c r="E9431" s="123"/>
    </row>
    <row r="9432" spans="5:5" ht="16.5">
      <c r="E9432" s="123"/>
    </row>
    <row r="9433" spans="5:5" ht="16.5">
      <c r="E9433" s="123"/>
    </row>
    <row r="9434" spans="5:5" ht="16.5">
      <c r="E9434" s="123"/>
    </row>
    <row r="9435" spans="5:5" ht="16.5">
      <c r="E9435" s="123"/>
    </row>
    <row r="9436" spans="5:5" ht="16.5">
      <c r="E9436" s="123"/>
    </row>
    <row r="9437" spans="5:5" ht="16.5">
      <c r="E9437" s="123"/>
    </row>
    <row r="9438" spans="5:5" ht="16.5">
      <c r="E9438" s="123"/>
    </row>
    <row r="9439" spans="5:5" ht="16.5">
      <c r="E9439" s="123"/>
    </row>
    <row r="9440" spans="5:5" ht="16.5">
      <c r="E9440" s="123"/>
    </row>
    <row r="9441" spans="5:5" ht="16.5">
      <c r="E9441" s="123"/>
    </row>
    <row r="9442" spans="5:5" ht="16.5">
      <c r="E9442" s="123"/>
    </row>
    <row r="9443" spans="5:5" ht="16.5">
      <c r="E9443" s="123"/>
    </row>
    <row r="9444" spans="5:5" ht="16.5">
      <c r="E9444" s="123"/>
    </row>
    <row r="9445" spans="5:5" ht="16.5">
      <c r="E9445" s="123"/>
    </row>
    <row r="9446" spans="5:5" ht="16.5">
      <c r="E9446" s="123"/>
    </row>
    <row r="9447" spans="5:5" ht="16.5">
      <c r="E9447" s="123"/>
    </row>
    <row r="9448" spans="5:5" ht="16.5">
      <c r="E9448" s="123"/>
    </row>
    <row r="9449" spans="5:5" ht="16.5">
      <c r="E9449" s="123"/>
    </row>
    <row r="9450" spans="5:5" ht="16.5">
      <c r="E9450" s="123"/>
    </row>
    <row r="9451" spans="5:5" ht="16.5">
      <c r="E9451" s="123"/>
    </row>
    <row r="9452" spans="5:5" ht="16.5">
      <c r="E9452" s="123"/>
    </row>
    <row r="9453" spans="5:5" ht="16.5">
      <c r="E9453" s="123"/>
    </row>
    <row r="9454" spans="5:5" ht="16.5">
      <c r="E9454" s="123"/>
    </row>
    <row r="9455" spans="5:5" ht="16.5">
      <c r="E9455" s="123"/>
    </row>
    <row r="9456" spans="5:5" ht="16.5">
      <c r="E9456" s="123"/>
    </row>
    <row r="9457" spans="5:5" ht="16.5">
      <c r="E9457" s="123"/>
    </row>
    <row r="9458" spans="5:5" ht="16.5">
      <c r="E9458" s="123"/>
    </row>
    <row r="9459" spans="5:5" ht="16.5">
      <c r="E9459" s="123"/>
    </row>
    <row r="9460" spans="5:5" ht="16.5">
      <c r="E9460" s="123"/>
    </row>
    <row r="9461" spans="5:5" ht="16.5">
      <c r="E9461" s="123"/>
    </row>
    <row r="9462" spans="5:5" ht="16.5">
      <c r="E9462" s="123"/>
    </row>
    <row r="9463" spans="5:5" ht="16.5">
      <c r="E9463" s="123"/>
    </row>
    <row r="9464" spans="5:5" ht="16.5">
      <c r="E9464" s="123"/>
    </row>
    <row r="9465" spans="5:5" ht="16.5">
      <c r="E9465" s="123"/>
    </row>
    <row r="9466" spans="5:5" ht="16.5">
      <c r="E9466" s="123"/>
    </row>
    <row r="9467" spans="5:5" ht="16.5">
      <c r="E9467" s="123"/>
    </row>
    <row r="9468" spans="5:5" ht="16.5">
      <c r="E9468" s="123"/>
    </row>
    <row r="9469" spans="5:5" ht="16.5">
      <c r="E9469" s="123"/>
    </row>
    <row r="9470" spans="5:5" ht="16.5">
      <c r="E9470" s="123"/>
    </row>
    <row r="9471" spans="5:5" ht="16.5">
      <c r="E9471" s="123"/>
    </row>
    <row r="9472" spans="5:5" ht="16.5">
      <c r="E9472" s="123"/>
    </row>
    <row r="9473" spans="5:5" ht="16.5">
      <c r="E9473" s="123"/>
    </row>
    <row r="9474" spans="5:5" ht="16.5">
      <c r="E9474" s="123"/>
    </row>
    <row r="9475" spans="5:5" ht="16.5">
      <c r="E9475" s="123"/>
    </row>
    <row r="9476" spans="5:5" ht="16.5">
      <c r="E9476" s="123"/>
    </row>
    <row r="9477" spans="5:5" ht="16.5">
      <c r="E9477" s="123"/>
    </row>
    <row r="9478" spans="5:5" ht="16.5">
      <c r="E9478" s="123"/>
    </row>
    <row r="9479" spans="5:5" ht="16.5">
      <c r="E9479" s="123"/>
    </row>
    <row r="9480" spans="5:5" ht="16.5">
      <c r="E9480" s="123"/>
    </row>
    <row r="9481" spans="5:5" ht="16.5">
      <c r="E9481" s="123"/>
    </row>
    <row r="9482" spans="5:5" ht="16.5">
      <c r="E9482" s="123"/>
    </row>
    <row r="9483" spans="5:5" ht="16.5">
      <c r="E9483" s="123"/>
    </row>
    <row r="9484" spans="5:5" ht="16.5">
      <c r="E9484" s="123"/>
    </row>
    <row r="9485" spans="5:5" ht="16.5">
      <c r="E9485" s="123"/>
    </row>
    <row r="9486" spans="5:5" ht="16.5">
      <c r="E9486" s="123"/>
    </row>
    <row r="9487" spans="5:5" ht="16.5">
      <c r="E9487" s="123"/>
    </row>
    <row r="9488" spans="5:5" ht="16.5">
      <c r="E9488" s="123"/>
    </row>
    <row r="9489" spans="5:5" ht="16.5">
      <c r="E9489" s="123"/>
    </row>
    <row r="9490" spans="5:5" ht="16.5">
      <c r="E9490" s="123"/>
    </row>
    <row r="9491" spans="5:5" ht="16.5">
      <c r="E9491" s="123"/>
    </row>
    <row r="9492" spans="5:5" ht="16.5">
      <c r="E9492" s="123"/>
    </row>
    <row r="9493" spans="5:5" ht="16.5">
      <c r="E9493" s="123"/>
    </row>
    <row r="9494" spans="5:5" ht="16.5">
      <c r="E9494" s="123"/>
    </row>
    <row r="9495" spans="5:5" ht="16.5">
      <c r="E9495" s="123"/>
    </row>
    <row r="9496" spans="5:5" ht="16.5">
      <c r="E9496" s="123"/>
    </row>
    <row r="9497" spans="5:5" ht="16.5">
      <c r="E9497" s="123"/>
    </row>
    <row r="9498" spans="5:5" ht="16.5">
      <c r="E9498" s="123"/>
    </row>
    <row r="9499" spans="5:5" ht="16.5">
      <c r="E9499" s="123"/>
    </row>
    <row r="9500" spans="5:5" ht="16.5">
      <c r="E9500" s="123"/>
    </row>
    <row r="9501" spans="5:5" ht="16.5">
      <c r="E9501" s="123"/>
    </row>
    <row r="9502" spans="5:5" ht="16.5">
      <c r="E9502" s="123"/>
    </row>
    <row r="9503" spans="5:5" ht="16.5">
      <c r="E9503" s="123"/>
    </row>
    <row r="9504" spans="5:5" ht="16.5">
      <c r="E9504" s="123"/>
    </row>
    <row r="9505" spans="5:5" ht="16.5">
      <c r="E9505" s="123"/>
    </row>
    <row r="9506" spans="5:5" ht="16.5">
      <c r="E9506" s="123"/>
    </row>
    <row r="9507" spans="5:5" ht="16.5">
      <c r="E9507" s="123"/>
    </row>
    <row r="9508" spans="5:5" ht="16.5">
      <c r="E9508" s="123"/>
    </row>
    <row r="9509" spans="5:5" ht="16.5">
      <c r="E9509" s="123"/>
    </row>
    <row r="9510" spans="5:5" ht="16.5">
      <c r="E9510" s="123"/>
    </row>
    <row r="9511" spans="5:5" ht="16.5">
      <c r="E9511" s="123"/>
    </row>
    <row r="9512" spans="5:5" ht="16.5">
      <c r="E9512" s="123"/>
    </row>
    <row r="9513" spans="5:5" ht="16.5">
      <c r="E9513" s="123"/>
    </row>
    <row r="9514" spans="5:5" ht="16.5">
      <c r="E9514" s="123"/>
    </row>
    <row r="9515" spans="5:5" ht="16.5">
      <c r="E9515" s="123"/>
    </row>
    <row r="9516" spans="5:5" ht="16.5">
      <c r="E9516" s="123"/>
    </row>
    <row r="9517" spans="5:5" ht="16.5">
      <c r="E9517" s="123"/>
    </row>
    <row r="9518" spans="5:5" ht="16.5">
      <c r="E9518" s="123"/>
    </row>
    <row r="9519" spans="5:5" ht="16.5">
      <c r="E9519" s="123"/>
    </row>
    <row r="9520" spans="5:5" ht="16.5">
      <c r="E9520" s="123"/>
    </row>
    <row r="9521" spans="5:5" ht="16.5">
      <c r="E9521" s="123"/>
    </row>
    <row r="9522" spans="5:5" ht="16.5">
      <c r="E9522" s="123"/>
    </row>
    <row r="9523" spans="5:5" ht="16.5">
      <c r="E9523" s="123"/>
    </row>
    <row r="9524" spans="5:5" ht="16.5">
      <c r="E9524" s="123"/>
    </row>
    <row r="9525" spans="5:5" ht="16.5">
      <c r="E9525" s="123"/>
    </row>
    <row r="9526" spans="5:5" ht="16.5">
      <c r="E9526" s="123"/>
    </row>
    <row r="9527" spans="5:5" ht="16.5">
      <c r="E9527" s="123"/>
    </row>
    <row r="9528" spans="5:5" ht="16.5">
      <c r="E9528" s="123"/>
    </row>
    <row r="9529" spans="5:5" ht="16.5">
      <c r="E9529" s="123"/>
    </row>
    <row r="9530" spans="5:5" ht="16.5">
      <c r="E9530" s="123"/>
    </row>
    <row r="9531" spans="5:5" ht="16.5">
      <c r="E9531" s="123"/>
    </row>
    <row r="9532" spans="5:5" ht="16.5">
      <c r="E9532" s="123"/>
    </row>
    <row r="9533" spans="5:5" ht="16.5">
      <c r="E9533" s="123"/>
    </row>
    <row r="9534" spans="5:5" ht="16.5">
      <c r="E9534" s="123"/>
    </row>
    <row r="9535" spans="5:5" ht="16.5">
      <c r="E9535" s="123"/>
    </row>
    <row r="9536" spans="5:5" ht="16.5">
      <c r="E9536" s="123"/>
    </row>
    <row r="9537" spans="5:5" ht="16.5">
      <c r="E9537" s="123"/>
    </row>
    <row r="9538" spans="5:5" ht="16.5">
      <c r="E9538" s="123"/>
    </row>
    <row r="9539" spans="5:5" ht="16.5">
      <c r="E9539" s="123"/>
    </row>
    <row r="9540" spans="5:5" ht="16.5">
      <c r="E9540" s="123"/>
    </row>
    <row r="9541" spans="5:5" ht="16.5">
      <c r="E9541" s="123"/>
    </row>
    <row r="9542" spans="5:5" ht="16.5">
      <c r="E9542" s="123"/>
    </row>
    <row r="9543" spans="5:5" ht="16.5">
      <c r="E9543" s="123"/>
    </row>
    <row r="9544" spans="5:5" ht="16.5">
      <c r="E9544" s="123"/>
    </row>
    <row r="9545" spans="5:5" ht="16.5">
      <c r="E9545" s="123"/>
    </row>
    <row r="9546" spans="5:5" ht="16.5">
      <c r="E9546" s="123"/>
    </row>
    <row r="9547" spans="5:5" ht="16.5">
      <c r="E9547" s="123"/>
    </row>
    <row r="9548" spans="5:5" ht="16.5">
      <c r="E9548" s="123"/>
    </row>
    <row r="9549" spans="5:5" ht="16.5">
      <c r="E9549" s="123"/>
    </row>
    <row r="9550" spans="5:5" ht="16.5">
      <c r="E9550" s="123"/>
    </row>
    <row r="9551" spans="5:5" ht="16.5">
      <c r="E9551" s="123"/>
    </row>
    <row r="9552" spans="5:5" ht="16.5">
      <c r="E9552" s="123"/>
    </row>
    <row r="9553" spans="5:5" ht="16.5">
      <c r="E9553" s="123"/>
    </row>
    <row r="9554" spans="5:5" ht="16.5">
      <c r="E9554" s="123"/>
    </row>
    <row r="9555" spans="5:5" ht="16.5">
      <c r="E9555" s="123"/>
    </row>
    <row r="9556" spans="5:5" ht="16.5">
      <c r="E9556" s="123"/>
    </row>
    <row r="9557" spans="5:5" ht="16.5">
      <c r="E9557" s="123"/>
    </row>
    <row r="9558" spans="5:5" ht="16.5">
      <c r="E9558" s="123"/>
    </row>
    <row r="9559" spans="5:5" ht="16.5">
      <c r="E9559" s="123"/>
    </row>
    <row r="9560" spans="5:5" ht="16.5">
      <c r="E9560" s="123"/>
    </row>
    <row r="9561" spans="5:5" ht="16.5">
      <c r="E9561" s="123"/>
    </row>
    <row r="9562" spans="5:5" ht="16.5">
      <c r="E9562" s="123"/>
    </row>
    <row r="9563" spans="5:5" ht="16.5">
      <c r="E9563" s="123"/>
    </row>
    <row r="9564" spans="5:5" ht="16.5">
      <c r="E9564" s="123"/>
    </row>
    <row r="9565" spans="5:5" ht="16.5">
      <c r="E9565" s="123"/>
    </row>
    <row r="9566" spans="5:5" ht="16.5">
      <c r="E9566" s="123"/>
    </row>
    <row r="9567" spans="5:5" ht="16.5">
      <c r="E9567" s="123"/>
    </row>
    <row r="9568" spans="5:5" ht="16.5">
      <c r="E9568" s="123"/>
    </row>
    <row r="9569" spans="5:5" ht="16.5">
      <c r="E9569" s="123"/>
    </row>
    <row r="9570" spans="5:5" ht="16.5">
      <c r="E9570" s="123"/>
    </row>
    <row r="9571" spans="5:5" ht="16.5">
      <c r="E9571" s="123"/>
    </row>
    <row r="9572" spans="5:5" ht="16.5">
      <c r="E9572" s="123"/>
    </row>
    <row r="9573" spans="5:5" ht="16.5">
      <c r="E9573" s="123"/>
    </row>
    <row r="9574" spans="5:5" ht="16.5">
      <c r="E9574" s="123"/>
    </row>
    <row r="9575" spans="5:5" ht="16.5">
      <c r="E9575" s="123"/>
    </row>
    <row r="9576" spans="5:5" ht="16.5">
      <c r="E9576" s="123"/>
    </row>
    <row r="9577" spans="5:5" ht="16.5">
      <c r="E9577" s="123"/>
    </row>
    <row r="9578" spans="5:5" ht="16.5">
      <c r="E9578" s="123"/>
    </row>
    <row r="9579" spans="5:5" ht="16.5">
      <c r="E9579" s="123"/>
    </row>
    <row r="9580" spans="5:5" ht="16.5">
      <c r="E9580" s="123"/>
    </row>
    <row r="9581" spans="5:5" ht="16.5">
      <c r="E9581" s="123"/>
    </row>
    <row r="9582" spans="5:5" ht="16.5">
      <c r="E9582" s="123"/>
    </row>
    <row r="9583" spans="5:5" ht="16.5">
      <c r="E9583" s="123"/>
    </row>
    <row r="9584" spans="5:5" ht="16.5">
      <c r="E9584" s="123"/>
    </row>
    <row r="9585" spans="5:5" ht="16.5">
      <c r="E9585" s="123"/>
    </row>
    <row r="9586" spans="5:5" ht="16.5">
      <c r="E9586" s="123"/>
    </row>
    <row r="9587" spans="5:5" ht="16.5">
      <c r="E9587" s="123"/>
    </row>
    <row r="9588" spans="5:5" ht="16.5">
      <c r="E9588" s="123"/>
    </row>
    <row r="9589" spans="5:5" ht="16.5">
      <c r="E9589" s="123"/>
    </row>
    <row r="9590" spans="5:5" ht="16.5">
      <c r="E9590" s="123"/>
    </row>
    <row r="9591" spans="5:5" ht="16.5">
      <c r="E9591" s="123"/>
    </row>
    <row r="9592" spans="5:5" ht="16.5">
      <c r="E9592" s="123"/>
    </row>
    <row r="9593" spans="5:5" ht="16.5">
      <c r="E9593" s="123"/>
    </row>
    <row r="9594" spans="5:5" ht="16.5">
      <c r="E9594" s="123"/>
    </row>
    <row r="9595" spans="5:5" ht="16.5">
      <c r="E9595" s="123"/>
    </row>
    <row r="9596" spans="5:5" ht="16.5">
      <c r="E9596" s="123"/>
    </row>
    <row r="9597" spans="5:5" ht="16.5">
      <c r="E9597" s="123"/>
    </row>
    <row r="9598" spans="5:5" ht="16.5">
      <c r="E9598" s="123"/>
    </row>
    <row r="9599" spans="5:5" ht="16.5">
      <c r="E9599" s="123"/>
    </row>
    <row r="9600" spans="5:5" ht="16.5">
      <c r="E9600" s="123"/>
    </row>
    <row r="9601" spans="5:5" ht="16.5">
      <c r="E9601" s="123"/>
    </row>
    <row r="9602" spans="5:5" ht="16.5">
      <c r="E9602" s="123"/>
    </row>
    <row r="9603" spans="5:5" ht="16.5">
      <c r="E9603" s="123"/>
    </row>
    <row r="9604" spans="5:5" ht="16.5">
      <c r="E9604" s="123"/>
    </row>
    <row r="9605" spans="5:5" ht="16.5">
      <c r="E9605" s="123"/>
    </row>
    <row r="9606" spans="5:5" ht="16.5">
      <c r="E9606" s="123"/>
    </row>
    <row r="9607" spans="5:5" ht="16.5">
      <c r="E9607" s="123"/>
    </row>
    <row r="9608" spans="5:5" ht="16.5">
      <c r="E9608" s="123"/>
    </row>
    <row r="9609" spans="5:5" ht="16.5">
      <c r="E9609" s="123"/>
    </row>
    <row r="9610" spans="5:5" ht="16.5">
      <c r="E9610" s="123"/>
    </row>
    <row r="9611" spans="5:5" ht="16.5">
      <c r="E9611" s="123"/>
    </row>
    <row r="9612" spans="5:5" ht="16.5">
      <c r="E9612" s="123"/>
    </row>
    <row r="9613" spans="5:5" ht="16.5">
      <c r="E9613" s="123"/>
    </row>
    <row r="9614" spans="5:5" ht="16.5">
      <c r="E9614" s="123"/>
    </row>
    <row r="9615" spans="5:5" ht="16.5">
      <c r="E9615" s="123"/>
    </row>
    <row r="9616" spans="5:5" ht="16.5">
      <c r="E9616" s="123"/>
    </row>
    <row r="9617" spans="5:5" ht="16.5">
      <c r="E9617" s="123"/>
    </row>
    <row r="9618" spans="5:5" ht="16.5">
      <c r="E9618" s="123"/>
    </row>
    <row r="9619" spans="5:5" ht="16.5">
      <c r="E9619" s="123"/>
    </row>
    <row r="9620" spans="5:5" ht="16.5">
      <c r="E9620" s="123"/>
    </row>
    <row r="9621" spans="5:5" ht="16.5">
      <c r="E9621" s="123"/>
    </row>
    <row r="9622" spans="5:5" ht="16.5">
      <c r="E9622" s="123"/>
    </row>
    <row r="9623" spans="5:5" ht="16.5">
      <c r="E9623" s="123"/>
    </row>
    <row r="9624" spans="5:5" ht="16.5">
      <c r="E9624" s="123"/>
    </row>
    <row r="9625" spans="5:5" ht="16.5">
      <c r="E9625" s="123"/>
    </row>
    <row r="9626" spans="5:5" ht="16.5">
      <c r="E9626" s="123"/>
    </row>
    <row r="9627" spans="5:5" ht="16.5">
      <c r="E9627" s="123"/>
    </row>
    <row r="9628" spans="5:5" ht="16.5">
      <c r="E9628" s="123"/>
    </row>
    <row r="9629" spans="5:5" ht="16.5">
      <c r="E9629" s="123"/>
    </row>
    <row r="9630" spans="5:5" ht="16.5">
      <c r="E9630" s="123"/>
    </row>
    <row r="9631" spans="5:5" ht="16.5">
      <c r="E9631" s="123"/>
    </row>
    <row r="9632" spans="5:5" ht="16.5">
      <c r="E9632" s="123"/>
    </row>
    <row r="9633" spans="5:5" ht="16.5">
      <c r="E9633" s="123"/>
    </row>
    <row r="9634" spans="5:5" ht="16.5">
      <c r="E9634" s="123"/>
    </row>
    <row r="9635" spans="5:5" ht="16.5">
      <c r="E9635" s="123"/>
    </row>
    <row r="9636" spans="5:5" ht="16.5">
      <c r="E9636" s="123"/>
    </row>
    <row r="9637" spans="5:5" ht="16.5">
      <c r="E9637" s="123"/>
    </row>
    <row r="9638" spans="5:5" ht="16.5">
      <c r="E9638" s="123"/>
    </row>
    <row r="9639" spans="5:5" ht="16.5">
      <c r="E9639" s="123"/>
    </row>
    <row r="9640" spans="5:5" ht="16.5">
      <c r="E9640" s="123"/>
    </row>
    <row r="9641" spans="5:5" ht="16.5">
      <c r="E9641" s="123"/>
    </row>
    <row r="9642" spans="5:5" ht="16.5">
      <c r="E9642" s="123"/>
    </row>
    <row r="9643" spans="5:5" ht="16.5">
      <c r="E9643" s="123"/>
    </row>
    <row r="9644" spans="5:5" ht="16.5">
      <c r="E9644" s="123"/>
    </row>
    <row r="9645" spans="5:5" ht="16.5">
      <c r="E9645" s="123"/>
    </row>
    <row r="9646" spans="5:5" ht="16.5">
      <c r="E9646" s="123"/>
    </row>
    <row r="9647" spans="5:5" ht="16.5">
      <c r="E9647" s="123"/>
    </row>
    <row r="9648" spans="5:5" ht="16.5">
      <c r="E9648" s="123"/>
    </row>
    <row r="9649" spans="5:5" ht="16.5">
      <c r="E9649" s="123"/>
    </row>
    <row r="9650" spans="5:5" ht="16.5">
      <c r="E9650" s="123"/>
    </row>
    <row r="9651" spans="5:5" ht="16.5">
      <c r="E9651" s="123"/>
    </row>
    <row r="9652" spans="5:5" ht="16.5">
      <c r="E9652" s="123"/>
    </row>
    <row r="9653" spans="5:5" ht="16.5">
      <c r="E9653" s="123"/>
    </row>
    <row r="9654" spans="5:5" ht="16.5">
      <c r="E9654" s="123"/>
    </row>
    <row r="9655" spans="5:5" ht="16.5">
      <c r="E9655" s="123"/>
    </row>
    <row r="9656" spans="5:5" ht="16.5">
      <c r="E9656" s="123"/>
    </row>
    <row r="9657" spans="5:5" ht="16.5">
      <c r="E9657" s="123"/>
    </row>
    <row r="9658" spans="5:5" ht="16.5">
      <c r="E9658" s="123"/>
    </row>
    <row r="9659" spans="5:5" ht="16.5">
      <c r="E9659" s="123"/>
    </row>
    <row r="9660" spans="5:5" ht="16.5">
      <c r="E9660" s="123"/>
    </row>
    <row r="9661" spans="5:5" ht="16.5">
      <c r="E9661" s="123"/>
    </row>
    <row r="9662" spans="5:5" ht="16.5">
      <c r="E9662" s="123"/>
    </row>
    <row r="9663" spans="5:5" ht="16.5">
      <c r="E9663" s="123"/>
    </row>
    <row r="9664" spans="5:5" ht="16.5">
      <c r="E9664" s="123"/>
    </row>
    <row r="9665" spans="5:5" ht="16.5">
      <c r="E9665" s="123"/>
    </row>
    <row r="9666" spans="5:5" ht="16.5">
      <c r="E9666" s="123"/>
    </row>
    <row r="9667" spans="5:5" ht="16.5">
      <c r="E9667" s="123"/>
    </row>
    <row r="9668" spans="5:5" ht="16.5">
      <c r="E9668" s="123"/>
    </row>
    <row r="9669" spans="5:5" ht="16.5">
      <c r="E9669" s="123"/>
    </row>
    <row r="9670" spans="5:5" ht="16.5">
      <c r="E9670" s="123"/>
    </row>
    <row r="9671" spans="5:5" ht="16.5">
      <c r="E9671" s="123"/>
    </row>
    <row r="9672" spans="5:5" ht="16.5">
      <c r="E9672" s="123"/>
    </row>
    <row r="9673" spans="5:5" ht="16.5">
      <c r="E9673" s="123"/>
    </row>
    <row r="9674" spans="5:5" ht="16.5">
      <c r="E9674" s="123"/>
    </row>
    <row r="9675" spans="5:5" ht="16.5">
      <c r="E9675" s="123"/>
    </row>
    <row r="9676" spans="5:5" ht="16.5">
      <c r="E9676" s="123"/>
    </row>
    <row r="9677" spans="5:5" ht="16.5">
      <c r="E9677" s="123"/>
    </row>
    <row r="9678" spans="5:5" ht="16.5">
      <c r="E9678" s="123"/>
    </row>
    <row r="9679" spans="5:5" ht="16.5">
      <c r="E9679" s="123"/>
    </row>
    <row r="9680" spans="5:5" ht="16.5">
      <c r="E9680" s="123"/>
    </row>
    <row r="9681" spans="5:5" ht="16.5">
      <c r="E9681" s="123"/>
    </row>
    <row r="9682" spans="5:5" ht="16.5">
      <c r="E9682" s="123"/>
    </row>
    <row r="9683" spans="5:5" ht="16.5">
      <c r="E9683" s="123"/>
    </row>
    <row r="9684" spans="5:5" ht="16.5">
      <c r="E9684" s="123"/>
    </row>
    <row r="9685" spans="5:5" ht="16.5">
      <c r="E9685" s="123"/>
    </row>
    <row r="9686" spans="5:5" ht="16.5">
      <c r="E9686" s="123"/>
    </row>
    <row r="9687" spans="5:5" ht="16.5">
      <c r="E9687" s="123"/>
    </row>
    <row r="9688" spans="5:5" ht="16.5">
      <c r="E9688" s="123"/>
    </row>
    <row r="9689" spans="5:5" ht="16.5">
      <c r="E9689" s="123"/>
    </row>
    <row r="9690" spans="5:5" ht="16.5">
      <c r="E9690" s="123"/>
    </row>
    <row r="9691" spans="5:5" ht="16.5">
      <c r="E9691" s="123"/>
    </row>
    <row r="9692" spans="5:5" ht="16.5">
      <c r="E9692" s="123"/>
    </row>
    <row r="9693" spans="5:5" ht="16.5">
      <c r="E9693" s="123"/>
    </row>
    <row r="9694" spans="5:5" ht="16.5">
      <c r="E9694" s="123"/>
    </row>
    <row r="9695" spans="5:5" ht="16.5">
      <c r="E9695" s="123"/>
    </row>
    <row r="9696" spans="5:5" ht="16.5">
      <c r="E9696" s="123"/>
    </row>
    <row r="9697" spans="5:5" ht="16.5">
      <c r="E9697" s="123"/>
    </row>
    <row r="9698" spans="5:5" ht="16.5">
      <c r="E9698" s="123"/>
    </row>
    <row r="9699" spans="5:5" ht="16.5">
      <c r="E9699" s="123"/>
    </row>
    <row r="9700" spans="5:5" ht="16.5">
      <c r="E9700" s="123"/>
    </row>
    <row r="9701" spans="5:5" ht="16.5">
      <c r="E9701" s="123"/>
    </row>
    <row r="9702" spans="5:5" ht="16.5">
      <c r="E9702" s="123"/>
    </row>
    <row r="9703" spans="5:5" ht="16.5">
      <c r="E9703" s="123"/>
    </row>
    <row r="9704" spans="5:5" ht="16.5">
      <c r="E9704" s="123"/>
    </row>
    <row r="9705" spans="5:5" ht="16.5">
      <c r="E9705" s="123"/>
    </row>
    <row r="9706" spans="5:5" ht="16.5">
      <c r="E9706" s="123"/>
    </row>
    <row r="9707" spans="5:5" ht="16.5">
      <c r="E9707" s="123"/>
    </row>
    <row r="9708" spans="5:5" ht="16.5">
      <c r="E9708" s="123"/>
    </row>
    <row r="9709" spans="5:5" ht="16.5">
      <c r="E9709" s="123"/>
    </row>
    <row r="9710" spans="5:5" ht="16.5">
      <c r="E9710" s="123"/>
    </row>
    <row r="9711" spans="5:5" ht="16.5">
      <c r="E9711" s="123"/>
    </row>
    <row r="9712" spans="5:5" ht="16.5">
      <c r="E9712" s="123"/>
    </row>
    <row r="9713" spans="5:5" ht="16.5">
      <c r="E9713" s="123"/>
    </row>
    <row r="9714" spans="5:5" ht="16.5">
      <c r="E9714" s="123"/>
    </row>
    <row r="9715" spans="5:5" ht="16.5">
      <c r="E9715" s="123"/>
    </row>
    <row r="9716" spans="5:5" ht="16.5">
      <c r="E9716" s="123"/>
    </row>
    <row r="9717" spans="5:5" ht="16.5">
      <c r="E9717" s="123"/>
    </row>
    <row r="9718" spans="5:5" ht="16.5">
      <c r="E9718" s="123"/>
    </row>
    <row r="9719" spans="5:5" ht="16.5">
      <c r="E9719" s="123"/>
    </row>
    <row r="9720" spans="5:5" ht="16.5">
      <c r="E9720" s="123"/>
    </row>
    <row r="9721" spans="5:5" ht="16.5">
      <c r="E9721" s="123"/>
    </row>
    <row r="9722" spans="5:5" ht="16.5">
      <c r="E9722" s="123"/>
    </row>
    <row r="9723" spans="5:5" ht="16.5">
      <c r="E9723" s="123"/>
    </row>
    <row r="9724" spans="5:5" ht="16.5">
      <c r="E9724" s="123"/>
    </row>
    <row r="9725" spans="5:5" ht="16.5">
      <c r="E9725" s="123"/>
    </row>
    <row r="9726" spans="5:5" ht="16.5">
      <c r="E9726" s="123"/>
    </row>
    <row r="9727" spans="5:5" ht="16.5">
      <c r="E9727" s="123"/>
    </row>
    <row r="9728" spans="5:5" ht="16.5">
      <c r="E9728" s="123"/>
    </row>
    <row r="9729" spans="5:5" ht="16.5">
      <c r="E9729" s="123"/>
    </row>
    <row r="9730" spans="5:5" ht="16.5">
      <c r="E9730" s="123"/>
    </row>
    <row r="9731" spans="5:5" ht="16.5">
      <c r="E9731" s="123"/>
    </row>
    <row r="9732" spans="5:5" ht="16.5">
      <c r="E9732" s="123"/>
    </row>
    <row r="9733" spans="5:5" ht="16.5">
      <c r="E9733" s="123"/>
    </row>
    <row r="9734" spans="5:5" ht="16.5">
      <c r="E9734" s="123"/>
    </row>
    <row r="9735" spans="5:5" ht="16.5">
      <c r="E9735" s="123"/>
    </row>
    <row r="9736" spans="5:5" ht="16.5">
      <c r="E9736" s="123"/>
    </row>
    <row r="9737" spans="5:5" ht="16.5">
      <c r="E9737" s="123"/>
    </row>
    <row r="9738" spans="5:5" ht="16.5">
      <c r="E9738" s="123"/>
    </row>
    <row r="9739" spans="5:5" ht="16.5">
      <c r="E9739" s="123"/>
    </row>
    <row r="9740" spans="5:5" ht="16.5">
      <c r="E9740" s="123"/>
    </row>
    <row r="9741" spans="5:5" ht="16.5">
      <c r="E9741" s="123"/>
    </row>
    <row r="9742" spans="5:5" ht="16.5">
      <c r="E9742" s="123"/>
    </row>
    <row r="9743" spans="5:5" ht="16.5">
      <c r="E9743" s="123"/>
    </row>
    <row r="9744" spans="5:5" ht="16.5">
      <c r="E9744" s="123"/>
    </row>
    <row r="9745" spans="5:5" ht="16.5">
      <c r="E9745" s="123"/>
    </row>
    <row r="9746" spans="5:5" ht="16.5">
      <c r="E9746" s="123"/>
    </row>
    <row r="9747" spans="5:5" ht="16.5">
      <c r="E9747" s="123"/>
    </row>
    <row r="9748" spans="5:5" ht="16.5">
      <c r="E9748" s="123"/>
    </row>
    <row r="9749" spans="5:5" ht="16.5">
      <c r="E9749" s="123"/>
    </row>
    <row r="9750" spans="5:5" ht="16.5">
      <c r="E9750" s="123"/>
    </row>
    <row r="9751" spans="5:5" ht="16.5">
      <c r="E9751" s="123"/>
    </row>
    <row r="9752" spans="5:5" ht="16.5">
      <c r="E9752" s="123"/>
    </row>
    <row r="9753" spans="5:5" ht="16.5">
      <c r="E9753" s="123"/>
    </row>
    <row r="9754" spans="5:5" ht="16.5">
      <c r="E9754" s="123"/>
    </row>
    <row r="9755" spans="5:5" ht="16.5">
      <c r="E9755" s="123"/>
    </row>
    <row r="9756" spans="5:5" ht="16.5">
      <c r="E9756" s="123"/>
    </row>
    <row r="9757" spans="5:5" ht="16.5">
      <c r="E9757" s="123"/>
    </row>
    <row r="9758" spans="5:5" ht="16.5">
      <c r="E9758" s="123"/>
    </row>
    <row r="9759" spans="5:5" ht="16.5">
      <c r="E9759" s="123"/>
    </row>
    <row r="9760" spans="5:5" ht="16.5">
      <c r="E9760" s="123"/>
    </row>
    <row r="9761" spans="5:5" ht="16.5">
      <c r="E9761" s="123"/>
    </row>
    <row r="9762" spans="5:5" ht="16.5">
      <c r="E9762" s="123"/>
    </row>
    <row r="9763" spans="5:5" ht="16.5">
      <c r="E9763" s="123"/>
    </row>
    <row r="9764" spans="5:5" ht="16.5">
      <c r="E9764" s="123"/>
    </row>
    <row r="9765" spans="5:5" ht="16.5">
      <c r="E9765" s="123"/>
    </row>
    <row r="9766" spans="5:5" ht="16.5">
      <c r="E9766" s="123"/>
    </row>
    <row r="9767" spans="5:5" ht="16.5">
      <c r="E9767" s="123"/>
    </row>
    <row r="9768" spans="5:5" ht="16.5">
      <c r="E9768" s="123"/>
    </row>
    <row r="9769" spans="5:5" ht="16.5">
      <c r="E9769" s="123"/>
    </row>
    <row r="9770" spans="5:5" ht="16.5">
      <c r="E9770" s="123"/>
    </row>
    <row r="9771" spans="5:5" ht="16.5">
      <c r="E9771" s="123"/>
    </row>
    <row r="9772" spans="5:5" ht="16.5">
      <c r="E9772" s="123"/>
    </row>
    <row r="9773" spans="5:5" ht="16.5">
      <c r="E9773" s="123"/>
    </row>
    <row r="9774" spans="5:5" ht="16.5">
      <c r="E9774" s="123"/>
    </row>
    <row r="9775" spans="5:5" ht="16.5">
      <c r="E9775" s="123"/>
    </row>
    <row r="9776" spans="5:5" ht="16.5">
      <c r="E9776" s="123"/>
    </row>
    <row r="9777" spans="5:5" ht="16.5">
      <c r="E9777" s="123"/>
    </row>
    <row r="9778" spans="5:5" ht="16.5">
      <c r="E9778" s="123"/>
    </row>
    <row r="9779" spans="5:5" ht="16.5">
      <c r="E9779" s="123"/>
    </row>
    <row r="9780" spans="5:5" ht="16.5">
      <c r="E9780" s="123"/>
    </row>
    <row r="9781" spans="5:5" ht="16.5">
      <c r="E9781" s="123"/>
    </row>
    <row r="9782" spans="5:5" ht="16.5">
      <c r="E9782" s="123"/>
    </row>
    <row r="9783" spans="5:5" ht="16.5">
      <c r="E9783" s="123"/>
    </row>
    <row r="9784" spans="5:5" ht="16.5">
      <c r="E9784" s="123"/>
    </row>
    <row r="9785" spans="5:5" ht="16.5">
      <c r="E9785" s="123"/>
    </row>
    <row r="9786" spans="5:5" ht="16.5">
      <c r="E9786" s="123"/>
    </row>
    <row r="9787" spans="5:5" ht="16.5">
      <c r="E9787" s="123"/>
    </row>
    <row r="9788" spans="5:5" ht="16.5">
      <c r="E9788" s="123"/>
    </row>
    <row r="9789" spans="5:5" ht="16.5">
      <c r="E9789" s="123"/>
    </row>
    <row r="9790" spans="5:5" ht="16.5">
      <c r="E9790" s="123"/>
    </row>
    <row r="9791" spans="5:5" ht="16.5">
      <c r="E9791" s="123"/>
    </row>
    <row r="9792" spans="5:5" ht="16.5">
      <c r="E9792" s="123"/>
    </row>
    <row r="9793" spans="5:5" ht="16.5">
      <c r="E9793" s="123"/>
    </row>
    <row r="9794" spans="5:5" ht="16.5">
      <c r="E9794" s="123"/>
    </row>
    <row r="9795" spans="5:5" ht="16.5">
      <c r="E9795" s="123"/>
    </row>
    <row r="9796" spans="5:5" ht="16.5">
      <c r="E9796" s="123"/>
    </row>
    <row r="9797" spans="5:5" ht="16.5">
      <c r="E9797" s="123"/>
    </row>
    <row r="9798" spans="5:5" ht="16.5">
      <c r="E9798" s="123"/>
    </row>
    <row r="9799" spans="5:5" ht="16.5">
      <c r="E9799" s="123"/>
    </row>
    <row r="9800" spans="5:5" ht="16.5">
      <c r="E9800" s="123"/>
    </row>
    <row r="9801" spans="5:5" ht="16.5">
      <c r="E9801" s="123"/>
    </row>
    <row r="9802" spans="5:5" ht="16.5">
      <c r="E9802" s="123"/>
    </row>
    <row r="9803" spans="5:5" ht="16.5">
      <c r="E9803" s="123"/>
    </row>
    <row r="9804" spans="5:5" ht="16.5">
      <c r="E9804" s="123"/>
    </row>
    <row r="9805" spans="5:5" ht="16.5">
      <c r="E9805" s="123"/>
    </row>
    <row r="9806" spans="5:5" ht="16.5">
      <c r="E9806" s="123"/>
    </row>
    <row r="9807" spans="5:5" ht="16.5">
      <c r="E9807" s="123"/>
    </row>
    <row r="9808" spans="5:5" ht="16.5">
      <c r="E9808" s="123"/>
    </row>
    <row r="9809" spans="5:5" ht="16.5">
      <c r="E9809" s="123"/>
    </row>
    <row r="9810" spans="5:5" ht="16.5">
      <c r="E9810" s="123"/>
    </row>
    <row r="9811" spans="5:5" ht="16.5">
      <c r="E9811" s="123"/>
    </row>
    <row r="9812" spans="5:5" ht="16.5">
      <c r="E9812" s="123"/>
    </row>
    <row r="9813" spans="5:5" ht="16.5">
      <c r="E9813" s="123"/>
    </row>
    <row r="9814" spans="5:5" ht="16.5">
      <c r="E9814" s="123"/>
    </row>
    <row r="9815" spans="5:5" ht="16.5">
      <c r="E9815" s="123"/>
    </row>
    <row r="9816" spans="5:5" ht="16.5">
      <c r="E9816" s="123"/>
    </row>
    <row r="9817" spans="5:5" ht="16.5">
      <c r="E9817" s="123"/>
    </row>
    <row r="9818" spans="5:5" ht="16.5">
      <c r="E9818" s="123"/>
    </row>
    <row r="9819" spans="5:5" ht="16.5">
      <c r="E9819" s="123"/>
    </row>
    <row r="9820" spans="5:5" ht="16.5">
      <c r="E9820" s="123"/>
    </row>
    <row r="9821" spans="5:5" ht="16.5">
      <c r="E9821" s="123"/>
    </row>
    <row r="9822" spans="5:5" ht="16.5">
      <c r="E9822" s="123"/>
    </row>
    <row r="9823" spans="5:5" ht="16.5">
      <c r="E9823" s="123"/>
    </row>
    <row r="9824" spans="5:5" ht="16.5">
      <c r="E9824" s="123"/>
    </row>
    <row r="9825" spans="5:5" ht="16.5">
      <c r="E9825" s="123"/>
    </row>
    <row r="9826" spans="5:5" ht="16.5">
      <c r="E9826" s="123"/>
    </row>
    <row r="9827" spans="5:5" ht="16.5">
      <c r="E9827" s="123"/>
    </row>
    <row r="9828" spans="5:5" ht="16.5">
      <c r="E9828" s="123"/>
    </row>
    <row r="9829" spans="5:5" ht="16.5">
      <c r="E9829" s="123"/>
    </row>
    <row r="9830" spans="5:5" ht="16.5">
      <c r="E9830" s="123"/>
    </row>
    <row r="9831" spans="5:5" ht="16.5">
      <c r="E9831" s="123"/>
    </row>
    <row r="9832" spans="5:5" ht="16.5">
      <c r="E9832" s="123"/>
    </row>
    <row r="9833" spans="5:5" ht="16.5">
      <c r="E9833" s="123"/>
    </row>
    <row r="9834" spans="5:5" ht="16.5">
      <c r="E9834" s="123"/>
    </row>
    <row r="9835" spans="5:5" ht="16.5">
      <c r="E9835" s="123"/>
    </row>
    <row r="9836" spans="5:5" ht="16.5">
      <c r="E9836" s="123"/>
    </row>
    <row r="9837" spans="5:5" ht="16.5">
      <c r="E9837" s="123"/>
    </row>
    <row r="9838" spans="5:5" ht="16.5">
      <c r="E9838" s="123"/>
    </row>
    <row r="9839" spans="5:5" ht="16.5">
      <c r="E9839" s="123"/>
    </row>
    <row r="9840" spans="5:5" ht="16.5">
      <c r="E9840" s="123"/>
    </row>
    <row r="9841" spans="5:5" ht="16.5">
      <c r="E9841" s="123"/>
    </row>
    <row r="9842" spans="5:5" ht="16.5">
      <c r="E9842" s="123"/>
    </row>
    <row r="9843" spans="5:5" ht="16.5">
      <c r="E9843" s="123"/>
    </row>
    <row r="9844" spans="5:5" ht="16.5">
      <c r="E9844" s="123"/>
    </row>
    <row r="9845" spans="5:5" ht="16.5">
      <c r="E9845" s="123"/>
    </row>
    <row r="9846" spans="5:5" ht="16.5">
      <c r="E9846" s="123"/>
    </row>
    <row r="9847" spans="5:5" ht="16.5">
      <c r="E9847" s="123"/>
    </row>
    <row r="9848" spans="5:5" ht="16.5">
      <c r="E9848" s="123"/>
    </row>
    <row r="9849" spans="5:5" ht="16.5">
      <c r="E9849" s="123"/>
    </row>
    <row r="9850" spans="5:5" ht="16.5">
      <c r="E9850" s="123"/>
    </row>
    <row r="9851" spans="5:5" ht="16.5">
      <c r="E9851" s="123"/>
    </row>
    <row r="9852" spans="5:5" ht="16.5">
      <c r="E9852" s="123"/>
    </row>
    <row r="9853" spans="5:5" ht="16.5">
      <c r="E9853" s="123"/>
    </row>
    <row r="9854" spans="5:5" ht="16.5">
      <c r="E9854" s="123"/>
    </row>
    <row r="9855" spans="5:5" ht="16.5">
      <c r="E9855" s="123"/>
    </row>
    <row r="9856" spans="5:5" ht="16.5">
      <c r="E9856" s="123"/>
    </row>
    <row r="9857" spans="5:5" ht="16.5">
      <c r="E9857" s="123"/>
    </row>
    <row r="9858" spans="5:5" ht="16.5">
      <c r="E9858" s="123"/>
    </row>
    <row r="9859" spans="5:5" ht="16.5">
      <c r="E9859" s="123"/>
    </row>
    <row r="9860" spans="5:5" ht="16.5">
      <c r="E9860" s="123"/>
    </row>
    <row r="9861" spans="5:5" ht="16.5">
      <c r="E9861" s="123"/>
    </row>
    <row r="9862" spans="5:5" ht="16.5">
      <c r="E9862" s="123"/>
    </row>
    <row r="9863" spans="5:5" ht="16.5">
      <c r="E9863" s="123"/>
    </row>
    <row r="9864" spans="5:5" ht="16.5">
      <c r="E9864" s="123"/>
    </row>
    <row r="9865" spans="5:5" ht="16.5">
      <c r="E9865" s="123"/>
    </row>
    <row r="9866" spans="5:5" ht="16.5">
      <c r="E9866" s="123"/>
    </row>
    <row r="9867" spans="5:5" ht="16.5">
      <c r="E9867" s="123"/>
    </row>
    <row r="9868" spans="5:5" ht="16.5">
      <c r="E9868" s="123"/>
    </row>
    <row r="9869" spans="5:5" ht="16.5">
      <c r="E9869" s="123"/>
    </row>
    <row r="9870" spans="5:5" ht="16.5">
      <c r="E9870" s="123"/>
    </row>
    <row r="9871" spans="5:5" ht="16.5">
      <c r="E9871" s="123"/>
    </row>
    <row r="9872" spans="5:5" ht="16.5">
      <c r="E9872" s="123"/>
    </row>
    <row r="9873" spans="5:5" ht="16.5">
      <c r="E9873" s="123"/>
    </row>
    <row r="9874" spans="5:5" ht="16.5">
      <c r="E9874" s="123"/>
    </row>
    <row r="9875" spans="5:5" ht="16.5">
      <c r="E9875" s="123"/>
    </row>
    <row r="9876" spans="5:5" ht="16.5">
      <c r="E9876" s="123"/>
    </row>
    <row r="9877" spans="5:5" ht="16.5">
      <c r="E9877" s="123"/>
    </row>
    <row r="9878" spans="5:5" ht="16.5">
      <c r="E9878" s="123"/>
    </row>
    <row r="9879" spans="5:5" ht="16.5">
      <c r="E9879" s="123"/>
    </row>
    <row r="9880" spans="5:5" ht="16.5">
      <c r="E9880" s="123"/>
    </row>
    <row r="9881" spans="5:5" ht="16.5">
      <c r="E9881" s="123"/>
    </row>
    <row r="9882" spans="5:5" ht="16.5">
      <c r="E9882" s="123"/>
    </row>
    <row r="9883" spans="5:5" ht="16.5">
      <c r="E9883" s="123"/>
    </row>
    <row r="9884" spans="5:5" ht="16.5">
      <c r="E9884" s="123"/>
    </row>
    <row r="9885" spans="5:5" ht="16.5">
      <c r="E9885" s="123"/>
    </row>
    <row r="9886" spans="5:5" ht="16.5">
      <c r="E9886" s="123"/>
    </row>
    <row r="9887" spans="5:5" ht="16.5">
      <c r="E9887" s="123"/>
    </row>
    <row r="9888" spans="5:5" ht="16.5">
      <c r="E9888" s="123"/>
    </row>
    <row r="9889" spans="5:5" ht="16.5">
      <c r="E9889" s="123"/>
    </row>
    <row r="9890" spans="5:5" ht="16.5">
      <c r="E9890" s="123"/>
    </row>
    <row r="9891" spans="5:5" ht="16.5">
      <c r="E9891" s="123"/>
    </row>
    <row r="9892" spans="5:5" ht="16.5">
      <c r="E9892" s="123"/>
    </row>
    <row r="9893" spans="5:5" ht="16.5">
      <c r="E9893" s="123"/>
    </row>
    <row r="9894" spans="5:5" ht="16.5">
      <c r="E9894" s="123"/>
    </row>
    <row r="9895" spans="5:5" ht="16.5">
      <c r="E9895" s="123"/>
    </row>
    <row r="9896" spans="5:5" ht="16.5">
      <c r="E9896" s="123"/>
    </row>
    <row r="9897" spans="5:5" ht="16.5">
      <c r="E9897" s="123"/>
    </row>
    <row r="9898" spans="5:5" ht="16.5">
      <c r="E9898" s="123"/>
    </row>
    <row r="9899" spans="5:5" ht="16.5">
      <c r="E9899" s="123"/>
    </row>
    <row r="9900" spans="5:5" ht="16.5">
      <c r="E9900" s="123"/>
    </row>
    <row r="9901" spans="5:5" ht="16.5">
      <c r="E9901" s="123"/>
    </row>
    <row r="9902" spans="5:5" ht="16.5">
      <c r="E9902" s="123"/>
    </row>
    <row r="9903" spans="5:5" ht="16.5">
      <c r="E9903" s="123"/>
    </row>
    <row r="9904" spans="5:5" ht="16.5">
      <c r="E9904" s="123"/>
    </row>
    <row r="9905" spans="5:5" ht="16.5">
      <c r="E9905" s="123"/>
    </row>
    <row r="9906" spans="5:5" ht="16.5">
      <c r="E9906" s="123"/>
    </row>
    <row r="9907" spans="5:5" ht="16.5">
      <c r="E9907" s="123"/>
    </row>
    <row r="9908" spans="5:5" ht="16.5">
      <c r="E9908" s="123"/>
    </row>
    <row r="9909" spans="5:5" ht="16.5">
      <c r="E9909" s="123"/>
    </row>
    <row r="9910" spans="5:5" ht="16.5">
      <c r="E9910" s="123"/>
    </row>
    <row r="9911" spans="5:5" ht="16.5">
      <c r="E9911" s="123"/>
    </row>
    <row r="9912" spans="5:5" ht="16.5">
      <c r="E9912" s="123"/>
    </row>
    <row r="9913" spans="5:5" ht="16.5">
      <c r="E9913" s="123"/>
    </row>
    <row r="9914" spans="5:5" ht="16.5">
      <c r="E9914" s="123"/>
    </row>
    <row r="9915" spans="5:5" ht="16.5">
      <c r="E9915" s="123"/>
    </row>
    <row r="9916" spans="5:5" ht="16.5">
      <c r="E9916" s="123"/>
    </row>
    <row r="9917" spans="5:5" ht="16.5">
      <c r="E9917" s="123"/>
    </row>
    <row r="9918" spans="5:5" ht="16.5">
      <c r="E9918" s="123"/>
    </row>
    <row r="9919" spans="5:5" ht="16.5">
      <c r="E9919" s="123"/>
    </row>
    <row r="9920" spans="5:5" ht="16.5">
      <c r="E9920" s="123"/>
    </row>
    <row r="9921" spans="5:5" ht="16.5">
      <c r="E9921" s="123"/>
    </row>
    <row r="9922" spans="5:5" ht="16.5">
      <c r="E9922" s="123"/>
    </row>
    <row r="9923" spans="5:5" ht="16.5">
      <c r="E9923" s="123"/>
    </row>
    <row r="9924" spans="5:5" ht="16.5">
      <c r="E9924" s="123"/>
    </row>
    <row r="9925" spans="5:5" ht="16.5">
      <c r="E9925" s="123"/>
    </row>
    <row r="9926" spans="5:5" ht="16.5">
      <c r="E9926" s="123"/>
    </row>
    <row r="9927" spans="5:5" ht="16.5">
      <c r="E9927" s="123"/>
    </row>
    <row r="9928" spans="5:5" ht="16.5">
      <c r="E9928" s="123"/>
    </row>
    <row r="9929" spans="5:5" ht="16.5">
      <c r="E9929" s="123"/>
    </row>
    <row r="9930" spans="5:5" ht="16.5">
      <c r="E9930" s="123"/>
    </row>
    <row r="9931" spans="5:5" ht="16.5">
      <c r="E9931" s="123"/>
    </row>
    <row r="9932" spans="5:5" ht="16.5">
      <c r="E9932" s="123"/>
    </row>
    <row r="9933" spans="5:5" ht="16.5">
      <c r="E9933" s="123"/>
    </row>
    <row r="9934" spans="5:5" ht="16.5">
      <c r="E9934" s="123"/>
    </row>
    <row r="9935" spans="5:5" ht="16.5">
      <c r="E9935" s="123"/>
    </row>
    <row r="9936" spans="5:5" ht="16.5">
      <c r="E9936" s="123"/>
    </row>
    <row r="9937" spans="5:5" ht="16.5">
      <c r="E9937" s="123"/>
    </row>
    <row r="9938" spans="5:5" ht="16.5">
      <c r="E9938" s="123"/>
    </row>
    <row r="9939" spans="5:5" ht="16.5">
      <c r="E9939" s="123"/>
    </row>
    <row r="9940" spans="5:5" ht="16.5">
      <c r="E9940" s="123"/>
    </row>
    <row r="9941" spans="5:5" ht="16.5">
      <c r="E9941" s="123"/>
    </row>
    <row r="9942" spans="5:5" ht="16.5">
      <c r="E9942" s="123"/>
    </row>
    <row r="9943" spans="5:5" ht="16.5">
      <c r="E9943" s="123"/>
    </row>
    <row r="9944" spans="5:5" ht="16.5">
      <c r="E9944" s="123"/>
    </row>
    <row r="9945" spans="5:5" ht="16.5">
      <c r="E9945" s="123"/>
    </row>
    <row r="9946" spans="5:5" ht="16.5">
      <c r="E9946" s="123"/>
    </row>
    <row r="9947" spans="5:5" ht="16.5">
      <c r="E9947" s="123"/>
    </row>
    <row r="9948" spans="5:5" ht="16.5">
      <c r="E9948" s="123"/>
    </row>
    <row r="9949" spans="5:5" ht="16.5">
      <c r="E9949" s="123"/>
    </row>
    <row r="9950" spans="5:5" ht="16.5">
      <c r="E9950" s="123"/>
    </row>
    <row r="9951" spans="5:5" ht="16.5">
      <c r="E9951" s="123"/>
    </row>
    <row r="9952" spans="5:5" ht="16.5">
      <c r="E9952" s="123"/>
    </row>
    <row r="9953" spans="5:5" ht="16.5">
      <c r="E9953" s="123"/>
    </row>
    <row r="9954" spans="5:5" ht="16.5">
      <c r="E9954" s="123"/>
    </row>
    <row r="9955" spans="5:5" ht="16.5">
      <c r="E9955" s="123"/>
    </row>
    <row r="9956" spans="5:5" ht="16.5">
      <c r="E9956" s="123"/>
    </row>
    <row r="9957" spans="5:5" ht="16.5">
      <c r="E9957" s="123"/>
    </row>
    <row r="9958" spans="5:5" ht="16.5">
      <c r="E9958" s="123"/>
    </row>
    <row r="9959" spans="5:5" ht="16.5">
      <c r="E9959" s="123"/>
    </row>
    <row r="9960" spans="5:5" ht="16.5">
      <c r="E9960" s="123"/>
    </row>
    <row r="9961" spans="5:5" ht="16.5">
      <c r="E9961" s="123"/>
    </row>
    <row r="9962" spans="5:5" ht="16.5">
      <c r="E9962" s="123"/>
    </row>
    <row r="9963" spans="5:5" ht="16.5">
      <c r="E9963" s="123"/>
    </row>
    <row r="9964" spans="5:5" ht="16.5">
      <c r="E9964" s="123"/>
    </row>
    <row r="9965" spans="5:5" ht="16.5">
      <c r="E9965" s="123"/>
    </row>
    <row r="9966" spans="5:5" ht="16.5">
      <c r="E9966" s="123"/>
    </row>
    <row r="9967" spans="5:5" ht="16.5">
      <c r="E9967" s="123"/>
    </row>
    <row r="9968" spans="5:5" ht="16.5">
      <c r="E9968" s="123"/>
    </row>
    <row r="9969" spans="5:5" ht="16.5">
      <c r="E9969" s="123"/>
    </row>
    <row r="9970" spans="5:5" ht="16.5">
      <c r="E9970" s="123"/>
    </row>
    <row r="9971" spans="5:5" ht="16.5">
      <c r="E9971" s="123"/>
    </row>
    <row r="9972" spans="5:5" ht="16.5">
      <c r="E9972" s="123"/>
    </row>
    <row r="9973" spans="5:5" ht="16.5">
      <c r="E9973" s="123"/>
    </row>
    <row r="9974" spans="5:5" ht="16.5">
      <c r="E9974" s="123"/>
    </row>
    <row r="9975" spans="5:5" ht="16.5">
      <c r="E9975" s="123"/>
    </row>
    <row r="9976" spans="5:5" ht="16.5">
      <c r="E9976" s="123"/>
    </row>
    <row r="9977" spans="5:5" ht="16.5">
      <c r="E9977" s="123"/>
    </row>
    <row r="9978" spans="5:5" ht="16.5">
      <c r="E9978" s="123"/>
    </row>
    <row r="9979" spans="5:5" ht="16.5">
      <c r="E9979" s="123"/>
    </row>
    <row r="9980" spans="5:5" ht="16.5">
      <c r="E9980" s="123"/>
    </row>
    <row r="9981" spans="5:5" ht="16.5">
      <c r="E9981" s="123"/>
    </row>
    <row r="9982" spans="5:5" ht="16.5">
      <c r="E9982" s="123"/>
    </row>
    <row r="9983" spans="5:5" ht="16.5">
      <c r="E9983" s="123"/>
    </row>
    <row r="9984" spans="5:5" ht="16.5">
      <c r="E9984" s="123"/>
    </row>
    <row r="9985" spans="5:5" ht="16.5">
      <c r="E9985" s="123"/>
    </row>
    <row r="9986" spans="5:5" ht="16.5">
      <c r="E9986" s="123"/>
    </row>
    <row r="9987" spans="5:5" ht="16.5">
      <c r="E9987" s="123"/>
    </row>
    <row r="9988" spans="5:5" ht="16.5">
      <c r="E9988" s="123"/>
    </row>
    <row r="9989" spans="5:5" ht="16.5">
      <c r="E9989" s="123"/>
    </row>
    <row r="9990" spans="5:5" ht="16.5">
      <c r="E9990" s="123"/>
    </row>
    <row r="9991" spans="5:5" ht="16.5">
      <c r="E9991" s="123"/>
    </row>
    <row r="9992" spans="5:5" ht="16.5">
      <c r="E9992" s="123"/>
    </row>
    <row r="9993" spans="5:5" ht="16.5">
      <c r="E9993" s="123"/>
    </row>
    <row r="9994" spans="5:5" ht="16.5">
      <c r="E9994" s="123"/>
    </row>
    <row r="9995" spans="5:5" ht="16.5">
      <c r="E9995" s="123"/>
    </row>
    <row r="9996" spans="5:5" ht="16.5">
      <c r="E9996" s="123"/>
    </row>
    <row r="9997" spans="5:5" ht="16.5">
      <c r="E9997" s="123"/>
    </row>
    <row r="9998" spans="5:5" ht="16.5">
      <c r="E9998" s="123"/>
    </row>
    <row r="9999" spans="5:5" ht="16.5">
      <c r="E9999" s="123"/>
    </row>
    <row r="10000" spans="5:5" ht="16.5">
      <c r="E10000" s="123"/>
    </row>
    <row r="10001" spans="5:5" ht="16.5">
      <c r="E10001" s="123"/>
    </row>
    <row r="10002" spans="5:5" ht="16.5">
      <c r="E10002" s="123"/>
    </row>
    <row r="10003" spans="5:5" ht="16.5">
      <c r="E10003" s="123"/>
    </row>
    <row r="10004" spans="5:5" ht="16.5">
      <c r="E10004" s="123"/>
    </row>
    <row r="10005" spans="5:5" ht="16.5">
      <c r="E10005" s="123"/>
    </row>
    <row r="10006" spans="5:5" ht="16.5">
      <c r="E10006" s="123"/>
    </row>
    <row r="10007" spans="5:5" ht="16.5">
      <c r="E10007" s="123"/>
    </row>
    <row r="10008" spans="5:5" ht="16.5">
      <c r="E10008" s="123"/>
    </row>
    <row r="10009" spans="5:5" ht="16.5">
      <c r="E10009" s="123"/>
    </row>
    <row r="10010" spans="5:5" ht="16.5">
      <c r="E10010" s="123"/>
    </row>
    <row r="10011" spans="5:5" ht="16.5">
      <c r="E10011" s="123"/>
    </row>
    <row r="10012" spans="5:5" ht="16.5">
      <c r="E10012" s="123"/>
    </row>
    <row r="10013" spans="5:5" ht="16.5">
      <c r="E10013" s="123"/>
    </row>
    <row r="10014" spans="5:5" ht="16.5">
      <c r="E10014" s="123"/>
    </row>
    <row r="10015" spans="5:5" ht="16.5">
      <c r="E10015" s="123"/>
    </row>
    <row r="10016" spans="5:5" ht="16.5">
      <c r="E10016" s="123"/>
    </row>
    <row r="10017" spans="5:5" ht="16.5">
      <c r="E10017" s="123"/>
    </row>
    <row r="10018" spans="5:5" ht="16.5">
      <c r="E10018" s="123"/>
    </row>
    <row r="10019" spans="5:5" ht="16.5">
      <c r="E10019" s="123"/>
    </row>
    <row r="10020" spans="5:5" ht="16.5">
      <c r="E10020" s="123"/>
    </row>
    <row r="10021" spans="5:5" ht="16.5">
      <c r="E10021" s="123"/>
    </row>
    <row r="10022" spans="5:5" ht="16.5">
      <c r="E10022" s="123"/>
    </row>
    <row r="10023" spans="5:5" ht="16.5">
      <c r="E10023" s="123"/>
    </row>
    <row r="10024" spans="5:5" ht="16.5">
      <c r="E10024" s="123"/>
    </row>
    <row r="10025" spans="5:5" ht="16.5">
      <c r="E10025" s="123"/>
    </row>
    <row r="10026" spans="5:5" ht="16.5">
      <c r="E10026" s="123"/>
    </row>
    <row r="10027" spans="5:5" ht="16.5">
      <c r="E10027" s="123"/>
    </row>
    <row r="10028" spans="5:5" ht="16.5">
      <c r="E10028" s="123"/>
    </row>
    <row r="10029" spans="5:5" ht="16.5">
      <c r="E10029" s="123"/>
    </row>
    <row r="10030" spans="5:5" ht="16.5">
      <c r="E10030" s="123"/>
    </row>
    <row r="10031" spans="5:5" ht="16.5">
      <c r="E10031" s="123"/>
    </row>
    <row r="10032" spans="5:5" ht="16.5">
      <c r="E10032" s="123"/>
    </row>
    <row r="10033" spans="5:5" ht="16.5">
      <c r="E10033" s="123"/>
    </row>
    <row r="10034" spans="5:5" ht="16.5">
      <c r="E10034" s="123"/>
    </row>
    <row r="10035" spans="5:5" ht="16.5">
      <c r="E10035" s="123"/>
    </row>
    <row r="10036" spans="5:5" ht="16.5">
      <c r="E10036" s="123"/>
    </row>
    <row r="10037" spans="5:5" ht="16.5">
      <c r="E10037" s="123"/>
    </row>
    <row r="10038" spans="5:5" ht="16.5">
      <c r="E10038" s="123"/>
    </row>
    <row r="10039" spans="5:5" ht="16.5">
      <c r="E10039" s="123"/>
    </row>
    <row r="10040" spans="5:5" ht="16.5">
      <c r="E10040" s="123"/>
    </row>
    <row r="10041" spans="5:5" ht="16.5">
      <c r="E10041" s="123"/>
    </row>
    <row r="10042" spans="5:5" ht="16.5">
      <c r="E10042" s="123"/>
    </row>
    <row r="10043" spans="5:5" ht="16.5">
      <c r="E10043" s="123"/>
    </row>
    <row r="10044" spans="5:5" ht="16.5">
      <c r="E10044" s="123"/>
    </row>
    <row r="10045" spans="5:5" ht="16.5">
      <c r="E10045" s="123"/>
    </row>
    <row r="10046" spans="5:5" ht="16.5">
      <c r="E10046" s="123"/>
    </row>
    <row r="10047" spans="5:5" ht="16.5">
      <c r="E10047" s="123"/>
    </row>
    <row r="10048" spans="5:5" ht="16.5">
      <c r="E10048" s="123"/>
    </row>
    <row r="10049" spans="5:5" ht="16.5">
      <c r="E10049" s="123"/>
    </row>
    <row r="10050" spans="5:5" ht="16.5">
      <c r="E10050" s="123"/>
    </row>
    <row r="10051" spans="5:5" ht="16.5">
      <c r="E10051" s="123"/>
    </row>
    <row r="10052" spans="5:5" ht="16.5">
      <c r="E10052" s="123"/>
    </row>
    <row r="10053" spans="5:5" ht="16.5">
      <c r="E10053" s="123"/>
    </row>
    <row r="10054" spans="5:5" ht="16.5">
      <c r="E10054" s="123"/>
    </row>
    <row r="10055" spans="5:5" ht="16.5">
      <c r="E10055" s="123"/>
    </row>
    <row r="10056" spans="5:5" ht="16.5">
      <c r="E10056" s="123"/>
    </row>
    <row r="10057" spans="5:5" ht="16.5">
      <c r="E10057" s="123"/>
    </row>
    <row r="10058" spans="5:5" ht="16.5">
      <c r="E10058" s="123"/>
    </row>
    <row r="10059" spans="5:5" ht="16.5">
      <c r="E10059" s="123"/>
    </row>
    <row r="10060" spans="5:5" ht="16.5">
      <c r="E10060" s="123"/>
    </row>
    <row r="10061" spans="5:5" ht="16.5">
      <c r="E10061" s="123"/>
    </row>
    <row r="10062" spans="5:5" ht="16.5">
      <c r="E10062" s="123"/>
    </row>
    <row r="10063" spans="5:5" ht="16.5">
      <c r="E10063" s="123"/>
    </row>
    <row r="10064" spans="5:5" ht="16.5">
      <c r="E10064" s="123"/>
    </row>
    <row r="10065" spans="5:5" ht="16.5">
      <c r="E10065" s="123"/>
    </row>
    <row r="10066" spans="5:5" ht="16.5">
      <c r="E10066" s="123"/>
    </row>
    <row r="10067" spans="5:5" ht="16.5">
      <c r="E10067" s="123"/>
    </row>
    <row r="10068" spans="5:5" ht="16.5">
      <c r="E10068" s="123"/>
    </row>
    <row r="10069" spans="5:5" ht="16.5">
      <c r="E10069" s="123"/>
    </row>
    <row r="10070" spans="5:5" ht="16.5">
      <c r="E10070" s="123"/>
    </row>
    <row r="10071" spans="5:5" ht="16.5">
      <c r="E10071" s="123"/>
    </row>
    <row r="10072" spans="5:5" ht="16.5">
      <c r="E10072" s="123"/>
    </row>
    <row r="10073" spans="5:5" ht="16.5">
      <c r="E10073" s="123"/>
    </row>
    <row r="10074" spans="5:5" ht="16.5">
      <c r="E10074" s="123"/>
    </row>
    <row r="10075" spans="5:5" ht="16.5">
      <c r="E10075" s="123"/>
    </row>
    <row r="10076" spans="5:5" ht="16.5">
      <c r="E10076" s="123"/>
    </row>
    <row r="10077" spans="5:5" ht="16.5">
      <c r="E10077" s="123"/>
    </row>
    <row r="10078" spans="5:5" ht="16.5">
      <c r="E10078" s="123"/>
    </row>
    <row r="10079" spans="5:5" ht="16.5">
      <c r="E10079" s="123"/>
    </row>
    <row r="10080" spans="5:5" ht="16.5">
      <c r="E10080" s="123"/>
    </row>
    <row r="10081" spans="5:5" ht="16.5">
      <c r="E10081" s="123"/>
    </row>
    <row r="10082" spans="5:5" ht="16.5">
      <c r="E10082" s="123"/>
    </row>
    <row r="10083" spans="5:5" ht="16.5">
      <c r="E10083" s="123"/>
    </row>
    <row r="10084" spans="5:5" ht="16.5">
      <c r="E10084" s="123"/>
    </row>
    <row r="10085" spans="5:5" ht="16.5">
      <c r="E10085" s="123"/>
    </row>
    <row r="10086" spans="5:5" ht="16.5">
      <c r="E10086" s="123"/>
    </row>
    <row r="10087" spans="5:5" ht="16.5">
      <c r="E10087" s="123"/>
    </row>
    <row r="10088" spans="5:5" ht="16.5">
      <c r="E10088" s="123"/>
    </row>
    <row r="10089" spans="5:5" ht="16.5">
      <c r="E10089" s="123"/>
    </row>
    <row r="10090" spans="5:5" ht="16.5">
      <c r="E10090" s="123"/>
    </row>
    <row r="10091" spans="5:5" ht="16.5">
      <c r="E10091" s="123"/>
    </row>
    <row r="10092" spans="5:5" ht="16.5">
      <c r="E10092" s="123"/>
    </row>
    <row r="10093" spans="5:5" ht="16.5">
      <c r="E10093" s="123"/>
    </row>
    <row r="10094" spans="5:5" ht="16.5">
      <c r="E10094" s="123"/>
    </row>
    <row r="10095" spans="5:5" ht="16.5">
      <c r="E10095" s="123"/>
    </row>
    <row r="10096" spans="5:5" ht="16.5">
      <c r="E10096" s="123"/>
    </row>
    <row r="10097" spans="5:5" ht="16.5">
      <c r="E10097" s="123"/>
    </row>
    <row r="10098" spans="5:5" ht="16.5">
      <c r="E10098" s="123"/>
    </row>
    <row r="10099" spans="5:5" ht="16.5">
      <c r="E10099" s="123"/>
    </row>
    <row r="10100" spans="5:5" ht="16.5">
      <c r="E10100" s="123"/>
    </row>
    <row r="10101" spans="5:5" ht="16.5">
      <c r="E10101" s="123"/>
    </row>
    <row r="10102" spans="5:5" ht="16.5">
      <c r="E10102" s="123"/>
    </row>
    <row r="10103" spans="5:5" ht="16.5">
      <c r="E10103" s="123"/>
    </row>
    <row r="10104" spans="5:5" ht="16.5">
      <c r="E10104" s="123"/>
    </row>
    <row r="10105" spans="5:5" ht="16.5">
      <c r="E10105" s="123"/>
    </row>
    <row r="10106" spans="5:5" ht="16.5">
      <c r="E10106" s="123"/>
    </row>
    <row r="10107" spans="5:5" ht="16.5">
      <c r="E10107" s="123"/>
    </row>
    <row r="10108" spans="5:5" ht="16.5">
      <c r="E10108" s="123"/>
    </row>
    <row r="10109" spans="5:5" ht="16.5">
      <c r="E10109" s="123"/>
    </row>
    <row r="10110" spans="5:5" ht="16.5">
      <c r="E10110" s="123"/>
    </row>
    <row r="10111" spans="5:5" ht="16.5">
      <c r="E10111" s="123"/>
    </row>
    <row r="10112" spans="5:5" ht="16.5">
      <c r="E10112" s="123"/>
    </row>
    <row r="10113" spans="5:5" ht="16.5">
      <c r="E10113" s="123"/>
    </row>
    <row r="10114" spans="5:5" ht="16.5">
      <c r="E10114" s="123"/>
    </row>
    <row r="10115" spans="5:5" ht="16.5">
      <c r="E10115" s="123"/>
    </row>
    <row r="10116" spans="5:5" ht="16.5">
      <c r="E10116" s="123"/>
    </row>
    <row r="10117" spans="5:5" ht="16.5">
      <c r="E10117" s="123"/>
    </row>
    <row r="10118" spans="5:5" ht="16.5">
      <c r="E10118" s="123"/>
    </row>
    <row r="10119" spans="5:5" ht="16.5">
      <c r="E10119" s="123"/>
    </row>
    <row r="10120" spans="5:5" ht="16.5">
      <c r="E10120" s="123"/>
    </row>
    <row r="10121" spans="5:5" ht="16.5">
      <c r="E10121" s="123"/>
    </row>
    <row r="10122" spans="5:5" ht="16.5">
      <c r="E10122" s="123"/>
    </row>
    <row r="10123" spans="5:5" ht="16.5">
      <c r="E10123" s="123"/>
    </row>
    <row r="10124" spans="5:5" ht="16.5">
      <c r="E10124" s="123"/>
    </row>
    <row r="10125" spans="5:5" ht="16.5">
      <c r="E10125" s="123"/>
    </row>
    <row r="10126" spans="5:5" ht="16.5">
      <c r="E10126" s="123"/>
    </row>
    <row r="10127" spans="5:5" ht="16.5">
      <c r="E10127" s="123"/>
    </row>
    <row r="10128" spans="5:5" ht="16.5">
      <c r="E10128" s="123"/>
    </row>
    <row r="10129" spans="5:5" ht="16.5">
      <c r="E10129" s="123"/>
    </row>
    <row r="10130" spans="5:5" ht="16.5">
      <c r="E10130" s="123"/>
    </row>
    <row r="10131" spans="5:5" ht="16.5">
      <c r="E10131" s="123"/>
    </row>
    <row r="10132" spans="5:5" ht="16.5">
      <c r="E10132" s="123"/>
    </row>
    <row r="10133" spans="5:5" ht="16.5">
      <c r="E10133" s="123"/>
    </row>
    <row r="10134" spans="5:5" ht="16.5">
      <c r="E10134" s="123"/>
    </row>
    <row r="10135" spans="5:5" ht="16.5">
      <c r="E10135" s="123"/>
    </row>
    <row r="10136" spans="5:5" ht="16.5">
      <c r="E10136" s="123"/>
    </row>
    <row r="10137" spans="5:5" ht="16.5">
      <c r="E10137" s="123"/>
    </row>
    <row r="10138" spans="5:5" ht="16.5">
      <c r="E10138" s="123"/>
    </row>
    <row r="10139" spans="5:5" ht="16.5">
      <c r="E10139" s="123"/>
    </row>
    <row r="10140" spans="5:5" ht="16.5">
      <c r="E10140" s="123"/>
    </row>
    <row r="10141" spans="5:5" ht="16.5">
      <c r="E10141" s="123"/>
    </row>
    <row r="10142" spans="5:5" ht="16.5">
      <c r="E10142" s="123"/>
    </row>
    <row r="10143" spans="5:5" ht="16.5">
      <c r="E10143" s="123"/>
    </row>
    <row r="10144" spans="5:5" ht="16.5">
      <c r="E10144" s="123"/>
    </row>
    <row r="10145" spans="5:5" ht="16.5">
      <c r="E10145" s="123"/>
    </row>
    <row r="10146" spans="5:5" ht="16.5">
      <c r="E10146" s="123"/>
    </row>
    <row r="10147" spans="5:5" ht="16.5">
      <c r="E10147" s="123"/>
    </row>
    <row r="10148" spans="5:5" ht="16.5">
      <c r="E10148" s="123"/>
    </row>
    <row r="10149" spans="5:5" ht="16.5">
      <c r="E10149" s="123"/>
    </row>
    <row r="10150" spans="5:5" ht="16.5">
      <c r="E10150" s="123"/>
    </row>
    <row r="10151" spans="5:5" ht="16.5">
      <c r="E10151" s="123"/>
    </row>
    <row r="10152" spans="5:5" ht="16.5">
      <c r="E10152" s="123"/>
    </row>
    <row r="10153" spans="5:5" ht="16.5">
      <c r="E10153" s="123"/>
    </row>
    <row r="10154" spans="5:5" ht="16.5">
      <c r="E10154" s="123"/>
    </row>
    <row r="10155" spans="5:5" ht="16.5">
      <c r="E10155" s="123"/>
    </row>
    <row r="10156" spans="5:5" ht="16.5">
      <c r="E10156" s="123"/>
    </row>
    <row r="10157" spans="5:5" ht="16.5">
      <c r="E10157" s="123"/>
    </row>
    <row r="10158" spans="5:5" ht="16.5">
      <c r="E10158" s="123"/>
    </row>
    <row r="10159" spans="5:5" ht="16.5">
      <c r="E10159" s="123"/>
    </row>
    <row r="10160" spans="5:5" ht="16.5">
      <c r="E10160" s="123"/>
    </row>
    <row r="10161" spans="5:5" ht="16.5">
      <c r="E10161" s="123"/>
    </row>
    <row r="10162" spans="5:5" ht="16.5">
      <c r="E10162" s="123"/>
    </row>
    <row r="10163" spans="5:5" ht="16.5">
      <c r="E10163" s="123"/>
    </row>
    <row r="10164" spans="5:5" ht="16.5">
      <c r="E10164" s="123"/>
    </row>
    <row r="10165" spans="5:5" ht="16.5">
      <c r="E10165" s="123"/>
    </row>
    <row r="10166" spans="5:5" ht="16.5">
      <c r="E10166" s="123"/>
    </row>
    <row r="10167" spans="5:5" ht="16.5">
      <c r="E10167" s="123"/>
    </row>
    <row r="10168" spans="5:5" ht="16.5">
      <c r="E10168" s="123"/>
    </row>
    <row r="10169" spans="5:5" ht="16.5">
      <c r="E10169" s="123"/>
    </row>
    <row r="10170" spans="5:5" ht="16.5">
      <c r="E10170" s="123"/>
    </row>
    <row r="10171" spans="5:5" ht="16.5">
      <c r="E10171" s="123"/>
    </row>
    <row r="10172" spans="5:5" ht="16.5">
      <c r="E10172" s="123"/>
    </row>
    <row r="10173" spans="5:5" ht="16.5">
      <c r="E10173" s="123"/>
    </row>
    <row r="10174" spans="5:5" ht="16.5">
      <c r="E10174" s="123"/>
    </row>
    <row r="10175" spans="5:5" ht="16.5">
      <c r="E10175" s="123"/>
    </row>
    <row r="10176" spans="5:5" ht="16.5">
      <c r="E10176" s="123"/>
    </row>
    <row r="10177" spans="5:5" ht="16.5">
      <c r="E10177" s="123"/>
    </row>
    <row r="10178" spans="5:5" ht="16.5">
      <c r="E10178" s="123"/>
    </row>
    <row r="10179" spans="5:5" ht="16.5">
      <c r="E10179" s="123"/>
    </row>
    <row r="10180" spans="5:5" ht="16.5">
      <c r="E10180" s="123"/>
    </row>
    <row r="10181" spans="5:5" ht="16.5">
      <c r="E10181" s="123"/>
    </row>
    <row r="10182" spans="5:5" ht="16.5">
      <c r="E10182" s="123"/>
    </row>
    <row r="10183" spans="5:5" ht="16.5">
      <c r="E10183" s="123"/>
    </row>
    <row r="10184" spans="5:5" ht="16.5">
      <c r="E10184" s="123"/>
    </row>
    <row r="10185" spans="5:5" ht="16.5">
      <c r="E10185" s="123"/>
    </row>
    <row r="10186" spans="5:5" ht="16.5">
      <c r="E10186" s="123"/>
    </row>
    <row r="10187" spans="5:5" ht="16.5">
      <c r="E10187" s="123"/>
    </row>
    <row r="10188" spans="5:5" ht="16.5">
      <c r="E10188" s="123"/>
    </row>
    <row r="10189" spans="5:5" ht="16.5">
      <c r="E10189" s="123"/>
    </row>
    <row r="10190" spans="5:5" ht="16.5">
      <c r="E10190" s="123"/>
    </row>
    <row r="10191" spans="5:5" ht="16.5">
      <c r="E10191" s="123"/>
    </row>
    <row r="10192" spans="5:5" ht="16.5">
      <c r="E10192" s="123"/>
    </row>
    <row r="10193" spans="5:5" ht="16.5">
      <c r="E10193" s="123"/>
    </row>
    <row r="10194" spans="5:5" ht="16.5">
      <c r="E10194" s="123"/>
    </row>
    <row r="10195" spans="5:5" ht="16.5">
      <c r="E10195" s="123"/>
    </row>
    <row r="10196" spans="5:5" ht="16.5">
      <c r="E10196" s="123"/>
    </row>
    <row r="10197" spans="5:5" ht="16.5">
      <c r="E10197" s="123"/>
    </row>
    <row r="10198" spans="5:5" ht="16.5">
      <c r="E10198" s="123"/>
    </row>
    <row r="10199" spans="5:5" ht="16.5">
      <c r="E10199" s="123"/>
    </row>
    <row r="10200" spans="5:5" ht="16.5">
      <c r="E10200" s="123"/>
    </row>
    <row r="10201" spans="5:5" ht="16.5">
      <c r="E10201" s="123"/>
    </row>
    <row r="10202" spans="5:5" ht="16.5">
      <c r="E10202" s="123"/>
    </row>
    <row r="10203" spans="5:5" ht="16.5">
      <c r="E10203" s="123"/>
    </row>
    <row r="10204" spans="5:5" ht="16.5">
      <c r="E10204" s="123"/>
    </row>
    <row r="10205" spans="5:5" ht="16.5">
      <c r="E10205" s="123"/>
    </row>
    <row r="10206" spans="5:5" ht="16.5">
      <c r="E10206" s="123"/>
    </row>
    <row r="10207" spans="5:5" ht="16.5">
      <c r="E10207" s="123"/>
    </row>
    <row r="10208" spans="5:5" ht="16.5">
      <c r="E10208" s="123"/>
    </row>
    <row r="10209" spans="5:5" ht="16.5">
      <c r="E10209" s="123"/>
    </row>
    <row r="10210" spans="5:5" ht="16.5">
      <c r="E10210" s="123"/>
    </row>
    <row r="10211" spans="5:5" ht="16.5">
      <c r="E10211" s="123"/>
    </row>
    <row r="10212" spans="5:5" ht="16.5">
      <c r="E10212" s="123"/>
    </row>
    <row r="10213" spans="5:5" ht="16.5">
      <c r="E10213" s="123"/>
    </row>
    <row r="10214" spans="5:5" ht="16.5">
      <c r="E10214" s="123"/>
    </row>
    <row r="10215" spans="5:5" ht="16.5">
      <c r="E10215" s="123"/>
    </row>
    <row r="10216" spans="5:5" ht="16.5">
      <c r="E10216" s="123"/>
    </row>
    <row r="10217" spans="5:5" ht="16.5">
      <c r="E10217" s="123"/>
    </row>
    <row r="10218" spans="5:5" ht="16.5">
      <c r="E10218" s="123"/>
    </row>
    <row r="10219" spans="5:5" ht="16.5">
      <c r="E10219" s="123"/>
    </row>
    <row r="10220" spans="5:5" ht="16.5">
      <c r="E10220" s="123"/>
    </row>
    <row r="10221" spans="5:5" ht="16.5">
      <c r="E10221" s="123"/>
    </row>
    <row r="10222" spans="5:5" ht="16.5">
      <c r="E10222" s="123"/>
    </row>
    <row r="10223" spans="5:5" ht="16.5">
      <c r="E10223" s="123"/>
    </row>
    <row r="10224" spans="5:5" ht="16.5">
      <c r="E10224" s="123"/>
    </row>
    <row r="10225" spans="5:5" ht="16.5">
      <c r="E10225" s="123"/>
    </row>
    <row r="10226" spans="5:5" ht="16.5">
      <c r="E10226" s="123"/>
    </row>
    <row r="10227" spans="5:5" ht="16.5">
      <c r="E10227" s="123"/>
    </row>
    <row r="10228" spans="5:5" ht="16.5">
      <c r="E10228" s="123"/>
    </row>
    <row r="10229" spans="5:5" ht="16.5">
      <c r="E10229" s="123"/>
    </row>
    <row r="10230" spans="5:5" ht="16.5">
      <c r="E10230" s="123"/>
    </row>
    <row r="10231" spans="5:5" ht="16.5">
      <c r="E10231" s="123"/>
    </row>
    <row r="10232" spans="5:5" ht="16.5">
      <c r="E10232" s="123"/>
    </row>
    <row r="10233" spans="5:5" ht="16.5">
      <c r="E10233" s="123"/>
    </row>
    <row r="10234" spans="5:5" ht="16.5">
      <c r="E10234" s="123"/>
    </row>
    <row r="10235" spans="5:5" ht="16.5">
      <c r="E10235" s="123"/>
    </row>
    <row r="10236" spans="5:5" ht="16.5">
      <c r="E10236" s="123"/>
    </row>
    <row r="10237" spans="5:5" ht="16.5">
      <c r="E10237" s="123"/>
    </row>
    <row r="10238" spans="5:5" ht="16.5">
      <c r="E10238" s="123"/>
    </row>
    <row r="10239" spans="5:5" ht="16.5">
      <c r="E10239" s="123"/>
    </row>
    <row r="10240" spans="5:5" ht="16.5">
      <c r="E10240" s="123"/>
    </row>
    <row r="10241" spans="5:5" ht="16.5">
      <c r="E10241" s="123"/>
    </row>
    <row r="10242" spans="5:5" ht="16.5">
      <c r="E10242" s="123"/>
    </row>
    <row r="10243" spans="5:5" ht="16.5">
      <c r="E10243" s="123"/>
    </row>
    <row r="10244" spans="5:5" ht="16.5">
      <c r="E10244" s="123"/>
    </row>
    <row r="10245" spans="5:5" ht="16.5">
      <c r="E10245" s="123"/>
    </row>
    <row r="10246" spans="5:5" ht="16.5">
      <c r="E10246" s="123"/>
    </row>
    <row r="10247" spans="5:5" ht="16.5">
      <c r="E10247" s="123"/>
    </row>
    <row r="10248" spans="5:5" ht="16.5">
      <c r="E10248" s="123"/>
    </row>
    <row r="10249" spans="5:5" ht="16.5">
      <c r="E10249" s="123"/>
    </row>
    <row r="10250" spans="5:5" ht="16.5">
      <c r="E10250" s="123"/>
    </row>
    <row r="10251" spans="5:5" ht="16.5">
      <c r="E10251" s="123"/>
    </row>
    <row r="10252" spans="5:5" ht="16.5">
      <c r="E10252" s="123"/>
    </row>
    <row r="10253" spans="5:5" ht="16.5">
      <c r="E10253" s="123"/>
    </row>
    <row r="10254" spans="5:5" ht="16.5">
      <c r="E10254" s="123"/>
    </row>
    <row r="10255" spans="5:5" ht="16.5">
      <c r="E10255" s="123"/>
    </row>
    <row r="10256" spans="5:5" ht="16.5">
      <c r="E10256" s="123"/>
    </row>
    <row r="10257" spans="5:5" ht="16.5">
      <c r="E10257" s="123"/>
    </row>
    <row r="10258" spans="5:5" ht="16.5">
      <c r="E10258" s="123"/>
    </row>
    <row r="10259" spans="5:5" ht="16.5">
      <c r="E10259" s="123"/>
    </row>
    <row r="10260" spans="5:5" ht="16.5">
      <c r="E10260" s="123"/>
    </row>
    <row r="10261" spans="5:5" ht="16.5">
      <c r="E10261" s="123"/>
    </row>
    <row r="10262" spans="5:5" ht="16.5">
      <c r="E10262" s="123"/>
    </row>
    <row r="10263" spans="5:5" ht="16.5">
      <c r="E10263" s="123"/>
    </row>
    <row r="10264" spans="5:5" ht="16.5">
      <c r="E10264" s="123"/>
    </row>
    <row r="10265" spans="5:5" ht="16.5">
      <c r="E10265" s="123"/>
    </row>
    <row r="10266" spans="5:5" ht="16.5">
      <c r="E10266" s="123"/>
    </row>
    <row r="10267" spans="5:5" ht="16.5">
      <c r="E10267" s="123"/>
    </row>
    <row r="10268" spans="5:5" ht="16.5">
      <c r="E10268" s="123"/>
    </row>
    <row r="10269" spans="5:5" ht="16.5">
      <c r="E10269" s="123"/>
    </row>
    <row r="10270" spans="5:5" ht="16.5">
      <c r="E10270" s="123"/>
    </row>
    <row r="10271" spans="5:5" ht="16.5">
      <c r="E10271" s="123"/>
    </row>
    <row r="10272" spans="5:5" ht="16.5">
      <c r="E10272" s="123"/>
    </row>
    <row r="10273" spans="5:5" ht="16.5">
      <c r="E10273" s="123"/>
    </row>
    <row r="10274" spans="5:5" ht="16.5">
      <c r="E10274" s="123"/>
    </row>
    <row r="10275" spans="5:5" ht="16.5">
      <c r="E10275" s="123"/>
    </row>
    <row r="10276" spans="5:5" ht="16.5">
      <c r="E10276" s="123"/>
    </row>
    <row r="10277" spans="5:5" ht="16.5">
      <c r="E10277" s="123"/>
    </row>
    <row r="10278" spans="5:5" ht="16.5">
      <c r="E10278" s="123"/>
    </row>
    <row r="10279" spans="5:5" ht="16.5">
      <c r="E10279" s="123"/>
    </row>
    <row r="10280" spans="5:5" ht="16.5">
      <c r="E10280" s="123"/>
    </row>
    <row r="10281" spans="5:5" ht="16.5">
      <c r="E10281" s="123"/>
    </row>
    <row r="10282" spans="5:5" ht="16.5">
      <c r="E10282" s="123"/>
    </row>
    <row r="10283" spans="5:5" ht="16.5">
      <c r="E10283" s="123"/>
    </row>
    <row r="10284" spans="5:5" ht="16.5">
      <c r="E10284" s="123"/>
    </row>
    <row r="10285" spans="5:5" ht="16.5">
      <c r="E10285" s="123"/>
    </row>
    <row r="10286" spans="5:5" ht="16.5">
      <c r="E10286" s="123"/>
    </row>
    <row r="10287" spans="5:5" ht="16.5">
      <c r="E10287" s="123"/>
    </row>
    <row r="10288" spans="5:5" ht="16.5">
      <c r="E10288" s="123"/>
    </row>
    <row r="10289" spans="5:5" ht="16.5">
      <c r="E10289" s="123"/>
    </row>
    <row r="10290" spans="5:5" ht="16.5">
      <c r="E10290" s="123"/>
    </row>
    <row r="10291" spans="5:5" ht="16.5">
      <c r="E10291" s="123"/>
    </row>
    <row r="10292" spans="5:5" ht="16.5">
      <c r="E10292" s="123"/>
    </row>
    <row r="10293" spans="5:5" ht="16.5">
      <c r="E10293" s="123"/>
    </row>
    <row r="10294" spans="5:5" ht="16.5">
      <c r="E10294" s="123"/>
    </row>
    <row r="10295" spans="5:5" ht="16.5">
      <c r="E10295" s="123"/>
    </row>
    <row r="10296" spans="5:5" ht="16.5">
      <c r="E10296" s="123"/>
    </row>
    <row r="10297" spans="5:5" ht="16.5">
      <c r="E10297" s="123"/>
    </row>
    <row r="10298" spans="5:5" ht="16.5">
      <c r="E10298" s="123"/>
    </row>
    <row r="10299" spans="5:5" ht="16.5">
      <c r="E10299" s="123"/>
    </row>
    <row r="10300" spans="5:5" ht="16.5">
      <c r="E10300" s="123"/>
    </row>
    <row r="10301" spans="5:5" ht="16.5">
      <c r="E10301" s="123"/>
    </row>
    <row r="10302" spans="5:5" ht="16.5">
      <c r="E10302" s="123"/>
    </row>
    <row r="10303" spans="5:5" ht="16.5">
      <c r="E10303" s="123"/>
    </row>
    <row r="10304" spans="5:5" ht="16.5">
      <c r="E10304" s="123"/>
    </row>
    <row r="10305" spans="5:5" ht="16.5">
      <c r="E10305" s="123"/>
    </row>
    <row r="10306" spans="5:5" ht="16.5">
      <c r="E10306" s="123"/>
    </row>
    <row r="10307" spans="5:5" ht="16.5">
      <c r="E10307" s="123"/>
    </row>
    <row r="10308" spans="5:5" ht="16.5">
      <c r="E10308" s="123"/>
    </row>
    <row r="10309" spans="5:5" ht="16.5">
      <c r="E10309" s="123"/>
    </row>
    <row r="10310" spans="5:5" ht="16.5">
      <c r="E10310" s="123"/>
    </row>
    <row r="10311" spans="5:5" ht="16.5">
      <c r="E10311" s="123"/>
    </row>
    <row r="10312" spans="5:5" ht="16.5">
      <c r="E10312" s="123"/>
    </row>
    <row r="10313" spans="5:5" ht="16.5">
      <c r="E10313" s="123"/>
    </row>
    <row r="10314" spans="5:5" ht="16.5">
      <c r="E10314" s="123"/>
    </row>
    <row r="10315" spans="5:5" ht="16.5">
      <c r="E10315" s="123"/>
    </row>
    <row r="10316" spans="5:5" ht="16.5">
      <c r="E10316" s="123"/>
    </row>
    <row r="10317" spans="5:5" ht="16.5">
      <c r="E10317" s="123"/>
    </row>
    <row r="10318" spans="5:5" ht="16.5">
      <c r="E10318" s="123"/>
    </row>
    <row r="10319" spans="5:5" ht="16.5">
      <c r="E10319" s="123"/>
    </row>
    <row r="10320" spans="5:5" ht="16.5">
      <c r="E10320" s="123"/>
    </row>
    <row r="10321" spans="5:5" ht="16.5">
      <c r="E10321" s="123"/>
    </row>
    <row r="10322" spans="5:5" ht="16.5">
      <c r="E10322" s="123"/>
    </row>
    <row r="10323" spans="5:5" ht="16.5">
      <c r="E10323" s="123"/>
    </row>
    <row r="10324" spans="5:5" ht="16.5">
      <c r="E10324" s="123"/>
    </row>
    <row r="10325" spans="5:5" ht="16.5">
      <c r="E10325" s="123"/>
    </row>
    <row r="10326" spans="5:5" ht="16.5">
      <c r="E10326" s="123"/>
    </row>
    <row r="10327" spans="5:5" ht="16.5">
      <c r="E10327" s="123"/>
    </row>
    <row r="10328" spans="5:5" ht="16.5">
      <c r="E10328" s="123"/>
    </row>
    <row r="10329" spans="5:5" ht="16.5">
      <c r="E10329" s="123"/>
    </row>
    <row r="10330" spans="5:5" ht="16.5">
      <c r="E10330" s="123"/>
    </row>
    <row r="10331" spans="5:5" ht="16.5">
      <c r="E10331" s="123"/>
    </row>
    <row r="10332" spans="5:5" ht="16.5">
      <c r="E10332" s="123"/>
    </row>
    <row r="10333" spans="5:5" ht="16.5">
      <c r="E10333" s="123"/>
    </row>
    <row r="10334" spans="5:5" ht="16.5">
      <c r="E10334" s="123"/>
    </row>
    <row r="10335" spans="5:5" ht="16.5">
      <c r="E10335" s="123"/>
    </row>
    <row r="10336" spans="5:5" ht="16.5">
      <c r="E10336" s="123"/>
    </row>
    <row r="10337" spans="5:5" ht="16.5">
      <c r="E10337" s="123"/>
    </row>
    <row r="10338" spans="5:5" ht="16.5">
      <c r="E10338" s="123"/>
    </row>
    <row r="10339" spans="5:5" ht="16.5">
      <c r="E10339" s="123"/>
    </row>
    <row r="10340" spans="5:5" ht="16.5">
      <c r="E10340" s="123"/>
    </row>
    <row r="10341" spans="5:5" ht="16.5">
      <c r="E10341" s="123"/>
    </row>
    <row r="10342" spans="5:5" ht="16.5">
      <c r="E10342" s="123"/>
    </row>
    <row r="10343" spans="5:5" ht="16.5">
      <c r="E10343" s="123"/>
    </row>
    <row r="10344" spans="5:5" ht="16.5">
      <c r="E10344" s="123"/>
    </row>
    <row r="10345" spans="5:5" ht="16.5">
      <c r="E10345" s="123"/>
    </row>
    <row r="10346" spans="5:5" ht="16.5">
      <c r="E10346" s="123"/>
    </row>
    <row r="10347" spans="5:5" ht="16.5">
      <c r="E10347" s="123"/>
    </row>
    <row r="10348" spans="5:5" ht="16.5">
      <c r="E10348" s="123"/>
    </row>
    <row r="10349" spans="5:5" ht="16.5">
      <c r="E10349" s="123"/>
    </row>
    <row r="10350" spans="5:5" ht="16.5">
      <c r="E10350" s="123"/>
    </row>
    <row r="10351" spans="5:5" ht="16.5">
      <c r="E10351" s="123"/>
    </row>
    <row r="10352" spans="5:5" ht="16.5">
      <c r="E10352" s="123"/>
    </row>
    <row r="10353" spans="5:5" ht="16.5">
      <c r="E10353" s="123"/>
    </row>
    <row r="10354" spans="5:5" ht="16.5">
      <c r="E10354" s="123"/>
    </row>
    <row r="10355" spans="5:5" ht="16.5">
      <c r="E10355" s="123"/>
    </row>
    <row r="10356" spans="5:5" ht="16.5">
      <c r="E10356" s="123"/>
    </row>
    <row r="10357" spans="5:5" ht="16.5">
      <c r="E10357" s="123"/>
    </row>
    <row r="10358" spans="5:5" ht="16.5">
      <c r="E10358" s="123"/>
    </row>
    <row r="10359" spans="5:5" ht="16.5">
      <c r="E10359" s="123"/>
    </row>
    <row r="10360" spans="5:5" ht="16.5">
      <c r="E10360" s="123"/>
    </row>
    <row r="10361" spans="5:5" ht="16.5">
      <c r="E10361" s="123"/>
    </row>
    <row r="10362" spans="5:5" ht="16.5">
      <c r="E10362" s="123"/>
    </row>
    <row r="10363" spans="5:5" ht="16.5">
      <c r="E10363" s="123"/>
    </row>
    <row r="10364" spans="5:5" ht="16.5">
      <c r="E10364" s="123"/>
    </row>
    <row r="10365" spans="5:5" ht="16.5">
      <c r="E10365" s="123"/>
    </row>
    <row r="10366" spans="5:5" ht="16.5">
      <c r="E10366" s="123"/>
    </row>
    <row r="10367" spans="5:5" ht="16.5">
      <c r="E10367" s="123"/>
    </row>
    <row r="10368" spans="5:5" ht="16.5">
      <c r="E10368" s="123"/>
    </row>
    <row r="10369" spans="5:5" ht="16.5">
      <c r="E10369" s="123"/>
    </row>
    <row r="10370" spans="5:5" ht="16.5">
      <c r="E10370" s="123"/>
    </row>
    <row r="10371" spans="5:5" ht="16.5">
      <c r="E10371" s="123"/>
    </row>
    <row r="10372" spans="5:5" ht="16.5">
      <c r="E10372" s="123"/>
    </row>
    <row r="10373" spans="5:5" ht="16.5">
      <c r="E10373" s="123"/>
    </row>
    <row r="10374" spans="5:5" ht="16.5">
      <c r="E10374" s="123"/>
    </row>
    <row r="10375" spans="5:5" ht="16.5">
      <c r="E10375" s="123"/>
    </row>
    <row r="10376" spans="5:5" ht="16.5">
      <c r="E10376" s="123"/>
    </row>
    <row r="10377" spans="5:5" ht="16.5">
      <c r="E10377" s="123"/>
    </row>
    <row r="10378" spans="5:5" ht="16.5">
      <c r="E10378" s="123"/>
    </row>
    <row r="10379" spans="5:5" ht="16.5">
      <c r="E10379" s="123"/>
    </row>
    <row r="10380" spans="5:5" ht="16.5">
      <c r="E10380" s="123"/>
    </row>
    <row r="10381" spans="5:5" ht="16.5">
      <c r="E10381" s="123"/>
    </row>
    <row r="10382" spans="5:5" ht="16.5">
      <c r="E10382" s="123"/>
    </row>
    <row r="10383" spans="5:5" ht="16.5">
      <c r="E10383" s="123"/>
    </row>
    <row r="10384" spans="5:5" ht="16.5">
      <c r="E10384" s="123"/>
    </row>
    <row r="10385" spans="5:5" ht="16.5">
      <c r="E10385" s="123"/>
    </row>
    <row r="10386" spans="5:5" ht="16.5">
      <c r="E10386" s="123"/>
    </row>
    <row r="10387" spans="5:5" ht="16.5">
      <c r="E10387" s="123"/>
    </row>
    <row r="10388" spans="5:5" ht="16.5">
      <c r="E10388" s="123"/>
    </row>
    <row r="10389" spans="5:5" ht="16.5">
      <c r="E10389" s="123"/>
    </row>
    <row r="10390" spans="5:5" ht="16.5">
      <c r="E10390" s="123"/>
    </row>
    <row r="10391" spans="5:5" ht="16.5">
      <c r="E10391" s="123"/>
    </row>
    <row r="10392" spans="5:5" ht="16.5">
      <c r="E10392" s="123"/>
    </row>
    <row r="10393" spans="5:5" ht="16.5">
      <c r="E10393" s="123"/>
    </row>
    <row r="10394" spans="5:5" ht="16.5">
      <c r="E10394" s="123"/>
    </row>
    <row r="10395" spans="5:5" ht="16.5">
      <c r="E10395" s="123"/>
    </row>
    <row r="10396" spans="5:5" ht="16.5">
      <c r="E10396" s="123"/>
    </row>
    <row r="10397" spans="5:5" ht="16.5">
      <c r="E10397" s="123"/>
    </row>
    <row r="10398" spans="5:5" ht="16.5">
      <c r="E10398" s="123"/>
    </row>
    <row r="10399" spans="5:5" ht="16.5">
      <c r="E10399" s="123"/>
    </row>
    <row r="10400" spans="5:5" ht="16.5">
      <c r="E10400" s="123"/>
    </row>
    <row r="10401" spans="5:5" ht="16.5">
      <c r="E10401" s="123"/>
    </row>
    <row r="10402" spans="5:5" ht="16.5">
      <c r="E10402" s="123"/>
    </row>
    <row r="10403" spans="5:5" ht="16.5">
      <c r="E10403" s="123"/>
    </row>
    <row r="10404" spans="5:5" ht="16.5">
      <c r="E10404" s="123"/>
    </row>
    <row r="10405" spans="5:5" ht="16.5">
      <c r="E10405" s="123"/>
    </row>
    <row r="10406" spans="5:5" ht="16.5">
      <c r="E10406" s="123"/>
    </row>
    <row r="10407" spans="5:5" ht="16.5">
      <c r="E10407" s="123"/>
    </row>
    <row r="10408" spans="5:5" ht="16.5">
      <c r="E10408" s="123"/>
    </row>
    <row r="10409" spans="5:5" ht="16.5">
      <c r="E10409" s="123"/>
    </row>
    <row r="10410" spans="5:5" ht="16.5">
      <c r="E10410" s="123"/>
    </row>
    <row r="10411" spans="5:5" ht="16.5">
      <c r="E10411" s="123"/>
    </row>
    <row r="10412" spans="5:5" ht="16.5">
      <c r="E10412" s="123"/>
    </row>
    <row r="10413" spans="5:5" ht="16.5">
      <c r="E10413" s="123"/>
    </row>
    <row r="10414" spans="5:5" ht="16.5">
      <c r="E10414" s="123"/>
    </row>
    <row r="10415" spans="5:5" ht="16.5">
      <c r="E10415" s="123"/>
    </row>
    <row r="10416" spans="5:5" ht="16.5">
      <c r="E10416" s="123"/>
    </row>
    <row r="10417" spans="5:5" ht="16.5">
      <c r="E10417" s="123"/>
    </row>
    <row r="10418" spans="5:5" ht="16.5">
      <c r="E10418" s="123"/>
    </row>
    <row r="10419" spans="5:5" ht="16.5">
      <c r="E10419" s="123"/>
    </row>
    <row r="10420" spans="5:5" ht="16.5">
      <c r="E10420" s="123"/>
    </row>
    <row r="10421" spans="5:5" ht="16.5">
      <c r="E10421" s="123"/>
    </row>
    <row r="10422" spans="5:5" ht="16.5">
      <c r="E10422" s="123"/>
    </row>
    <row r="10423" spans="5:5" ht="16.5">
      <c r="E10423" s="123"/>
    </row>
    <row r="10424" spans="5:5" ht="16.5">
      <c r="E10424" s="123"/>
    </row>
    <row r="10425" spans="5:5" ht="16.5">
      <c r="E10425" s="123"/>
    </row>
    <row r="10426" spans="5:5" ht="16.5">
      <c r="E10426" s="123"/>
    </row>
    <row r="10427" spans="5:5" ht="16.5">
      <c r="E10427" s="123"/>
    </row>
    <row r="10428" spans="5:5" ht="16.5">
      <c r="E10428" s="123"/>
    </row>
    <row r="10429" spans="5:5" ht="16.5">
      <c r="E10429" s="123"/>
    </row>
    <row r="10430" spans="5:5" ht="16.5">
      <c r="E10430" s="123"/>
    </row>
    <row r="10431" spans="5:5" ht="16.5">
      <c r="E10431" s="123"/>
    </row>
    <row r="10432" spans="5:5" ht="16.5">
      <c r="E10432" s="123"/>
    </row>
    <row r="10433" spans="5:5" ht="16.5">
      <c r="E10433" s="123"/>
    </row>
    <row r="10434" spans="5:5" ht="16.5">
      <c r="E10434" s="123"/>
    </row>
    <row r="10435" spans="5:5" ht="16.5">
      <c r="E10435" s="123"/>
    </row>
    <row r="10436" spans="5:5" ht="16.5">
      <c r="E10436" s="123"/>
    </row>
    <row r="10437" spans="5:5" ht="16.5">
      <c r="E10437" s="123"/>
    </row>
    <row r="10438" spans="5:5" ht="16.5">
      <c r="E10438" s="123"/>
    </row>
    <row r="10439" spans="5:5" ht="16.5">
      <c r="E10439" s="123"/>
    </row>
    <row r="10440" spans="5:5" ht="16.5">
      <c r="E10440" s="123"/>
    </row>
    <row r="10441" spans="5:5" ht="16.5">
      <c r="E10441" s="123"/>
    </row>
    <row r="10442" spans="5:5" ht="16.5">
      <c r="E10442" s="123"/>
    </row>
    <row r="10443" spans="5:5" ht="16.5">
      <c r="E10443" s="123"/>
    </row>
    <row r="10444" spans="5:5" ht="16.5">
      <c r="E10444" s="123"/>
    </row>
    <row r="10445" spans="5:5" ht="16.5">
      <c r="E10445" s="123"/>
    </row>
    <row r="10446" spans="5:5" ht="16.5">
      <c r="E10446" s="123"/>
    </row>
    <row r="10447" spans="5:5" ht="16.5">
      <c r="E10447" s="123"/>
    </row>
    <row r="10448" spans="5:5" ht="16.5">
      <c r="E10448" s="123"/>
    </row>
    <row r="10449" spans="5:5" ht="16.5">
      <c r="E10449" s="123"/>
    </row>
    <row r="10450" spans="5:5" ht="16.5">
      <c r="E10450" s="123"/>
    </row>
    <row r="10451" spans="5:5" ht="16.5">
      <c r="E10451" s="123"/>
    </row>
    <row r="10452" spans="5:5" ht="16.5">
      <c r="E10452" s="123"/>
    </row>
    <row r="10453" spans="5:5" ht="16.5">
      <c r="E10453" s="123"/>
    </row>
    <row r="10454" spans="5:5" ht="16.5">
      <c r="E10454" s="123"/>
    </row>
    <row r="10455" spans="5:5" ht="16.5">
      <c r="E10455" s="123"/>
    </row>
    <row r="10456" spans="5:5" ht="16.5">
      <c r="E10456" s="123"/>
    </row>
    <row r="10457" spans="5:5" ht="16.5">
      <c r="E10457" s="123"/>
    </row>
    <row r="10458" spans="5:5" ht="16.5">
      <c r="E10458" s="123"/>
    </row>
    <row r="10459" spans="5:5" ht="16.5">
      <c r="E10459" s="123"/>
    </row>
    <row r="10460" spans="5:5" ht="16.5">
      <c r="E10460" s="123"/>
    </row>
    <row r="10461" spans="5:5" ht="16.5">
      <c r="E10461" s="123"/>
    </row>
    <row r="10462" spans="5:5" ht="16.5">
      <c r="E10462" s="123"/>
    </row>
    <row r="10463" spans="5:5" ht="16.5">
      <c r="E10463" s="123"/>
    </row>
    <row r="10464" spans="5:5" ht="16.5">
      <c r="E10464" s="123"/>
    </row>
    <row r="10465" spans="5:5" ht="16.5">
      <c r="E10465" s="123"/>
    </row>
    <row r="10466" spans="5:5" ht="16.5">
      <c r="E10466" s="123"/>
    </row>
    <row r="10467" spans="5:5" ht="16.5">
      <c r="E10467" s="123"/>
    </row>
    <row r="10468" spans="5:5" ht="16.5">
      <c r="E10468" s="123"/>
    </row>
    <row r="10469" spans="5:5" ht="16.5">
      <c r="E10469" s="123"/>
    </row>
    <row r="10470" spans="5:5" ht="16.5">
      <c r="E10470" s="123"/>
    </row>
    <row r="10471" spans="5:5" ht="16.5">
      <c r="E10471" s="123"/>
    </row>
    <row r="10472" spans="5:5" ht="16.5">
      <c r="E10472" s="123"/>
    </row>
    <row r="10473" spans="5:5" ht="16.5">
      <c r="E10473" s="123"/>
    </row>
    <row r="10474" spans="5:5" ht="16.5">
      <c r="E10474" s="123"/>
    </row>
    <row r="10475" spans="5:5" ht="16.5">
      <c r="E10475" s="123"/>
    </row>
    <row r="10476" spans="5:5" ht="16.5">
      <c r="E10476" s="123"/>
    </row>
    <row r="10477" spans="5:5" ht="16.5">
      <c r="E10477" s="123"/>
    </row>
    <row r="10478" spans="5:5" ht="16.5">
      <c r="E10478" s="123"/>
    </row>
    <row r="10479" spans="5:5" ht="16.5">
      <c r="E10479" s="123"/>
    </row>
    <row r="10480" spans="5:5" ht="16.5">
      <c r="E10480" s="123"/>
    </row>
    <row r="10481" spans="5:5" ht="16.5">
      <c r="E10481" s="123"/>
    </row>
    <row r="10482" spans="5:5" ht="16.5">
      <c r="E10482" s="123"/>
    </row>
    <row r="10483" spans="5:5" ht="16.5">
      <c r="E10483" s="123"/>
    </row>
    <row r="10484" spans="5:5" ht="16.5">
      <c r="E10484" s="123"/>
    </row>
    <row r="10485" spans="5:5" ht="16.5">
      <c r="E10485" s="123"/>
    </row>
    <row r="10486" spans="5:5" ht="16.5">
      <c r="E10486" s="123"/>
    </row>
    <row r="10487" spans="5:5" ht="16.5">
      <c r="E10487" s="123"/>
    </row>
    <row r="10488" spans="5:5" ht="16.5">
      <c r="E10488" s="123"/>
    </row>
    <row r="10489" spans="5:5" ht="16.5">
      <c r="E10489" s="123"/>
    </row>
    <row r="10490" spans="5:5" ht="16.5">
      <c r="E10490" s="123"/>
    </row>
    <row r="10491" spans="5:5" ht="16.5">
      <c r="E10491" s="123"/>
    </row>
    <row r="10492" spans="5:5" ht="16.5">
      <c r="E10492" s="123"/>
    </row>
    <row r="10493" spans="5:5" ht="16.5">
      <c r="E10493" s="123"/>
    </row>
    <row r="10494" spans="5:5" ht="16.5">
      <c r="E10494" s="123"/>
    </row>
    <row r="10495" spans="5:5" ht="16.5">
      <c r="E10495" s="123"/>
    </row>
    <row r="10496" spans="5:5" ht="16.5">
      <c r="E10496" s="123"/>
    </row>
    <row r="10497" spans="5:5" ht="16.5">
      <c r="E10497" s="123"/>
    </row>
    <row r="10498" spans="5:5" ht="16.5">
      <c r="E10498" s="123"/>
    </row>
    <row r="10499" spans="5:5" ht="16.5">
      <c r="E10499" s="123"/>
    </row>
    <row r="10500" spans="5:5" ht="16.5">
      <c r="E10500" s="123"/>
    </row>
    <row r="10501" spans="5:5" ht="16.5">
      <c r="E10501" s="123"/>
    </row>
    <row r="10502" spans="5:5" ht="16.5">
      <c r="E10502" s="123"/>
    </row>
    <row r="10503" spans="5:5" ht="16.5">
      <c r="E10503" s="123"/>
    </row>
    <row r="10504" spans="5:5" ht="16.5">
      <c r="E10504" s="123"/>
    </row>
    <row r="10505" spans="5:5" ht="16.5">
      <c r="E10505" s="123"/>
    </row>
    <row r="10506" spans="5:5" ht="16.5">
      <c r="E10506" s="123"/>
    </row>
    <row r="10507" spans="5:5" ht="16.5">
      <c r="E10507" s="123"/>
    </row>
    <row r="10508" spans="5:5" ht="16.5">
      <c r="E10508" s="123"/>
    </row>
    <row r="10509" spans="5:5" ht="16.5">
      <c r="E10509" s="123"/>
    </row>
    <row r="10510" spans="5:5" ht="16.5">
      <c r="E10510" s="123"/>
    </row>
    <row r="10511" spans="5:5" ht="16.5">
      <c r="E10511" s="123"/>
    </row>
    <row r="10512" spans="5:5" ht="16.5">
      <c r="E10512" s="123"/>
    </row>
    <row r="10513" spans="5:5" ht="16.5">
      <c r="E10513" s="123"/>
    </row>
    <row r="10514" spans="5:5" ht="16.5">
      <c r="E10514" s="123"/>
    </row>
    <row r="10515" spans="5:5" ht="16.5">
      <c r="E10515" s="123"/>
    </row>
    <row r="10516" spans="5:5" ht="16.5">
      <c r="E10516" s="123"/>
    </row>
    <row r="10517" spans="5:5" ht="16.5">
      <c r="E10517" s="123"/>
    </row>
    <row r="10518" spans="5:5" ht="16.5">
      <c r="E10518" s="123"/>
    </row>
    <row r="10519" spans="5:5" ht="16.5">
      <c r="E10519" s="123"/>
    </row>
    <row r="10520" spans="5:5" ht="16.5">
      <c r="E10520" s="123"/>
    </row>
    <row r="10521" spans="5:5" ht="16.5">
      <c r="E10521" s="123"/>
    </row>
    <row r="10522" spans="5:5" ht="16.5">
      <c r="E10522" s="123"/>
    </row>
    <row r="10523" spans="5:5" ht="16.5">
      <c r="E10523" s="123"/>
    </row>
    <row r="10524" spans="5:5" ht="16.5">
      <c r="E10524" s="123"/>
    </row>
    <row r="10525" spans="5:5" ht="16.5">
      <c r="E10525" s="123"/>
    </row>
    <row r="10526" spans="5:5" ht="16.5">
      <c r="E10526" s="123"/>
    </row>
    <row r="10527" spans="5:5" ht="16.5">
      <c r="E10527" s="123"/>
    </row>
    <row r="10528" spans="5:5" ht="16.5">
      <c r="E10528" s="123"/>
    </row>
    <row r="10529" spans="5:5" ht="16.5">
      <c r="E10529" s="123"/>
    </row>
    <row r="10530" spans="5:5" ht="16.5">
      <c r="E10530" s="123"/>
    </row>
    <row r="10531" spans="5:5" ht="16.5">
      <c r="E10531" s="123"/>
    </row>
    <row r="10532" spans="5:5" ht="16.5">
      <c r="E10532" s="123"/>
    </row>
    <row r="10533" spans="5:5" ht="16.5">
      <c r="E10533" s="123"/>
    </row>
    <row r="10534" spans="5:5" ht="16.5">
      <c r="E10534" s="123"/>
    </row>
    <row r="10535" spans="5:5" ht="16.5">
      <c r="E10535" s="123"/>
    </row>
    <row r="10536" spans="5:5" ht="16.5">
      <c r="E10536" s="123"/>
    </row>
    <row r="10537" spans="5:5" ht="16.5">
      <c r="E10537" s="123"/>
    </row>
    <row r="10538" spans="5:5" ht="16.5">
      <c r="E10538" s="123"/>
    </row>
    <row r="10539" spans="5:5" ht="16.5">
      <c r="E10539" s="123"/>
    </row>
    <row r="10540" spans="5:5" ht="16.5">
      <c r="E10540" s="123"/>
    </row>
    <row r="10541" spans="5:5" ht="16.5">
      <c r="E10541" s="123"/>
    </row>
    <row r="10542" spans="5:5" ht="16.5">
      <c r="E10542" s="123"/>
    </row>
    <row r="10543" spans="5:5" ht="16.5">
      <c r="E10543" s="123"/>
    </row>
    <row r="10544" spans="5:5" ht="16.5">
      <c r="E10544" s="123"/>
    </row>
    <row r="10545" spans="5:5" ht="16.5">
      <c r="E10545" s="123"/>
    </row>
    <row r="10546" spans="5:5" ht="16.5">
      <c r="E10546" s="123"/>
    </row>
    <row r="10547" spans="5:5" ht="16.5">
      <c r="E10547" s="123"/>
    </row>
    <row r="10548" spans="5:5" ht="16.5">
      <c r="E10548" s="123"/>
    </row>
    <row r="10549" spans="5:5" ht="16.5">
      <c r="E10549" s="123"/>
    </row>
    <row r="10550" spans="5:5" ht="16.5">
      <c r="E10550" s="123"/>
    </row>
    <row r="10551" spans="5:5" ht="16.5">
      <c r="E10551" s="123"/>
    </row>
    <row r="10552" spans="5:5" ht="16.5">
      <c r="E10552" s="123"/>
    </row>
    <row r="10553" spans="5:5" ht="16.5">
      <c r="E10553" s="123"/>
    </row>
    <row r="10554" spans="5:5" ht="16.5">
      <c r="E10554" s="123"/>
    </row>
    <row r="10555" spans="5:5" ht="16.5">
      <c r="E10555" s="123"/>
    </row>
    <row r="10556" spans="5:5" ht="16.5">
      <c r="E10556" s="123"/>
    </row>
    <row r="10557" spans="5:5" ht="16.5">
      <c r="E10557" s="123"/>
    </row>
    <row r="10558" spans="5:5" ht="16.5">
      <c r="E10558" s="123"/>
    </row>
    <row r="10559" spans="5:5" ht="16.5">
      <c r="E10559" s="123"/>
    </row>
    <row r="10560" spans="5:5" ht="16.5">
      <c r="E10560" s="123"/>
    </row>
    <row r="10561" spans="5:5" ht="16.5">
      <c r="E10561" s="123"/>
    </row>
    <row r="10562" spans="5:5" ht="16.5">
      <c r="E10562" s="123"/>
    </row>
    <row r="10563" spans="5:5" ht="16.5">
      <c r="E10563" s="123"/>
    </row>
    <row r="10564" spans="5:5" ht="16.5">
      <c r="E10564" s="123"/>
    </row>
    <row r="10565" spans="5:5" ht="16.5">
      <c r="E10565" s="123"/>
    </row>
    <row r="10566" spans="5:5" ht="16.5">
      <c r="E10566" s="123"/>
    </row>
    <row r="10567" spans="5:5" ht="16.5">
      <c r="E10567" s="123"/>
    </row>
    <row r="10568" spans="5:5" ht="16.5">
      <c r="E10568" s="123"/>
    </row>
    <row r="10569" spans="5:5" ht="16.5">
      <c r="E10569" s="123"/>
    </row>
    <row r="10570" spans="5:5" ht="16.5">
      <c r="E10570" s="123"/>
    </row>
    <row r="10571" spans="5:5" ht="16.5">
      <c r="E10571" s="123"/>
    </row>
    <row r="10572" spans="5:5" ht="16.5">
      <c r="E10572" s="123"/>
    </row>
    <row r="10573" spans="5:5" ht="16.5">
      <c r="E10573" s="123"/>
    </row>
    <row r="10574" spans="5:5" ht="16.5">
      <c r="E10574" s="123"/>
    </row>
    <row r="10575" spans="5:5" ht="16.5">
      <c r="E10575" s="123"/>
    </row>
    <row r="10576" spans="5:5" ht="16.5">
      <c r="E10576" s="123"/>
    </row>
    <row r="10577" spans="5:5" ht="16.5">
      <c r="E10577" s="123"/>
    </row>
    <row r="10578" spans="5:5" ht="16.5">
      <c r="E10578" s="123"/>
    </row>
    <row r="10579" spans="5:5" ht="16.5">
      <c r="E10579" s="123"/>
    </row>
    <row r="10580" spans="5:5" ht="16.5">
      <c r="E10580" s="123"/>
    </row>
    <row r="10581" spans="5:5" ht="16.5">
      <c r="E10581" s="123"/>
    </row>
    <row r="10582" spans="5:5" ht="16.5">
      <c r="E10582" s="123"/>
    </row>
    <row r="10583" spans="5:5" ht="16.5">
      <c r="E10583" s="123"/>
    </row>
    <row r="10584" spans="5:5" ht="16.5">
      <c r="E10584" s="123"/>
    </row>
    <row r="10585" spans="5:5" ht="16.5">
      <c r="E10585" s="123"/>
    </row>
    <row r="10586" spans="5:5" ht="16.5">
      <c r="E10586" s="123"/>
    </row>
    <row r="10587" spans="5:5" ht="16.5">
      <c r="E10587" s="123"/>
    </row>
    <row r="10588" spans="5:5" ht="16.5">
      <c r="E10588" s="123"/>
    </row>
    <row r="10589" spans="5:5" ht="16.5">
      <c r="E10589" s="123"/>
    </row>
    <row r="10590" spans="5:5" ht="16.5">
      <c r="E10590" s="123"/>
    </row>
    <row r="10591" spans="5:5" ht="16.5">
      <c r="E10591" s="123"/>
    </row>
    <row r="10592" spans="5:5" ht="16.5">
      <c r="E10592" s="123"/>
    </row>
    <row r="10593" spans="5:5" ht="16.5">
      <c r="E10593" s="123"/>
    </row>
    <row r="10594" spans="5:5" ht="16.5">
      <c r="E10594" s="123"/>
    </row>
    <row r="10595" spans="5:5" ht="16.5">
      <c r="E10595" s="123"/>
    </row>
    <row r="10596" spans="5:5" ht="16.5">
      <c r="E10596" s="123"/>
    </row>
    <row r="10597" spans="5:5" ht="16.5">
      <c r="E10597" s="123"/>
    </row>
    <row r="10598" spans="5:5" ht="16.5">
      <c r="E10598" s="123"/>
    </row>
    <row r="10599" spans="5:5" ht="16.5">
      <c r="E10599" s="123"/>
    </row>
    <row r="10600" spans="5:5" ht="16.5">
      <c r="E10600" s="123"/>
    </row>
    <row r="10601" spans="5:5" ht="16.5">
      <c r="E10601" s="123"/>
    </row>
    <row r="10602" spans="5:5" ht="16.5">
      <c r="E10602" s="123"/>
    </row>
    <row r="10603" spans="5:5" ht="16.5">
      <c r="E10603" s="123"/>
    </row>
    <row r="10604" spans="5:5" ht="16.5">
      <c r="E10604" s="123"/>
    </row>
    <row r="10605" spans="5:5" ht="16.5">
      <c r="E10605" s="123"/>
    </row>
    <row r="10606" spans="5:5" ht="16.5">
      <c r="E10606" s="123"/>
    </row>
    <row r="10607" spans="5:5" ht="16.5">
      <c r="E10607" s="123"/>
    </row>
    <row r="10608" spans="5:5" ht="16.5">
      <c r="E10608" s="123"/>
    </row>
    <row r="10609" spans="5:5" ht="16.5">
      <c r="E10609" s="123"/>
    </row>
    <row r="10610" spans="5:5" ht="16.5">
      <c r="E10610" s="123"/>
    </row>
    <row r="10611" spans="5:5" ht="16.5">
      <c r="E10611" s="123"/>
    </row>
    <row r="10612" spans="5:5" ht="16.5">
      <c r="E10612" s="123"/>
    </row>
    <row r="10613" spans="5:5" ht="16.5">
      <c r="E10613" s="123"/>
    </row>
    <row r="10614" spans="5:5" ht="16.5">
      <c r="E10614" s="123"/>
    </row>
    <row r="10615" spans="5:5" ht="16.5">
      <c r="E10615" s="123"/>
    </row>
    <row r="10616" spans="5:5" ht="16.5">
      <c r="E10616" s="123"/>
    </row>
    <row r="10617" spans="5:5" ht="16.5">
      <c r="E10617" s="123"/>
    </row>
    <row r="10618" spans="5:5" ht="16.5">
      <c r="E10618" s="123"/>
    </row>
    <row r="10619" spans="5:5" ht="16.5">
      <c r="E10619" s="123"/>
    </row>
    <row r="10620" spans="5:5" ht="16.5">
      <c r="E10620" s="123"/>
    </row>
    <row r="10621" spans="5:5" ht="16.5">
      <c r="E10621" s="123"/>
    </row>
    <row r="10622" spans="5:5" ht="16.5">
      <c r="E10622" s="123"/>
    </row>
    <row r="10623" spans="5:5" ht="16.5">
      <c r="E10623" s="123"/>
    </row>
    <row r="10624" spans="5:5" ht="16.5">
      <c r="E10624" s="123"/>
    </row>
    <row r="10625" spans="5:5" ht="16.5">
      <c r="E10625" s="123"/>
    </row>
    <row r="10626" spans="5:5" ht="16.5">
      <c r="E10626" s="123"/>
    </row>
    <row r="10627" spans="5:5" ht="16.5">
      <c r="E10627" s="123"/>
    </row>
    <row r="10628" spans="5:5" ht="16.5">
      <c r="E10628" s="123"/>
    </row>
    <row r="10629" spans="5:5" ht="16.5">
      <c r="E10629" s="123"/>
    </row>
    <row r="10630" spans="5:5" ht="16.5">
      <c r="E10630" s="123"/>
    </row>
    <row r="10631" spans="5:5" ht="16.5">
      <c r="E10631" s="123"/>
    </row>
    <row r="10632" spans="5:5" ht="16.5">
      <c r="E10632" s="123"/>
    </row>
    <row r="10633" spans="5:5" ht="16.5">
      <c r="E10633" s="123"/>
    </row>
    <row r="10634" spans="5:5" ht="16.5">
      <c r="E10634" s="123"/>
    </row>
    <row r="10635" spans="5:5" ht="16.5">
      <c r="E10635" s="123"/>
    </row>
    <row r="10636" spans="5:5" ht="16.5">
      <c r="E10636" s="123"/>
    </row>
    <row r="10637" spans="5:5" ht="16.5">
      <c r="E10637" s="123"/>
    </row>
    <row r="10638" spans="5:5" ht="16.5">
      <c r="E10638" s="123"/>
    </row>
    <row r="10639" spans="5:5" ht="16.5">
      <c r="E10639" s="123"/>
    </row>
    <row r="10640" spans="5:5" ht="16.5">
      <c r="E10640" s="123"/>
    </row>
    <row r="10641" spans="5:5" ht="16.5">
      <c r="E10641" s="123"/>
    </row>
    <row r="10642" spans="5:5" ht="16.5">
      <c r="E10642" s="123"/>
    </row>
    <row r="10643" spans="5:5" ht="16.5">
      <c r="E10643" s="123"/>
    </row>
    <row r="10644" spans="5:5" ht="16.5">
      <c r="E10644" s="123"/>
    </row>
    <row r="10645" spans="5:5" ht="16.5">
      <c r="E10645" s="123"/>
    </row>
    <row r="10646" spans="5:5" ht="16.5">
      <c r="E10646" s="123"/>
    </row>
    <row r="10647" spans="5:5" ht="16.5">
      <c r="E10647" s="123"/>
    </row>
    <row r="10648" spans="5:5" ht="16.5">
      <c r="E10648" s="123"/>
    </row>
    <row r="10649" spans="5:5" ht="16.5">
      <c r="E10649" s="123"/>
    </row>
    <row r="10650" spans="5:5" ht="16.5">
      <c r="E10650" s="123"/>
    </row>
    <row r="10651" spans="5:5" ht="16.5">
      <c r="E10651" s="123"/>
    </row>
    <row r="10652" spans="5:5" ht="16.5">
      <c r="E10652" s="123"/>
    </row>
    <row r="10653" spans="5:5" ht="16.5">
      <c r="E10653" s="123"/>
    </row>
    <row r="10654" spans="5:5" ht="16.5">
      <c r="E10654" s="123"/>
    </row>
    <row r="10655" spans="5:5" ht="16.5">
      <c r="E10655" s="123"/>
    </row>
    <row r="10656" spans="5:5" ht="16.5">
      <c r="E10656" s="123"/>
    </row>
    <row r="10657" spans="5:5" ht="16.5">
      <c r="E10657" s="123"/>
    </row>
    <row r="10658" spans="5:5" ht="16.5">
      <c r="E10658" s="123"/>
    </row>
    <row r="10659" spans="5:5" ht="16.5">
      <c r="E10659" s="123"/>
    </row>
    <row r="10660" spans="5:5" ht="16.5">
      <c r="E10660" s="123"/>
    </row>
    <row r="10661" spans="5:5" ht="16.5">
      <c r="E10661" s="123"/>
    </row>
    <row r="10662" spans="5:5" ht="16.5">
      <c r="E10662" s="123"/>
    </row>
    <row r="10663" spans="5:5" ht="16.5">
      <c r="E10663" s="123"/>
    </row>
    <row r="10664" spans="5:5" ht="16.5">
      <c r="E10664" s="123"/>
    </row>
    <row r="10665" spans="5:5" ht="16.5">
      <c r="E10665" s="123"/>
    </row>
    <row r="10666" spans="5:5" ht="16.5">
      <c r="E10666" s="123"/>
    </row>
    <row r="10667" spans="5:5" ht="16.5">
      <c r="E10667" s="123"/>
    </row>
    <row r="10668" spans="5:5" ht="16.5">
      <c r="E10668" s="123"/>
    </row>
    <row r="10669" spans="5:5" ht="16.5">
      <c r="E10669" s="123"/>
    </row>
    <row r="10670" spans="5:5" ht="16.5">
      <c r="E10670" s="123"/>
    </row>
    <row r="10671" spans="5:5" ht="16.5">
      <c r="E10671" s="123"/>
    </row>
    <row r="10672" spans="5:5" ht="16.5">
      <c r="E10672" s="123"/>
    </row>
    <row r="10673" spans="5:5" ht="16.5">
      <c r="E10673" s="123"/>
    </row>
    <row r="10674" spans="5:5" ht="16.5">
      <c r="E10674" s="123"/>
    </row>
    <row r="10675" spans="5:5" ht="16.5">
      <c r="E10675" s="123"/>
    </row>
    <row r="10676" spans="5:5" ht="16.5">
      <c r="E10676" s="123"/>
    </row>
    <row r="10677" spans="5:5" ht="16.5">
      <c r="E10677" s="123"/>
    </row>
    <row r="10678" spans="5:5" ht="16.5">
      <c r="E10678" s="123"/>
    </row>
    <row r="10679" spans="5:5" ht="16.5">
      <c r="E10679" s="123"/>
    </row>
    <row r="10680" spans="5:5" ht="16.5">
      <c r="E10680" s="123"/>
    </row>
    <row r="10681" spans="5:5" ht="16.5">
      <c r="E10681" s="123"/>
    </row>
    <row r="10682" spans="5:5" ht="16.5">
      <c r="E10682" s="123"/>
    </row>
    <row r="10683" spans="5:5" ht="16.5">
      <c r="E10683" s="123"/>
    </row>
    <row r="10684" spans="5:5" ht="16.5">
      <c r="E10684" s="123"/>
    </row>
    <row r="10685" spans="5:5" ht="16.5">
      <c r="E10685" s="123"/>
    </row>
    <row r="10686" spans="5:5" ht="16.5">
      <c r="E10686" s="123"/>
    </row>
    <row r="10687" spans="5:5" ht="16.5">
      <c r="E10687" s="123"/>
    </row>
    <row r="10688" spans="5:5" ht="16.5">
      <c r="E10688" s="123"/>
    </row>
    <row r="10689" spans="5:5" ht="16.5">
      <c r="E10689" s="123"/>
    </row>
    <row r="10690" spans="5:5" ht="16.5">
      <c r="E10690" s="123"/>
    </row>
    <row r="10691" spans="5:5" ht="16.5">
      <c r="E10691" s="123"/>
    </row>
    <row r="10692" spans="5:5" ht="16.5">
      <c r="E10692" s="123"/>
    </row>
    <row r="10693" spans="5:5" ht="16.5">
      <c r="E10693" s="123"/>
    </row>
    <row r="10694" spans="5:5" ht="16.5">
      <c r="E10694" s="123"/>
    </row>
    <row r="10695" spans="5:5" ht="16.5">
      <c r="E10695" s="123"/>
    </row>
    <row r="10696" spans="5:5" ht="16.5">
      <c r="E10696" s="123"/>
    </row>
    <row r="10697" spans="5:5" ht="16.5">
      <c r="E10697" s="123"/>
    </row>
    <row r="10698" spans="5:5" ht="16.5">
      <c r="E10698" s="123"/>
    </row>
    <row r="10699" spans="5:5" ht="16.5">
      <c r="E10699" s="123"/>
    </row>
    <row r="10700" spans="5:5" ht="16.5">
      <c r="E10700" s="123"/>
    </row>
    <row r="10701" spans="5:5" ht="16.5">
      <c r="E10701" s="123"/>
    </row>
    <row r="10702" spans="5:5" ht="16.5">
      <c r="E10702" s="123"/>
    </row>
    <row r="10703" spans="5:5" ht="16.5">
      <c r="E10703" s="123"/>
    </row>
    <row r="10704" spans="5:5" ht="16.5">
      <c r="E10704" s="123"/>
    </row>
    <row r="10705" spans="5:5" ht="16.5">
      <c r="E10705" s="123"/>
    </row>
    <row r="10706" spans="5:5" ht="16.5">
      <c r="E10706" s="123"/>
    </row>
    <row r="10707" spans="5:5" ht="16.5">
      <c r="E10707" s="123"/>
    </row>
    <row r="10708" spans="5:5" ht="16.5">
      <c r="E10708" s="123"/>
    </row>
    <row r="10709" spans="5:5" ht="16.5">
      <c r="E10709" s="123"/>
    </row>
    <row r="10710" spans="5:5" ht="16.5">
      <c r="E10710" s="123"/>
    </row>
    <row r="10711" spans="5:5" ht="16.5">
      <c r="E10711" s="123"/>
    </row>
    <row r="10712" spans="5:5" ht="16.5">
      <c r="E10712" s="123"/>
    </row>
    <row r="10713" spans="5:5" ht="16.5">
      <c r="E10713" s="123"/>
    </row>
    <row r="10714" spans="5:5" ht="16.5">
      <c r="E10714" s="123"/>
    </row>
    <row r="10715" spans="5:5" ht="16.5">
      <c r="E10715" s="123"/>
    </row>
    <row r="10716" spans="5:5" ht="16.5">
      <c r="E10716" s="123"/>
    </row>
    <row r="10717" spans="5:5" ht="16.5">
      <c r="E10717" s="123"/>
    </row>
    <row r="10718" spans="5:5" ht="16.5">
      <c r="E10718" s="123"/>
    </row>
    <row r="10719" spans="5:5" ht="16.5">
      <c r="E10719" s="123"/>
    </row>
    <row r="10720" spans="5:5" ht="16.5">
      <c r="E10720" s="123"/>
    </row>
    <row r="10721" spans="5:5" ht="16.5">
      <c r="E10721" s="123"/>
    </row>
    <row r="10722" spans="5:5" ht="16.5">
      <c r="E10722" s="123"/>
    </row>
    <row r="10723" spans="5:5" ht="16.5">
      <c r="E10723" s="123"/>
    </row>
    <row r="10724" spans="5:5" ht="16.5">
      <c r="E10724" s="123"/>
    </row>
    <row r="10725" spans="5:5" ht="16.5">
      <c r="E10725" s="123"/>
    </row>
    <row r="10726" spans="5:5" ht="16.5">
      <c r="E10726" s="123"/>
    </row>
    <row r="10727" spans="5:5" ht="16.5">
      <c r="E10727" s="123"/>
    </row>
    <row r="10728" spans="5:5" ht="16.5">
      <c r="E10728" s="123"/>
    </row>
    <row r="10729" spans="5:5" ht="16.5">
      <c r="E10729" s="123"/>
    </row>
    <row r="10730" spans="5:5" ht="16.5">
      <c r="E10730" s="123"/>
    </row>
    <row r="10731" spans="5:5" ht="16.5">
      <c r="E10731" s="123"/>
    </row>
    <row r="10732" spans="5:5" ht="16.5">
      <c r="E10732" s="123"/>
    </row>
    <row r="10733" spans="5:5" ht="16.5">
      <c r="E10733" s="123"/>
    </row>
    <row r="10734" spans="5:5" ht="16.5">
      <c r="E10734" s="123"/>
    </row>
    <row r="10735" spans="5:5" ht="16.5">
      <c r="E10735" s="123"/>
    </row>
    <row r="10736" spans="5:5" ht="16.5">
      <c r="E10736" s="123"/>
    </row>
    <row r="10737" spans="5:5" ht="16.5">
      <c r="E10737" s="123"/>
    </row>
    <row r="10738" spans="5:5" ht="16.5">
      <c r="E10738" s="123"/>
    </row>
    <row r="10739" spans="5:5" ht="16.5">
      <c r="E10739" s="123"/>
    </row>
    <row r="10740" spans="5:5" ht="16.5">
      <c r="E10740" s="123"/>
    </row>
    <row r="10741" spans="5:5" ht="16.5">
      <c r="E10741" s="123"/>
    </row>
    <row r="10742" spans="5:5" ht="16.5">
      <c r="E10742" s="123"/>
    </row>
    <row r="10743" spans="5:5" ht="16.5">
      <c r="E10743" s="123"/>
    </row>
    <row r="10744" spans="5:5" ht="16.5">
      <c r="E10744" s="123"/>
    </row>
    <row r="10745" spans="5:5" ht="16.5">
      <c r="E10745" s="123"/>
    </row>
    <row r="10746" spans="5:5" ht="16.5">
      <c r="E10746" s="123"/>
    </row>
    <row r="10747" spans="5:5" ht="16.5">
      <c r="E10747" s="123"/>
    </row>
    <row r="10748" spans="5:5" ht="16.5">
      <c r="E10748" s="123"/>
    </row>
    <row r="10749" spans="5:5" ht="16.5">
      <c r="E10749" s="123"/>
    </row>
    <row r="10750" spans="5:5" ht="16.5">
      <c r="E10750" s="123"/>
    </row>
    <row r="10751" spans="5:5" ht="16.5">
      <c r="E10751" s="123"/>
    </row>
    <row r="10752" spans="5:5" ht="16.5">
      <c r="E10752" s="123"/>
    </row>
    <row r="10753" spans="5:5" ht="16.5">
      <c r="E10753" s="123"/>
    </row>
    <row r="10754" spans="5:5" ht="16.5">
      <c r="E10754" s="123"/>
    </row>
    <row r="10755" spans="5:5" ht="16.5">
      <c r="E10755" s="123"/>
    </row>
    <row r="10756" spans="5:5" ht="16.5">
      <c r="E10756" s="123"/>
    </row>
    <row r="10757" spans="5:5" ht="16.5">
      <c r="E10757" s="123"/>
    </row>
    <row r="10758" spans="5:5" ht="16.5">
      <c r="E10758" s="123"/>
    </row>
    <row r="10759" spans="5:5" ht="16.5">
      <c r="E10759" s="123"/>
    </row>
    <row r="10760" spans="5:5" ht="16.5">
      <c r="E10760" s="123"/>
    </row>
    <row r="10761" spans="5:5" ht="16.5">
      <c r="E10761" s="123"/>
    </row>
    <row r="10762" spans="5:5" ht="16.5">
      <c r="E10762" s="123"/>
    </row>
    <row r="10763" spans="5:5" ht="16.5">
      <c r="E10763" s="123"/>
    </row>
    <row r="10764" spans="5:5" ht="16.5">
      <c r="E10764" s="123"/>
    </row>
    <row r="10765" spans="5:5" ht="16.5">
      <c r="E10765" s="123"/>
    </row>
    <row r="10766" spans="5:5" ht="16.5">
      <c r="E10766" s="123"/>
    </row>
    <row r="10767" spans="5:5" ht="16.5">
      <c r="E10767" s="123"/>
    </row>
    <row r="10768" spans="5:5" ht="16.5">
      <c r="E10768" s="123"/>
    </row>
    <row r="10769" spans="5:5" ht="16.5">
      <c r="E10769" s="123"/>
    </row>
    <row r="10770" spans="5:5" ht="16.5">
      <c r="E10770" s="123"/>
    </row>
    <row r="10771" spans="5:5" ht="16.5">
      <c r="E10771" s="123"/>
    </row>
    <row r="10772" spans="5:5" ht="16.5">
      <c r="E10772" s="123"/>
    </row>
    <row r="10773" spans="5:5" ht="16.5">
      <c r="E10773" s="123"/>
    </row>
    <row r="10774" spans="5:5" ht="16.5">
      <c r="E10774" s="123"/>
    </row>
    <row r="10775" spans="5:5" ht="16.5">
      <c r="E10775" s="123"/>
    </row>
    <row r="10776" spans="5:5" ht="16.5">
      <c r="E10776" s="123"/>
    </row>
    <row r="10777" spans="5:5" ht="16.5">
      <c r="E10777" s="123"/>
    </row>
    <row r="10778" spans="5:5" ht="16.5">
      <c r="E10778" s="123"/>
    </row>
    <row r="10779" spans="5:5" ht="16.5">
      <c r="E10779" s="123"/>
    </row>
    <row r="10780" spans="5:5" ht="16.5">
      <c r="E10780" s="123"/>
    </row>
    <row r="10781" spans="5:5" ht="16.5">
      <c r="E10781" s="123"/>
    </row>
    <row r="10782" spans="5:5" ht="16.5">
      <c r="E10782" s="123"/>
    </row>
    <row r="10783" spans="5:5" ht="16.5">
      <c r="E10783" s="123"/>
    </row>
    <row r="10784" spans="5:5" ht="16.5">
      <c r="E10784" s="123"/>
    </row>
    <row r="10785" spans="5:5" ht="16.5">
      <c r="E10785" s="123"/>
    </row>
    <row r="10786" spans="5:5" ht="16.5">
      <c r="E10786" s="123"/>
    </row>
    <row r="10787" spans="5:5" ht="16.5">
      <c r="E10787" s="123"/>
    </row>
    <row r="10788" spans="5:5" ht="16.5">
      <c r="E10788" s="123"/>
    </row>
    <row r="10789" spans="5:5" ht="16.5">
      <c r="E10789" s="123"/>
    </row>
    <row r="10790" spans="5:5" ht="16.5">
      <c r="E10790" s="123"/>
    </row>
    <row r="10791" spans="5:5" ht="16.5">
      <c r="E10791" s="123"/>
    </row>
    <row r="10792" spans="5:5" ht="16.5">
      <c r="E10792" s="123"/>
    </row>
    <row r="10793" spans="5:5" ht="16.5">
      <c r="E10793" s="123"/>
    </row>
    <row r="10794" spans="5:5" ht="16.5">
      <c r="E10794" s="123"/>
    </row>
    <row r="10795" spans="5:5" ht="16.5">
      <c r="E10795" s="123"/>
    </row>
    <row r="10796" spans="5:5" ht="16.5">
      <c r="E10796" s="123"/>
    </row>
    <row r="10797" spans="5:5" ht="16.5">
      <c r="E10797" s="123"/>
    </row>
    <row r="10798" spans="5:5" ht="16.5">
      <c r="E10798" s="123"/>
    </row>
    <row r="10799" spans="5:5" ht="16.5">
      <c r="E10799" s="123"/>
    </row>
    <row r="10800" spans="5:5" ht="16.5">
      <c r="E10800" s="123"/>
    </row>
    <row r="10801" spans="5:5" ht="16.5">
      <c r="E10801" s="123"/>
    </row>
    <row r="10802" spans="5:5" ht="16.5">
      <c r="E10802" s="123"/>
    </row>
    <row r="10803" spans="5:5" ht="16.5">
      <c r="E10803" s="123"/>
    </row>
    <row r="10804" spans="5:5" ht="16.5">
      <c r="E10804" s="123"/>
    </row>
    <row r="10805" spans="5:5" ht="16.5">
      <c r="E10805" s="123"/>
    </row>
    <row r="10806" spans="5:5" ht="16.5">
      <c r="E10806" s="123"/>
    </row>
    <row r="10807" spans="5:5" ht="16.5">
      <c r="E10807" s="123"/>
    </row>
    <row r="10808" spans="5:5" ht="16.5">
      <c r="E10808" s="123"/>
    </row>
    <row r="10809" spans="5:5" ht="16.5">
      <c r="E10809" s="123"/>
    </row>
    <row r="10810" spans="5:5" ht="16.5">
      <c r="E10810" s="123"/>
    </row>
    <row r="10811" spans="5:5" ht="16.5">
      <c r="E10811" s="123"/>
    </row>
    <row r="10812" spans="5:5" ht="16.5">
      <c r="E10812" s="123"/>
    </row>
    <row r="10813" spans="5:5" ht="16.5">
      <c r="E10813" s="123"/>
    </row>
    <row r="10814" spans="5:5" ht="16.5">
      <c r="E10814" s="123"/>
    </row>
    <row r="10815" spans="5:5" ht="16.5">
      <c r="E10815" s="123"/>
    </row>
    <row r="10816" spans="5:5" ht="16.5">
      <c r="E10816" s="123"/>
    </row>
    <row r="10817" spans="5:5" ht="16.5">
      <c r="E10817" s="123"/>
    </row>
    <row r="10818" spans="5:5" ht="16.5">
      <c r="E10818" s="123"/>
    </row>
    <row r="10819" spans="5:5" ht="16.5">
      <c r="E10819" s="123"/>
    </row>
    <row r="10820" spans="5:5" ht="16.5">
      <c r="E10820" s="123"/>
    </row>
    <row r="10821" spans="5:5" ht="16.5">
      <c r="E10821" s="123"/>
    </row>
    <row r="10822" spans="5:5" ht="16.5">
      <c r="E10822" s="123"/>
    </row>
    <row r="10823" spans="5:5" ht="16.5">
      <c r="E10823" s="123"/>
    </row>
    <row r="10824" spans="5:5" ht="16.5">
      <c r="E10824" s="123"/>
    </row>
    <row r="10825" spans="5:5" ht="16.5">
      <c r="E10825" s="123"/>
    </row>
    <row r="10826" spans="5:5" ht="16.5">
      <c r="E10826" s="123"/>
    </row>
    <row r="10827" spans="5:5" ht="16.5">
      <c r="E10827" s="123"/>
    </row>
    <row r="10828" spans="5:5" ht="16.5">
      <c r="E10828" s="123"/>
    </row>
    <row r="10829" spans="5:5" ht="16.5">
      <c r="E10829" s="123"/>
    </row>
    <row r="10830" spans="5:5" ht="16.5">
      <c r="E10830" s="123"/>
    </row>
    <row r="10831" spans="5:5" ht="16.5">
      <c r="E10831" s="123"/>
    </row>
    <row r="10832" spans="5:5" ht="16.5">
      <c r="E10832" s="123"/>
    </row>
    <row r="10833" spans="5:5" ht="16.5">
      <c r="E10833" s="123"/>
    </row>
    <row r="10834" spans="5:5" ht="16.5">
      <c r="E10834" s="123"/>
    </row>
    <row r="10835" spans="5:5" ht="16.5">
      <c r="E10835" s="123"/>
    </row>
    <row r="10836" spans="5:5" ht="16.5">
      <c r="E10836" s="123"/>
    </row>
    <row r="10837" spans="5:5" ht="16.5">
      <c r="E10837" s="123"/>
    </row>
    <row r="10838" spans="5:5" ht="16.5">
      <c r="E10838" s="123"/>
    </row>
    <row r="10839" spans="5:5" ht="16.5">
      <c r="E10839" s="123"/>
    </row>
    <row r="10840" spans="5:5" ht="16.5">
      <c r="E10840" s="123"/>
    </row>
    <row r="10841" spans="5:5" ht="16.5">
      <c r="E10841" s="123"/>
    </row>
    <row r="10842" spans="5:5" ht="16.5">
      <c r="E10842" s="123"/>
    </row>
    <row r="10843" spans="5:5" ht="16.5">
      <c r="E10843" s="123"/>
    </row>
    <row r="10844" spans="5:5" ht="16.5">
      <c r="E10844" s="123"/>
    </row>
    <row r="10845" spans="5:5" ht="16.5">
      <c r="E10845" s="123"/>
    </row>
    <row r="10846" spans="5:5" ht="16.5">
      <c r="E10846" s="123"/>
    </row>
    <row r="10847" spans="5:5" ht="16.5">
      <c r="E10847" s="123"/>
    </row>
    <row r="10848" spans="5:5" ht="16.5">
      <c r="E10848" s="123"/>
    </row>
    <row r="10849" spans="5:5" ht="16.5">
      <c r="E10849" s="123"/>
    </row>
    <row r="10850" spans="5:5" ht="16.5">
      <c r="E10850" s="123"/>
    </row>
    <row r="10851" spans="5:5" ht="16.5">
      <c r="E10851" s="123"/>
    </row>
    <row r="10852" spans="5:5" ht="16.5">
      <c r="E10852" s="123"/>
    </row>
    <row r="10853" spans="5:5" ht="16.5">
      <c r="E10853" s="123"/>
    </row>
    <row r="10854" spans="5:5" ht="16.5">
      <c r="E10854" s="123"/>
    </row>
    <row r="10855" spans="5:5" ht="16.5">
      <c r="E10855" s="123"/>
    </row>
    <row r="10856" spans="5:5" ht="16.5">
      <c r="E10856" s="123"/>
    </row>
    <row r="10857" spans="5:5" ht="16.5">
      <c r="E10857" s="123"/>
    </row>
    <row r="10858" spans="5:5" ht="16.5">
      <c r="E10858" s="123"/>
    </row>
    <row r="10859" spans="5:5" ht="16.5">
      <c r="E10859" s="123"/>
    </row>
    <row r="10860" spans="5:5" ht="16.5">
      <c r="E10860" s="123"/>
    </row>
    <row r="10861" spans="5:5" ht="16.5">
      <c r="E10861" s="123"/>
    </row>
    <row r="10862" spans="5:5" ht="16.5">
      <c r="E10862" s="123"/>
    </row>
    <row r="10863" spans="5:5" ht="16.5">
      <c r="E10863" s="123"/>
    </row>
    <row r="10864" spans="5:5" ht="16.5">
      <c r="E10864" s="123"/>
    </row>
    <row r="10865" spans="5:5" ht="16.5">
      <c r="E10865" s="123"/>
    </row>
    <row r="10866" spans="5:5" ht="16.5">
      <c r="E10866" s="123"/>
    </row>
    <row r="10867" spans="5:5" ht="16.5">
      <c r="E10867" s="123"/>
    </row>
    <row r="10868" spans="5:5" ht="16.5">
      <c r="E10868" s="123"/>
    </row>
    <row r="10869" spans="5:5" ht="16.5">
      <c r="E10869" s="123"/>
    </row>
    <row r="10870" spans="5:5" ht="16.5">
      <c r="E10870" s="123"/>
    </row>
    <row r="10871" spans="5:5" ht="16.5">
      <c r="E10871" s="123"/>
    </row>
    <row r="10872" spans="5:5" ht="16.5">
      <c r="E10872" s="123"/>
    </row>
    <row r="10873" spans="5:5" ht="16.5">
      <c r="E10873" s="123"/>
    </row>
    <row r="10874" spans="5:5" ht="16.5">
      <c r="E10874" s="123"/>
    </row>
    <row r="10875" spans="5:5" ht="16.5">
      <c r="E10875" s="123"/>
    </row>
    <row r="10876" spans="5:5" ht="16.5">
      <c r="E10876" s="123"/>
    </row>
    <row r="10877" spans="5:5" ht="16.5">
      <c r="E10877" s="123"/>
    </row>
    <row r="10878" spans="5:5" ht="16.5">
      <c r="E10878" s="123"/>
    </row>
    <row r="10879" spans="5:5" ht="16.5">
      <c r="E10879" s="123"/>
    </row>
    <row r="10880" spans="5:5" ht="16.5">
      <c r="E10880" s="123"/>
    </row>
    <row r="10881" spans="5:5" ht="16.5">
      <c r="E10881" s="123"/>
    </row>
    <row r="10882" spans="5:5" ht="16.5">
      <c r="E10882" s="123"/>
    </row>
    <row r="10883" spans="5:5" ht="16.5">
      <c r="E10883" s="123"/>
    </row>
    <row r="10884" spans="5:5" ht="16.5">
      <c r="E10884" s="123"/>
    </row>
    <row r="10885" spans="5:5" ht="16.5">
      <c r="E10885" s="123"/>
    </row>
    <row r="10886" spans="5:5" ht="16.5">
      <c r="E10886" s="123"/>
    </row>
    <row r="10887" spans="5:5" ht="16.5">
      <c r="E10887" s="123"/>
    </row>
    <row r="10888" spans="5:5" ht="16.5">
      <c r="E10888" s="123"/>
    </row>
    <row r="10889" spans="5:5" ht="16.5">
      <c r="E10889" s="123"/>
    </row>
    <row r="10890" spans="5:5" ht="16.5">
      <c r="E10890" s="123"/>
    </row>
    <row r="10891" spans="5:5" ht="16.5">
      <c r="E10891" s="123"/>
    </row>
    <row r="10892" spans="5:5" ht="16.5">
      <c r="E10892" s="123"/>
    </row>
    <row r="10893" spans="5:5" ht="16.5">
      <c r="E10893" s="123"/>
    </row>
    <row r="10894" spans="5:5" ht="16.5">
      <c r="E10894" s="123"/>
    </row>
    <row r="10895" spans="5:5" ht="16.5">
      <c r="E10895" s="123"/>
    </row>
    <row r="10896" spans="5:5" ht="16.5">
      <c r="E10896" s="123"/>
    </row>
    <row r="10897" spans="5:5" ht="16.5">
      <c r="E10897" s="123"/>
    </row>
    <row r="10898" spans="5:5" ht="16.5">
      <c r="E10898" s="123"/>
    </row>
    <row r="10899" spans="5:5" ht="16.5">
      <c r="E10899" s="123"/>
    </row>
    <row r="10900" spans="5:5" ht="16.5">
      <c r="E10900" s="123"/>
    </row>
    <row r="10901" spans="5:5" ht="16.5">
      <c r="E10901" s="123"/>
    </row>
    <row r="10902" spans="5:5" ht="16.5">
      <c r="E10902" s="123"/>
    </row>
    <row r="10903" spans="5:5" ht="16.5">
      <c r="E10903" s="123"/>
    </row>
    <row r="10904" spans="5:5" ht="16.5">
      <c r="E10904" s="123"/>
    </row>
    <row r="10905" spans="5:5" ht="16.5">
      <c r="E10905" s="123"/>
    </row>
    <row r="10906" spans="5:5" ht="16.5">
      <c r="E10906" s="123"/>
    </row>
    <row r="10907" spans="5:5" ht="16.5">
      <c r="E10907" s="123"/>
    </row>
    <row r="10908" spans="5:5" ht="16.5">
      <c r="E10908" s="123"/>
    </row>
    <row r="10909" spans="5:5" ht="16.5">
      <c r="E10909" s="123"/>
    </row>
    <row r="10910" spans="5:5" ht="16.5">
      <c r="E10910" s="123"/>
    </row>
    <row r="10911" spans="5:5" ht="16.5">
      <c r="E10911" s="123"/>
    </row>
    <row r="10912" spans="5:5" ht="16.5">
      <c r="E10912" s="123"/>
    </row>
    <row r="10913" spans="5:5" ht="16.5">
      <c r="E10913" s="123"/>
    </row>
    <row r="10914" spans="5:5" ht="16.5">
      <c r="E10914" s="123"/>
    </row>
    <row r="10915" spans="5:5" ht="16.5">
      <c r="E10915" s="123"/>
    </row>
    <row r="10916" spans="5:5" ht="16.5">
      <c r="E10916" s="123"/>
    </row>
    <row r="10917" spans="5:5" ht="16.5">
      <c r="E10917" s="123"/>
    </row>
    <row r="10918" spans="5:5" ht="16.5">
      <c r="E10918" s="123"/>
    </row>
    <row r="10919" spans="5:5" ht="16.5">
      <c r="E10919" s="123"/>
    </row>
    <row r="10920" spans="5:5" ht="16.5">
      <c r="E10920" s="123"/>
    </row>
    <row r="10921" spans="5:5" ht="16.5">
      <c r="E10921" s="123"/>
    </row>
    <row r="10922" spans="5:5" ht="16.5">
      <c r="E10922" s="123"/>
    </row>
    <row r="10923" spans="5:5" ht="16.5">
      <c r="E10923" s="123"/>
    </row>
    <row r="10924" spans="5:5" ht="16.5">
      <c r="E10924" s="123"/>
    </row>
    <row r="10925" spans="5:5" ht="16.5">
      <c r="E10925" s="123"/>
    </row>
    <row r="10926" spans="5:5" ht="16.5">
      <c r="E10926" s="123"/>
    </row>
    <row r="10927" spans="5:5" ht="16.5">
      <c r="E10927" s="123"/>
    </row>
    <row r="10928" spans="5:5" ht="16.5">
      <c r="E10928" s="123"/>
    </row>
    <row r="10929" spans="5:5" ht="16.5">
      <c r="E10929" s="123"/>
    </row>
    <row r="10930" spans="5:5" ht="16.5">
      <c r="E10930" s="123"/>
    </row>
    <row r="10931" spans="5:5" ht="16.5">
      <c r="E10931" s="123"/>
    </row>
    <row r="10932" spans="5:5" ht="16.5">
      <c r="E10932" s="123"/>
    </row>
    <row r="10933" spans="5:5" ht="16.5">
      <c r="E10933" s="123"/>
    </row>
    <row r="10934" spans="5:5" ht="16.5">
      <c r="E10934" s="123"/>
    </row>
    <row r="10935" spans="5:5" ht="16.5">
      <c r="E10935" s="123"/>
    </row>
    <row r="10936" spans="5:5" ht="16.5">
      <c r="E10936" s="123"/>
    </row>
    <row r="10937" spans="5:5" ht="16.5">
      <c r="E10937" s="123"/>
    </row>
    <row r="10938" spans="5:5" ht="16.5">
      <c r="E10938" s="123"/>
    </row>
    <row r="10939" spans="5:5" ht="16.5">
      <c r="E10939" s="123"/>
    </row>
    <row r="10940" spans="5:5" ht="16.5">
      <c r="E10940" s="123"/>
    </row>
    <row r="10941" spans="5:5" ht="16.5">
      <c r="E10941" s="123"/>
    </row>
    <row r="10942" spans="5:5" ht="16.5">
      <c r="E10942" s="123"/>
    </row>
    <row r="10943" spans="5:5" ht="16.5">
      <c r="E10943" s="123"/>
    </row>
    <row r="10944" spans="5:5" ht="16.5">
      <c r="E10944" s="123"/>
    </row>
    <row r="10945" spans="5:5" ht="16.5">
      <c r="E10945" s="123"/>
    </row>
    <row r="10946" spans="5:5" ht="16.5">
      <c r="E10946" s="123"/>
    </row>
    <row r="10947" spans="5:5" ht="16.5">
      <c r="E10947" s="123"/>
    </row>
    <row r="10948" spans="5:5" ht="16.5">
      <c r="E10948" s="123"/>
    </row>
    <row r="10949" spans="5:5" ht="16.5">
      <c r="E10949" s="123"/>
    </row>
    <row r="10950" spans="5:5" ht="16.5">
      <c r="E10950" s="123"/>
    </row>
    <row r="10951" spans="5:5" ht="16.5">
      <c r="E10951" s="123"/>
    </row>
    <row r="10952" spans="5:5" ht="16.5">
      <c r="E10952" s="123"/>
    </row>
    <row r="10953" spans="5:5" ht="16.5">
      <c r="E10953" s="123"/>
    </row>
    <row r="10954" spans="5:5" ht="16.5">
      <c r="E10954" s="123"/>
    </row>
    <row r="10955" spans="5:5" ht="16.5">
      <c r="E10955" s="123"/>
    </row>
    <row r="10956" spans="5:5" ht="16.5">
      <c r="E10956" s="123"/>
    </row>
    <row r="10957" spans="5:5" ht="16.5">
      <c r="E10957" s="123"/>
    </row>
    <row r="10958" spans="5:5" ht="16.5">
      <c r="E10958" s="123"/>
    </row>
    <row r="10959" spans="5:5" ht="16.5">
      <c r="E10959" s="123"/>
    </row>
    <row r="10960" spans="5:5" ht="16.5">
      <c r="E10960" s="123"/>
    </row>
    <row r="10961" spans="5:5" ht="16.5">
      <c r="E10961" s="123"/>
    </row>
    <row r="10962" spans="5:5" ht="16.5">
      <c r="E10962" s="123"/>
    </row>
    <row r="10963" spans="5:5" ht="16.5">
      <c r="E10963" s="123"/>
    </row>
    <row r="10964" spans="5:5" ht="16.5">
      <c r="E10964" s="123"/>
    </row>
    <row r="10965" spans="5:5" ht="16.5">
      <c r="E10965" s="123"/>
    </row>
    <row r="10966" spans="5:5" ht="16.5">
      <c r="E10966" s="123"/>
    </row>
    <row r="10967" spans="5:5" ht="16.5">
      <c r="E10967" s="123"/>
    </row>
    <row r="10968" spans="5:5" ht="16.5">
      <c r="E10968" s="123"/>
    </row>
    <row r="10969" spans="5:5" ht="16.5">
      <c r="E10969" s="123"/>
    </row>
    <row r="10970" spans="5:5" ht="16.5">
      <c r="E10970" s="123"/>
    </row>
    <row r="10971" spans="5:5" ht="16.5">
      <c r="E10971" s="123"/>
    </row>
    <row r="10972" spans="5:5" ht="16.5">
      <c r="E10972" s="123"/>
    </row>
    <row r="10973" spans="5:5" ht="16.5">
      <c r="E10973" s="123"/>
    </row>
    <row r="10974" spans="5:5" ht="16.5">
      <c r="E10974" s="123"/>
    </row>
    <row r="10975" spans="5:5" ht="16.5">
      <c r="E10975" s="123"/>
    </row>
    <row r="10976" spans="5:5" ht="16.5">
      <c r="E10976" s="123"/>
    </row>
    <row r="10977" spans="5:5" ht="16.5">
      <c r="E10977" s="123"/>
    </row>
    <row r="10978" spans="5:5" ht="16.5">
      <c r="E10978" s="123"/>
    </row>
    <row r="10979" spans="5:5" ht="16.5">
      <c r="E10979" s="123"/>
    </row>
    <row r="10980" spans="5:5" ht="16.5">
      <c r="E10980" s="123"/>
    </row>
    <row r="10981" spans="5:5" ht="16.5">
      <c r="E10981" s="123"/>
    </row>
    <row r="10982" spans="5:5" ht="16.5">
      <c r="E10982" s="123"/>
    </row>
    <row r="10983" spans="5:5" ht="16.5">
      <c r="E10983" s="123"/>
    </row>
    <row r="10984" spans="5:5" ht="16.5">
      <c r="E10984" s="123"/>
    </row>
    <row r="10985" spans="5:5" ht="16.5">
      <c r="E10985" s="123"/>
    </row>
    <row r="10986" spans="5:5" ht="16.5">
      <c r="E10986" s="123"/>
    </row>
    <row r="10987" spans="5:5" ht="16.5">
      <c r="E10987" s="123"/>
    </row>
    <row r="10988" spans="5:5" ht="16.5">
      <c r="E10988" s="123"/>
    </row>
    <row r="10989" spans="5:5" ht="16.5">
      <c r="E10989" s="123"/>
    </row>
    <row r="10990" spans="5:5" ht="16.5">
      <c r="E10990" s="123"/>
    </row>
    <row r="10991" spans="5:5" ht="16.5">
      <c r="E10991" s="123"/>
    </row>
    <row r="10992" spans="5:5" ht="16.5">
      <c r="E10992" s="123"/>
    </row>
    <row r="10993" spans="5:5" ht="16.5">
      <c r="E10993" s="123"/>
    </row>
    <row r="10994" spans="5:5" ht="16.5">
      <c r="E10994" s="123"/>
    </row>
    <row r="10995" spans="5:5" ht="16.5">
      <c r="E10995" s="123"/>
    </row>
    <row r="10996" spans="5:5" ht="16.5">
      <c r="E10996" s="123"/>
    </row>
    <row r="10997" spans="5:5" ht="16.5">
      <c r="E10997" s="123"/>
    </row>
    <row r="10998" spans="5:5" ht="16.5">
      <c r="E10998" s="123"/>
    </row>
    <row r="10999" spans="5:5" ht="16.5">
      <c r="E10999" s="123"/>
    </row>
    <row r="11000" spans="5:5" ht="16.5">
      <c r="E11000" s="123"/>
    </row>
    <row r="11001" spans="5:5" ht="16.5">
      <c r="E11001" s="123"/>
    </row>
    <row r="11002" spans="5:5" ht="16.5">
      <c r="E11002" s="123"/>
    </row>
    <row r="11003" spans="5:5" ht="16.5">
      <c r="E11003" s="123"/>
    </row>
    <row r="11004" spans="5:5" ht="16.5">
      <c r="E11004" s="123"/>
    </row>
    <row r="11005" spans="5:5" ht="16.5">
      <c r="E11005" s="123"/>
    </row>
    <row r="11006" spans="5:5" ht="16.5">
      <c r="E11006" s="123"/>
    </row>
    <row r="11007" spans="5:5" ht="16.5">
      <c r="E11007" s="123"/>
    </row>
    <row r="11008" spans="5:5" ht="16.5">
      <c r="E11008" s="123"/>
    </row>
    <row r="11009" spans="5:5" ht="16.5">
      <c r="E11009" s="123"/>
    </row>
    <row r="11010" spans="5:5" ht="16.5">
      <c r="E11010" s="123"/>
    </row>
    <row r="11011" spans="5:5" ht="16.5">
      <c r="E11011" s="123"/>
    </row>
    <row r="11012" spans="5:5" ht="16.5">
      <c r="E11012" s="123"/>
    </row>
    <row r="11013" spans="5:5" ht="16.5">
      <c r="E11013" s="123"/>
    </row>
    <row r="11014" spans="5:5" ht="16.5">
      <c r="E11014" s="123"/>
    </row>
    <row r="11015" spans="5:5" ht="16.5">
      <c r="E11015" s="123"/>
    </row>
    <row r="11016" spans="5:5" ht="16.5">
      <c r="E11016" s="123"/>
    </row>
    <row r="11017" spans="5:5" ht="16.5">
      <c r="E11017" s="123"/>
    </row>
    <row r="11018" spans="5:5" ht="16.5">
      <c r="E11018" s="123"/>
    </row>
    <row r="11019" spans="5:5" ht="16.5">
      <c r="E11019" s="123"/>
    </row>
    <row r="11020" spans="5:5" ht="16.5">
      <c r="E11020" s="123"/>
    </row>
    <row r="11021" spans="5:5" ht="16.5">
      <c r="E11021" s="123"/>
    </row>
    <row r="11022" spans="5:5" ht="16.5">
      <c r="E11022" s="123"/>
    </row>
    <row r="11023" spans="5:5" ht="16.5">
      <c r="E11023" s="123"/>
    </row>
    <row r="11024" spans="5:5" ht="16.5">
      <c r="E11024" s="123"/>
    </row>
    <row r="11025" spans="5:5" ht="16.5">
      <c r="E11025" s="123"/>
    </row>
    <row r="11026" spans="5:5" ht="16.5">
      <c r="E11026" s="123"/>
    </row>
    <row r="11027" spans="5:5" ht="16.5">
      <c r="E11027" s="123"/>
    </row>
    <row r="11028" spans="5:5" ht="16.5">
      <c r="E11028" s="123"/>
    </row>
    <row r="11029" spans="5:5" ht="16.5">
      <c r="E11029" s="123"/>
    </row>
    <row r="11030" spans="5:5" ht="16.5">
      <c r="E11030" s="123"/>
    </row>
    <row r="11031" spans="5:5" ht="16.5">
      <c r="E11031" s="123"/>
    </row>
    <row r="11032" spans="5:5" ht="16.5">
      <c r="E11032" s="123"/>
    </row>
    <row r="11033" spans="5:5" ht="16.5">
      <c r="E11033" s="123"/>
    </row>
    <row r="11034" spans="5:5" ht="16.5">
      <c r="E11034" s="123"/>
    </row>
    <row r="11035" spans="5:5" ht="16.5">
      <c r="E11035" s="123"/>
    </row>
    <row r="11036" spans="5:5" ht="16.5">
      <c r="E11036" s="123"/>
    </row>
    <row r="11037" spans="5:5" ht="16.5">
      <c r="E11037" s="123"/>
    </row>
    <row r="11038" spans="5:5" ht="16.5">
      <c r="E11038" s="123"/>
    </row>
    <row r="11039" spans="5:5" ht="16.5">
      <c r="E11039" s="123"/>
    </row>
    <row r="11040" spans="5:5" ht="16.5">
      <c r="E11040" s="123"/>
    </row>
    <row r="11041" spans="5:5" ht="16.5">
      <c r="E11041" s="123"/>
    </row>
    <row r="11042" spans="5:5" ht="16.5">
      <c r="E11042" s="123"/>
    </row>
    <row r="11043" spans="5:5" ht="16.5">
      <c r="E11043" s="123"/>
    </row>
    <row r="11044" spans="5:5" ht="16.5">
      <c r="E11044" s="123"/>
    </row>
    <row r="11045" spans="5:5" ht="16.5">
      <c r="E11045" s="123"/>
    </row>
    <row r="11046" spans="5:5" ht="16.5">
      <c r="E11046" s="123"/>
    </row>
    <row r="11047" spans="5:5" ht="16.5">
      <c r="E11047" s="123"/>
    </row>
    <row r="11048" spans="5:5" ht="16.5">
      <c r="E11048" s="123"/>
    </row>
    <row r="11049" spans="5:5" ht="16.5">
      <c r="E11049" s="123"/>
    </row>
    <row r="11050" spans="5:5" ht="16.5">
      <c r="E11050" s="123"/>
    </row>
    <row r="11051" spans="5:5" ht="16.5">
      <c r="E11051" s="123"/>
    </row>
    <row r="11052" spans="5:5" ht="16.5">
      <c r="E11052" s="123"/>
    </row>
    <row r="11053" spans="5:5" ht="16.5">
      <c r="E11053" s="123"/>
    </row>
    <row r="11054" spans="5:5" ht="16.5">
      <c r="E11054" s="123"/>
    </row>
    <row r="11055" spans="5:5" ht="16.5">
      <c r="E11055" s="123"/>
    </row>
    <row r="11056" spans="5:5" ht="16.5">
      <c r="E11056" s="123"/>
    </row>
    <row r="11057" spans="5:5" ht="16.5">
      <c r="E11057" s="123"/>
    </row>
    <row r="11058" spans="5:5" ht="16.5">
      <c r="E11058" s="123"/>
    </row>
    <row r="11059" spans="5:5" ht="16.5">
      <c r="E11059" s="123"/>
    </row>
    <row r="11060" spans="5:5" ht="16.5">
      <c r="E11060" s="123"/>
    </row>
    <row r="11061" spans="5:5" ht="16.5">
      <c r="E11061" s="123"/>
    </row>
    <row r="11062" spans="5:5" ht="16.5">
      <c r="E11062" s="123"/>
    </row>
    <row r="11063" spans="5:5" ht="16.5">
      <c r="E11063" s="123"/>
    </row>
    <row r="11064" spans="5:5" ht="16.5">
      <c r="E11064" s="123"/>
    </row>
    <row r="11065" spans="5:5" ht="16.5">
      <c r="E11065" s="123"/>
    </row>
    <row r="11066" spans="5:5" ht="16.5">
      <c r="E11066" s="123"/>
    </row>
    <row r="11067" spans="5:5" ht="16.5">
      <c r="E11067" s="123"/>
    </row>
    <row r="11068" spans="5:5" ht="16.5">
      <c r="E11068" s="123"/>
    </row>
    <row r="11069" spans="5:5" ht="16.5">
      <c r="E11069" s="123"/>
    </row>
    <row r="11070" spans="5:5" ht="16.5">
      <c r="E11070" s="123"/>
    </row>
    <row r="11071" spans="5:5" ht="16.5">
      <c r="E11071" s="123"/>
    </row>
    <row r="11072" spans="5:5" ht="16.5">
      <c r="E11072" s="123"/>
    </row>
    <row r="11073" spans="5:5" ht="16.5">
      <c r="E11073" s="123"/>
    </row>
    <row r="11074" spans="5:5" ht="16.5">
      <c r="E11074" s="123"/>
    </row>
    <row r="11075" spans="5:5" ht="16.5">
      <c r="E11075" s="123"/>
    </row>
    <row r="11076" spans="5:5" ht="16.5">
      <c r="E11076" s="123"/>
    </row>
    <row r="11077" spans="5:5" ht="16.5">
      <c r="E11077" s="123"/>
    </row>
    <row r="11078" spans="5:5" ht="16.5">
      <c r="E11078" s="123"/>
    </row>
    <row r="11079" spans="5:5" ht="16.5">
      <c r="E11079" s="123"/>
    </row>
    <row r="11080" spans="5:5" ht="16.5">
      <c r="E11080" s="123"/>
    </row>
    <row r="11081" spans="5:5" ht="16.5">
      <c r="E11081" s="123"/>
    </row>
    <row r="11082" spans="5:5" ht="16.5">
      <c r="E11082" s="123"/>
    </row>
    <row r="11083" spans="5:5" ht="16.5">
      <c r="E11083" s="123"/>
    </row>
    <row r="11084" spans="5:5" ht="16.5">
      <c r="E11084" s="123"/>
    </row>
    <row r="11085" spans="5:5" ht="16.5">
      <c r="E11085" s="123"/>
    </row>
    <row r="11086" spans="5:5" ht="16.5">
      <c r="E11086" s="123"/>
    </row>
    <row r="11087" spans="5:5" ht="16.5">
      <c r="E11087" s="123"/>
    </row>
    <row r="11088" spans="5:5" ht="16.5">
      <c r="E11088" s="123"/>
    </row>
    <row r="11089" spans="5:5" ht="16.5">
      <c r="E11089" s="123"/>
    </row>
    <row r="11090" spans="5:5" ht="16.5">
      <c r="E11090" s="123"/>
    </row>
    <row r="11091" spans="5:5" ht="16.5">
      <c r="E11091" s="123"/>
    </row>
    <row r="11092" spans="5:5" ht="16.5">
      <c r="E11092" s="123"/>
    </row>
    <row r="11093" spans="5:5" ht="16.5">
      <c r="E11093" s="123"/>
    </row>
    <row r="11094" spans="5:5" ht="16.5">
      <c r="E11094" s="123"/>
    </row>
    <row r="11095" spans="5:5" ht="16.5">
      <c r="E11095" s="123"/>
    </row>
    <row r="11096" spans="5:5" ht="16.5">
      <c r="E11096" s="123"/>
    </row>
    <row r="11097" spans="5:5" ht="16.5">
      <c r="E11097" s="123"/>
    </row>
    <row r="11098" spans="5:5" ht="16.5">
      <c r="E11098" s="123"/>
    </row>
    <row r="11099" spans="5:5" ht="16.5">
      <c r="E11099" s="123"/>
    </row>
    <row r="11100" spans="5:5" ht="16.5">
      <c r="E11100" s="123"/>
    </row>
    <row r="11101" spans="5:5" ht="16.5">
      <c r="E11101" s="123"/>
    </row>
    <row r="11102" spans="5:5" ht="16.5">
      <c r="E11102" s="123"/>
    </row>
    <row r="11103" spans="5:5" ht="16.5">
      <c r="E11103" s="123"/>
    </row>
    <row r="11104" spans="5:5" ht="16.5">
      <c r="E11104" s="123"/>
    </row>
    <row r="11105" spans="5:5" ht="16.5">
      <c r="E11105" s="123"/>
    </row>
    <row r="11106" spans="5:5" ht="16.5">
      <c r="E11106" s="123"/>
    </row>
    <row r="11107" spans="5:5" ht="16.5">
      <c r="E11107" s="123"/>
    </row>
    <row r="11108" spans="5:5" ht="16.5">
      <c r="E11108" s="123"/>
    </row>
    <row r="11109" spans="5:5" ht="16.5">
      <c r="E11109" s="123"/>
    </row>
    <row r="11110" spans="5:5" ht="16.5">
      <c r="E11110" s="123"/>
    </row>
    <row r="11111" spans="5:5" ht="16.5">
      <c r="E11111" s="123"/>
    </row>
    <row r="11112" spans="5:5" ht="16.5">
      <c r="E11112" s="123"/>
    </row>
    <row r="11113" spans="5:5" ht="16.5">
      <c r="E11113" s="123"/>
    </row>
    <row r="11114" spans="5:5" ht="16.5">
      <c r="E11114" s="123"/>
    </row>
    <row r="11115" spans="5:5" ht="16.5">
      <c r="E11115" s="123"/>
    </row>
    <row r="11116" spans="5:5" ht="16.5">
      <c r="E11116" s="123"/>
    </row>
    <row r="11117" spans="5:5" ht="16.5">
      <c r="E11117" s="123"/>
    </row>
    <row r="11118" spans="5:5" ht="16.5">
      <c r="E11118" s="123"/>
    </row>
    <row r="11119" spans="5:5" ht="16.5">
      <c r="E11119" s="123"/>
    </row>
    <row r="11120" spans="5:5" ht="16.5">
      <c r="E11120" s="123"/>
    </row>
    <row r="11121" spans="5:5" ht="16.5">
      <c r="E11121" s="123"/>
    </row>
    <row r="11122" spans="5:5" ht="16.5">
      <c r="E11122" s="123"/>
    </row>
    <row r="11123" spans="5:5" ht="16.5">
      <c r="E11123" s="123"/>
    </row>
    <row r="11124" spans="5:5" ht="16.5">
      <c r="E11124" s="123"/>
    </row>
    <row r="11125" spans="5:5" ht="16.5">
      <c r="E11125" s="123"/>
    </row>
    <row r="11126" spans="5:5" ht="16.5">
      <c r="E11126" s="123"/>
    </row>
    <row r="11127" spans="5:5" ht="16.5">
      <c r="E11127" s="123"/>
    </row>
    <row r="11128" spans="5:5" ht="16.5">
      <c r="E11128" s="123"/>
    </row>
    <row r="11129" spans="5:5" ht="16.5">
      <c r="E11129" s="123"/>
    </row>
    <row r="11130" spans="5:5" ht="16.5">
      <c r="E11130" s="123"/>
    </row>
    <row r="11131" spans="5:5" ht="16.5">
      <c r="E11131" s="123"/>
    </row>
    <row r="11132" spans="5:5" ht="16.5">
      <c r="E11132" s="123"/>
    </row>
    <row r="11133" spans="5:5" ht="16.5">
      <c r="E11133" s="123"/>
    </row>
    <row r="11134" spans="5:5" ht="16.5">
      <c r="E11134" s="123"/>
    </row>
    <row r="11135" spans="5:5" ht="16.5">
      <c r="E11135" s="123"/>
    </row>
    <row r="11136" spans="5:5" ht="16.5">
      <c r="E11136" s="123"/>
    </row>
    <row r="11137" spans="5:5" ht="16.5">
      <c r="E11137" s="123"/>
    </row>
    <row r="11138" spans="5:5" ht="16.5">
      <c r="E11138" s="123"/>
    </row>
    <row r="11139" spans="5:5" ht="16.5">
      <c r="E11139" s="123"/>
    </row>
    <row r="11140" spans="5:5" ht="16.5">
      <c r="E11140" s="123"/>
    </row>
    <row r="11141" spans="5:5" ht="16.5">
      <c r="E11141" s="123"/>
    </row>
    <row r="11142" spans="5:5" ht="16.5">
      <c r="E11142" s="123"/>
    </row>
    <row r="11143" spans="5:5" ht="16.5">
      <c r="E11143" s="123"/>
    </row>
    <row r="11144" spans="5:5" ht="16.5">
      <c r="E11144" s="123"/>
    </row>
    <row r="11145" spans="5:5" ht="16.5">
      <c r="E11145" s="123"/>
    </row>
    <row r="11146" spans="5:5" ht="16.5">
      <c r="E11146" s="123"/>
    </row>
    <row r="11147" spans="5:5" ht="16.5">
      <c r="E11147" s="123"/>
    </row>
    <row r="11148" spans="5:5" ht="16.5">
      <c r="E11148" s="123"/>
    </row>
    <row r="11149" spans="5:5" ht="16.5">
      <c r="E11149" s="123"/>
    </row>
    <row r="11150" spans="5:5" ht="16.5">
      <c r="E11150" s="123"/>
    </row>
    <row r="11151" spans="5:5" ht="16.5">
      <c r="E11151" s="123"/>
    </row>
    <row r="11152" spans="5:5" ht="16.5">
      <c r="E11152" s="123"/>
    </row>
    <row r="11153" spans="5:5" ht="16.5">
      <c r="E11153" s="123"/>
    </row>
    <row r="11154" spans="5:5" ht="16.5">
      <c r="E11154" s="123"/>
    </row>
    <row r="11155" spans="5:5" ht="16.5">
      <c r="E11155" s="123"/>
    </row>
    <row r="11156" spans="5:5" ht="16.5">
      <c r="E11156" s="123"/>
    </row>
    <row r="11157" spans="5:5" ht="16.5">
      <c r="E11157" s="123"/>
    </row>
    <row r="11158" spans="5:5" ht="16.5">
      <c r="E11158" s="123"/>
    </row>
    <row r="11159" spans="5:5" ht="16.5">
      <c r="E11159" s="123"/>
    </row>
    <row r="11160" spans="5:5" ht="16.5">
      <c r="E11160" s="123"/>
    </row>
    <row r="11161" spans="5:5" ht="16.5">
      <c r="E11161" s="123"/>
    </row>
    <row r="11162" spans="5:5" ht="16.5">
      <c r="E11162" s="123"/>
    </row>
    <row r="11163" spans="5:5" ht="16.5">
      <c r="E11163" s="123"/>
    </row>
    <row r="11164" spans="5:5" ht="16.5">
      <c r="E11164" s="123"/>
    </row>
    <row r="11165" spans="5:5" ht="16.5">
      <c r="E11165" s="123"/>
    </row>
    <row r="11166" spans="5:5" ht="16.5">
      <c r="E11166" s="123"/>
    </row>
    <row r="11167" spans="5:5" ht="16.5">
      <c r="E11167" s="123"/>
    </row>
    <row r="11168" spans="5:5" ht="16.5">
      <c r="E11168" s="123"/>
    </row>
    <row r="11169" spans="5:5" ht="16.5">
      <c r="E11169" s="123"/>
    </row>
    <row r="11170" spans="5:5" ht="16.5">
      <c r="E11170" s="123"/>
    </row>
    <row r="11171" spans="5:5" ht="16.5">
      <c r="E11171" s="123"/>
    </row>
    <row r="11172" spans="5:5" ht="16.5">
      <c r="E11172" s="123"/>
    </row>
    <row r="11173" spans="5:5" ht="16.5">
      <c r="E11173" s="123"/>
    </row>
    <row r="11174" spans="5:5" ht="16.5">
      <c r="E11174" s="123"/>
    </row>
    <row r="11175" spans="5:5" ht="16.5">
      <c r="E11175" s="123"/>
    </row>
    <row r="11176" spans="5:5" ht="16.5">
      <c r="E11176" s="123"/>
    </row>
    <row r="11177" spans="5:5" ht="16.5">
      <c r="E11177" s="123"/>
    </row>
    <row r="11178" spans="5:5" ht="16.5">
      <c r="E11178" s="123"/>
    </row>
    <row r="11179" spans="5:5" ht="16.5">
      <c r="E11179" s="123"/>
    </row>
    <row r="11180" spans="5:5" ht="16.5">
      <c r="E11180" s="123"/>
    </row>
    <row r="11181" spans="5:5" ht="16.5">
      <c r="E11181" s="123"/>
    </row>
    <row r="11182" spans="5:5" ht="16.5">
      <c r="E11182" s="123"/>
    </row>
    <row r="11183" spans="5:5" ht="16.5">
      <c r="E11183" s="123"/>
    </row>
    <row r="11184" spans="5:5" ht="16.5">
      <c r="E11184" s="123"/>
    </row>
    <row r="11185" spans="5:5" ht="16.5">
      <c r="E11185" s="123"/>
    </row>
    <row r="11186" spans="5:5" ht="16.5">
      <c r="E11186" s="123"/>
    </row>
    <row r="11187" spans="5:5" ht="16.5">
      <c r="E11187" s="123"/>
    </row>
    <row r="11188" spans="5:5" ht="16.5">
      <c r="E11188" s="123"/>
    </row>
    <row r="11189" spans="5:5" ht="16.5">
      <c r="E11189" s="123"/>
    </row>
    <row r="11190" spans="5:5" ht="16.5">
      <c r="E11190" s="123"/>
    </row>
    <row r="11191" spans="5:5" ht="16.5">
      <c r="E11191" s="123"/>
    </row>
    <row r="11192" spans="5:5" ht="16.5">
      <c r="E11192" s="123"/>
    </row>
    <row r="11193" spans="5:5" ht="16.5">
      <c r="E11193" s="123"/>
    </row>
    <row r="11194" spans="5:5" ht="16.5">
      <c r="E11194" s="123"/>
    </row>
    <row r="11195" spans="5:5" ht="16.5">
      <c r="E11195" s="123"/>
    </row>
    <row r="11196" spans="5:5" ht="16.5">
      <c r="E11196" s="123"/>
    </row>
    <row r="11197" spans="5:5" ht="16.5">
      <c r="E11197" s="123"/>
    </row>
    <row r="11198" spans="5:5" ht="16.5">
      <c r="E11198" s="123"/>
    </row>
    <row r="11199" spans="5:5" ht="16.5">
      <c r="E11199" s="123"/>
    </row>
    <row r="11200" spans="5:5" ht="16.5">
      <c r="E11200" s="123"/>
    </row>
    <row r="11201" spans="5:5" ht="16.5">
      <c r="E11201" s="123"/>
    </row>
    <row r="11202" spans="5:5" ht="16.5">
      <c r="E11202" s="123"/>
    </row>
    <row r="11203" spans="5:5" ht="16.5">
      <c r="E11203" s="123"/>
    </row>
    <row r="11204" spans="5:5" ht="16.5">
      <c r="E11204" s="123"/>
    </row>
    <row r="11205" spans="5:5" ht="16.5">
      <c r="E11205" s="123"/>
    </row>
    <row r="11206" spans="5:5" ht="16.5">
      <c r="E11206" s="123"/>
    </row>
    <row r="11207" spans="5:5" ht="16.5">
      <c r="E11207" s="123"/>
    </row>
    <row r="11208" spans="5:5" ht="16.5">
      <c r="E11208" s="123"/>
    </row>
    <row r="11209" spans="5:5" ht="16.5">
      <c r="E11209" s="123"/>
    </row>
    <row r="11210" spans="5:5" ht="16.5">
      <c r="E11210" s="123"/>
    </row>
    <row r="11211" spans="5:5" ht="16.5">
      <c r="E11211" s="123"/>
    </row>
    <row r="11212" spans="5:5" ht="16.5">
      <c r="E11212" s="123"/>
    </row>
    <row r="11213" spans="5:5" ht="16.5">
      <c r="E11213" s="123"/>
    </row>
    <row r="11214" spans="5:5" ht="16.5">
      <c r="E11214" s="123"/>
    </row>
    <row r="11215" spans="5:5" ht="16.5">
      <c r="E11215" s="123"/>
    </row>
    <row r="11216" spans="5:5" ht="16.5">
      <c r="E11216" s="123"/>
    </row>
    <row r="11217" spans="5:5" ht="16.5">
      <c r="E11217" s="123"/>
    </row>
    <row r="11218" spans="5:5" ht="16.5">
      <c r="E11218" s="123"/>
    </row>
    <row r="11219" spans="5:5" ht="16.5">
      <c r="E11219" s="123"/>
    </row>
    <row r="11220" spans="5:5" ht="16.5">
      <c r="E11220" s="123"/>
    </row>
    <row r="11221" spans="5:5" ht="16.5">
      <c r="E11221" s="123"/>
    </row>
    <row r="11222" spans="5:5" ht="16.5">
      <c r="E11222" s="123"/>
    </row>
    <row r="11223" spans="5:5" ht="16.5">
      <c r="E11223" s="123"/>
    </row>
    <row r="11224" spans="5:5" ht="16.5">
      <c r="E11224" s="123"/>
    </row>
    <row r="11225" spans="5:5" ht="16.5">
      <c r="E11225" s="123"/>
    </row>
    <row r="11226" spans="5:5" ht="16.5">
      <c r="E11226" s="123"/>
    </row>
    <row r="11227" spans="5:5" ht="16.5">
      <c r="E11227" s="123"/>
    </row>
    <row r="11228" spans="5:5" ht="16.5">
      <c r="E11228" s="123"/>
    </row>
    <row r="11229" spans="5:5" ht="16.5">
      <c r="E11229" s="123"/>
    </row>
    <row r="11230" spans="5:5" ht="16.5">
      <c r="E11230" s="123"/>
    </row>
    <row r="11231" spans="5:5" ht="16.5">
      <c r="E11231" s="123"/>
    </row>
    <row r="11232" spans="5:5" ht="16.5">
      <c r="E11232" s="123"/>
    </row>
    <row r="11233" spans="5:5" ht="16.5">
      <c r="E11233" s="123"/>
    </row>
    <row r="11234" spans="5:5" ht="16.5">
      <c r="E11234" s="123"/>
    </row>
    <row r="11235" spans="5:5" ht="16.5">
      <c r="E11235" s="123"/>
    </row>
    <row r="11236" spans="5:5" ht="16.5">
      <c r="E11236" s="123"/>
    </row>
    <row r="11237" spans="5:5" ht="16.5">
      <c r="E11237" s="123"/>
    </row>
    <row r="11238" spans="5:5" ht="16.5">
      <c r="E11238" s="123"/>
    </row>
    <row r="11239" spans="5:5" ht="16.5">
      <c r="E11239" s="123"/>
    </row>
    <row r="11240" spans="5:5" ht="16.5">
      <c r="E11240" s="123"/>
    </row>
    <row r="11241" spans="5:5" ht="16.5">
      <c r="E11241" s="123"/>
    </row>
    <row r="11242" spans="5:5" ht="16.5">
      <c r="E11242" s="123"/>
    </row>
    <row r="11243" spans="5:5" ht="16.5">
      <c r="E11243" s="123"/>
    </row>
    <row r="11244" spans="5:5" ht="16.5">
      <c r="E11244" s="123"/>
    </row>
    <row r="11245" spans="5:5" ht="16.5">
      <c r="E11245" s="123"/>
    </row>
    <row r="11246" spans="5:5" ht="16.5">
      <c r="E11246" s="123"/>
    </row>
    <row r="11247" spans="5:5" ht="16.5">
      <c r="E11247" s="123"/>
    </row>
    <row r="11248" spans="5:5" ht="16.5">
      <c r="E11248" s="123"/>
    </row>
    <row r="11249" spans="5:5" ht="16.5">
      <c r="E11249" s="123"/>
    </row>
    <row r="11250" spans="5:5" ht="16.5">
      <c r="E11250" s="123"/>
    </row>
    <row r="11251" spans="5:5" ht="16.5">
      <c r="E11251" s="123"/>
    </row>
    <row r="11252" spans="5:5" ht="16.5">
      <c r="E11252" s="123"/>
    </row>
    <row r="11253" spans="5:5" ht="16.5">
      <c r="E11253" s="123"/>
    </row>
    <row r="11254" spans="5:5" ht="16.5">
      <c r="E11254" s="123"/>
    </row>
    <row r="11255" spans="5:5" ht="16.5">
      <c r="E11255" s="123"/>
    </row>
    <row r="11256" spans="5:5" ht="16.5">
      <c r="E11256" s="123"/>
    </row>
    <row r="11257" spans="5:5" ht="16.5">
      <c r="E11257" s="123"/>
    </row>
    <row r="11258" spans="5:5" ht="16.5">
      <c r="E11258" s="123"/>
    </row>
    <row r="11259" spans="5:5" ht="16.5">
      <c r="E11259" s="123"/>
    </row>
    <row r="11260" spans="5:5" ht="16.5">
      <c r="E11260" s="123"/>
    </row>
    <row r="11261" spans="5:5" ht="16.5">
      <c r="E11261" s="123"/>
    </row>
    <row r="11262" spans="5:5" ht="16.5">
      <c r="E11262" s="123"/>
    </row>
    <row r="11263" spans="5:5" ht="16.5">
      <c r="E11263" s="123"/>
    </row>
    <row r="11264" spans="5:5" ht="16.5">
      <c r="E11264" s="123"/>
    </row>
    <row r="11265" spans="5:5" ht="16.5">
      <c r="E11265" s="123"/>
    </row>
    <row r="11266" spans="5:5" ht="16.5">
      <c r="E11266" s="123"/>
    </row>
    <row r="11267" spans="5:5" ht="16.5">
      <c r="E11267" s="123"/>
    </row>
    <row r="11268" spans="5:5" ht="16.5">
      <c r="E11268" s="123"/>
    </row>
    <row r="11269" spans="5:5" ht="16.5">
      <c r="E11269" s="123"/>
    </row>
    <row r="11270" spans="5:5" ht="16.5">
      <c r="E11270" s="123"/>
    </row>
    <row r="11271" spans="5:5" ht="16.5">
      <c r="E11271" s="123"/>
    </row>
    <row r="11272" spans="5:5" ht="16.5">
      <c r="E11272" s="123"/>
    </row>
    <row r="11273" spans="5:5" ht="16.5">
      <c r="E11273" s="123"/>
    </row>
    <row r="11274" spans="5:5" ht="16.5">
      <c r="E11274" s="123"/>
    </row>
    <row r="11275" spans="5:5" ht="16.5">
      <c r="E11275" s="123"/>
    </row>
    <row r="11276" spans="5:5" ht="16.5">
      <c r="E11276" s="123"/>
    </row>
    <row r="11277" spans="5:5" ht="16.5">
      <c r="E11277" s="123"/>
    </row>
    <row r="11278" spans="5:5" ht="16.5">
      <c r="E11278" s="123"/>
    </row>
    <row r="11279" spans="5:5" ht="16.5">
      <c r="E11279" s="123"/>
    </row>
    <row r="11280" spans="5:5" ht="16.5">
      <c r="E11280" s="123"/>
    </row>
    <row r="11281" spans="5:5" ht="16.5">
      <c r="E11281" s="123"/>
    </row>
    <row r="11282" spans="5:5" ht="16.5">
      <c r="E11282" s="123"/>
    </row>
    <row r="11283" spans="5:5" ht="16.5">
      <c r="E11283" s="123"/>
    </row>
    <row r="11284" spans="5:5" ht="16.5">
      <c r="E11284" s="123"/>
    </row>
    <row r="11285" spans="5:5" ht="16.5">
      <c r="E11285" s="123"/>
    </row>
    <row r="11286" spans="5:5" ht="16.5">
      <c r="E11286" s="123"/>
    </row>
    <row r="11287" spans="5:5" ht="16.5">
      <c r="E11287" s="123"/>
    </row>
    <row r="11288" spans="5:5" ht="16.5">
      <c r="E11288" s="123"/>
    </row>
    <row r="11289" spans="5:5" ht="16.5">
      <c r="E11289" s="123"/>
    </row>
    <row r="11290" spans="5:5" ht="16.5">
      <c r="E11290" s="123"/>
    </row>
    <row r="11291" spans="5:5" ht="16.5">
      <c r="E11291" s="123"/>
    </row>
    <row r="11292" spans="5:5" ht="16.5">
      <c r="E11292" s="123"/>
    </row>
    <row r="11293" spans="5:5" ht="16.5">
      <c r="E11293" s="123"/>
    </row>
    <row r="11294" spans="5:5" ht="16.5">
      <c r="E11294" s="123"/>
    </row>
    <row r="11295" spans="5:5" ht="16.5">
      <c r="E11295" s="123"/>
    </row>
    <row r="11296" spans="5:5" ht="16.5">
      <c r="E11296" s="123"/>
    </row>
    <row r="11297" spans="5:5" ht="16.5">
      <c r="E11297" s="123"/>
    </row>
    <row r="11298" spans="5:5" ht="16.5">
      <c r="E11298" s="123"/>
    </row>
    <row r="11299" spans="5:5" ht="16.5">
      <c r="E11299" s="123"/>
    </row>
    <row r="11300" spans="5:5" ht="16.5">
      <c r="E11300" s="123"/>
    </row>
    <row r="11301" spans="5:5" ht="16.5">
      <c r="E11301" s="123"/>
    </row>
    <row r="11302" spans="5:5" ht="16.5">
      <c r="E11302" s="123"/>
    </row>
    <row r="11303" spans="5:5" ht="16.5">
      <c r="E11303" s="123"/>
    </row>
    <row r="11304" spans="5:5" ht="16.5">
      <c r="E11304" s="123"/>
    </row>
    <row r="11305" spans="5:5" ht="16.5">
      <c r="E11305" s="123"/>
    </row>
    <row r="11306" spans="5:5" ht="16.5">
      <c r="E11306" s="123"/>
    </row>
    <row r="11307" spans="5:5" ht="16.5">
      <c r="E11307" s="123"/>
    </row>
    <row r="11308" spans="5:5" ht="16.5">
      <c r="E11308" s="123"/>
    </row>
    <row r="11309" spans="5:5" ht="16.5">
      <c r="E11309" s="123"/>
    </row>
    <row r="11310" spans="5:5" ht="16.5">
      <c r="E11310" s="123"/>
    </row>
    <row r="11311" spans="5:5" ht="16.5">
      <c r="E11311" s="123"/>
    </row>
    <row r="11312" spans="5:5" ht="16.5">
      <c r="E11312" s="123"/>
    </row>
    <row r="11313" spans="5:5" ht="16.5">
      <c r="E11313" s="123"/>
    </row>
    <row r="11314" spans="5:5" ht="16.5">
      <c r="E11314" s="123"/>
    </row>
    <row r="11315" spans="5:5" ht="16.5">
      <c r="E11315" s="123"/>
    </row>
    <row r="11316" spans="5:5" ht="16.5">
      <c r="E11316" s="123"/>
    </row>
    <row r="11317" spans="5:5" ht="16.5">
      <c r="E11317" s="123"/>
    </row>
    <row r="11318" spans="5:5" ht="16.5">
      <c r="E11318" s="123"/>
    </row>
    <row r="11319" spans="5:5" ht="16.5">
      <c r="E11319" s="123"/>
    </row>
    <row r="11320" spans="5:5" ht="16.5">
      <c r="E11320" s="123"/>
    </row>
    <row r="11321" spans="5:5" ht="16.5">
      <c r="E11321" s="123"/>
    </row>
    <row r="11322" spans="5:5" ht="16.5">
      <c r="E11322" s="123"/>
    </row>
    <row r="11323" spans="5:5" ht="16.5">
      <c r="E11323" s="123"/>
    </row>
    <row r="11324" spans="5:5" ht="16.5">
      <c r="E11324" s="123"/>
    </row>
    <row r="11325" spans="5:5" ht="16.5">
      <c r="E11325" s="123"/>
    </row>
    <row r="11326" spans="5:5" ht="16.5">
      <c r="E11326" s="123"/>
    </row>
    <row r="11327" spans="5:5" ht="16.5">
      <c r="E11327" s="123"/>
    </row>
    <row r="11328" spans="5:5" ht="16.5">
      <c r="E11328" s="123"/>
    </row>
    <row r="11329" spans="5:5" ht="16.5">
      <c r="E11329" s="123"/>
    </row>
    <row r="11330" spans="5:5" ht="16.5">
      <c r="E11330" s="123"/>
    </row>
    <row r="11331" spans="5:5" ht="16.5">
      <c r="E11331" s="123"/>
    </row>
    <row r="11332" spans="5:5" ht="16.5">
      <c r="E11332" s="123"/>
    </row>
    <row r="11333" spans="5:5" ht="16.5">
      <c r="E11333" s="123"/>
    </row>
    <row r="11334" spans="5:5" ht="16.5">
      <c r="E11334" s="123"/>
    </row>
    <row r="11335" spans="5:5" ht="16.5">
      <c r="E11335" s="123"/>
    </row>
    <row r="11336" spans="5:5" ht="16.5">
      <c r="E11336" s="123"/>
    </row>
    <row r="11337" spans="5:5" ht="16.5">
      <c r="E11337" s="123"/>
    </row>
    <row r="11338" spans="5:5" ht="16.5">
      <c r="E11338" s="123"/>
    </row>
    <row r="11339" spans="5:5" ht="16.5">
      <c r="E11339" s="123"/>
    </row>
    <row r="11340" spans="5:5" ht="16.5">
      <c r="E11340" s="123"/>
    </row>
    <row r="11341" spans="5:5" ht="16.5">
      <c r="E11341" s="123"/>
    </row>
    <row r="11342" spans="5:5" ht="16.5">
      <c r="E11342" s="123"/>
    </row>
    <row r="11343" spans="5:5" ht="16.5">
      <c r="E11343" s="123"/>
    </row>
    <row r="11344" spans="5:5" ht="16.5">
      <c r="E11344" s="123"/>
    </row>
    <row r="11345" spans="5:5" ht="16.5">
      <c r="E11345" s="123"/>
    </row>
    <row r="11346" spans="5:5" ht="16.5">
      <c r="E11346" s="123"/>
    </row>
    <row r="11347" spans="5:5" ht="16.5">
      <c r="E11347" s="123"/>
    </row>
    <row r="11348" spans="5:5" ht="16.5">
      <c r="E11348" s="123"/>
    </row>
    <row r="11349" spans="5:5" ht="16.5">
      <c r="E11349" s="123"/>
    </row>
    <row r="11350" spans="5:5" ht="16.5">
      <c r="E11350" s="123"/>
    </row>
    <row r="11351" spans="5:5" ht="16.5">
      <c r="E11351" s="123"/>
    </row>
    <row r="11352" spans="5:5" ht="16.5">
      <c r="E11352" s="123"/>
    </row>
    <row r="11353" spans="5:5" ht="16.5">
      <c r="E11353" s="123"/>
    </row>
    <row r="11354" spans="5:5" ht="16.5">
      <c r="E11354" s="123"/>
    </row>
    <row r="11355" spans="5:5" ht="16.5">
      <c r="E11355" s="123"/>
    </row>
    <row r="11356" spans="5:5" ht="16.5">
      <c r="E11356" s="123"/>
    </row>
    <row r="11357" spans="5:5" ht="16.5">
      <c r="E11357" s="123"/>
    </row>
    <row r="11358" spans="5:5" ht="16.5">
      <c r="E11358" s="123"/>
    </row>
    <row r="11359" spans="5:5" ht="16.5">
      <c r="E11359" s="123"/>
    </row>
    <row r="11360" spans="5:5" ht="16.5">
      <c r="E11360" s="123"/>
    </row>
    <row r="11361" spans="5:5" ht="16.5">
      <c r="E11361" s="123"/>
    </row>
    <row r="11362" spans="5:5" ht="16.5">
      <c r="E11362" s="123"/>
    </row>
    <row r="11363" spans="5:5" ht="16.5">
      <c r="E11363" s="123"/>
    </row>
    <row r="11364" spans="5:5" ht="16.5">
      <c r="E11364" s="123"/>
    </row>
    <row r="11365" spans="5:5" ht="16.5">
      <c r="E11365" s="123"/>
    </row>
    <row r="11366" spans="5:5" ht="16.5">
      <c r="E11366" s="123"/>
    </row>
    <row r="11367" spans="5:5" ht="16.5">
      <c r="E11367" s="123"/>
    </row>
    <row r="11368" spans="5:5" ht="16.5">
      <c r="E11368" s="123"/>
    </row>
    <row r="11369" spans="5:5" ht="16.5">
      <c r="E11369" s="123"/>
    </row>
    <row r="11370" spans="5:5" ht="16.5">
      <c r="E11370" s="123"/>
    </row>
    <row r="11371" spans="5:5" ht="16.5">
      <c r="E11371" s="123"/>
    </row>
    <row r="11372" spans="5:5" ht="16.5">
      <c r="E11372" s="123"/>
    </row>
    <row r="11373" spans="5:5" ht="16.5">
      <c r="E11373" s="123"/>
    </row>
    <row r="11374" spans="5:5" ht="16.5">
      <c r="E11374" s="123"/>
    </row>
    <row r="11375" spans="5:5" ht="16.5">
      <c r="E11375" s="123"/>
    </row>
    <row r="11376" spans="5:5" ht="16.5">
      <c r="E11376" s="123"/>
    </row>
    <row r="11377" spans="5:5" ht="16.5">
      <c r="E11377" s="123"/>
    </row>
    <row r="11378" spans="5:5" ht="16.5">
      <c r="E11378" s="123"/>
    </row>
    <row r="11379" spans="5:5" ht="16.5">
      <c r="E11379" s="123"/>
    </row>
    <row r="11380" spans="5:5" ht="16.5">
      <c r="E11380" s="123"/>
    </row>
    <row r="11381" spans="5:5" ht="16.5">
      <c r="E11381" s="123"/>
    </row>
    <row r="11382" spans="5:5" ht="16.5">
      <c r="E11382" s="123"/>
    </row>
    <row r="11383" spans="5:5" ht="16.5">
      <c r="E11383" s="123"/>
    </row>
    <row r="11384" spans="5:5" ht="16.5">
      <c r="E11384" s="123"/>
    </row>
    <row r="11385" spans="5:5" ht="16.5">
      <c r="E11385" s="123"/>
    </row>
    <row r="11386" spans="5:5" ht="16.5">
      <c r="E11386" s="123"/>
    </row>
    <row r="11387" spans="5:5" ht="16.5">
      <c r="E11387" s="123"/>
    </row>
    <row r="11388" spans="5:5" ht="16.5">
      <c r="E11388" s="123"/>
    </row>
    <row r="11389" spans="5:5" ht="16.5">
      <c r="E11389" s="123"/>
    </row>
    <row r="11390" spans="5:5" ht="16.5">
      <c r="E11390" s="123"/>
    </row>
    <row r="11391" spans="5:5" ht="16.5">
      <c r="E11391" s="123"/>
    </row>
    <row r="11392" spans="5:5" ht="16.5">
      <c r="E11392" s="123"/>
    </row>
    <row r="11393" spans="5:5" ht="16.5">
      <c r="E11393" s="123"/>
    </row>
    <row r="11394" spans="5:5" ht="16.5">
      <c r="E11394" s="123"/>
    </row>
    <row r="11395" spans="5:5" ht="16.5">
      <c r="E11395" s="123"/>
    </row>
    <row r="11396" spans="5:5" ht="16.5">
      <c r="E11396" s="123"/>
    </row>
    <row r="11397" spans="5:5" ht="16.5">
      <c r="E11397" s="123"/>
    </row>
    <row r="11398" spans="5:5" ht="16.5">
      <c r="E11398" s="123"/>
    </row>
    <row r="11399" spans="5:5" ht="16.5">
      <c r="E11399" s="123"/>
    </row>
    <row r="11400" spans="5:5" ht="16.5">
      <c r="E11400" s="123"/>
    </row>
    <row r="11401" spans="5:5" ht="16.5">
      <c r="E11401" s="123"/>
    </row>
    <row r="11402" spans="5:5" ht="16.5">
      <c r="E11402" s="123"/>
    </row>
    <row r="11403" spans="5:5" ht="16.5">
      <c r="E11403" s="123"/>
    </row>
    <row r="11404" spans="5:5" ht="16.5">
      <c r="E11404" s="123"/>
    </row>
    <row r="11405" spans="5:5" ht="16.5">
      <c r="E11405" s="123"/>
    </row>
    <row r="11406" spans="5:5" ht="16.5">
      <c r="E11406" s="123"/>
    </row>
    <row r="11407" spans="5:5" ht="16.5">
      <c r="E11407" s="123"/>
    </row>
    <row r="11408" spans="5:5" ht="16.5">
      <c r="E11408" s="123"/>
    </row>
    <row r="11409" spans="5:5" ht="16.5">
      <c r="E11409" s="123"/>
    </row>
    <row r="11410" spans="5:5" ht="16.5">
      <c r="E11410" s="123"/>
    </row>
    <row r="11411" spans="5:5" ht="16.5">
      <c r="E11411" s="123"/>
    </row>
    <row r="11412" spans="5:5" ht="16.5">
      <c r="E11412" s="123"/>
    </row>
    <row r="11413" spans="5:5" ht="16.5">
      <c r="E11413" s="123"/>
    </row>
    <row r="11414" spans="5:5" ht="16.5">
      <c r="E11414" s="123"/>
    </row>
    <row r="11415" spans="5:5" ht="16.5">
      <c r="E11415" s="123"/>
    </row>
    <row r="11416" spans="5:5" ht="16.5">
      <c r="E11416" s="123"/>
    </row>
    <row r="11417" spans="5:5" ht="16.5">
      <c r="E11417" s="123"/>
    </row>
    <row r="11418" spans="5:5" ht="16.5">
      <c r="E11418" s="123"/>
    </row>
    <row r="11419" spans="5:5" ht="16.5">
      <c r="E11419" s="123"/>
    </row>
    <row r="11420" spans="5:5" ht="16.5">
      <c r="E11420" s="123"/>
    </row>
    <row r="11421" spans="5:5" ht="16.5">
      <c r="E11421" s="123"/>
    </row>
    <row r="11422" spans="5:5" ht="16.5">
      <c r="E11422" s="123"/>
    </row>
    <row r="11423" spans="5:5" ht="16.5">
      <c r="E11423" s="123"/>
    </row>
    <row r="11424" spans="5:5" ht="16.5">
      <c r="E11424" s="123"/>
    </row>
    <row r="11425" spans="5:5" ht="16.5">
      <c r="E11425" s="123"/>
    </row>
    <row r="11426" spans="5:5" ht="16.5">
      <c r="E11426" s="123"/>
    </row>
    <row r="11427" spans="5:5" ht="16.5">
      <c r="E11427" s="123"/>
    </row>
    <row r="11428" spans="5:5" ht="16.5">
      <c r="E11428" s="123"/>
    </row>
    <row r="11429" spans="5:5" ht="16.5">
      <c r="E11429" s="123"/>
    </row>
    <row r="11430" spans="5:5" ht="16.5">
      <c r="E11430" s="123"/>
    </row>
    <row r="11431" spans="5:5" ht="16.5">
      <c r="E11431" s="123"/>
    </row>
    <row r="11432" spans="5:5" ht="16.5">
      <c r="E11432" s="123"/>
    </row>
    <row r="11433" spans="5:5" ht="16.5">
      <c r="E11433" s="123"/>
    </row>
    <row r="11434" spans="5:5" ht="16.5">
      <c r="E11434" s="123"/>
    </row>
    <row r="11435" spans="5:5" ht="16.5">
      <c r="E11435" s="123"/>
    </row>
    <row r="11436" spans="5:5" ht="16.5">
      <c r="E11436" s="123"/>
    </row>
    <row r="11437" spans="5:5" ht="16.5">
      <c r="E11437" s="123"/>
    </row>
    <row r="11438" spans="5:5" ht="16.5">
      <c r="E11438" s="123"/>
    </row>
    <row r="11439" spans="5:5" ht="16.5">
      <c r="E11439" s="123"/>
    </row>
    <row r="11440" spans="5:5" ht="16.5">
      <c r="E11440" s="123"/>
    </row>
    <row r="11441" spans="5:5" ht="16.5">
      <c r="E11441" s="123"/>
    </row>
    <row r="11442" spans="5:5" ht="16.5">
      <c r="E11442" s="123"/>
    </row>
    <row r="11443" spans="5:5" ht="16.5">
      <c r="E11443" s="123"/>
    </row>
    <row r="11444" spans="5:5" ht="16.5">
      <c r="E11444" s="123"/>
    </row>
    <row r="11445" spans="5:5" ht="16.5">
      <c r="E11445" s="123"/>
    </row>
    <row r="11446" spans="5:5" ht="16.5">
      <c r="E11446" s="123"/>
    </row>
    <row r="11447" spans="5:5" ht="16.5">
      <c r="E11447" s="123"/>
    </row>
    <row r="11448" spans="5:5" ht="16.5">
      <c r="E11448" s="123"/>
    </row>
    <row r="11449" spans="5:5" ht="16.5">
      <c r="E11449" s="123"/>
    </row>
    <row r="11450" spans="5:5" ht="16.5">
      <c r="E11450" s="123"/>
    </row>
    <row r="11451" spans="5:5" ht="16.5">
      <c r="E11451" s="123"/>
    </row>
    <row r="11452" spans="5:5" ht="16.5">
      <c r="E11452" s="123"/>
    </row>
    <row r="11453" spans="5:5" ht="16.5">
      <c r="E11453" s="123"/>
    </row>
    <row r="11454" spans="5:5" ht="16.5">
      <c r="E11454" s="123"/>
    </row>
    <row r="11455" spans="5:5" ht="16.5">
      <c r="E11455" s="123"/>
    </row>
    <row r="11456" spans="5:5" ht="16.5">
      <c r="E11456" s="123"/>
    </row>
    <row r="11457" spans="5:5" ht="16.5">
      <c r="E11457" s="123"/>
    </row>
    <row r="11458" spans="5:5" ht="16.5">
      <c r="E11458" s="123"/>
    </row>
    <row r="11459" spans="5:5" ht="16.5">
      <c r="E11459" s="123"/>
    </row>
    <row r="11460" spans="5:5" ht="16.5">
      <c r="E11460" s="123"/>
    </row>
    <row r="11461" spans="5:5" ht="16.5">
      <c r="E11461" s="123"/>
    </row>
    <row r="11462" spans="5:5" ht="16.5">
      <c r="E11462" s="123"/>
    </row>
    <row r="11463" spans="5:5" ht="16.5">
      <c r="E11463" s="123"/>
    </row>
    <row r="11464" spans="5:5" ht="16.5">
      <c r="E11464" s="123"/>
    </row>
    <row r="11465" spans="5:5" ht="16.5">
      <c r="E11465" s="123"/>
    </row>
    <row r="11466" spans="5:5" ht="16.5">
      <c r="E11466" s="123"/>
    </row>
    <row r="11467" spans="5:5" ht="16.5">
      <c r="E11467" s="123"/>
    </row>
    <row r="11468" spans="5:5" ht="16.5">
      <c r="E11468" s="123"/>
    </row>
    <row r="11469" spans="5:5" ht="16.5">
      <c r="E11469" s="123"/>
    </row>
    <row r="11470" spans="5:5" ht="16.5">
      <c r="E11470" s="123"/>
    </row>
    <row r="11471" spans="5:5" ht="16.5">
      <c r="E11471" s="123"/>
    </row>
    <row r="11472" spans="5:5" ht="16.5">
      <c r="E11472" s="123"/>
    </row>
    <row r="11473" spans="5:5" ht="16.5">
      <c r="E11473" s="123"/>
    </row>
    <row r="11474" spans="5:5" ht="16.5">
      <c r="E11474" s="123"/>
    </row>
    <row r="11475" spans="5:5" ht="16.5">
      <c r="E11475" s="123"/>
    </row>
    <row r="11476" spans="5:5" ht="16.5">
      <c r="E11476" s="123"/>
    </row>
    <row r="11477" spans="5:5" ht="16.5">
      <c r="E11477" s="123"/>
    </row>
    <row r="11478" spans="5:5" ht="16.5">
      <c r="E11478" s="123"/>
    </row>
    <row r="11479" spans="5:5" ht="16.5">
      <c r="E11479" s="123"/>
    </row>
    <row r="11480" spans="5:5" ht="16.5">
      <c r="E11480" s="123"/>
    </row>
    <row r="11481" spans="5:5" ht="16.5">
      <c r="E11481" s="123"/>
    </row>
    <row r="11482" spans="5:5" ht="16.5">
      <c r="E11482" s="123"/>
    </row>
    <row r="11483" spans="5:5" ht="16.5">
      <c r="E11483" s="123"/>
    </row>
    <row r="11484" spans="5:5" ht="16.5">
      <c r="E11484" s="123"/>
    </row>
    <row r="11485" spans="5:5" ht="16.5">
      <c r="E11485" s="123"/>
    </row>
    <row r="11486" spans="5:5" ht="16.5">
      <c r="E11486" s="123"/>
    </row>
    <row r="11487" spans="5:5" ht="16.5">
      <c r="E11487" s="123"/>
    </row>
    <row r="11488" spans="5:5" ht="16.5">
      <c r="E11488" s="123"/>
    </row>
    <row r="11489" spans="5:5" ht="16.5">
      <c r="E11489" s="123"/>
    </row>
    <row r="11490" spans="5:5" ht="16.5">
      <c r="E11490" s="123"/>
    </row>
    <row r="11491" spans="5:5" ht="16.5">
      <c r="E11491" s="123"/>
    </row>
    <row r="11492" spans="5:5" ht="16.5">
      <c r="E11492" s="123"/>
    </row>
    <row r="11493" spans="5:5" ht="16.5">
      <c r="E11493" s="123"/>
    </row>
    <row r="11494" spans="5:5" ht="16.5">
      <c r="E11494" s="123"/>
    </row>
    <row r="11495" spans="5:5" ht="16.5">
      <c r="E11495" s="123"/>
    </row>
    <row r="11496" spans="5:5" ht="16.5">
      <c r="E11496" s="123"/>
    </row>
    <row r="11497" spans="5:5" ht="16.5">
      <c r="E11497" s="123"/>
    </row>
    <row r="11498" spans="5:5" ht="16.5">
      <c r="E11498" s="123"/>
    </row>
    <row r="11499" spans="5:5" ht="16.5">
      <c r="E11499" s="123"/>
    </row>
    <row r="11500" spans="5:5" ht="16.5">
      <c r="E11500" s="123"/>
    </row>
    <row r="11501" spans="5:5" ht="16.5">
      <c r="E11501" s="123"/>
    </row>
    <row r="11502" spans="5:5" ht="16.5">
      <c r="E11502" s="123"/>
    </row>
    <row r="11503" spans="5:5" ht="16.5">
      <c r="E11503" s="123"/>
    </row>
    <row r="11504" spans="5:5" ht="16.5">
      <c r="E11504" s="123"/>
    </row>
    <row r="11505" spans="5:5" ht="16.5">
      <c r="E11505" s="123"/>
    </row>
    <row r="11506" spans="5:5" ht="16.5">
      <c r="E11506" s="123"/>
    </row>
    <row r="11507" spans="5:5" ht="16.5">
      <c r="E11507" s="123"/>
    </row>
    <row r="11508" spans="5:5" ht="16.5">
      <c r="E11508" s="123"/>
    </row>
    <row r="11509" spans="5:5" ht="16.5">
      <c r="E11509" s="123"/>
    </row>
    <row r="11510" spans="5:5" ht="16.5">
      <c r="E11510" s="123"/>
    </row>
    <row r="11511" spans="5:5" ht="16.5">
      <c r="E11511" s="123"/>
    </row>
    <row r="11512" spans="5:5" ht="16.5">
      <c r="E11512" s="123"/>
    </row>
    <row r="11513" spans="5:5" ht="16.5">
      <c r="E11513" s="123"/>
    </row>
    <row r="11514" spans="5:5" ht="16.5">
      <c r="E11514" s="123"/>
    </row>
    <row r="11515" spans="5:5" ht="16.5">
      <c r="E11515" s="123"/>
    </row>
    <row r="11516" spans="5:5" ht="16.5">
      <c r="E11516" s="123"/>
    </row>
    <row r="11517" spans="5:5" ht="16.5">
      <c r="E11517" s="123"/>
    </row>
    <row r="11518" spans="5:5" ht="16.5">
      <c r="E11518" s="123"/>
    </row>
    <row r="11519" spans="5:5" ht="16.5">
      <c r="E11519" s="123"/>
    </row>
    <row r="11520" spans="5:5" ht="16.5">
      <c r="E11520" s="123"/>
    </row>
    <row r="11521" spans="5:5" ht="16.5">
      <c r="E11521" s="123"/>
    </row>
    <row r="11522" spans="5:5" ht="16.5">
      <c r="E11522" s="123"/>
    </row>
    <row r="11523" spans="5:5" ht="16.5">
      <c r="E11523" s="123"/>
    </row>
    <row r="11524" spans="5:5" ht="16.5">
      <c r="E11524" s="123"/>
    </row>
    <row r="11525" spans="5:5" ht="16.5">
      <c r="E11525" s="123"/>
    </row>
    <row r="11526" spans="5:5" ht="16.5">
      <c r="E11526" s="123"/>
    </row>
    <row r="11527" spans="5:5" ht="16.5">
      <c r="E11527" s="123"/>
    </row>
    <row r="11528" spans="5:5" ht="16.5">
      <c r="E11528" s="123"/>
    </row>
    <row r="11529" spans="5:5" ht="16.5">
      <c r="E11529" s="123"/>
    </row>
    <row r="11530" spans="5:5" ht="16.5">
      <c r="E11530" s="123"/>
    </row>
    <row r="11531" spans="5:5" ht="16.5">
      <c r="E11531" s="123"/>
    </row>
    <row r="11532" spans="5:5" ht="16.5">
      <c r="E11532" s="123"/>
    </row>
    <row r="11533" spans="5:5" ht="16.5">
      <c r="E11533" s="123"/>
    </row>
    <row r="11534" spans="5:5" ht="16.5">
      <c r="E11534" s="123"/>
    </row>
    <row r="11535" spans="5:5" ht="16.5">
      <c r="E11535" s="123"/>
    </row>
    <row r="11536" spans="5:5" ht="16.5">
      <c r="E11536" s="123"/>
    </row>
    <row r="11537" spans="5:5" ht="16.5">
      <c r="E11537" s="123"/>
    </row>
    <row r="11538" spans="5:5" ht="16.5">
      <c r="E11538" s="123"/>
    </row>
    <row r="11539" spans="5:5" ht="16.5">
      <c r="E11539" s="123"/>
    </row>
    <row r="11540" spans="5:5" ht="16.5">
      <c r="E11540" s="123"/>
    </row>
    <row r="11541" spans="5:5" ht="16.5">
      <c r="E11541" s="123"/>
    </row>
    <row r="11542" spans="5:5" ht="16.5">
      <c r="E11542" s="123"/>
    </row>
    <row r="11543" spans="5:5" ht="16.5">
      <c r="E11543" s="123"/>
    </row>
    <row r="11544" spans="5:5" ht="16.5">
      <c r="E11544" s="123"/>
    </row>
    <row r="11545" spans="5:5" ht="16.5">
      <c r="E11545" s="123"/>
    </row>
    <row r="11546" spans="5:5" ht="16.5">
      <c r="E11546" s="123"/>
    </row>
    <row r="11547" spans="5:5" ht="16.5">
      <c r="E11547" s="123"/>
    </row>
    <row r="11548" spans="5:5" ht="16.5">
      <c r="E11548" s="123"/>
    </row>
    <row r="11549" spans="5:5" ht="16.5">
      <c r="E11549" s="123"/>
    </row>
    <row r="11550" spans="5:5" ht="16.5">
      <c r="E11550" s="123"/>
    </row>
    <row r="11551" spans="5:5" ht="16.5">
      <c r="E11551" s="123"/>
    </row>
    <row r="11552" spans="5:5" ht="16.5">
      <c r="E11552" s="123"/>
    </row>
    <row r="11553" spans="5:5" ht="16.5">
      <c r="E11553" s="123"/>
    </row>
    <row r="11554" spans="5:5" ht="16.5">
      <c r="E11554" s="123"/>
    </row>
    <row r="11555" spans="5:5" ht="16.5">
      <c r="E11555" s="123"/>
    </row>
    <row r="11556" spans="5:5" ht="16.5">
      <c r="E11556" s="123"/>
    </row>
    <row r="11557" spans="5:5" ht="16.5">
      <c r="E11557" s="123"/>
    </row>
    <row r="11558" spans="5:5" ht="16.5">
      <c r="E11558" s="123"/>
    </row>
    <row r="11559" spans="5:5" ht="16.5">
      <c r="E11559" s="123"/>
    </row>
    <row r="11560" spans="5:5" ht="16.5">
      <c r="E11560" s="123"/>
    </row>
    <row r="11561" spans="5:5" ht="16.5">
      <c r="E11561" s="123"/>
    </row>
    <row r="11562" spans="5:5" ht="16.5">
      <c r="E11562" s="123"/>
    </row>
    <row r="11563" spans="5:5" ht="16.5">
      <c r="E11563" s="123"/>
    </row>
    <row r="11564" spans="5:5" ht="16.5">
      <c r="E11564" s="123"/>
    </row>
    <row r="11565" spans="5:5" ht="16.5">
      <c r="E11565" s="123"/>
    </row>
    <row r="11566" spans="5:5" ht="16.5">
      <c r="E11566" s="123"/>
    </row>
    <row r="11567" spans="5:5" ht="16.5">
      <c r="E11567" s="123"/>
    </row>
    <row r="11568" spans="5:5" ht="16.5">
      <c r="E11568" s="123"/>
    </row>
    <row r="11569" spans="5:5" ht="16.5">
      <c r="E11569" s="123"/>
    </row>
    <row r="11570" spans="5:5" ht="16.5">
      <c r="E11570" s="123"/>
    </row>
    <row r="11571" spans="5:5" ht="16.5">
      <c r="E11571" s="123"/>
    </row>
    <row r="11572" spans="5:5" ht="16.5">
      <c r="E11572" s="123"/>
    </row>
    <row r="11573" spans="5:5" ht="16.5">
      <c r="E11573" s="123"/>
    </row>
    <row r="11574" spans="5:5" ht="16.5">
      <c r="E11574" s="123"/>
    </row>
    <row r="11575" spans="5:5" ht="16.5">
      <c r="E11575" s="123"/>
    </row>
    <row r="11576" spans="5:5" ht="16.5">
      <c r="E11576" s="123"/>
    </row>
    <row r="11577" spans="5:5" ht="16.5">
      <c r="E11577" s="123"/>
    </row>
    <row r="11578" spans="5:5" ht="16.5">
      <c r="E11578" s="123"/>
    </row>
    <row r="11579" spans="5:5" ht="16.5">
      <c r="E11579" s="123"/>
    </row>
    <row r="11580" spans="5:5" ht="16.5">
      <c r="E11580" s="123"/>
    </row>
    <row r="11581" spans="5:5" ht="16.5">
      <c r="E11581" s="123"/>
    </row>
    <row r="11582" spans="5:5" ht="16.5">
      <c r="E11582" s="123"/>
    </row>
    <row r="11583" spans="5:5" ht="16.5">
      <c r="E11583" s="123"/>
    </row>
    <row r="11584" spans="5:5" ht="16.5">
      <c r="E11584" s="123"/>
    </row>
    <row r="11585" spans="5:5" ht="16.5">
      <c r="E11585" s="123"/>
    </row>
    <row r="11586" spans="5:5" ht="16.5">
      <c r="E11586" s="123"/>
    </row>
    <row r="11587" spans="5:5" ht="16.5">
      <c r="E11587" s="123"/>
    </row>
    <row r="11588" spans="5:5" ht="16.5">
      <c r="E11588" s="123"/>
    </row>
    <row r="11589" spans="5:5" ht="16.5">
      <c r="E11589" s="123"/>
    </row>
    <row r="11590" spans="5:5" ht="16.5">
      <c r="E11590" s="123"/>
    </row>
    <row r="11591" spans="5:5" ht="16.5">
      <c r="E11591" s="123"/>
    </row>
    <row r="11592" spans="5:5" ht="16.5">
      <c r="E11592" s="123"/>
    </row>
    <row r="11593" spans="5:5" ht="16.5">
      <c r="E11593" s="123"/>
    </row>
    <row r="11594" spans="5:5" ht="16.5">
      <c r="E11594" s="123"/>
    </row>
    <row r="11595" spans="5:5" ht="16.5">
      <c r="E11595" s="123"/>
    </row>
    <row r="11596" spans="5:5" ht="16.5">
      <c r="E11596" s="123"/>
    </row>
    <row r="11597" spans="5:5" ht="16.5">
      <c r="E11597" s="123"/>
    </row>
    <row r="11598" spans="5:5" ht="16.5">
      <c r="E11598" s="123"/>
    </row>
    <row r="11599" spans="5:5" ht="16.5">
      <c r="E11599" s="123"/>
    </row>
    <row r="11600" spans="5:5" ht="16.5">
      <c r="E11600" s="123"/>
    </row>
    <row r="11601" spans="5:5" ht="16.5">
      <c r="E11601" s="123"/>
    </row>
    <row r="11602" spans="5:5" ht="16.5">
      <c r="E11602" s="123"/>
    </row>
    <row r="11603" spans="5:5" ht="16.5">
      <c r="E11603" s="123"/>
    </row>
    <row r="11604" spans="5:5" ht="16.5">
      <c r="E11604" s="123"/>
    </row>
    <row r="11605" spans="5:5" ht="16.5">
      <c r="E11605" s="123"/>
    </row>
    <row r="11606" spans="5:5" ht="16.5">
      <c r="E11606" s="123"/>
    </row>
    <row r="11607" spans="5:5" ht="16.5">
      <c r="E11607" s="123"/>
    </row>
    <row r="11608" spans="5:5" ht="16.5">
      <c r="E11608" s="123"/>
    </row>
    <row r="11609" spans="5:5" ht="16.5">
      <c r="E11609" s="123"/>
    </row>
    <row r="11610" spans="5:5" ht="16.5">
      <c r="E11610" s="123"/>
    </row>
    <row r="11611" spans="5:5" ht="16.5">
      <c r="E11611" s="123"/>
    </row>
    <row r="11612" spans="5:5" ht="16.5">
      <c r="E11612" s="123"/>
    </row>
    <row r="11613" spans="5:5" ht="16.5">
      <c r="E11613" s="123"/>
    </row>
    <row r="11614" spans="5:5" ht="16.5">
      <c r="E11614" s="123"/>
    </row>
    <row r="11615" spans="5:5" ht="16.5">
      <c r="E11615" s="123"/>
    </row>
    <row r="11616" spans="5:5" ht="16.5">
      <c r="E11616" s="123"/>
    </row>
    <row r="11617" spans="5:5" ht="16.5">
      <c r="E11617" s="123"/>
    </row>
    <row r="11618" spans="5:5" ht="16.5">
      <c r="E11618" s="123"/>
    </row>
    <row r="11619" spans="5:5" ht="16.5">
      <c r="E11619" s="123"/>
    </row>
    <row r="11620" spans="5:5" ht="16.5">
      <c r="E11620" s="123"/>
    </row>
    <row r="11621" spans="5:5" ht="16.5">
      <c r="E11621" s="123"/>
    </row>
    <row r="11622" spans="5:5" ht="16.5">
      <c r="E11622" s="123"/>
    </row>
    <row r="11623" spans="5:5" ht="16.5">
      <c r="E11623" s="123"/>
    </row>
    <row r="11624" spans="5:5" ht="16.5">
      <c r="E11624" s="123"/>
    </row>
    <row r="11625" spans="5:5" ht="16.5">
      <c r="E11625" s="123"/>
    </row>
    <row r="11626" spans="5:5" ht="16.5">
      <c r="E11626" s="123"/>
    </row>
    <row r="11627" spans="5:5" ht="16.5">
      <c r="E11627" s="123"/>
    </row>
    <row r="11628" spans="5:5" ht="16.5">
      <c r="E11628" s="123"/>
    </row>
    <row r="11629" spans="5:5" ht="16.5">
      <c r="E11629" s="123"/>
    </row>
    <row r="11630" spans="5:5" ht="16.5">
      <c r="E11630" s="123"/>
    </row>
    <row r="11631" spans="5:5" ht="16.5">
      <c r="E11631" s="123"/>
    </row>
    <row r="11632" spans="5:5" ht="16.5">
      <c r="E11632" s="123"/>
    </row>
    <row r="11633" spans="5:5" ht="16.5">
      <c r="E11633" s="123"/>
    </row>
    <row r="11634" spans="5:5" ht="16.5">
      <c r="E11634" s="123"/>
    </row>
    <row r="11635" spans="5:5" ht="16.5">
      <c r="E11635" s="123"/>
    </row>
    <row r="11636" spans="5:5" ht="16.5">
      <c r="E11636" s="123"/>
    </row>
    <row r="11637" spans="5:5" ht="16.5">
      <c r="E11637" s="123"/>
    </row>
    <row r="11638" spans="5:5" ht="16.5">
      <c r="E11638" s="123"/>
    </row>
    <row r="11639" spans="5:5" ht="16.5">
      <c r="E11639" s="123"/>
    </row>
    <row r="11640" spans="5:5" ht="16.5">
      <c r="E11640" s="123"/>
    </row>
    <row r="11641" spans="5:5" ht="16.5">
      <c r="E11641" s="123"/>
    </row>
    <row r="11642" spans="5:5" ht="16.5">
      <c r="E11642" s="123"/>
    </row>
    <row r="11643" spans="5:5" ht="16.5">
      <c r="E11643" s="123"/>
    </row>
    <row r="11644" spans="5:5" ht="16.5">
      <c r="E11644" s="123"/>
    </row>
    <row r="11645" spans="5:5" ht="16.5">
      <c r="E11645" s="123"/>
    </row>
    <row r="11646" spans="5:5" ht="16.5">
      <c r="E11646" s="123"/>
    </row>
    <row r="11647" spans="5:5" ht="16.5">
      <c r="E11647" s="123"/>
    </row>
    <row r="11648" spans="5:5" ht="16.5">
      <c r="E11648" s="123"/>
    </row>
    <row r="11649" spans="5:5" ht="16.5">
      <c r="E11649" s="123"/>
    </row>
    <row r="11650" spans="5:5" ht="16.5">
      <c r="E11650" s="123"/>
    </row>
    <row r="11651" spans="5:5" ht="16.5">
      <c r="E11651" s="123"/>
    </row>
    <row r="11652" spans="5:5" ht="16.5">
      <c r="E11652" s="123"/>
    </row>
    <row r="11653" spans="5:5" ht="16.5">
      <c r="E11653" s="123"/>
    </row>
    <row r="11654" spans="5:5" ht="16.5">
      <c r="E11654" s="123"/>
    </row>
    <row r="11655" spans="5:5" ht="16.5">
      <c r="E11655" s="123"/>
    </row>
    <row r="11656" spans="5:5" ht="16.5">
      <c r="E11656" s="123"/>
    </row>
    <row r="11657" spans="5:5" ht="16.5">
      <c r="E11657" s="123"/>
    </row>
    <row r="11658" spans="5:5" ht="16.5">
      <c r="E11658" s="123"/>
    </row>
    <row r="11659" spans="5:5" ht="16.5">
      <c r="E11659" s="123"/>
    </row>
    <row r="11660" spans="5:5" ht="16.5">
      <c r="E11660" s="123"/>
    </row>
    <row r="11661" spans="5:5" ht="16.5">
      <c r="E11661" s="123"/>
    </row>
    <row r="11662" spans="5:5" ht="16.5">
      <c r="E11662" s="123"/>
    </row>
    <row r="11663" spans="5:5" ht="16.5">
      <c r="E11663" s="123"/>
    </row>
    <row r="11664" spans="5:5" ht="16.5">
      <c r="E11664" s="123"/>
    </row>
    <row r="11665" spans="5:5" ht="16.5">
      <c r="E11665" s="123"/>
    </row>
    <row r="11666" spans="5:5" ht="16.5">
      <c r="E11666" s="123"/>
    </row>
    <row r="11667" spans="5:5" ht="16.5">
      <c r="E11667" s="123"/>
    </row>
    <row r="11668" spans="5:5" ht="16.5">
      <c r="E11668" s="123"/>
    </row>
    <row r="11669" spans="5:5" ht="16.5">
      <c r="E11669" s="123"/>
    </row>
    <row r="11670" spans="5:5" ht="16.5">
      <c r="E11670" s="123"/>
    </row>
    <row r="11671" spans="5:5" ht="16.5">
      <c r="E11671" s="123"/>
    </row>
    <row r="11672" spans="5:5" ht="16.5">
      <c r="E11672" s="123"/>
    </row>
    <row r="11673" spans="5:5" ht="16.5">
      <c r="E11673" s="123"/>
    </row>
    <row r="11674" spans="5:5" ht="16.5">
      <c r="E11674" s="123"/>
    </row>
    <row r="11675" spans="5:5" ht="16.5">
      <c r="E11675" s="123"/>
    </row>
    <row r="11676" spans="5:5" ht="16.5">
      <c r="E11676" s="123"/>
    </row>
    <row r="11677" spans="5:5" ht="16.5">
      <c r="E11677" s="123"/>
    </row>
    <row r="11678" spans="5:5" ht="16.5">
      <c r="E11678" s="123"/>
    </row>
    <row r="11679" spans="5:5" ht="16.5">
      <c r="E11679" s="123"/>
    </row>
    <row r="11680" spans="5:5" ht="16.5">
      <c r="E11680" s="123"/>
    </row>
    <row r="11681" spans="5:5" ht="16.5">
      <c r="E11681" s="123"/>
    </row>
    <row r="11682" spans="5:5" ht="16.5">
      <c r="E11682" s="123"/>
    </row>
    <row r="11683" spans="5:5" ht="16.5">
      <c r="E11683" s="123"/>
    </row>
    <row r="11684" spans="5:5" ht="16.5">
      <c r="E11684" s="123"/>
    </row>
    <row r="11685" spans="5:5" ht="16.5">
      <c r="E11685" s="123"/>
    </row>
    <row r="11686" spans="5:5" ht="16.5">
      <c r="E11686" s="123"/>
    </row>
    <row r="11687" spans="5:5" ht="16.5">
      <c r="E11687" s="123"/>
    </row>
    <row r="11688" spans="5:5" ht="16.5">
      <c r="E11688" s="123"/>
    </row>
    <row r="11689" spans="5:5" ht="16.5">
      <c r="E11689" s="123"/>
    </row>
    <row r="11690" spans="5:5" ht="16.5">
      <c r="E11690" s="123"/>
    </row>
    <row r="11691" spans="5:5" ht="16.5">
      <c r="E11691" s="123"/>
    </row>
    <row r="11692" spans="5:5" ht="16.5">
      <c r="E11692" s="123"/>
    </row>
    <row r="11693" spans="5:5" ht="16.5">
      <c r="E11693" s="123"/>
    </row>
    <row r="11694" spans="5:5" ht="16.5">
      <c r="E11694" s="123"/>
    </row>
    <row r="11695" spans="5:5" ht="16.5">
      <c r="E11695" s="123"/>
    </row>
    <row r="11696" spans="5:5" ht="16.5">
      <c r="E11696" s="123"/>
    </row>
    <row r="11697" spans="5:5" ht="16.5">
      <c r="E11697" s="123"/>
    </row>
    <row r="11698" spans="5:5" ht="16.5">
      <c r="E11698" s="123"/>
    </row>
    <row r="11699" spans="5:5" ht="16.5">
      <c r="E11699" s="123"/>
    </row>
    <row r="11700" spans="5:5" ht="16.5">
      <c r="E11700" s="123"/>
    </row>
    <row r="11701" spans="5:5" ht="16.5">
      <c r="E11701" s="123"/>
    </row>
    <row r="11702" spans="5:5" ht="16.5">
      <c r="E11702" s="123"/>
    </row>
    <row r="11703" spans="5:5" ht="16.5">
      <c r="E11703" s="123"/>
    </row>
    <row r="11704" spans="5:5" ht="16.5">
      <c r="E11704" s="123"/>
    </row>
    <row r="11705" spans="5:5" ht="16.5">
      <c r="E11705" s="123"/>
    </row>
    <row r="11706" spans="5:5" ht="16.5">
      <c r="E11706" s="123"/>
    </row>
    <row r="11707" spans="5:5" ht="16.5">
      <c r="E11707" s="123"/>
    </row>
    <row r="11708" spans="5:5" ht="16.5">
      <c r="E11708" s="123"/>
    </row>
    <row r="11709" spans="5:5" ht="16.5">
      <c r="E11709" s="123"/>
    </row>
    <row r="11710" spans="5:5" ht="16.5">
      <c r="E11710" s="123"/>
    </row>
    <row r="11711" spans="5:5" ht="16.5">
      <c r="E11711" s="123"/>
    </row>
    <row r="11712" spans="5:5" ht="16.5">
      <c r="E11712" s="123"/>
    </row>
    <row r="11713" spans="5:5" ht="16.5">
      <c r="E11713" s="123"/>
    </row>
    <row r="11714" spans="5:5" ht="16.5">
      <c r="E11714" s="123"/>
    </row>
    <row r="11715" spans="5:5" ht="16.5">
      <c r="E11715" s="123"/>
    </row>
    <row r="11716" spans="5:5" ht="16.5">
      <c r="E11716" s="123"/>
    </row>
    <row r="11717" spans="5:5" ht="16.5">
      <c r="E11717" s="123"/>
    </row>
    <row r="11718" spans="5:5" ht="16.5">
      <c r="E11718" s="123"/>
    </row>
    <row r="11719" spans="5:5" ht="16.5">
      <c r="E11719" s="123"/>
    </row>
    <row r="11720" spans="5:5" ht="16.5">
      <c r="E11720" s="123"/>
    </row>
    <row r="11721" spans="5:5" ht="16.5">
      <c r="E11721" s="123"/>
    </row>
    <row r="11722" spans="5:5" ht="16.5">
      <c r="E11722" s="123"/>
    </row>
    <row r="11723" spans="5:5" ht="16.5">
      <c r="E11723" s="123"/>
    </row>
    <row r="11724" spans="5:5" ht="16.5">
      <c r="E11724" s="123"/>
    </row>
    <row r="11725" spans="5:5" ht="16.5">
      <c r="E11725" s="123"/>
    </row>
    <row r="11726" spans="5:5" ht="16.5">
      <c r="E11726" s="123"/>
    </row>
    <row r="11727" spans="5:5" ht="16.5">
      <c r="E11727" s="123"/>
    </row>
    <row r="11728" spans="5:5" ht="16.5">
      <c r="E11728" s="123"/>
    </row>
    <row r="11729" spans="5:5" ht="16.5">
      <c r="E11729" s="123"/>
    </row>
    <row r="11730" spans="5:5" ht="16.5">
      <c r="E11730" s="123"/>
    </row>
    <row r="11731" spans="5:5" ht="16.5">
      <c r="E11731" s="123"/>
    </row>
    <row r="11732" spans="5:5" ht="16.5">
      <c r="E11732" s="123"/>
    </row>
    <row r="11733" spans="5:5" ht="16.5">
      <c r="E11733" s="123"/>
    </row>
    <row r="11734" spans="5:5" ht="16.5">
      <c r="E11734" s="123"/>
    </row>
    <row r="11735" spans="5:5" ht="16.5">
      <c r="E11735" s="123"/>
    </row>
    <row r="11736" spans="5:5" ht="16.5">
      <c r="E11736" s="123"/>
    </row>
    <row r="11737" spans="5:5" ht="16.5">
      <c r="E11737" s="123"/>
    </row>
    <row r="11738" spans="5:5" ht="16.5">
      <c r="E11738" s="123"/>
    </row>
    <row r="11739" spans="5:5" ht="16.5">
      <c r="E11739" s="123"/>
    </row>
    <row r="11740" spans="5:5" ht="16.5">
      <c r="E11740" s="123"/>
    </row>
    <row r="11741" spans="5:5" ht="16.5">
      <c r="E11741" s="123"/>
    </row>
    <row r="11742" spans="5:5" ht="16.5">
      <c r="E11742" s="123"/>
    </row>
    <row r="11743" spans="5:5" ht="16.5">
      <c r="E11743" s="123"/>
    </row>
    <row r="11744" spans="5:5" ht="16.5">
      <c r="E11744" s="123"/>
    </row>
    <row r="11745" spans="5:5" ht="16.5">
      <c r="E11745" s="123"/>
    </row>
    <row r="11746" spans="5:5" ht="16.5">
      <c r="E11746" s="123"/>
    </row>
    <row r="11747" spans="5:5" ht="16.5">
      <c r="E11747" s="123"/>
    </row>
    <row r="11748" spans="5:5" ht="16.5">
      <c r="E11748" s="123"/>
    </row>
    <row r="11749" spans="5:5" ht="16.5">
      <c r="E11749" s="123"/>
    </row>
    <row r="11750" spans="5:5" ht="16.5">
      <c r="E11750" s="123"/>
    </row>
    <row r="11751" spans="5:5" ht="16.5">
      <c r="E11751" s="123"/>
    </row>
    <row r="11752" spans="5:5" ht="16.5">
      <c r="E11752" s="123"/>
    </row>
    <row r="11753" spans="5:5" ht="16.5">
      <c r="E11753" s="123"/>
    </row>
    <row r="11754" spans="5:5" ht="16.5">
      <c r="E11754" s="123"/>
    </row>
    <row r="11755" spans="5:5" ht="16.5">
      <c r="E11755" s="123"/>
    </row>
    <row r="11756" spans="5:5" ht="16.5">
      <c r="E11756" s="123"/>
    </row>
    <row r="11757" spans="5:5" ht="16.5">
      <c r="E11757" s="123"/>
    </row>
    <row r="11758" spans="5:5" ht="16.5">
      <c r="E11758" s="123"/>
    </row>
    <row r="11759" spans="5:5" ht="16.5">
      <c r="E11759" s="123"/>
    </row>
    <row r="11760" spans="5:5" ht="16.5">
      <c r="E11760" s="123"/>
    </row>
    <row r="11761" spans="5:5" ht="16.5">
      <c r="E11761" s="123"/>
    </row>
    <row r="11762" spans="5:5" ht="16.5">
      <c r="E11762" s="123"/>
    </row>
    <row r="11763" spans="5:5" ht="16.5">
      <c r="E11763" s="123"/>
    </row>
    <row r="11764" spans="5:5" ht="16.5">
      <c r="E11764" s="123"/>
    </row>
    <row r="11765" spans="5:5" ht="16.5">
      <c r="E11765" s="123"/>
    </row>
    <row r="11766" spans="5:5" ht="16.5">
      <c r="E11766" s="123"/>
    </row>
    <row r="11767" spans="5:5" ht="16.5">
      <c r="E11767" s="123"/>
    </row>
    <row r="11768" spans="5:5" ht="16.5">
      <c r="E11768" s="123"/>
    </row>
    <row r="11769" spans="5:5" ht="16.5">
      <c r="E11769" s="123"/>
    </row>
    <row r="11770" spans="5:5" ht="16.5">
      <c r="E11770" s="123"/>
    </row>
    <row r="11771" spans="5:5" ht="16.5">
      <c r="E11771" s="123"/>
    </row>
    <row r="11772" spans="5:5" ht="16.5">
      <c r="E11772" s="123"/>
    </row>
    <row r="11773" spans="5:5" ht="16.5">
      <c r="E11773" s="123"/>
    </row>
    <row r="11774" spans="5:5" ht="16.5">
      <c r="E11774" s="123"/>
    </row>
    <row r="11775" spans="5:5" ht="16.5">
      <c r="E11775" s="123"/>
    </row>
    <row r="11776" spans="5:5" ht="16.5">
      <c r="E11776" s="123"/>
    </row>
    <row r="11777" spans="5:5" ht="16.5">
      <c r="E11777" s="123"/>
    </row>
    <row r="11778" spans="5:5" ht="16.5">
      <c r="E11778" s="123"/>
    </row>
    <row r="11779" spans="5:5" ht="16.5">
      <c r="E11779" s="123"/>
    </row>
    <row r="11780" spans="5:5" ht="16.5">
      <c r="E11780" s="123"/>
    </row>
    <row r="11781" spans="5:5" ht="16.5">
      <c r="E11781" s="123"/>
    </row>
    <row r="11782" spans="5:5" ht="16.5">
      <c r="E11782" s="123"/>
    </row>
    <row r="11783" spans="5:5" ht="16.5">
      <c r="E11783" s="123"/>
    </row>
    <row r="11784" spans="5:5" ht="16.5">
      <c r="E11784" s="123"/>
    </row>
    <row r="11785" spans="5:5" ht="16.5">
      <c r="E11785" s="123"/>
    </row>
    <row r="11786" spans="5:5" ht="16.5">
      <c r="E11786" s="123"/>
    </row>
    <row r="11787" spans="5:5" ht="16.5">
      <c r="E11787" s="123"/>
    </row>
    <row r="11788" spans="5:5" ht="16.5">
      <c r="E11788" s="123"/>
    </row>
    <row r="11789" spans="5:5" ht="16.5">
      <c r="E11789" s="123"/>
    </row>
    <row r="11790" spans="5:5" ht="16.5">
      <c r="E11790" s="123"/>
    </row>
    <row r="11791" spans="5:5" ht="16.5">
      <c r="E11791" s="123"/>
    </row>
    <row r="11792" spans="5:5" ht="16.5">
      <c r="E11792" s="123"/>
    </row>
    <row r="11793" spans="5:5" ht="16.5">
      <c r="E11793" s="123"/>
    </row>
    <row r="11794" spans="5:5" ht="16.5">
      <c r="E11794" s="123"/>
    </row>
    <row r="11795" spans="5:5" ht="16.5">
      <c r="E11795" s="123"/>
    </row>
    <row r="11796" spans="5:5" ht="16.5">
      <c r="E11796" s="123"/>
    </row>
    <row r="11797" spans="5:5" ht="16.5">
      <c r="E11797" s="123"/>
    </row>
    <row r="11798" spans="5:5" ht="16.5">
      <c r="E11798" s="123"/>
    </row>
    <row r="11799" spans="5:5" ht="16.5">
      <c r="E11799" s="123"/>
    </row>
    <row r="11800" spans="5:5" ht="16.5">
      <c r="E11800" s="123"/>
    </row>
    <row r="11801" spans="5:5" ht="16.5">
      <c r="E11801" s="123"/>
    </row>
    <row r="11802" spans="5:5" ht="16.5">
      <c r="E11802" s="123"/>
    </row>
    <row r="11803" spans="5:5" ht="16.5">
      <c r="E11803" s="123"/>
    </row>
    <row r="11804" spans="5:5" ht="16.5">
      <c r="E11804" s="123"/>
    </row>
    <row r="11805" spans="5:5" ht="16.5">
      <c r="E11805" s="123"/>
    </row>
    <row r="11806" spans="5:5" ht="16.5">
      <c r="E11806" s="123"/>
    </row>
    <row r="11807" spans="5:5" ht="16.5">
      <c r="E11807" s="123"/>
    </row>
    <row r="11808" spans="5:5" ht="16.5">
      <c r="E11808" s="123"/>
    </row>
    <row r="11809" spans="5:5" ht="16.5">
      <c r="E11809" s="123"/>
    </row>
    <row r="11810" spans="5:5" ht="16.5">
      <c r="E11810" s="123"/>
    </row>
    <row r="11811" spans="5:5" ht="16.5">
      <c r="E11811" s="123"/>
    </row>
    <row r="11812" spans="5:5" ht="16.5">
      <c r="E11812" s="123"/>
    </row>
    <row r="11813" spans="5:5" ht="16.5">
      <c r="E11813" s="123"/>
    </row>
    <row r="11814" spans="5:5" ht="16.5">
      <c r="E11814" s="123"/>
    </row>
    <row r="11815" spans="5:5" ht="16.5">
      <c r="E11815" s="123"/>
    </row>
    <row r="11816" spans="5:5" ht="16.5">
      <c r="E11816" s="123"/>
    </row>
    <row r="11817" spans="5:5" ht="16.5">
      <c r="E11817" s="123"/>
    </row>
    <row r="11818" spans="5:5" ht="16.5">
      <c r="E11818" s="123"/>
    </row>
    <row r="11819" spans="5:5" ht="16.5">
      <c r="E11819" s="123"/>
    </row>
    <row r="11820" spans="5:5" ht="16.5">
      <c r="E11820" s="123"/>
    </row>
    <row r="11821" spans="5:5" ht="16.5">
      <c r="E11821" s="123"/>
    </row>
    <row r="11822" spans="5:5" ht="16.5">
      <c r="E11822" s="123"/>
    </row>
    <row r="11823" spans="5:5" ht="16.5">
      <c r="E11823" s="123"/>
    </row>
    <row r="11824" spans="5:5" ht="16.5">
      <c r="E11824" s="123"/>
    </row>
    <row r="11825" spans="5:5" ht="16.5">
      <c r="E11825" s="123"/>
    </row>
    <row r="11826" spans="5:5" ht="16.5">
      <c r="E11826" s="123"/>
    </row>
    <row r="11827" spans="5:5" ht="16.5">
      <c r="E11827" s="123"/>
    </row>
    <row r="11828" spans="5:5" ht="16.5">
      <c r="E11828" s="123"/>
    </row>
    <row r="11829" spans="5:5" ht="16.5">
      <c r="E11829" s="123"/>
    </row>
    <row r="11830" spans="5:5" ht="16.5">
      <c r="E11830" s="123"/>
    </row>
    <row r="11831" spans="5:5" ht="16.5">
      <c r="E11831" s="123"/>
    </row>
    <row r="11832" spans="5:5" ht="16.5">
      <c r="E11832" s="123"/>
    </row>
    <row r="11833" spans="5:5" ht="16.5">
      <c r="E11833" s="123"/>
    </row>
    <row r="11834" spans="5:5" ht="16.5">
      <c r="E11834" s="123"/>
    </row>
    <row r="11835" spans="5:5" ht="16.5">
      <c r="E11835" s="123"/>
    </row>
    <row r="11836" spans="5:5" ht="16.5">
      <c r="E11836" s="123"/>
    </row>
    <row r="11837" spans="5:5" ht="16.5">
      <c r="E11837" s="123"/>
    </row>
    <row r="11838" spans="5:5" ht="16.5">
      <c r="E11838" s="123"/>
    </row>
    <row r="11839" spans="5:5" ht="16.5">
      <c r="E11839" s="123"/>
    </row>
    <row r="11840" spans="5:5" ht="16.5">
      <c r="E11840" s="123"/>
    </row>
    <row r="11841" spans="5:5" ht="16.5">
      <c r="E11841" s="123"/>
    </row>
    <row r="11842" spans="5:5" ht="16.5">
      <c r="E11842" s="123"/>
    </row>
    <row r="11843" spans="5:5" ht="16.5">
      <c r="E11843" s="123"/>
    </row>
    <row r="11844" spans="5:5" ht="16.5">
      <c r="E11844" s="123"/>
    </row>
    <row r="11845" spans="5:5" ht="16.5">
      <c r="E11845" s="123"/>
    </row>
    <row r="11846" spans="5:5" ht="16.5">
      <c r="E11846" s="123"/>
    </row>
    <row r="11847" spans="5:5" ht="16.5">
      <c r="E11847" s="123"/>
    </row>
    <row r="11848" spans="5:5" ht="16.5">
      <c r="E11848" s="123"/>
    </row>
    <row r="11849" spans="5:5" ht="16.5">
      <c r="E11849" s="123"/>
    </row>
    <row r="11850" spans="5:5" ht="16.5">
      <c r="E11850" s="123"/>
    </row>
    <row r="11851" spans="5:5" ht="16.5">
      <c r="E11851" s="123"/>
    </row>
    <row r="11852" spans="5:5" ht="16.5">
      <c r="E11852" s="123"/>
    </row>
    <row r="11853" spans="5:5" ht="16.5">
      <c r="E11853" s="123"/>
    </row>
    <row r="11854" spans="5:5" ht="16.5">
      <c r="E11854" s="123"/>
    </row>
    <row r="11855" spans="5:5" ht="16.5">
      <c r="E11855" s="123"/>
    </row>
    <row r="11856" spans="5:5" ht="16.5">
      <c r="E11856" s="123"/>
    </row>
    <row r="11857" spans="5:5" ht="16.5">
      <c r="E11857" s="123"/>
    </row>
    <row r="11858" spans="5:5" ht="16.5">
      <c r="E11858" s="123"/>
    </row>
    <row r="11859" spans="5:5" ht="16.5">
      <c r="E11859" s="123"/>
    </row>
    <row r="11860" spans="5:5" ht="16.5">
      <c r="E11860" s="123"/>
    </row>
    <row r="11861" spans="5:5" ht="16.5">
      <c r="E11861" s="123"/>
    </row>
    <row r="11862" spans="5:5" ht="16.5">
      <c r="E11862" s="123"/>
    </row>
    <row r="11863" spans="5:5" ht="16.5">
      <c r="E11863" s="123"/>
    </row>
    <row r="11864" spans="5:5" ht="16.5">
      <c r="E11864" s="123"/>
    </row>
    <row r="11865" spans="5:5" ht="16.5">
      <c r="E11865" s="123"/>
    </row>
    <row r="11866" spans="5:5" ht="16.5">
      <c r="E11866" s="123"/>
    </row>
    <row r="11867" spans="5:5" ht="16.5">
      <c r="E11867" s="123"/>
    </row>
    <row r="11868" spans="5:5" ht="16.5">
      <c r="E11868" s="123"/>
    </row>
    <row r="11869" spans="5:5" ht="16.5">
      <c r="E11869" s="123"/>
    </row>
    <row r="11870" spans="5:5" ht="16.5">
      <c r="E11870" s="123"/>
    </row>
    <row r="11871" spans="5:5" ht="16.5">
      <c r="E11871" s="123"/>
    </row>
    <row r="11872" spans="5:5" ht="16.5">
      <c r="E11872" s="123"/>
    </row>
    <row r="11873" spans="5:5" ht="16.5">
      <c r="E11873" s="123"/>
    </row>
    <row r="11874" spans="5:5" ht="16.5">
      <c r="E11874" s="123"/>
    </row>
    <row r="11875" spans="5:5" ht="16.5">
      <c r="E11875" s="123"/>
    </row>
    <row r="11876" spans="5:5" ht="16.5">
      <c r="E11876" s="123"/>
    </row>
    <row r="11877" spans="5:5" ht="16.5">
      <c r="E11877" s="123"/>
    </row>
    <row r="11878" spans="5:5" ht="16.5">
      <c r="E11878" s="123"/>
    </row>
    <row r="11879" spans="5:5" ht="16.5">
      <c r="E11879" s="123"/>
    </row>
    <row r="11880" spans="5:5" ht="16.5">
      <c r="E11880" s="123"/>
    </row>
    <row r="11881" spans="5:5" ht="16.5">
      <c r="E11881" s="123"/>
    </row>
    <row r="11882" spans="5:5" ht="16.5">
      <c r="E11882" s="123"/>
    </row>
    <row r="11883" spans="5:5" ht="16.5">
      <c r="E11883" s="123"/>
    </row>
    <row r="11884" spans="5:5" ht="16.5">
      <c r="E11884" s="123"/>
    </row>
    <row r="11885" spans="5:5" ht="16.5">
      <c r="E11885" s="123"/>
    </row>
    <row r="11886" spans="5:5" ht="16.5">
      <c r="E11886" s="123"/>
    </row>
    <row r="11887" spans="5:5" ht="16.5">
      <c r="E11887" s="123"/>
    </row>
    <row r="11888" spans="5:5" ht="16.5">
      <c r="E11888" s="123"/>
    </row>
    <row r="11889" spans="5:5" ht="16.5">
      <c r="E11889" s="123"/>
    </row>
    <row r="11890" spans="5:5" ht="16.5">
      <c r="E11890" s="123"/>
    </row>
    <row r="11891" spans="5:5" ht="16.5">
      <c r="E11891" s="123"/>
    </row>
    <row r="11892" spans="5:5" ht="16.5">
      <c r="E11892" s="123"/>
    </row>
    <row r="11893" spans="5:5" ht="16.5">
      <c r="E11893" s="123"/>
    </row>
    <row r="11894" spans="5:5" ht="16.5">
      <c r="E11894" s="123"/>
    </row>
    <row r="11895" spans="5:5" ht="16.5">
      <c r="E11895" s="123"/>
    </row>
    <row r="11896" spans="5:5" ht="16.5">
      <c r="E11896" s="123"/>
    </row>
    <row r="11897" spans="5:5" ht="16.5">
      <c r="E11897" s="123"/>
    </row>
    <row r="11898" spans="5:5" ht="16.5">
      <c r="E11898" s="123"/>
    </row>
    <row r="11899" spans="5:5" ht="16.5">
      <c r="E11899" s="123"/>
    </row>
    <row r="11900" spans="5:5" ht="16.5">
      <c r="E11900" s="123"/>
    </row>
    <row r="11901" spans="5:5" ht="16.5">
      <c r="E11901" s="123"/>
    </row>
    <row r="11902" spans="5:5" ht="16.5">
      <c r="E11902" s="123"/>
    </row>
    <row r="11903" spans="5:5" ht="16.5">
      <c r="E11903" s="123"/>
    </row>
    <row r="11904" spans="5:5" ht="16.5">
      <c r="E11904" s="123"/>
    </row>
    <row r="11905" spans="5:5" ht="16.5">
      <c r="E11905" s="123"/>
    </row>
    <row r="11906" spans="5:5" ht="16.5">
      <c r="E11906" s="123"/>
    </row>
    <row r="11907" spans="5:5" ht="16.5">
      <c r="E11907" s="123"/>
    </row>
    <row r="11908" spans="5:5" ht="16.5">
      <c r="E11908" s="123"/>
    </row>
    <row r="11909" spans="5:5" ht="16.5">
      <c r="E11909" s="123"/>
    </row>
    <row r="11910" spans="5:5" ht="16.5">
      <c r="E11910" s="123"/>
    </row>
    <row r="11911" spans="5:5" ht="16.5">
      <c r="E11911" s="123"/>
    </row>
    <row r="11912" spans="5:5" ht="16.5">
      <c r="E11912" s="123"/>
    </row>
    <row r="11913" spans="5:5" ht="16.5">
      <c r="E11913" s="123"/>
    </row>
    <row r="11914" spans="5:5" ht="16.5">
      <c r="E11914" s="123"/>
    </row>
    <row r="11915" spans="5:5" ht="16.5">
      <c r="E11915" s="123"/>
    </row>
    <row r="11916" spans="5:5" ht="16.5">
      <c r="E11916" s="123"/>
    </row>
    <row r="11917" spans="5:5" ht="16.5">
      <c r="E11917" s="123"/>
    </row>
    <row r="11918" spans="5:5" ht="16.5">
      <c r="E11918" s="123"/>
    </row>
    <row r="11919" spans="5:5" ht="16.5">
      <c r="E11919" s="123"/>
    </row>
    <row r="11920" spans="5:5" ht="16.5">
      <c r="E11920" s="123"/>
    </row>
    <row r="11921" spans="5:5" ht="16.5">
      <c r="E11921" s="123"/>
    </row>
    <row r="11922" spans="5:5" ht="16.5">
      <c r="E11922" s="123"/>
    </row>
    <row r="11923" spans="5:5" ht="16.5">
      <c r="E11923" s="123"/>
    </row>
    <row r="11924" spans="5:5" ht="16.5">
      <c r="E11924" s="123"/>
    </row>
    <row r="11925" spans="5:5" ht="16.5">
      <c r="E11925" s="123"/>
    </row>
    <row r="11926" spans="5:5" ht="16.5">
      <c r="E11926" s="123"/>
    </row>
    <row r="11927" spans="5:5" ht="16.5">
      <c r="E11927" s="123"/>
    </row>
    <row r="11928" spans="5:5" ht="16.5">
      <c r="E11928" s="123"/>
    </row>
    <row r="11929" spans="5:5" ht="16.5">
      <c r="E11929" s="123"/>
    </row>
    <row r="11930" spans="5:5" ht="16.5">
      <c r="E11930" s="123"/>
    </row>
    <row r="11931" spans="5:5" ht="16.5">
      <c r="E11931" s="123"/>
    </row>
    <row r="11932" spans="5:5" ht="16.5">
      <c r="E11932" s="123"/>
    </row>
    <row r="11933" spans="5:5" ht="16.5">
      <c r="E11933" s="123"/>
    </row>
    <row r="11934" spans="5:5" ht="16.5">
      <c r="E11934" s="123"/>
    </row>
    <row r="11935" spans="5:5" ht="16.5">
      <c r="E11935" s="123"/>
    </row>
    <row r="11936" spans="5:5" ht="16.5">
      <c r="E11936" s="123"/>
    </row>
    <row r="11937" spans="5:5" ht="16.5">
      <c r="E11937" s="123"/>
    </row>
    <row r="11938" spans="5:5" ht="16.5">
      <c r="E11938" s="123"/>
    </row>
    <row r="11939" spans="5:5" ht="16.5">
      <c r="E11939" s="123"/>
    </row>
    <row r="11940" spans="5:5" ht="16.5">
      <c r="E11940" s="123"/>
    </row>
    <row r="11941" spans="5:5" ht="16.5">
      <c r="E11941" s="123"/>
    </row>
    <row r="11942" spans="5:5" ht="16.5">
      <c r="E11942" s="123"/>
    </row>
    <row r="11943" spans="5:5" ht="16.5">
      <c r="E11943" s="123"/>
    </row>
    <row r="11944" spans="5:5" ht="16.5">
      <c r="E11944" s="123"/>
    </row>
    <row r="11945" spans="5:5" ht="16.5">
      <c r="E11945" s="123"/>
    </row>
    <row r="11946" spans="5:5" ht="16.5">
      <c r="E11946" s="123"/>
    </row>
    <row r="11947" spans="5:5" ht="16.5">
      <c r="E11947" s="123"/>
    </row>
    <row r="11948" spans="5:5" ht="16.5">
      <c r="E11948" s="123"/>
    </row>
    <row r="11949" spans="5:5" ht="16.5">
      <c r="E11949" s="123"/>
    </row>
    <row r="11950" spans="5:5" ht="16.5">
      <c r="E11950" s="123"/>
    </row>
    <row r="11951" spans="5:5" ht="16.5">
      <c r="E11951" s="123"/>
    </row>
    <row r="11952" spans="5:5" ht="16.5">
      <c r="E11952" s="123"/>
    </row>
    <row r="11953" spans="5:5" ht="16.5">
      <c r="E11953" s="123"/>
    </row>
    <row r="11954" spans="5:5" ht="16.5">
      <c r="E11954" s="123"/>
    </row>
    <row r="11955" spans="5:5" ht="16.5">
      <c r="E11955" s="123"/>
    </row>
    <row r="11956" spans="5:5" ht="16.5">
      <c r="E11956" s="123"/>
    </row>
    <row r="11957" spans="5:5" ht="16.5">
      <c r="E11957" s="123"/>
    </row>
    <row r="11958" spans="5:5" ht="16.5">
      <c r="E11958" s="123"/>
    </row>
    <row r="11959" spans="5:5" ht="16.5">
      <c r="E11959" s="123"/>
    </row>
    <row r="11960" spans="5:5" ht="16.5">
      <c r="E11960" s="123"/>
    </row>
    <row r="11961" spans="5:5" ht="16.5">
      <c r="E11961" s="123"/>
    </row>
    <row r="11962" spans="5:5" ht="16.5">
      <c r="E11962" s="123"/>
    </row>
    <row r="11963" spans="5:5" ht="16.5">
      <c r="E11963" s="123"/>
    </row>
    <row r="11964" spans="5:5" ht="16.5">
      <c r="E11964" s="123"/>
    </row>
    <row r="11965" spans="5:5" ht="16.5">
      <c r="E11965" s="123"/>
    </row>
    <row r="11966" spans="5:5" ht="16.5">
      <c r="E11966" s="123"/>
    </row>
    <row r="11967" spans="5:5" ht="16.5">
      <c r="E11967" s="123"/>
    </row>
    <row r="11968" spans="5:5" ht="16.5">
      <c r="E11968" s="123"/>
    </row>
    <row r="11969" spans="5:5" ht="16.5">
      <c r="E11969" s="123"/>
    </row>
    <row r="11970" spans="5:5" ht="16.5">
      <c r="E11970" s="123"/>
    </row>
    <row r="11971" spans="5:5" ht="16.5">
      <c r="E11971" s="123"/>
    </row>
    <row r="11972" spans="5:5" ht="16.5">
      <c r="E11972" s="123"/>
    </row>
    <row r="11973" spans="5:5" ht="16.5">
      <c r="E11973" s="123"/>
    </row>
    <row r="11974" spans="5:5" ht="16.5">
      <c r="E11974" s="123"/>
    </row>
    <row r="11975" spans="5:5" ht="16.5">
      <c r="E11975" s="123"/>
    </row>
    <row r="11976" spans="5:5" ht="16.5">
      <c r="E11976" s="123"/>
    </row>
    <row r="11977" spans="5:5" ht="16.5">
      <c r="E11977" s="123"/>
    </row>
    <row r="11978" spans="5:5" ht="16.5">
      <c r="E11978" s="123"/>
    </row>
    <row r="11979" spans="5:5" ht="16.5">
      <c r="E11979" s="123"/>
    </row>
    <row r="11980" spans="5:5" ht="16.5">
      <c r="E11980" s="123"/>
    </row>
    <row r="11981" spans="5:5" ht="16.5">
      <c r="E11981" s="123"/>
    </row>
    <row r="11982" spans="5:5" ht="16.5">
      <c r="E11982" s="123"/>
    </row>
    <row r="11983" spans="5:5" ht="16.5">
      <c r="E11983" s="123"/>
    </row>
    <row r="11984" spans="5:5" ht="16.5">
      <c r="E11984" s="123"/>
    </row>
    <row r="11985" spans="5:5" ht="16.5">
      <c r="E11985" s="123"/>
    </row>
    <row r="11986" spans="5:5" ht="16.5">
      <c r="E11986" s="123"/>
    </row>
    <row r="11987" spans="5:5" ht="16.5">
      <c r="E11987" s="123"/>
    </row>
    <row r="11988" spans="5:5" ht="16.5">
      <c r="E11988" s="123"/>
    </row>
    <row r="11989" spans="5:5" ht="16.5">
      <c r="E11989" s="123"/>
    </row>
    <row r="11990" spans="5:5" ht="16.5">
      <c r="E11990" s="123"/>
    </row>
    <row r="11991" spans="5:5" ht="16.5">
      <c r="E11991" s="123"/>
    </row>
    <row r="11992" spans="5:5" ht="16.5">
      <c r="E11992" s="123"/>
    </row>
    <row r="11993" spans="5:5" ht="16.5">
      <c r="E11993" s="123"/>
    </row>
    <row r="11994" spans="5:5" ht="16.5">
      <c r="E11994" s="123"/>
    </row>
    <row r="11995" spans="5:5" ht="16.5">
      <c r="E11995" s="123"/>
    </row>
    <row r="11996" spans="5:5" ht="16.5">
      <c r="E11996" s="123"/>
    </row>
    <row r="11997" spans="5:5" ht="16.5">
      <c r="E11997" s="123"/>
    </row>
    <row r="11998" spans="5:5" ht="16.5">
      <c r="E11998" s="123"/>
    </row>
    <row r="11999" spans="5:5" ht="16.5">
      <c r="E11999" s="123"/>
    </row>
    <row r="12000" spans="5:5" ht="16.5">
      <c r="E12000" s="123"/>
    </row>
    <row r="12001" spans="5:5" ht="16.5">
      <c r="E12001" s="123"/>
    </row>
    <row r="12002" spans="5:5" ht="16.5">
      <c r="E12002" s="123"/>
    </row>
    <row r="12003" spans="5:5" ht="16.5">
      <c r="E12003" s="123"/>
    </row>
    <row r="12004" spans="5:5" ht="16.5">
      <c r="E12004" s="123"/>
    </row>
    <row r="12005" spans="5:5" ht="16.5">
      <c r="E12005" s="123"/>
    </row>
    <row r="12006" spans="5:5" ht="16.5">
      <c r="E12006" s="123"/>
    </row>
    <row r="12007" spans="5:5" ht="16.5">
      <c r="E12007" s="123"/>
    </row>
    <row r="12008" spans="5:5" ht="16.5">
      <c r="E12008" s="123"/>
    </row>
    <row r="12009" spans="5:5" ht="16.5">
      <c r="E12009" s="123"/>
    </row>
    <row r="12010" spans="5:5" ht="16.5">
      <c r="E12010" s="123"/>
    </row>
    <row r="12011" spans="5:5" ht="16.5">
      <c r="E12011" s="123"/>
    </row>
    <row r="12012" spans="5:5" ht="16.5">
      <c r="E12012" s="123"/>
    </row>
    <row r="12013" spans="5:5" ht="16.5">
      <c r="E12013" s="123"/>
    </row>
    <row r="12014" spans="5:5" ht="16.5">
      <c r="E12014" s="123"/>
    </row>
    <row r="12015" spans="5:5" ht="16.5">
      <c r="E12015" s="123"/>
    </row>
    <row r="12016" spans="5:5" ht="16.5">
      <c r="E12016" s="123"/>
    </row>
    <row r="12017" spans="5:5" ht="16.5">
      <c r="E12017" s="123"/>
    </row>
    <row r="12018" spans="5:5" ht="16.5">
      <c r="E12018" s="123"/>
    </row>
    <row r="12019" spans="5:5" ht="16.5">
      <c r="E12019" s="123"/>
    </row>
    <row r="12020" spans="5:5" ht="16.5">
      <c r="E12020" s="123"/>
    </row>
    <row r="12021" spans="5:5" ht="16.5">
      <c r="E12021" s="123"/>
    </row>
    <row r="12022" spans="5:5" ht="16.5">
      <c r="E12022" s="123"/>
    </row>
    <row r="12023" spans="5:5" ht="16.5">
      <c r="E12023" s="123"/>
    </row>
    <row r="12024" spans="5:5" ht="16.5">
      <c r="E12024" s="123"/>
    </row>
    <row r="12025" spans="5:5" ht="16.5">
      <c r="E12025" s="123"/>
    </row>
    <row r="12026" spans="5:5" ht="16.5">
      <c r="E12026" s="123"/>
    </row>
    <row r="12027" spans="5:5" ht="16.5">
      <c r="E12027" s="123"/>
    </row>
    <row r="12028" spans="5:5" ht="16.5">
      <c r="E12028" s="123"/>
    </row>
    <row r="12029" spans="5:5" ht="16.5">
      <c r="E12029" s="123"/>
    </row>
    <row r="12030" spans="5:5" ht="16.5">
      <c r="E12030" s="123"/>
    </row>
    <row r="12031" spans="5:5" ht="16.5">
      <c r="E12031" s="123"/>
    </row>
    <row r="12032" spans="5:5" ht="16.5">
      <c r="E12032" s="123"/>
    </row>
    <row r="12033" spans="5:5" ht="16.5">
      <c r="E12033" s="123"/>
    </row>
    <row r="12034" spans="5:5" ht="16.5">
      <c r="E12034" s="123"/>
    </row>
    <row r="12035" spans="5:5" ht="16.5">
      <c r="E12035" s="123"/>
    </row>
    <row r="12036" spans="5:5" ht="16.5">
      <c r="E12036" s="123"/>
    </row>
    <row r="12037" spans="5:5" ht="16.5">
      <c r="E12037" s="123"/>
    </row>
    <row r="12038" spans="5:5" ht="16.5">
      <c r="E12038" s="123"/>
    </row>
    <row r="12039" spans="5:5" ht="16.5">
      <c r="E12039" s="123"/>
    </row>
    <row r="12040" spans="5:5" ht="16.5">
      <c r="E12040" s="123"/>
    </row>
    <row r="12041" spans="5:5" ht="16.5">
      <c r="E12041" s="123"/>
    </row>
    <row r="12042" spans="5:5" ht="16.5">
      <c r="E12042" s="123"/>
    </row>
    <row r="12043" spans="5:5" ht="16.5">
      <c r="E12043" s="123"/>
    </row>
    <row r="12044" spans="5:5" ht="16.5">
      <c r="E12044" s="123"/>
    </row>
    <row r="12045" spans="5:5" ht="16.5">
      <c r="E12045" s="123"/>
    </row>
    <row r="12046" spans="5:5" ht="16.5">
      <c r="E12046" s="123"/>
    </row>
    <row r="12047" spans="5:5" ht="16.5">
      <c r="E12047" s="123"/>
    </row>
    <row r="12048" spans="5:5" ht="16.5">
      <c r="E12048" s="123"/>
    </row>
    <row r="12049" spans="5:5" ht="16.5">
      <c r="E12049" s="123"/>
    </row>
    <row r="12050" spans="5:5" ht="16.5">
      <c r="E12050" s="123"/>
    </row>
    <row r="12051" spans="5:5" ht="16.5">
      <c r="E12051" s="123"/>
    </row>
    <row r="12052" spans="5:5" ht="16.5">
      <c r="E12052" s="123"/>
    </row>
    <row r="12053" spans="5:5" ht="16.5">
      <c r="E12053" s="123"/>
    </row>
    <row r="12054" spans="5:5" ht="16.5">
      <c r="E12054" s="123"/>
    </row>
    <row r="12055" spans="5:5" ht="16.5">
      <c r="E12055" s="123"/>
    </row>
    <row r="12056" spans="5:5" ht="16.5">
      <c r="E12056" s="123"/>
    </row>
    <row r="12057" spans="5:5" ht="16.5">
      <c r="E12057" s="123"/>
    </row>
    <row r="12058" spans="5:5" ht="16.5">
      <c r="E12058" s="123"/>
    </row>
    <row r="12059" spans="5:5" ht="16.5">
      <c r="E12059" s="123"/>
    </row>
    <row r="12060" spans="5:5" ht="16.5">
      <c r="E12060" s="123"/>
    </row>
    <row r="12061" spans="5:5" ht="16.5">
      <c r="E12061" s="123"/>
    </row>
    <row r="12062" spans="5:5" ht="16.5">
      <c r="E12062" s="123"/>
    </row>
    <row r="12063" spans="5:5" ht="16.5">
      <c r="E12063" s="123"/>
    </row>
    <row r="12064" spans="5:5" ht="16.5">
      <c r="E12064" s="123"/>
    </row>
    <row r="12065" spans="5:5" ht="16.5">
      <c r="E12065" s="123"/>
    </row>
    <row r="12066" spans="5:5" ht="16.5">
      <c r="E12066" s="123"/>
    </row>
    <row r="12067" spans="5:5" ht="16.5">
      <c r="E12067" s="123"/>
    </row>
    <row r="12068" spans="5:5" ht="16.5">
      <c r="E12068" s="123"/>
    </row>
    <row r="12069" spans="5:5" ht="16.5">
      <c r="E12069" s="123"/>
    </row>
    <row r="12070" spans="5:5" ht="16.5">
      <c r="E12070" s="123"/>
    </row>
    <row r="12071" spans="5:5" ht="16.5">
      <c r="E12071" s="123"/>
    </row>
    <row r="12072" spans="5:5" ht="16.5">
      <c r="E12072" s="123"/>
    </row>
    <row r="12073" spans="5:5" ht="16.5">
      <c r="E12073" s="123"/>
    </row>
    <row r="12074" spans="5:5" ht="16.5">
      <c r="E12074" s="123"/>
    </row>
    <row r="12075" spans="5:5" ht="16.5">
      <c r="E12075" s="123"/>
    </row>
    <row r="12076" spans="5:5" ht="16.5">
      <c r="E12076" s="123"/>
    </row>
    <row r="12077" spans="5:5" ht="16.5">
      <c r="E12077" s="123"/>
    </row>
    <row r="12078" spans="5:5" ht="16.5">
      <c r="E12078" s="123"/>
    </row>
    <row r="12079" spans="5:5" ht="16.5">
      <c r="E12079" s="123"/>
    </row>
    <row r="12080" spans="5:5" ht="16.5">
      <c r="E12080" s="123"/>
    </row>
    <row r="12081" spans="5:5" ht="16.5">
      <c r="E12081" s="123"/>
    </row>
    <row r="12082" spans="5:5" ht="16.5">
      <c r="E12082" s="123"/>
    </row>
    <row r="12083" spans="5:5" ht="16.5">
      <c r="E12083" s="123"/>
    </row>
    <row r="12084" spans="5:5" ht="16.5">
      <c r="E12084" s="123"/>
    </row>
    <row r="12085" spans="5:5" ht="16.5">
      <c r="E12085" s="123"/>
    </row>
    <row r="12086" spans="5:5" ht="16.5">
      <c r="E12086" s="123"/>
    </row>
    <row r="12087" spans="5:5" ht="16.5">
      <c r="E12087" s="123"/>
    </row>
    <row r="12088" spans="5:5" ht="16.5">
      <c r="E12088" s="123"/>
    </row>
    <row r="12089" spans="5:5" ht="16.5">
      <c r="E12089" s="123"/>
    </row>
    <row r="12090" spans="5:5" ht="16.5">
      <c r="E12090" s="123"/>
    </row>
    <row r="12091" spans="5:5" ht="16.5">
      <c r="E12091" s="123"/>
    </row>
    <row r="12092" spans="5:5" ht="16.5">
      <c r="E12092" s="123"/>
    </row>
    <row r="12093" spans="5:5" ht="16.5">
      <c r="E12093" s="123"/>
    </row>
    <row r="12094" spans="5:5" ht="16.5">
      <c r="E12094" s="123"/>
    </row>
    <row r="12095" spans="5:5" ht="16.5">
      <c r="E12095" s="123"/>
    </row>
    <row r="12096" spans="5:5" ht="16.5">
      <c r="E12096" s="123"/>
    </row>
    <row r="12097" spans="5:5" ht="16.5">
      <c r="E12097" s="123"/>
    </row>
    <row r="12098" spans="5:5" ht="16.5">
      <c r="E12098" s="123"/>
    </row>
    <row r="12099" spans="5:5" ht="16.5">
      <c r="E12099" s="123"/>
    </row>
    <row r="12100" spans="5:5" ht="16.5">
      <c r="E12100" s="123"/>
    </row>
    <row r="12101" spans="5:5" ht="16.5">
      <c r="E12101" s="123"/>
    </row>
    <row r="12102" spans="5:5" ht="16.5">
      <c r="E12102" s="123"/>
    </row>
    <row r="12103" spans="5:5" ht="16.5">
      <c r="E12103" s="123"/>
    </row>
    <row r="12104" spans="5:5" ht="16.5">
      <c r="E12104" s="123"/>
    </row>
    <row r="12105" spans="5:5" ht="16.5">
      <c r="E12105" s="123"/>
    </row>
    <row r="12106" spans="5:5" ht="16.5">
      <c r="E12106" s="123"/>
    </row>
    <row r="12107" spans="5:5" ht="16.5">
      <c r="E12107" s="123"/>
    </row>
    <row r="12108" spans="5:5" ht="16.5">
      <c r="E12108" s="123"/>
    </row>
    <row r="12109" spans="5:5" ht="16.5">
      <c r="E12109" s="123"/>
    </row>
    <row r="12110" spans="5:5" ht="16.5">
      <c r="E12110" s="123"/>
    </row>
    <row r="12111" spans="5:5" ht="16.5">
      <c r="E12111" s="123"/>
    </row>
    <row r="12112" spans="5:5" ht="16.5">
      <c r="E12112" s="123"/>
    </row>
    <row r="12113" spans="5:5" ht="16.5">
      <c r="E12113" s="123"/>
    </row>
    <row r="12114" spans="5:5" ht="16.5">
      <c r="E12114" s="123"/>
    </row>
    <row r="12115" spans="5:5" ht="16.5">
      <c r="E12115" s="123"/>
    </row>
    <row r="12116" spans="5:5" ht="16.5">
      <c r="E12116" s="123"/>
    </row>
    <row r="12117" spans="5:5" ht="16.5">
      <c r="E12117" s="123"/>
    </row>
    <row r="12118" spans="5:5" ht="16.5">
      <c r="E12118" s="123"/>
    </row>
    <row r="12119" spans="5:5" ht="16.5">
      <c r="E12119" s="123"/>
    </row>
    <row r="12120" spans="5:5" ht="16.5">
      <c r="E12120" s="123"/>
    </row>
    <row r="12121" spans="5:5" ht="16.5">
      <c r="E12121" s="123"/>
    </row>
    <row r="12122" spans="5:5" ht="16.5">
      <c r="E12122" s="123"/>
    </row>
    <row r="12123" spans="5:5" ht="16.5">
      <c r="E12123" s="123"/>
    </row>
    <row r="12124" spans="5:5" ht="16.5">
      <c r="E12124" s="123"/>
    </row>
    <row r="12125" spans="5:5" ht="16.5">
      <c r="E12125" s="123"/>
    </row>
    <row r="12126" spans="5:5" ht="16.5">
      <c r="E12126" s="123"/>
    </row>
    <row r="12127" spans="5:5" ht="16.5">
      <c r="E12127" s="123"/>
    </row>
    <row r="12128" spans="5:5" ht="16.5">
      <c r="E12128" s="123"/>
    </row>
    <row r="12129" spans="5:5" ht="16.5">
      <c r="E12129" s="123"/>
    </row>
    <row r="12130" spans="5:5" ht="16.5">
      <c r="E12130" s="123"/>
    </row>
    <row r="12131" spans="5:5" ht="16.5">
      <c r="E12131" s="123"/>
    </row>
    <row r="12132" spans="5:5" ht="16.5">
      <c r="E12132" s="123"/>
    </row>
    <row r="12133" spans="5:5" ht="16.5">
      <c r="E12133" s="123"/>
    </row>
    <row r="12134" spans="5:5" ht="16.5">
      <c r="E12134" s="123"/>
    </row>
    <row r="12135" spans="5:5" ht="16.5">
      <c r="E12135" s="123"/>
    </row>
    <row r="12136" spans="5:5" ht="16.5">
      <c r="E12136" s="123"/>
    </row>
    <row r="12137" spans="5:5" ht="16.5">
      <c r="E12137" s="123"/>
    </row>
    <row r="12138" spans="5:5" ht="16.5">
      <c r="E12138" s="123"/>
    </row>
    <row r="12139" spans="5:5" ht="16.5">
      <c r="E12139" s="123"/>
    </row>
    <row r="12140" spans="5:5" ht="16.5">
      <c r="E12140" s="123"/>
    </row>
    <row r="12141" spans="5:5" ht="16.5">
      <c r="E12141" s="123"/>
    </row>
    <row r="12142" spans="5:5" ht="16.5">
      <c r="E12142" s="123"/>
    </row>
    <row r="12143" spans="5:5" ht="16.5">
      <c r="E12143" s="123"/>
    </row>
    <row r="12144" spans="5:5" ht="16.5">
      <c r="E12144" s="123"/>
    </row>
    <row r="12145" spans="5:5" ht="16.5">
      <c r="E12145" s="123"/>
    </row>
    <row r="12146" spans="5:5" ht="16.5">
      <c r="E12146" s="123"/>
    </row>
    <row r="12147" spans="5:5" ht="16.5">
      <c r="E12147" s="123"/>
    </row>
    <row r="12148" spans="5:5" ht="16.5">
      <c r="E12148" s="123"/>
    </row>
    <row r="12149" spans="5:5" ht="16.5">
      <c r="E12149" s="123"/>
    </row>
    <row r="12150" spans="5:5" ht="16.5">
      <c r="E12150" s="123"/>
    </row>
    <row r="12151" spans="5:5" ht="16.5">
      <c r="E12151" s="123"/>
    </row>
    <row r="12152" spans="5:5" ht="16.5">
      <c r="E12152" s="123"/>
    </row>
    <row r="12153" spans="5:5" ht="16.5">
      <c r="E12153" s="123"/>
    </row>
    <row r="12154" spans="5:5" ht="16.5">
      <c r="E12154" s="123"/>
    </row>
    <row r="12155" spans="5:5" ht="16.5">
      <c r="E12155" s="123"/>
    </row>
    <row r="12156" spans="5:5" ht="16.5">
      <c r="E12156" s="123"/>
    </row>
    <row r="12157" spans="5:5" ht="16.5">
      <c r="E12157" s="123"/>
    </row>
    <row r="12158" spans="5:5" ht="16.5">
      <c r="E12158" s="123"/>
    </row>
    <row r="12159" spans="5:5" ht="16.5">
      <c r="E12159" s="123"/>
    </row>
    <row r="12160" spans="5:5" ht="16.5">
      <c r="E12160" s="123"/>
    </row>
    <row r="12161" spans="5:5" ht="16.5">
      <c r="E12161" s="123"/>
    </row>
    <row r="12162" spans="5:5" ht="16.5">
      <c r="E12162" s="123"/>
    </row>
    <row r="12163" spans="5:5" ht="16.5">
      <c r="E12163" s="123"/>
    </row>
    <row r="12164" spans="5:5" ht="16.5">
      <c r="E12164" s="123"/>
    </row>
    <row r="12165" spans="5:5" ht="16.5">
      <c r="E12165" s="123"/>
    </row>
    <row r="12166" spans="5:5" ht="16.5">
      <c r="E12166" s="123"/>
    </row>
    <row r="12167" spans="5:5" ht="16.5">
      <c r="E12167" s="123"/>
    </row>
    <row r="12168" spans="5:5" ht="16.5">
      <c r="E12168" s="123"/>
    </row>
    <row r="12169" spans="5:5" ht="16.5">
      <c r="E12169" s="123"/>
    </row>
    <row r="12170" spans="5:5" ht="16.5">
      <c r="E12170" s="123"/>
    </row>
    <row r="12171" spans="5:5" ht="16.5">
      <c r="E12171" s="123"/>
    </row>
    <row r="12172" spans="5:5" ht="16.5">
      <c r="E12172" s="123"/>
    </row>
    <row r="12173" spans="5:5" ht="16.5">
      <c r="E12173" s="123"/>
    </row>
    <row r="12174" spans="5:5" ht="16.5">
      <c r="E12174" s="123"/>
    </row>
    <row r="12175" spans="5:5" ht="16.5">
      <c r="E12175" s="123"/>
    </row>
    <row r="12176" spans="5:5" ht="16.5">
      <c r="E12176" s="123"/>
    </row>
    <row r="12177" spans="5:5" ht="16.5">
      <c r="E12177" s="123"/>
    </row>
    <row r="12178" spans="5:5" ht="16.5">
      <c r="E12178" s="123"/>
    </row>
    <row r="12179" spans="5:5" ht="16.5">
      <c r="E12179" s="123"/>
    </row>
    <row r="12180" spans="5:5" ht="16.5">
      <c r="E12180" s="123"/>
    </row>
    <row r="12181" spans="5:5" ht="16.5">
      <c r="E12181" s="123"/>
    </row>
    <row r="12182" spans="5:5" ht="16.5">
      <c r="E12182" s="123"/>
    </row>
    <row r="12183" spans="5:5" ht="16.5">
      <c r="E12183" s="123"/>
    </row>
    <row r="12184" spans="5:5" ht="16.5">
      <c r="E12184" s="123"/>
    </row>
    <row r="12185" spans="5:5" ht="16.5">
      <c r="E12185" s="123"/>
    </row>
    <row r="12186" spans="5:5" ht="16.5">
      <c r="E12186" s="123"/>
    </row>
    <row r="12187" spans="5:5" ht="16.5">
      <c r="E12187" s="123"/>
    </row>
    <row r="12188" spans="5:5" ht="16.5">
      <c r="E12188" s="123"/>
    </row>
    <row r="12189" spans="5:5" ht="16.5">
      <c r="E12189" s="123"/>
    </row>
    <row r="12190" spans="5:5" ht="16.5">
      <c r="E12190" s="123"/>
    </row>
    <row r="12191" spans="5:5" ht="16.5">
      <c r="E12191" s="123"/>
    </row>
    <row r="12192" spans="5:5" ht="16.5">
      <c r="E12192" s="123"/>
    </row>
    <row r="12193" spans="5:5" ht="16.5">
      <c r="E12193" s="123"/>
    </row>
    <row r="12194" spans="5:5" ht="16.5">
      <c r="E12194" s="123"/>
    </row>
    <row r="12195" spans="5:5" ht="16.5">
      <c r="E12195" s="123"/>
    </row>
    <row r="12196" spans="5:5" ht="16.5">
      <c r="E12196" s="123"/>
    </row>
    <row r="12197" spans="5:5" ht="16.5">
      <c r="E12197" s="123"/>
    </row>
    <row r="12198" spans="5:5" ht="16.5">
      <c r="E12198" s="123"/>
    </row>
    <row r="12199" spans="5:5" ht="16.5">
      <c r="E12199" s="123"/>
    </row>
    <row r="12200" spans="5:5" ht="16.5">
      <c r="E12200" s="123"/>
    </row>
    <row r="12201" spans="5:5" ht="16.5">
      <c r="E12201" s="123"/>
    </row>
    <row r="12202" spans="5:5" ht="16.5">
      <c r="E12202" s="123"/>
    </row>
    <row r="12203" spans="5:5" ht="16.5">
      <c r="E12203" s="123"/>
    </row>
    <row r="12204" spans="5:5" ht="16.5">
      <c r="E12204" s="123"/>
    </row>
    <row r="12205" spans="5:5" ht="16.5">
      <c r="E12205" s="123"/>
    </row>
    <row r="12206" spans="5:5" ht="16.5">
      <c r="E12206" s="123"/>
    </row>
    <row r="12207" spans="5:5" ht="16.5">
      <c r="E12207" s="123"/>
    </row>
    <row r="12208" spans="5:5" ht="16.5">
      <c r="E12208" s="123"/>
    </row>
    <row r="12209" spans="5:5" ht="16.5">
      <c r="E12209" s="123"/>
    </row>
    <row r="12210" spans="5:5" ht="16.5">
      <c r="E12210" s="123"/>
    </row>
    <row r="12211" spans="5:5" ht="16.5">
      <c r="E12211" s="123"/>
    </row>
    <row r="12212" spans="5:5" ht="16.5">
      <c r="E12212" s="123"/>
    </row>
    <row r="12213" spans="5:5" ht="16.5">
      <c r="E12213" s="123"/>
    </row>
    <row r="12214" spans="5:5" ht="16.5">
      <c r="E12214" s="123"/>
    </row>
    <row r="12215" spans="5:5" ht="16.5">
      <c r="E12215" s="123"/>
    </row>
    <row r="12216" spans="5:5" ht="16.5">
      <c r="E12216" s="123"/>
    </row>
    <row r="12217" spans="5:5" ht="16.5">
      <c r="E12217" s="123"/>
    </row>
    <row r="12218" spans="5:5" ht="16.5">
      <c r="E12218" s="123"/>
    </row>
    <row r="12219" spans="5:5" ht="16.5">
      <c r="E12219" s="123"/>
    </row>
    <row r="12220" spans="5:5" ht="16.5">
      <c r="E12220" s="123"/>
    </row>
    <row r="12221" spans="5:5" ht="16.5">
      <c r="E12221" s="123"/>
    </row>
    <row r="12222" spans="5:5" ht="16.5">
      <c r="E12222" s="123"/>
    </row>
    <row r="12223" spans="5:5" ht="16.5">
      <c r="E12223" s="123"/>
    </row>
    <row r="12224" spans="5:5" ht="16.5">
      <c r="E12224" s="123"/>
    </row>
    <row r="12225" spans="5:5" ht="16.5">
      <c r="E12225" s="123"/>
    </row>
    <row r="12226" spans="5:5" ht="16.5">
      <c r="E12226" s="123"/>
    </row>
    <row r="12227" spans="5:5" ht="16.5">
      <c r="E12227" s="123"/>
    </row>
    <row r="12228" spans="5:5" ht="16.5">
      <c r="E12228" s="123"/>
    </row>
    <row r="12229" spans="5:5" ht="16.5">
      <c r="E12229" s="123"/>
    </row>
    <row r="12230" spans="5:5" ht="16.5">
      <c r="E12230" s="123"/>
    </row>
    <row r="12231" spans="5:5" ht="16.5">
      <c r="E12231" s="123"/>
    </row>
    <row r="12232" spans="5:5" ht="16.5">
      <c r="E12232" s="123"/>
    </row>
    <row r="12233" spans="5:5" ht="16.5">
      <c r="E12233" s="123"/>
    </row>
    <row r="12234" spans="5:5" ht="16.5">
      <c r="E12234" s="123"/>
    </row>
    <row r="12235" spans="5:5" ht="16.5">
      <c r="E12235" s="123"/>
    </row>
    <row r="12236" spans="5:5" ht="16.5">
      <c r="E12236" s="123"/>
    </row>
    <row r="12237" spans="5:5" ht="16.5">
      <c r="E12237" s="123"/>
    </row>
    <row r="12238" spans="5:5" ht="16.5">
      <c r="E12238" s="123"/>
    </row>
    <row r="12239" spans="5:5" ht="16.5">
      <c r="E12239" s="123"/>
    </row>
    <row r="12240" spans="5:5" ht="16.5">
      <c r="E12240" s="123"/>
    </row>
    <row r="12241" spans="5:5" ht="16.5">
      <c r="E12241" s="123"/>
    </row>
    <row r="12242" spans="5:5" ht="16.5">
      <c r="E12242" s="123"/>
    </row>
    <row r="12243" spans="5:5" ht="16.5">
      <c r="E12243" s="123"/>
    </row>
    <row r="12244" spans="5:5" ht="16.5">
      <c r="E12244" s="123"/>
    </row>
    <row r="12245" spans="5:5" ht="16.5">
      <c r="E12245" s="123"/>
    </row>
    <row r="12246" spans="5:5" ht="16.5">
      <c r="E12246" s="123"/>
    </row>
    <row r="12247" spans="5:5" ht="16.5">
      <c r="E12247" s="123"/>
    </row>
    <row r="12248" spans="5:5" ht="16.5">
      <c r="E12248" s="123"/>
    </row>
    <row r="12249" spans="5:5" ht="16.5">
      <c r="E12249" s="123"/>
    </row>
    <row r="12250" spans="5:5" ht="16.5">
      <c r="E12250" s="123"/>
    </row>
    <row r="12251" spans="5:5" ht="16.5">
      <c r="E12251" s="123"/>
    </row>
    <row r="12252" spans="5:5" ht="16.5">
      <c r="E12252" s="123"/>
    </row>
    <row r="12253" spans="5:5" ht="16.5">
      <c r="E12253" s="123"/>
    </row>
    <row r="12254" spans="5:5" ht="16.5">
      <c r="E12254" s="123"/>
    </row>
    <row r="12255" spans="5:5" ht="16.5">
      <c r="E12255" s="123"/>
    </row>
    <row r="12256" spans="5:5" ht="16.5">
      <c r="E12256" s="123"/>
    </row>
    <row r="12257" spans="5:5" ht="16.5">
      <c r="E12257" s="123"/>
    </row>
    <row r="12258" spans="5:5" ht="16.5">
      <c r="E12258" s="123"/>
    </row>
    <row r="12259" spans="5:5" ht="16.5">
      <c r="E12259" s="123"/>
    </row>
    <row r="12260" spans="5:5" ht="16.5">
      <c r="E12260" s="123"/>
    </row>
    <row r="12261" spans="5:5" ht="16.5">
      <c r="E12261" s="123"/>
    </row>
    <row r="12262" spans="5:5" ht="16.5">
      <c r="E12262" s="123"/>
    </row>
    <row r="12263" spans="5:5" ht="16.5">
      <c r="E12263" s="123"/>
    </row>
    <row r="12264" spans="5:5" ht="16.5">
      <c r="E12264" s="123"/>
    </row>
    <row r="12265" spans="5:5" ht="16.5">
      <c r="E12265" s="123"/>
    </row>
    <row r="12266" spans="5:5" ht="16.5">
      <c r="E12266" s="123"/>
    </row>
    <row r="12267" spans="5:5" ht="16.5">
      <c r="E12267" s="123"/>
    </row>
    <row r="12268" spans="5:5" ht="16.5">
      <c r="E12268" s="123"/>
    </row>
    <row r="12269" spans="5:5" ht="16.5">
      <c r="E12269" s="123"/>
    </row>
    <row r="12270" spans="5:5" ht="16.5">
      <c r="E12270" s="123"/>
    </row>
    <row r="12271" spans="5:5" ht="16.5">
      <c r="E12271" s="123"/>
    </row>
    <row r="12272" spans="5:5" ht="16.5">
      <c r="E12272" s="123"/>
    </row>
    <row r="12273" spans="5:5" ht="16.5">
      <c r="E12273" s="123"/>
    </row>
    <row r="12274" spans="5:5" ht="16.5">
      <c r="E12274" s="123"/>
    </row>
    <row r="12275" spans="5:5" ht="16.5">
      <c r="E12275" s="123"/>
    </row>
    <row r="12276" spans="5:5" ht="16.5">
      <c r="E12276" s="123"/>
    </row>
    <row r="12277" spans="5:5" ht="16.5">
      <c r="E12277" s="123"/>
    </row>
    <row r="12278" spans="5:5" ht="16.5">
      <c r="E12278" s="123"/>
    </row>
    <row r="12279" spans="5:5" ht="16.5">
      <c r="E12279" s="123"/>
    </row>
    <row r="12280" spans="5:5" ht="16.5">
      <c r="E12280" s="123"/>
    </row>
    <row r="12281" spans="5:5" ht="16.5">
      <c r="E12281" s="123"/>
    </row>
    <row r="12282" spans="5:5" ht="16.5">
      <c r="E12282" s="123"/>
    </row>
    <row r="12283" spans="5:5" ht="16.5">
      <c r="E12283" s="123"/>
    </row>
    <row r="12284" spans="5:5" ht="16.5">
      <c r="E12284" s="123"/>
    </row>
    <row r="12285" spans="5:5" ht="16.5">
      <c r="E12285" s="123"/>
    </row>
    <row r="12286" spans="5:5" ht="16.5">
      <c r="E12286" s="123"/>
    </row>
    <row r="12287" spans="5:5" ht="16.5">
      <c r="E12287" s="123"/>
    </row>
    <row r="12288" spans="5:5" ht="16.5">
      <c r="E12288" s="123"/>
    </row>
    <row r="12289" spans="5:5" ht="16.5">
      <c r="E12289" s="123"/>
    </row>
    <row r="12290" spans="5:5" ht="16.5">
      <c r="E12290" s="123"/>
    </row>
    <row r="12291" spans="5:5" ht="16.5">
      <c r="E12291" s="123"/>
    </row>
    <row r="12292" spans="5:5" ht="16.5">
      <c r="E12292" s="123"/>
    </row>
    <row r="12293" spans="5:5" ht="16.5">
      <c r="E12293" s="123"/>
    </row>
    <row r="12294" spans="5:5" ht="16.5">
      <c r="E12294" s="123"/>
    </row>
    <row r="12295" spans="5:5" ht="16.5">
      <c r="E12295" s="123"/>
    </row>
    <row r="12296" spans="5:5" ht="16.5">
      <c r="E12296" s="123"/>
    </row>
    <row r="12297" spans="5:5" ht="16.5">
      <c r="E12297" s="123"/>
    </row>
    <row r="12298" spans="5:5" ht="16.5">
      <c r="E12298" s="123"/>
    </row>
    <row r="12299" spans="5:5" ht="16.5">
      <c r="E12299" s="123"/>
    </row>
    <row r="12300" spans="5:5" ht="16.5">
      <c r="E12300" s="123"/>
    </row>
    <row r="12301" spans="5:5" ht="16.5">
      <c r="E12301" s="123"/>
    </row>
    <row r="12302" spans="5:5" ht="16.5">
      <c r="E12302" s="123"/>
    </row>
    <row r="12303" spans="5:5" ht="16.5">
      <c r="E12303" s="123"/>
    </row>
    <row r="12304" spans="5:5" ht="16.5">
      <c r="E12304" s="123"/>
    </row>
    <row r="12305" spans="5:5" ht="16.5">
      <c r="E12305" s="123"/>
    </row>
    <row r="12306" spans="5:5" ht="16.5">
      <c r="E12306" s="123"/>
    </row>
    <row r="12307" spans="5:5" ht="16.5">
      <c r="E12307" s="123"/>
    </row>
    <row r="12308" spans="5:5" ht="16.5">
      <c r="E12308" s="123"/>
    </row>
    <row r="12309" spans="5:5" ht="16.5">
      <c r="E12309" s="123"/>
    </row>
    <row r="12310" spans="5:5" ht="16.5">
      <c r="E12310" s="123"/>
    </row>
    <row r="12311" spans="5:5" ht="16.5">
      <c r="E12311" s="123"/>
    </row>
    <row r="12312" spans="5:5" ht="16.5">
      <c r="E12312" s="123"/>
    </row>
    <row r="12313" spans="5:5" ht="16.5">
      <c r="E12313" s="123"/>
    </row>
    <row r="12314" spans="5:5" ht="16.5">
      <c r="E12314" s="123"/>
    </row>
    <row r="12315" spans="5:5" ht="16.5">
      <c r="E12315" s="123"/>
    </row>
    <row r="12316" spans="5:5" ht="16.5">
      <c r="E12316" s="123"/>
    </row>
    <row r="12317" spans="5:5" ht="16.5">
      <c r="E12317" s="123"/>
    </row>
    <row r="12318" spans="5:5" ht="16.5">
      <c r="E12318" s="123"/>
    </row>
    <row r="12319" spans="5:5" ht="16.5">
      <c r="E12319" s="123"/>
    </row>
    <row r="12320" spans="5:5" ht="16.5">
      <c r="E12320" s="123"/>
    </row>
    <row r="12321" spans="5:5" ht="16.5">
      <c r="E12321" s="123"/>
    </row>
    <row r="12322" spans="5:5" ht="16.5">
      <c r="E12322" s="123"/>
    </row>
    <row r="12323" spans="5:5" ht="16.5">
      <c r="E12323" s="123"/>
    </row>
    <row r="12324" spans="5:5" ht="16.5">
      <c r="E12324" s="123"/>
    </row>
    <row r="12325" spans="5:5" ht="16.5">
      <c r="E12325" s="123"/>
    </row>
    <row r="12326" spans="5:5" ht="16.5">
      <c r="E12326" s="123"/>
    </row>
    <row r="12327" spans="5:5" ht="16.5">
      <c r="E12327" s="123"/>
    </row>
    <row r="12328" spans="5:5" ht="16.5">
      <c r="E12328" s="123"/>
    </row>
    <row r="12329" spans="5:5" ht="16.5">
      <c r="E12329" s="123"/>
    </row>
    <row r="12330" spans="5:5" ht="16.5">
      <c r="E12330" s="123"/>
    </row>
    <row r="12331" spans="5:5" ht="16.5">
      <c r="E12331" s="123"/>
    </row>
    <row r="12332" spans="5:5" ht="16.5">
      <c r="E12332" s="123"/>
    </row>
    <row r="12333" spans="5:5" ht="16.5">
      <c r="E12333" s="123"/>
    </row>
    <row r="12334" spans="5:5" ht="16.5">
      <c r="E12334" s="123"/>
    </row>
    <row r="12335" spans="5:5" ht="16.5">
      <c r="E12335" s="123"/>
    </row>
    <row r="12336" spans="5:5" ht="16.5">
      <c r="E12336" s="123"/>
    </row>
    <row r="12337" spans="5:5" ht="16.5">
      <c r="E12337" s="123"/>
    </row>
    <row r="12338" spans="5:5" ht="16.5">
      <c r="E12338" s="123"/>
    </row>
    <row r="12339" spans="5:5" ht="16.5">
      <c r="E12339" s="123"/>
    </row>
    <row r="12340" spans="5:5" ht="16.5">
      <c r="E12340" s="123"/>
    </row>
    <row r="12341" spans="5:5" ht="16.5">
      <c r="E12341" s="123"/>
    </row>
    <row r="12342" spans="5:5" ht="16.5">
      <c r="E12342" s="123"/>
    </row>
    <row r="12343" spans="5:5" ht="16.5">
      <c r="E12343" s="123"/>
    </row>
    <row r="12344" spans="5:5" ht="16.5">
      <c r="E12344" s="123"/>
    </row>
    <row r="12345" spans="5:5" ht="16.5">
      <c r="E12345" s="123"/>
    </row>
    <row r="12346" spans="5:5" ht="16.5">
      <c r="E12346" s="123"/>
    </row>
    <row r="12347" spans="5:5" ht="16.5">
      <c r="E12347" s="123"/>
    </row>
    <row r="12348" spans="5:5" ht="16.5">
      <c r="E12348" s="123"/>
    </row>
    <row r="12349" spans="5:5" ht="16.5">
      <c r="E12349" s="123"/>
    </row>
    <row r="12350" spans="5:5" ht="16.5">
      <c r="E12350" s="123"/>
    </row>
    <row r="12351" spans="5:5" ht="16.5">
      <c r="E12351" s="123"/>
    </row>
    <row r="12352" spans="5:5" ht="16.5">
      <c r="E12352" s="123"/>
    </row>
    <row r="12353" spans="5:5" ht="16.5">
      <c r="E12353" s="123"/>
    </row>
    <row r="12354" spans="5:5" ht="16.5">
      <c r="E12354" s="123"/>
    </row>
    <row r="12355" spans="5:5" ht="16.5">
      <c r="E12355" s="123"/>
    </row>
    <row r="12356" spans="5:5" ht="16.5">
      <c r="E12356" s="123"/>
    </row>
    <row r="12357" spans="5:5" ht="16.5">
      <c r="E12357" s="123"/>
    </row>
    <row r="12358" spans="5:5" ht="16.5">
      <c r="E12358" s="123"/>
    </row>
    <row r="12359" spans="5:5" ht="16.5">
      <c r="E12359" s="123"/>
    </row>
    <row r="12360" spans="5:5" ht="16.5">
      <c r="E12360" s="123"/>
    </row>
    <row r="12361" spans="5:5" ht="16.5">
      <c r="E12361" s="123"/>
    </row>
    <row r="12362" spans="5:5" ht="16.5">
      <c r="E12362" s="123"/>
    </row>
    <row r="12363" spans="5:5" ht="16.5">
      <c r="E12363" s="123"/>
    </row>
    <row r="12364" spans="5:5" ht="16.5">
      <c r="E12364" s="123"/>
    </row>
    <row r="12365" spans="5:5" ht="16.5">
      <c r="E12365" s="123"/>
    </row>
    <row r="12366" spans="5:5" ht="16.5">
      <c r="E12366" s="123"/>
    </row>
    <row r="12367" spans="5:5" ht="16.5">
      <c r="E12367" s="123"/>
    </row>
    <row r="12368" spans="5:5" ht="16.5">
      <c r="E12368" s="123"/>
    </row>
    <row r="12369" spans="5:5" ht="16.5">
      <c r="E12369" s="123"/>
    </row>
    <row r="12370" spans="5:5" ht="16.5">
      <c r="E12370" s="123"/>
    </row>
    <row r="12371" spans="5:5" ht="16.5">
      <c r="E12371" s="123"/>
    </row>
    <row r="12372" spans="5:5" ht="16.5">
      <c r="E12372" s="123"/>
    </row>
    <row r="12373" spans="5:5" ht="16.5">
      <c r="E12373" s="123"/>
    </row>
    <row r="12374" spans="5:5" ht="16.5">
      <c r="E12374" s="123"/>
    </row>
    <row r="12375" spans="5:5" ht="16.5">
      <c r="E12375" s="123"/>
    </row>
    <row r="12376" spans="5:5" ht="16.5">
      <c r="E12376" s="123"/>
    </row>
    <row r="12377" spans="5:5" ht="16.5">
      <c r="E12377" s="123"/>
    </row>
    <row r="12378" spans="5:5" ht="16.5">
      <c r="E12378" s="123"/>
    </row>
    <row r="12379" spans="5:5" ht="16.5">
      <c r="E12379" s="123"/>
    </row>
    <row r="12380" spans="5:5" ht="16.5">
      <c r="E12380" s="123"/>
    </row>
    <row r="12381" spans="5:5" ht="16.5">
      <c r="E12381" s="123"/>
    </row>
    <row r="12382" spans="5:5" ht="16.5">
      <c r="E12382" s="123"/>
    </row>
    <row r="12383" spans="5:5" ht="16.5">
      <c r="E12383" s="123"/>
    </row>
    <row r="12384" spans="5:5" ht="16.5">
      <c r="E12384" s="123"/>
    </row>
    <row r="12385" spans="5:5" ht="16.5">
      <c r="E12385" s="123"/>
    </row>
    <row r="12386" spans="5:5" ht="16.5">
      <c r="E12386" s="123"/>
    </row>
    <row r="12387" spans="5:5" ht="16.5">
      <c r="E12387" s="123"/>
    </row>
    <row r="12388" spans="5:5" ht="16.5">
      <c r="E12388" s="123"/>
    </row>
    <row r="12389" spans="5:5" ht="16.5">
      <c r="E12389" s="123"/>
    </row>
    <row r="12390" spans="5:5" ht="16.5">
      <c r="E12390" s="123"/>
    </row>
    <row r="12391" spans="5:5" ht="16.5">
      <c r="E12391" s="123"/>
    </row>
    <row r="12392" spans="5:5" ht="16.5">
      <c r="E12392" s="123"/>
    </row>
    <row r="12393" spans="5:5" ht="16.5">
      <c r="E12393" s="123"/>
    </row>
    <row r="12394" spans="5:5" ht="16.5">
      <c r="E12394" s="123"/>
    </row>
    <row r="12395" spans="5:5" ht="16.5">
      <c r="E12395" s="123"/>
    </row>
    <row r="12396" spans="5:5" ht="16.5">
      <c r="E12396" s="123"/>
    </row>
    <row r="12397" spans="5:5" ht="16.5">
      <c r="E12397" s="123"/>
    </row>
    <row r="12398" spans="5:5" ht="16.5">
      <c r="E12398" s="123"/>
    </row>
    <row r="12399" spans="5:5" ht="16.5">
      <c r="E12399" s="123"/>
    </row>
    <row r="12400" spans="5:5" ht="16.5">
      <c r="E12400" s="123"/>
    </row>
    <row r="12401" spans="5:5" ht="16.5">
      <c r="E12401" s="123"/>
    </row>
    <row r="12402" spans="5:5" ht="16.5">
      <c r="E12402" s="123"/>
    </row>
    <row r="12403" spans="5:5" ht="16.5">
      <c r="E12403" s="123"/>
    </row>
    <row r="12404" spans="5:5" ht="16.5">
      <c r="E12404" s="123"/>
    </row>
    <row r="12405" spans="5:5" ht="16.5">
      <c r="E12405" s="123"/>
    </row>
    <row r="12406" spans="5:5" ht="16.5">
      <c r="E12406" s="123"/>
    </row>
    <row r="12407" spans="5:5" ht="16.5">
      <c r="E12407" s="123"/>
    </row>
    <row r="12408" spans="5:5" ht="16.5">
      <c r="E12408" s="123"/>
    </row>
    <row r="12409" spans="5:5" ht="16.5">
      <c r="E12409" s="123"/>
    </row>
    <row r="12410" spans="5:5" ht="16.5">
      <c r="E12410" s="123"/>
    </row>
    <row r="12411" spans="5:5" ht="16.5">
      <c r="E12411" s="123"/>
    </row>
    <row r="12412" spans="5:5" ht="16.5">
      <c r="E12412" s="123"/>
    </row>
    <row r="12413" spans="5:5" ht="16.5">
      <c r="E12413" s="123"/>
    </row>
    <row r="12414" spans="5:5" ht="16.5">
      <c r="E12414" s="123"/>
    </row>
    <row r="12415" spans="5:5" ht="16.5">
      <c r="E12415" s="123"/>
    </row>
    <row r="12416" spans="5:5" ht="16.5">
      <c r="E12416" s="123"/>
    </row>
    <row r="12417" spans="5:5" ht="16.5">
      <c r="E12417" s="123"/>
    </row>
    <row r="12418" spans="5:5" ht="16.5">
      <c r="E12418" s="123"/>
    </row>
    <row r="12419" spans="5:5" ht="16.5">
      <c r="E12419" s="123"/>
    </row>
    <row r="12420" spans="5:5" ht="16.5">
      <c r="E12420" s="123"/>
    </row>
    <row r="12421" spans="5:5" ht="16.5">
      <c r="E12421" s="123"/>
    </row>
    <row r="12422" spans="5:5" ht="16.5">
      <c r="E12422" s="123"/>
    </row>
    <row r="12423" spans="5:5" ht="16.5">
      <c r="E12423" s="123"/>
    </row>
    <row r="12424" spans="5:5" ht="16.5">
      <c r="E12424" s="123"/>
    </row>
    <row r="12425" spans="5:5" ht="16.5">
      <c r="E12425" s="123"/>
    </row>
    <row r="12426" spans="5:5" ht="16.5">
      <c r="E12426" s="123"/>
    </row>
    <row r="12427" spans="5:5" ht="16.5">
      <c r="E12427" s="123"/>
    </row>
    <row r="12428" spans="5:5" ht="16.5">
      <c r="E12428" s="123"/>
    </row>
    <row r="12429" spans="5:5" ht="16.5">
      <c r="E12429" s="123"/>
    </row>
    <row r="12430" spans="5:5" ht="16.5">
      <c r="E12430" s="123"/>
    </row>
    <row r="12431" spans="5:5" ht="16.5">
      <c r="E12431" s="123"/>
    </row>
    <row r="12432" spans="5:5" ht="16.5">
      <c r="E12432" s="123"/>
    </row>
    <row r="12433" spans="5:5" ht="16.5">
      <c r="E12433" s="123"/>
    </row>
    <row r="12434" spans="5:5" ht="16.5">
      <c r="E12434" s="123"/>
    </row>
    <row r="12435" spans="5:5" ht="16.5">
      <c r="E12435" s="123"/>
    </row>
    <row r="12436" spans="5:5" ht="16.5">
      <c r="E12436" s="123"/>
    </row>
    <row r="12437" spans="5:5" ht="16.5">
      <c r="E12437" s="123"/>
    </row>
    <row r="12438" spans="5:5" ht="16.5">
      <c r="E12438" s="123"/>
    </row>
    <row r="12439" spans="5:5" ht="16.5">
      <c r="E12439" s="123"/>
    </row>
    <row r="12440" spans="5:5" ht="16.5">
      <c r="E12440" s="123"/>
    </row>
    <row r="12441" spans="5:5" ht="16.5">
      <c r="E12441" s="123"/>
    </row>
    <row r="12442" spans="5:5" ht="16.5">
      <c r="E12442" s="123"/>
    </row>
    <row r="12443" spans="5:5" ht="16.5">
      <c r="E12443" s="123"/>
    </row>
    <row r="12444" spans="5:5" ht="16.5">
      <c r="E12444" s="123"/>
    </row>
    <row r="12445" spans="5:5" ht="16.5">
      <c r="E12445" s="123"/>
    </row>
    <row r="12446" spans="5:5" ht="16.5">
      <c r="E12446" s="123"/>
    </row>
    <row r="12447" spans="5:5" ht="16.5">
      <c r="E12447" s="123"/>
    </row>
    <row r="12448" spans="5:5" ht="16.5">
      <c r="E12448" s="123"/>
    </row>
    <row r="12449" spans="5:5" ht="16.5">
      <c r="E12449" s="123"/>
    </row>
    <row r="12450" spans="5:5" ht="16.5">
      <c r="E12450" s="123"/>
    </row>
    <row r="12451" spans="5:5" ht="16.5">
      <c r="E12451" s="123"/>
    </row>
    <row r="12452" spans="5:5" ht="16.5">
      <c r="E12452" s="123"/>
    </row>
    <row r="12453" spans="5:5" ht="16.5">
      <c r="E12453" s="123"/>
    </row>
    <row r="12454" spans="5:5" ht="16.5">
      <c r="E12454" s="123"/>
    </row>
    <row r="12455" spans="5:5" ht="16.5">
      <c r="E12455" s="123"/>
    </row>
    <row r="12456" spans="5:5" ht="16.5">
      <c r="E12456" s="123"/>
    </row>
    <row r="12457" spans="5:5" ht="16.5">
      <c r="E12457" s="123"/>
    </row>
    <row r="12458" spans="5:5" ht="16.5">
      <c r="E12458" s="123"/>
    </row>
    <row r="12459" spans="5:5" ht="16.5">
      <c r="E12459" s="123"/>
    </row>
    <row r="12460" spans="5:5" ht="16.5">
      <c r="E12460" s="123"/>
    </row>
    <row r="12461" spans="5:5" ht="16.5">
      <c r="E12461" s="123"/>
    </row>
    <row r="12462" spans="5:5" ht="16.5">
      <c r="E12462" s="123"/>
    </row>
    <row r="12463" spans="5:5" ht="16.5">
      <c r="E12463" s="123"/>
    </row>
    <row r="12464" spans="5:5" ht="16.5">
      <c r="E12464" s="123"/>
    </row>
    <row r="12465" spans="5:5" ht="16.5">
      <c r="E12465" s="123"/>
    </row>
    <row r="12466" spans="5:5" ht="16.5">
      <c r="E12466" s="123"/>
    </row>
    <row r="12467" spans="5:5" ht="16.5">
      <c r="E12467" s="123"/>
    </row>
    <row r="12468" spans="5:5" ht="16.5">
      <c r="E12468" s="123"/>
    </row>
    <row r="12469" spans="5:5" ht="16.5">
      <c r="E12469" s="123"/>
    </row>
    <row r="12470" spans="5:5" ht="16.5">
      <c r="E12470" s="123"/>
    </row>
    <row r="12471" spans="5:5" ht="16.5">
      <c r="E12471" s="123"/>
    </row>
    <row r="12472" spans="5:5" ht="16.5">
      <c r="E12472" s="123"/>
    </row>
    <row r="12473" spans="5:5" ht="16.5">
      <c r="E12473" s="123"/>
    </row>
    <row r="12474" spans="5:5" ht="16.5">
      <c r="E12474" s="123"/>
    </row>
    <row r="12475" spans="5:5" ht="16.5">
      <c r="E12475" s="123"/>
    </row>
    <row r="12476" spans="5:5" ht="16.5">
      <c r="E12476" s="123"/>
    </row>
    <row r="12477" spans="5:5" ht="16.5">
      <c r="E12477" s="123"/>
    </row>
    <row r="12478" spans="5:5" ht="16.5">
      <c r="E12478" s="123"/>
    </row>
    <row r="12479" spans="5:5" ht="16.5">
      <c r="E12479" s="123"/>
    </row>
    <row r="12480" spans="5:5" ht="16.5">
      <c r="E12480" s="123"/>
    </row>
    <row r="12481" spans="5:5" ht="16.5">
      <c r="E12481" s="123"/>
    </row>
    <row r="12482" spans="5:5" ht="16.5">
      <c r="E12482" s="123"/>
    </row>
    <row r="12483" spans="5:5" ht="16.5">
      <c r="E12483" s="123"/>
    </row>
    <row r="12484" spans="5:5" ht="16.5">
      <c r="E12484" s="123"/>
    </row>
    <row r="12485" spans="5:5" ht="16.5">
      <c r="E12485" s="123"/>
    </row>
    <row r="12486" spans="5:5" ht="16.5">
      <c r="E12486" s="123"/>
    </row>
    <row r="12487" spans="5:5" ht="16.5">
      <c r="E12487" s="123"/>
    </row>
    <row r="12488" spans="5:5" ht="16.5">
      <c r="E12488" s="123"/>
    </row>
    <row r="12489" spans="5:5" ht="16.5">
      <c r="E12489" s="123"/>
    </row>
    <row r="12490" spans="5:5" ht="16.5">
      <c r="E12490" s="123"/>
    </row>
    <row r="12491" spans="5:5" ht="16.5">
      <c r="E12491" s="123"/>
    </row>
    <row r="12492" spans="5:5" ht="16.5">
      <c r="E12492" s="123"/>
    </row>
    <row r="12493" spans="5:5" ht="16.5">
      <c r="E12493" s="123"/>
    </row>
    <row r="12494" spans="5:5" ht="16.5">
      <c r="E12494" s="123"/>
    </row>
    <row r="12495" spans="5:5" ht="16.5">
      <c r="E12495" s="123"/>
    </row>
    <row r="12496" spans="5:5" ht="16.5">
      <c r="E12496" s="123"/>
    </row>
    <row r="12497" spans="5:5" ht="16.5">
      <c r="E12497" s="123"/>
    </row>
    <row r="12498" spans="5:5" ht="16.5">
      <c r="E12498" s="123"/>
    </row>
    <row r="12499" spans="5:5" ht="16.5">
      <c r="E12499" s="123"/>
    </row>
    <row r="12500" spans="5:5" ht="16.5">
      <c r="E12500" s="123"/>
    </row>
    <row r="12501" spans="5:5" ht="16.5">
      <c r="E12501" s="123"/>
    </row>
    <row r="12502" spans="5:5" ht="16.5">
      <c r="E12502" s="123"/>
    </row>
    <row r="12503" spans="5:5" ht="16.5">
      <c r="E12503" s="123"/>
    </row>
    <row r="12504" spans="5:5" ht="16.5">
      <c r="E12504" s="123"/>
    </row>
    <row r="12505" spans="5:5" ht="16.5">
      <c r="E12505" s="123"/>
    </row>
    <row r="12506" spans="5:5" ht="16.5">
      <c r="E12506" s="123"/>
    </row>
    <row r="12507" spans="5:5" ht="16.5">
      <c r="E12507" s="123"/>
    </row>
    <row r="12508" spans="5:5" ht="16.5">
      <c r="E12508" s="123"/>
    </row>
    <row r="12509" spans="5:5" ht="16.5">
      <c r="E12509" s="123"/>
    </row>
    <row r="12510" spans="5:5" ht="16.5">
      <c r="E12510" s="123"/>
    </row>
    <row r="12511" spans="5:5" ht="16.5">
      <c r="E12511" s="123"/>
    </row>
    <row r="12512" spans="5:5" ht="16.5">
      <c r="E12512" s="123"/>
    </row>
    <row r="12513" spans="5:5" ht="16.5">
      <c r="E12513" s="123"/>
    </row>
    <row r="12514" spans="5:5" ht="16.5">
      <c r="E12514" s="123"/>
    </row>
    <row r="12515" spans="5:5" ht="16.5">
      <c r="E12515" s="123"/>
    </row>
    <row r="12516" spans="5:5" ht="16.5">
      <c r="E12516" s="123"/>
    </row>
    <row r="12517" spans="5:5" ht="16.5">
      <c r="E12517" s="123"/>
    </row>
    <row r="12518" spans="5:5" ht="16.5">
      <c r="E12518" s="123"/>
    </row>
    <row r="12519" spans="5:5" ht="16.5">
      <c r="E12519" s="123"/>
    </row>
    <row r="12520" spans="5:5" ht="16.5">
      <c r="E12520" s="123"/>
    </row>
    <row r="12521" spans="5:5" ht="16.5">
      <c r="E12521" s="123"/>
    </row>
    <row r="12522" spans="5:5" ht="16.5">
      <c r="E12522" s="123"/>
    </row>
    <row r="12523" spans="5:5" ht="16.5">
      <c r="E12523" s="123"/>
    </row>
    <row r="12524" spans="5:5" ht="16.5">
      <c r="E12524" s="123"/>
    </row>
    <row r="12525" spans="5:5" ht="16.5">
      <c r="E12525" s="123"/>
    </row>
    <row r="12526" spans="5:5" ht="16.5">
      <c r="E12526" s="123"/>
    </row>
    <row r="12527" spans="5:5" ht="16.5">
      <c r="E12527" s="123"/>
    </row>
    <row r="12528" spans="5:5" ht="16.5">
      <c r="E12528" s="123"/>
    </row>
    <row r="12529" spans="5:5" ht="16.5">
      <c r="E12529" s="123"/>
    </row>
    <row r="12530" spans="5:5" ht="16.5">
      <c r="E12530" s="123"/>
    </row>
    <row r="12531" spans="5:5" ht="16.5">
      <c r="E12531" s="123"/>
    </row>
    <row r="12532" spans="5:5" ht="16.5">
      <c r="E12532" s="123"/>
    </row>
    <row r="12533" spans="5:5" ht="16.5">
      <c r="E12533" s="123"/>
    </row>
    <row r="12534" spans="5:5" ht="16.5">
      <c r="E12534" s="123"/>
    </row>
    <row r="12535" spans="5:5" ht="16.5">
      <c r="E12535" s="123"/>
    </row>
    <row r="12536" spans="5:5" ht="16.5">
      <c r="E12536" s="123"/>
    </row>
    <row r="12537" spans="5:5" ht="16.5">
      <c r="E12537" s="123"/>
    </row>
    <row r="12538" spans="5:5" ht="16.5">
      <c r="E12538" s="123"/>
    </row>
    <row r="12539" spans="5:5" ht="16.5">
      <c r="E12539" s="123"/>
    </row>
    <row r="12540" spans="5:5" ht="16.5">
      <c r="E12540" s="123"/>
    </row>
    <row r="12541" spans="5:5" ht="16.5">
      <c r="E12541" s="123"/>
    </row>
    <row r="12542" spans="5:5" ht="16.5">
      <c r="E12542" s="123"/>
    </row>
    <row r="12543" spans="5:5" ht="16.5">
      <c r="E12543" s="123"/>
    </row>
    <row r="12544" spans="5:5" ht="16.5">
      <c r="E12544" s="123"/>
    </row>
    <row r="12545" spans="5:5" ht="16.5">
      <c r="E12545" s="123"/>
    </row>
    <row r="12546" spans="5:5" ht="16.5">
      <c r="E12546" s="123"/>
    </row>
    <row r="12547" spans="5:5" ht="16.5">
      <c r="E12547" s="123"/>
    </row>
    <row r="12548" spans="5:5" ht="16.5">
      <c r="E12548" s="123"/>
    </row>
    <row r="12549" spans="5:5" ht="16.5">
      <c r="E12549" s="123"/>
    </row>
    <row r="12550" spans="5:5" ht="16.5">
      <c r="E12550" s="123"/>
    </row>
    <row r="12551" spans="5:5" ht="16.5">
      <c r="E12551" s="123"/>
    </row>
    <row r="12552" spans="5:5" ht="16.5">
      <c r="E12552" s="123"/>
    </row>
    <row r="12553" spans="5:5" ht="16.5">
      <c r="E12553" s="123"/>
    </row>
    <row r="12554" spans="5:5" ht="16.5">
      <c r="E12554" s="123"/>
    </row>
    <row r="12555" spans="5:5" ht="16.5">
      <c r="E12555" s="123"/>
    </row>
    <row r="12556" spans="5:5" ht="16.5">
      <c r="E12556" s="123"/>
    </row>
    <row r="12557" spans="5:5" ht="16.5">
      <c r="E12557" s="123"/>
    </row>
    <row r="12558" spans="5:5" ht="16.5">
      <c r="E12558" s="123"/>
    </row>
    <row r="12559" spans="5:5" ht="16.5">
      <c r="E12559" s="123"/>
    </row>
    <row r="12560" spans="5:5" ht="16.5">
      <c r="E12560" s="123"/>
    </row>
    <row r="12561" spans="5:5" ht="16.5">
      <c r="E12561" s="123"/>
    </row>
    <row r="12562" spans="5:5" ht="16.5">
      <c r="E12562" s="123"/>
    </row>
    <row r="12563" spans="5:5" ht="16.5">
      <c r="E12563" s="123"/>
    </row>
    <row r="12564" spans="5:5" ht="16.5">
      <c r="E12564" s="123"/>
    </row>
    <row r="12565" spans="5:5" ht="16.5">
      <c r="E12565" s="123"/>
    </row>
    <row r="12566" spans="5:5" ht="16.5">
      <c r="E12566" s="123"/>
    </row>
    <row r="12567" spans="5:5" ht="16.5">
      <c r="E12567" s="123"/>
    </row>
    <row r="12568" spans="5:5" ht="16.5">
      <c r="E12568" s="123"/>
    </row>
    <row r="12569" spans="5:5" ht="16.5">
      <c r="E12569" s="123"/>
    </row>
    <row r="12570" spans="5:5" ht="16.5">
      <c r="E12570" s="123"/>
    </row>
    <row r="12571" spans="5:5" ht="16.5">
      <c r="E12571" s="123"/>
    </row>
    <row r="12572" spans="5:5" ht="16.5">
      <c r="E12572" s="123"/>
    </row>
    <row r="12573" spans="5:5" ht="16.5">
      <c r="E12573" s="123"/>
    </row>
    <row r="12574" spans="5:5" ht="16.5">
      <c r="E12574" s="123"/>
    </row>
    <row r="12575" spans="5:5" ht="16.5">
      <c r="E12575" s="123"/>
    </row>
    <row r="12576" spans="5:5" ht="16.5">
      <c r="E12576" s="123"/>
    </row>
    <row r="12577" spans="5:5" ht="16.5">
      <c r="E12577" s="123"/>
    </row>
    <row r="12578" spans="5:5" ht="16.5">
      <c r="E12578" s="123"/>
    </row>
    <row r="12579" spans="5:5" ht="16.5">
      <c r="E12579" s="123"/>
    </row>
    <row r="12580" spans="5:5" ht="16.5">
      <c r="E12580" s="123"/>
    </row>
    <row r="12581" spans="5:5" ht="16.5">
      <c r="E12581" s="123"/>
    </row>
    <row r="12582" spans="5:5" ht="16.5">
      <c r="E12582" s="123"/>
    </row>
    <row r="12583" spans="5:5" ht="16.5">
      <c r="E12583" s="123"/>
    </row>
    <row r="12584" spans="5:5" ht="16.5">
      <c r="E12584" s="123"/>
    </row>
    <row r="12585" spans="5:5" ht="16.5">
      <c r="E12585" s="123"/>
    </row>
    <row r="12586" spans="5:5" ht="16.5">
      <c r="E12586" s="123"/>
    </row>
    <row r="12587" spans="5:5" ht="16.5">
      <c r="E12587" s="123"/>
    </row>
    <row r="12588" spans="5:5" ht="16.5">
      <c r="E12588" s="123"/>
    </row>
    <row r="12589" spans="5:5" ht="16.5">
      <c r="E12589" s="123"/>
    </row>
    <row r="12590" spans="5:5" ht="16.5">
      <c r="E12590" s="123"/>
    </row>
    <row r="12591" spans="5:5" ht="16.5">
      <c r="E12591" s="123"/>
    </row>
    <row r="12592" spans="5:5" ht="16.5">
      <c r="E12592" s="123"/>
    </row>
    <row r="12593" spans="5:5" ht="16.5">
      <c r="E12593" s="123"/>
    </row>
    <row r="12594" spans="5:5" ht="16.5">
      <c r="E12594" s="123"/>
    </row>
    <row r="12595" spans="5:5" ht="16.5">
      <c r="E12595" s="123"/>
    </row>
    <row r="12596" spans="5:5" ht="16.5">
      <c r="E12596" s="123"/>
    </row>
    <row r="12597" spans="5:5" ht="16.5">
      <c r="E12597" s="123"/>
    </row>
    <row r="12598" spans="5:5" ht="16.5">
      <c r="E12598" s="123"/>
    </row>
    <row r="12599" spans="5:5" ht="16.5">
      <c r="E12599" s="123"/>
    </row>
    <row r="12600" spans="5:5" ht="16.5">
      <c r="E12600" s="123"/>
    </row>
    <row r="12601" spans="5:5" ht="16.5">
      <c r="E12601" s="123"/>
    </row>
    <row r="12602" spans="5:5" ht="16.5">
      <c r="E12602" s="123"/>
    </row>
    <row r="12603" spans="5:5" ht="16.5">
      <c r="E12603" s="123"/>
    </row>
    <row r="12604" spans="5:5" ht="16.5">
      <c r="E12604" s="123"/>
    </row>
    <row r="12605" spans="5:5" ht="16.5">
      <c r="E12605" s="123"/>
    </row>
    <row r="12606" spans="5:5" ht="16.5">
      <c r="E12606" s="123"/>
    </row>
    <row r="12607" spans="5:5" ht="16.5">
      <c r="E12607" s="123"/>
    </row>
    <row r="12608" spans="5:5" ht="16.5">
      <c r="E12608" s="123"/>
    </row>
    <row r="12609" spans="5:5" ht="16.5">
      <c r="E12609" s="123"/>
    </row>
    <row r="12610" spans="5:5" ht="16.5">
      <c r="E12610" s="123"/>
    </row>
    <row r="12611" spans="5:5" ht="16.5">
      <c r="E12611" s="123"/>
    </row>
    <row r="12612" spans="5:5" ht="16.5">
      <c r="E12612" s="123"/>
    </row>
    <row r="12613" spans="5:5" ht="16.5">
      <c r="E12613" s="123"/>
    </row>
    <row r="12614" spans="5:5" ht="16.5">
      <c r="E12614" s="123"/>
    </row>
    <row r="12615" spans="5:5" ht="16.5">
      <c r="E12615" s="123"/>
    </row>
    <row r="12616" spans="5:5" ht="16.5">
      <c r="E12616" s="123"/>
    </row>
    <row r="12617" spans="5:5" ht="16.5">
      <c r="E12617" s="123"/>
    </row>
    <row r="12618" spans="5:5" ht="16.5">
      <c r="E12618" s="123"/>
    </row>
    <row r="12619" spans="5:5" ht="16.5">
      <c r="E12619" s="123"/>
    </row>
    <row r="12620" spans="5:5" ht="16.5">
      <c r="E12620" s="123"/>
    </row>
    <row r="12621" spans="5:5" ht="16.5">
      <c r="E12621" s="123"/>
    </row>
    <row r="12622" spans="5:5" ht="16.5">
      <c r="E12622" s="123"/>
    </row>
    <row r="12623" spans="5:5" ht="16.5">
      <c r="E12623" s="123"/>
    </row>
    <row r="12624" spans="5:5" ht="16.5">
      <c r="E12624" s="123"/>
    </row>
    <row r="12625" spans="5:5" ht="16.5">
      <c r="E12625" s="123"/>
    </row>
    <row r="12626" spans="5:5" ht="16.5">
      <c r="E12626" s="123"/>
    </row>
    <row r="12627" spans="5:5" ht="16.5">
      <c r="E12627" s="123"/>
    </row>
    <row r="12628" spans="5:5" ht="16.5">
      <c r="E12628" s="123"/>
    </row>
    <row r="12629" spans="5:5" ht="16.5">
      <c r="E12629" s="123"/>
    </row>
    <row r="12630" spans="5:5" ht="16.5">
      <c r="E12630" s="123"/>
    </row>
    <row r="12631" spans="5:5" ht="16.5">
      <c r="E12631" s="123"/>
    </row>
    <row r="12632" spans="5:5" ht="16.5">
      <c r="E12632" s="123"/>
    </row>
    <row r="12633" spans="5:5" ht="16.5">
      <c r="E12633" s="123"/>
    </row>
    <row r="12634" spans="5:5" ht="16.5">
      <c r="E12634" s="123"/>
    </row>
    <row r="12635" spans="5:5" ht="16.5">
      <c r="E12635" s="123"/>
    </row>
    <row r="12636" spans="5:5" ht="16.5">
      <c r="E12636" s="123"/>
    </row>
    <row r="12637" spans="5:5" ht="16.5">
      <c r="E12637" s="123"/>
    </row>
    <row r="12638" spans="5:5" ht="16.5">
      <c r="E12638" s="123"/>
    </row>
    <row r="12639" spans="5:5" ht="16.5">
      <c r="E12639" s="123"/>
    </row>
    <row r="12640" spans="5:5" ht="16.5">
      <c r="E12640" s="123"/>
    </row>
    <row r="12641" spans="5:5" ht="16.5">
      <c r="E12641" s="123"/>
    </row>
    <row r="12642" spans="5:5" ht="16.5">
      <c r="E12642" s="123"/>
    </row>
    <row r="12643" spans="5:5" ht="16.5">
      <c r="E12643" s="123"/>
    </row>
    <row r="12644" spans="5:5" ht="16.5">
      <c r="E12644" s="123"/>
    </row>
    <row r="12645" spans="5:5" ht="16.5">
      <c r="E12645" s="123"/>
    </row>
    <row r="12646" spans="5:5" ht="16.5">
      <c r="E12646" s="123"/>
    </row>
    <row r="12647" spans="5:5" ht="16.5">
      <c r="E12647" s="123"/>
    </row>
    <row r="12648" spans="5:5" ht="16.5">
      <c r="E12648" s="123"/>
    </row>
    <row r="12649" spans="5:5" ht="16.5">
      <c r="E12649" s="123"/>
    </row>
    <row r="12650" spans="5:5" ht="16.5">
      <c r="E12650" s="123"/>
    </row>
    <row r="12651" spans="5:5" ht="16.5">
      <c r="E12651" s="123"/>
    </row>
    <row r="12652" spans="5:5" ht="16.5">
      <c r="E12652" s="123"/>
    </row>
    <row r="12653" spans="5:5" ht="16.5">
      <c r="E12653" s="123"/>
    </row>
    <row r="12654" spans="5:5" ht="16.5">
      <c r="E12654" s="123"/>
    </row>
    <row r="12655" spans="5:5" ht="16.5">
      <c r="E12655" s="123"/>
    </row>
    <row r="12656" spans="5:5" ht="16.5">
      <c r="E12656" s="123"/>
    </row>
    <row r="12657" spans="5:5" ht="16.5">
      <c r="E12657" s="123"/>
    </row>
    <row r="12658" spans="5:5" ht="16.5">
      <c r="E12658" s="123"/>
    </row>
    <row r="12659" spans="5:5" ht="16.5">
      <c r="E12659" s="123"/>
    </row>
    <row r="12660" spans="5:5" ht="16.5">
      <c r="E12660" s="123"/>
    </row>
    <row r="12661" spans="5:5" ht="16.5">
      <c r="E12661" s="123"/>
    </row>
    <row r="12662" spans="5:5" ht="16.5">
      <c r="E12662" s="123"/>
    </row>
    <row r="12663" spans="5:5" ht="16.5">
      <c r="E12663" s="123"/>
    </row>
    <row r="12664" spans="5:5" ht="16.5">
      <c r="E12664" s="123"/>
    </row>
    <row r="12665" spans="5:5" ht="16.5">
      <c r="E12665" s="123"/>
    </row>
    <row r="12666" spans="5:5" ht="16.5">
      <c r="E12666" s="123"/>
    </row>
    <row r="12667" spans="5:5" ht="16.5">
      <c r="E12667" s="123"/>
    </row>
    <row r="12668" spans="5:5" ht="16.5">
      <c r="E12668" s="123"/>
    </row>
    <row r="12669" spans="5:5" ht="16.5">
      <c r="E12669" s="123"/>
    </row>
    <row r="12670" spans="5:5" ht="16.5">
      <c r="E12670" s="123"/>
    </row>
    <row r="12671" spans="5:5" ht="16.5">
      <c r="E12671" s="123"/>
    </row>
    <row r="12672" spans="5:5" ht="16.5">
      <c r="E12672" s="123"/>
    </row>
    <row r="12673" spans="5:5" ht="16.5">
      <c r="E12673" s="123"/>
    </row>
    <row r="12674" spans="5:5" ht="16.5">
      <c r="E12674" s="123"/>
    </row>
    <row r="12675" spans="5:5" ht="16.5">
      <c r="E12675" s="123"/>
    </row>
    <row r="12676" spans="5:5" ht="16.5">
      <c r="E12676" s="123"/>
    </row>
    <row r="12677" spans="5:5" ht="16.5">
      <c r="E12677" s="123"/>
    </row>
    <row r="12678" spans="5:5" ht="16.5">
      <c r="E12678" s="123"/>
    </row>
    <row r="12679" spans="5:5" ht="16.5">
      <c r="E12679" s="123"/>
    </row>
    <row r="12680" spans="5:5" ht="16.5">
      <c r="E12680" s="123"/>
    </row>
    <row r="12681" spans="5:5" ht="16.5">
      <c r="E12681" s="123"/>
    </row>
    <row r="12682" spans="5:5" ht="16.5">
      <c r="E12682" s="123"/>
    </row>
    <row r="12683" spans="5:5" ht="16.5">
      <c r="E12683" s="123"/>
    </row>
    <row r="12684" spans="5:5" ht="16.5">
      <c r="E12684" s="123"/>
    </row>
    <row r="12685" spans="5:5" ht="16.5">
      <c r="E12685" s="123"/>
    </row>
    <row r="12686" spans="5:5" ht="16.5">
      <c r="E12686" s="123"/>
    </row>
    <row r="12687" spans="5:5" ht="16.5">
      <c r="E12687" s="123"/>
    </row>
    <row r="12688" spans="5:5" ht="16.5">
      <c r="E12688" s="123"/>
    </row>
    <row r="12689" spans="5:5" ht="16.5">
      <c r="E12689" s="123"/>
    </row>
    <row r="12690" spans="5:5" ht="16.5">
      <c r="E12690" s="123"/>
    </row>
    <row r="12691" spans="5:5" ht="16.5">
      <c r="E12691" s="123"/>
    </row>
    <row r="12692" spans="5:5" ht="16.5">
      <c r="E12692" s="123"/>
    </row>
    <row r="12693" spans="5:5" ht="16.5">
      <c r="E12693" s="123"/>
    </row>
    <row r="12694" spans="5:5" ht="16.5">
      <c r="E12694" s="123"/>
    </row>
    <row r="12695" spans="5:5" ht="16.5">
      <c r="E12695" s="123"/>
    </row>
    <row r="12696" spans="5:5" ht="16.5">
      <c r="E12696" s="123"/>
    </row>
    <row r="12697" spans="5:5" ht="16.5">
      <c r="E12697" s="123"/>
    </row>
    <row r="12698" spans="5:5" ht="16.5">
      <c r="E12698" s="123"/>
    </row>
    <row r="12699" spans="5:5" ht="16.5">
      <c r="E12699" s="123"/>
    </row>
    <row r="12700" spans="5:5" ht="16.5">
      <c r="E12700" s="123"/>
    </row>
    <row r="12701" spans="5:5" ht="16.5">
      <c r="E12701" s="123"/>
    </row>
    <row r="12702" spans="5:5" ht="16.5">
      <c r="E12702" s="123"/>
    </row>
    <row r="12703" spans="5:5" ht="16.5">
      <c r="E12703" s="123"/>
    </row>
    <row r="12704" spans="5:5" ht="16.5">
      <c r="E12704" s="123"/>
    </row>
    <row r="12705" spans="5:5" ht="16.5">
      <c r="E12705" s="123"/>
    </row>
    <row r="12706" spans="5:5" ht="16.5">
      <c r="E12706" s="123"/>
    </row>
    <row r="12707" spans="5:5" ht="16.5">
      <c r="E12707" s="123"/>
    </row>
    <row r="12708" spans="5:5" ht="16.5">
      <c r="E12708" s="123"/>
    </row>
    <row r="12709" spans="5:5" ht="16.5">
      <c r="E12709" s="123"/>
    </row>
    <row r="12710" spans="5:5" ht="16.5">
      <c r="E12710" s="123"/>
    </row>
    <row r="12711" spans="5:5" ht="16.5">
      <c r="E12711" s="123"/>
    </row>
    <row r="12712" spans="5:5" ht="16.5">
      <c r="E12712" s="123"/>
    </row>
    <row r="12713" spans="5:5" ht="16.5">
      <c r="E12713" s="123"/>
    </row>
    <row r="12714" spans="5:5" ht="16.5">
      <c r="E12714" s="123"/>
    </row>
    <row r="12715" spans="5:5" ht="16.5">
      <c r="E12715" s="123"/>
    </row>
    <row r="12716" spans="5:5" ht="16.5">
      <c r="E12716" s="123"/>
    </row>
    <row r="12717" spans="5:5" ht="16.5">
      <c r="E12717" s="123"/>
    </row>
    <row r="12718" spans="5:5" ht="16.5">
      <c r="E12718" s="123"/>
    </row>
    <row r="12719" spans="5:5" ht="16.5">
      <c r="E12719" s="123"/>
    </row>
    <row r="12720" spans="5:5" ht="16.5">
      <c r="E12720" s="123"/>
    </row>
    <row r="12721" spans="5:5" ht="16.5">
      <c r="E12721" s="123"/>
    </row>
    <row r="12722" spans="5:5" ht="16.5">
      <c r="E12722" s="123"/>
    </row>
    <row r="12723" spans="5:5" ht="16.5">
      <c r="E12723" s="123"/>
    </row>
    <row r="12724" spans="5:5" ht="16.5">
      <c r="E12724" s="123"/>
    </row>
    <row r="12725" spans="5:5" ht="16.5">
      <c r="E12725" s="123"/>
    </row>
    <row r="12726" spans="5:5" ht="16.5">
      <c r="E12726" s="123"/>
    </row>
    <row r="12727" spans="5:5" ht="16.5">
      <c r="E12727" s="123"/>
    </row>
    <row r="12728" spans="5:5" ht="16.5">
      <c r="E12728" s="123"/>
    </row>
    <row r="12729" spans="5:5" ht="16.5">
      <c r="E12729" s="123"/>
    </row>
    <row r="12730" spans="5:5" ht="16.5">
      <c r="E12730" s="123"/>
    </row>
    <row r="12731" spans="5:5" ht="16.5">
      <c r="E12731" s="123"/>
    </row>
    <row r="12732" spans="5:5" ht="16.5">
      <c r="E12732" s="123"/>
    </row>
    <row r="12733" spans="5:5" ht="16.5">
      <c r="E12733" s="123"/>
    </row>
    <row r="12734" spans="5:5" ht="16.5">
      <c r="E12734" s="123"/>
    </row>
    <row r="12735" spans="5:5" ht="16.5">
      <c r="E12735" s="123"/>
    </row>
    <row r="12736" spans="5:5" ht="16.5">
      <c r="E12736" s="123"/>
    </row>
    <row r="12737" spans="5:5" ht="16.5">
      <c r="E12737" s="123"/>
    </row>
    <row r="12738" spans="5:5" ht="16.5">
      <c r="E12738" s="123"/>
    </row>
    <row r="12739" spans="5:5" ht="16.5">
      <c r="E12739" s="123"/>
    </row>
    <row r="12740" spans="5:5" ht="16.5">
      <c r="E12740" s="123"/>
    </row>
    <row r="12741" spans="5:5" ht="16.5">
      <c r="E12741" s="123"/>
    </row>
    <row r="12742" spans="5:5" ht="16.5">
      <c r="E12742" s="123"/>
    </row>
    <row r="12743" spans="5:5" ht="16.5">
      <c r="E12743" s="123"/>
    </row>
    <row r="12744" spans="5:5" ht="16.5">
      <c r="E12744" s="123"/>
    </row>
    <row r="12745" spans="5:5" ht="16.5">
      <c r="E12745" s="123"/>
    </row>
    <row r="12746" spans="5:5" ht="16.5">
      <c r="E12746" s="123"/>
    </row>
    <row r="12747" spans="5:5" ht="16.5">
      <c r="E12747" s="123"/>
    </row>
    <row r="12748" spans="5:5" ht="16.5">
      <c r="E12748" s="123"/>
    </row>
    <row r="12749" spans="5:5" ht="16.5">
      <c r="E12749" s="123"/>
    </row>
    <row r="12750" spans="5:5" ht="16.5">
      <c r="E12750" s="123"/>
    </row>
    <row r="12751" spans="5:5" ht="16.5">
      <c r="E12751" s="123"/>
    </row>
    <row r="12752" spans="5:5" ht="16.5">
      <c r="E12752" s="123"/>
    </row>
    <row r="12753" spans="5:5" ht="16.5">
      <c r="E12753" s="123"/>
    </row>
    <row r="12754" spans="5:5" ht="16.5">
      <c r="E12754" s="123"/>
    </row>
    <row r="12755" spans="5:5" ht="16.5">
      <c r="E12755" s="123"/>
    </row>
    <row r="12756" spans="5:5" ht="16.5">
      <c r="E12756" s="123"/>
    </row>
    <row r="12757" spans="5:5" ht="16.5">
      <c r="E12757" s="123"/>
    </row>
    <row r="12758" spans="5:5" ht="16.5">
      <c r="E12758" s="123"/>
    </row>
    <row r="12759" spans="5:5" ht="16.5">
      <c r="E12759" s="123"/>
    </row>
    <row r="12760" spans="5:5" ht="16.5">
      <c r="E12760" s="123"/>
    </row>
    <row r="12761" spans="5:5" ht="16.5">
      <c r="E12761" s="123"/>
    </row>
    <row r="12762" spans="5:5" ht="16.5">
      <c r="E12762" s="123"/>
    </row>
    <row r="12763" spans="5:5" ht="16.5">
      <c r="E12763" s="123"/>
    </row>
    <row r="12764" spans="5:5" ht="16.5">
      <c r="E12764" s="123"/>
    </row>
    <row r="12765" spans="5:5" ht="16.5">
      <c r="E12765" s="123"/>
    </row>
    <row r="12766" spans="5:5" ht="16.5">
      <c r="E12766" s="123"/>
    </row>
    <row r="12767" spans="5:5" ht="16.5">
      <c r="E12767" s="123"/>
    </row>
    <row r="12768" spans="5:5" ht="16.5">
      <c r="E12768" s="123"/>
    </row>
    <row r="12769" spans="5:5" ht="16.5">
      <c r="E12769" s="123"/>
    </row>
    <row r="12770" spans="5:5" ht="16.5">
      <c r="E12770" s="123"/>
    </row>
    <row r="12771" spans="5:5" ht="16.5">
      <c r="E12771" s="123"/>
    </row>
    <row r="12772" spans="5:5" ht="16.5">
      <c r="E12772" s="123"/>
    </row>
    <row r="12773" spans="5:5" ht="16.5">
      <c r="E12773" s="123"/>
    </row>
    <row r="12774" spans="5:5" ht="16.5">
      <c r="E12774" s="123"/>
    </row>
    <row r="12775" spans="5:5" ht="16.5">
      <c r="E12775" s="123"/>
    </row>
    <row r="12776" spans="5:5" ht="16.5">
      <c r="E12776" s="123"/>
    </row>
    <row r="12777" spans="5:5" ht="16.5">
      <c r="E12777" s="123"/>
    </row>
    <row r="12778" spans="5:5" ht="16.5">
      <c r="E12778" s="123"/>
    </row>
    <row r="12779" spans="5:5" ht="16.5">
      <c r="E12779" s="123"/>
    </row>
    <row r="12780" spans="5:5" ht="16.5">
      <c r="E12780" s="123"/>
    </row>
    <row r="12781" spans="5:5" ht="16.5">
      <c r="E12781" s="123"/>
    </row>
    <row r="12782" spans="5:5" ht="16.5">
      <c r="E12782" s="123"/>
    </row>
    <row r="12783" spans="5:5" ht="16.5">
      <c r="E12783" s="123"/>
    </row>
    <row r="12784" spans="5:5" ht="16.5">
      <c r="E12784" s="123"/>
    </row>
    <row r="12785" spans="5:5" ht="16.5">
      <c r="E12785" s="123"/>
    </row>
    <row r="12786" spans="5:5" ht="16.5">
      <c r="E12786" s="123"/>
    </row>
    <row r="12787" spans="5:5" ht="16.5">
      <c r="E12787" s="123"/>
    </row>
    <row r="12788" spans="5:5" ht="16.5">
      <c r="E12788" s="123"/>
    </row>
    <row r="12789" spans="5:5" ht="16.5">
      <c r="E12789" s="123"/>
    </row>
    <row r="12790" spans="5:5" ht="16.5">
      <c r="E12790" s="123"/>
    </row>
    <row r="12791" spans="5:5" ht="16.5">
      <c r="E12791" s="123"/>
    </row>
    <row r="12792" spans="5:5" ht="16.5">
      <c r="E12792" s="123"/>
    </row>
    <row r="12793" spans="5:5" ht="16.5">
      <c r="E12793" s="123"/>
    </row>
    <row r="12794" spans="5:5" ht="16.5">
      <c r="E12794" s="123"/>
    </row>
    <row r="12795" spans="5:5" ht="16.5">
      <c r="E12795" s="123"/>
    </row>
    <row r="12796" spans="5:5" ht="16.5">
      <c r="E12796" s="123"/>
    </row>
    <row r="12797" spans="5:5" ht="16.5">
      <c r="E12797" s="123"/>
    </row>
    <row r="12798" spans="5:5" ht="16.5">
      <c r="E12798" s="123"/>
    </row>
    <row r="12799" spans="5:5" ht="16.5">
      <c r="E12799" s="123"/>
    </row>
    <row r="12800" spans="5:5" ht="16.5">
      <c r="E12800" s="123"/>
    </row>
    <row r="12801" spans="5:5" ht="16.5">
      <c r="E12801" s="123"/>
    </row>
    <row r="12802" spans="5:5" ht="16.5">
      <c r="E12802" s="123"/>
    </row>
    <row r="12803" spans="5:5" ht="16.5">
      <c r="E12803" s="123"/>
    </row>
    <row r="12804" spans="5:5" ht="16.5">
      <c r="E12804" s="123"/>
    </row>
    <row r="12805" spans="5:5" ht="16.5">
      <c r="E12805" s="123"/>
    </row>
    <row r="12806" spans="5:5" ht="16.5">
      <c r="E12806" s="123"/>
    </row>
    <row r="12807" spans="5:5" ht="16.5">
      <c r="E12807" s="123"/>
    </row>
    <row r="12808" spans="5:5" ht="16.5">
      <c r="E12808" s="123"/>
    </row>
    <row r="12809" spans="5:5" ht="16.5">
      <c r="E12809" s="123"/>
    </row>
    <row r="12810" spans="5:5" ht="16.5">
      <c r="E12810" s="123"/>
    </row>
    <row r="12811" spans="5:5" ht="16.5">
      <c r="E12811" s="123"/>
    </row>
    <row r="12812" spans="5:5" ht="16.5">
      <c r="E12812" s="123"/>
    </row>
    <row r="12813" spans="5:5" ht="16.5">
      <c r="E12813" s="123"/>
    </row>
    <row r="12814" spans="5:5" ht="16.5">
      <c r="E12814" s="123"/>
    </row>
    <row r="12815" spans="5:5" ht="16.5">
      <c r="E12815" s="123"/>
    </row>
    <row r="12816" spans="5:5" ht="16.5">
      <c r="E12816" s="123"/>
    </row>
    <row r="12817" spans="5:5" ht="16.5">
      <c r="E12817" s="123"/>
    </row>
    <row r="12818" spans="5:5" ht="16.5">
      <c r="E12818" s="123"/>
    </row>
    <row r="12819" spans="5:5" ht="16.5">
      <c r="E12819" s="123"/>
    </row>
    <row r="12820" spans="5:5" ht="16.5">
      <c r="E12820" s="123"/>
    </row>
    <row r="12821" spans="5:5" ht="16.5">
      <c r="E12821" s="123"/>
    </row>
    <row r="12822" spans="5:5" ht="16.5">
      <c r="E12822" s="123"/>
    </row>
    <row r="12823" spans="5:5" ht="16.5">
      <c r="E12823" s="123"/>
    </row>
    <row r="12824" spans="5:5" ht="16.5">
      <c r="E12824" s="123"/>
    </row>
    <row r="12825" spans="5:5" ht="16.5">
      <c r="E12825" s="123"/>
    </row>
    <row r="12826" spans="5:5" ht="16.5">
      <c r="E12826" s="123"/>
    </row>
    <row r="12827" spans="5:5" ht="16.5">
      <c r="E12827" s="123"/>
    </row>
    <row r="12828" spans="5:5" ht="16.5">
      <c r="E12828" s="123"/>
    </row>
    <row r="12829" spans="5:5" ht="16.5">
      <c r="E12829" s="123"/>
    </row>
    <row r="12830" spans="5:5" ht="16.5">
      <c r="E12830" s="123"/>
    </row>
    <row r="12831" spans="5:5" ht="16.5">
      <c r="E12831" s="123"/>
    </row>
    <row r="12832" spans="5:5" ht="16.5">
      <c r="E12832" s="123"/>
    </row>
    <row r="12833" spans="5:5" ht="16.5">
      <c r="E12833" s="123"/>
    </row>
    <row r="12834" spans="5:5" ht="16.5">
      <c r="E12834" s="123"/>
    </row>
    <row r="12835" spans="5:5" ht="16.5">
      <c r="E12835" s="123"/>
    </row>
    <row r="12836" spans="5:5" ht="16.5">
      <c r="E12836" s="123"/>
    </row>
    <row r="12837" spans="5:5" ht="16.5">
      <c r="E12837" s="123"/>
    </row>
    <row r="12838" spans="5:5" ht="16.5">
      <c r="E12838" s="123"/>
    </row>
    <row r="12839" spans="5:5" ht="16.5">
      <c r="E12839" s="123"/>
    </row>
    <row r="12840" spans="5:5" ht="16.5">
      <c r="E12840" s="123"/>
    </row>
    <row r="12841" spans="5:5" ht="16.5">
      <c r="E12841" s="123"/>
    </row>
    <row r="12842" spans="5:5" ht="16.5">
      <c r="E12842" s="123"/>
    </row>
    <row r="12843" spans="5:5" ht="16.5">
      <c r="E12843" s="123"/>
    </row>
    <row r="12844" spans="5:5" ht="16.5">
      <c r="E12844" s="123"/>
    </row>
    <row r="12845" spans="5:5" ht="16.5">
      <c r="E12845" s="123"/>
    </row>
    <row r="12846" spans="5:5" ht="16.5">
      <c r="E12846" s="123"/>
    </row>
    <row r="12847" spans="5:5" ht="16.5">
      <c r="E12847" s="123"/>
    </row>
    <row r="12848" spans="5:5" ht="16.5">
      <c r="E12848" s="123"/>
    </row>
    <row r="12849" spans="5:5" ht="16.5">
      <c r="E12849" s="123"/>
    </row>
    <row r="12850" spans="5:5" ht="16.5">
      <c r="E12850" s="123"/>
    </row>
    <row r="12851" spans="5:5" ht="16.5">
      <c r="E12851" s="123"/>
    </row>
    <row r="12852" spans="5:5" ht="16.5">
      <c r="E12852" s="123"/>
    </row>
    <row r="12853" spans="5:5" ht="16.5">
      <c r="E12853" s="123"/>
    </row>
    <row r="12854" spans="5:5" ht="16.5">
      <c r="E12854" s="123"/>
    </row>
    <row r="12855" spans="5:5" ht="16.5">
      <c r="E12855" s="123"/>
    </row>
    <row r="12856" spans="5:5" ht="16.5">
      <c r="E12856" s="123"/>
    </row>
    <row r="12857" spans="5:5" ht="16.5">
      <c r="E12857" s="123"/>
    </row>
    <row r="12858" spans="5:5" ht="16.5">
      <c r="E12858" s="123"/>
    </row>
    <row r="12859" spans="5:5" ht="16.5">
      <c r="E12859" s="123"/>
    </row>
    <row r="12860" spans="5:5" ht="16.5">
      <c r="E12860" s="123"/>
    </row>
    <row r="12861" spans="5:5" ht="16.5">
      <c r="E12861" s="123"/>
    </row>
    <row r="12862" spans="5:5" ht="16.5">
      <c r="E12862" s="123"/>
    </row>
    <row r="12863" spans="5:5" ht="16.5">
      <c r="E12863" s="123"/>
    </row>
    <row r="12864" spans="5:5" ht="16.5">
      <c r="E12864" s="123"/>
    </row>
    <row r="12865" spans="5:5" ht="16.5">
      <c r="E12865" s="123"/>
    </row>
    <row r="12866" spans="5:5" ht="16.5">
      <c r="E12866" s="123"/>
    </row>
    <row r="12867" spans="5:5" ht="16.5">
      <c r="E12867" s="123"/>
    </row>
    <row r="12868" spans="5:5" ht="16.5">
      <c r="E12868" s="123"/>
    </row>
    <row r="12869" spans="5:5" ht="16.5">
      <c r="E12869" s="123"/>
    </row>
    <row r="12870" spans="5:5" ht="16.5">
      <c r="E12870" s="123"/>
    </row>
    <row r="12871" spans="5:5" ht="16.5">
      <c r="E12871" s="123"/>
    </row>
    <row r="12872" spans="5:5" ht="16.5">
      <c r="E12872" s="123"/>
    </row>
    <row r="12873" spans="5:5" ht="16.5">
      <c r="E12873" s="123"/>
    </row>
    <row r="12874" spans="5:5" ht="16.5">
      <c r="E12874" s="123"/>
    </row>
    <row r="12875" spans="5:5" ht="16.5">
      <c r="E12875" s="123"/>
    </row>
    <row r="12876" spans="5:5" ht="16.5">
      <c r="E12876" s="123"/>
    </row>
    <row r="12877" spans="5:5" ht="16.5">
      <c r="E12877" s="123"/>
    </row>
    <row r="12878" spans="5:5" ht="16.5">
      <c r="E12878" s="123"/>
    </row>
    <row r="12879" spans="5:5" ht="16.5">
      <c r="E12879" s="123"/>
    </row>
    <row r="12880" spans="5:5" ht="16.5">
      <c r="E12880" s="123"/>
    </row>
    <row r="12881" spans="5:5" ht="16.5">
      <c r="E12881" s="123"/>
    </row>
    <row r="12882" spans="5:5" ht="16.5">
      <c r="E12882" s="123"/>
    </row>
    <row r="12883" spans="5:5" ht="16.5">
      <c r="E12883" s="123"/>
    </row>
    <row r="12884" spans="5:5" ht="16.5">
      <c r="E12884" s="123"/>
    </row>
    <row r="12885" spans="5:5" ht="16.5">
      <c r="E12885" s="123"/>
    </row>
    <row r="12886" spans="5:5" ht="16.5">
      <c r="E12886" s="123"/>
    </row>
    <row r="12887" spans="5:5" ht="16.5">
      <c r="E12887" s="123"/>
    </row>
    <row r="12888" spans="5:5" ht="16.5">
      <c r="E12888" s="123"/>
    </row>
    <row r="12889" spans="5:5" ht="16.5">
      <c r="E12889" s="123"/>
    </row>
    <row r="12890" spans="5:5" ht="16.5">
      <c r="E12890" s="123"/>
    </row>
    <row r="12891" spans="5:5" ht="16.5">
      <c r="E12891" s="123"/>
    </row>
    <row r="12892" spans="5:5" ht="16.5">
      <c r="E12892" s="123"/>
    </row>
    <row r="12893" spans="5:5" ht="16.5">
      <c r="E12893" s="123"/>
    </row>
    <row r="12894" spans="5:5" ht="16.5">
      <c r="E12894" s="123"/>
    </row>
    <row r="12895" spans="5:5" ht="16.5">
      <c r="E12895" s="123"/>
    </row>
    <row r="12896" spans="5:5" ht="16.5">
      <c r="E12896" s="123"/>
    </row>
    <row r="12897" spans="5:5" ht="16.5">
      <c r="E12897" s="123"/>
    </row>
    <row r="12898" spans="5:5" ht="16.5">
      <c r="E12898" s="123"/>
    </row>
    <row r="12899" spans="5:5" ht="16.5">
      <c r="E12899" s="123"/>
    </row>
    <row r="12900" spans="5:5" ht="16.5">
      <c r="E12900" s="123"/>
    </row>
    <row r="12901" spans="5:5" ht="16.5">
      <c r="E12901" s="123"/>
    </row>
    <row r="12902" spans="5:5" ht="16.5">
      <c r="E12902" s="123"/>
    </row>
    <row r="12903" spans="5:5" ht="16.5">
      <c r="E12903" s="123"/>
    </row>
    <row r="12904" spans="5:5" ht="16.5">
      <c r="E12904" s="123"/>
    </row>
    <row r="12905" spans="5:5" ht="16.5">
      <c r="E12905" s="123"/>
    </row>
    <row r="12906" spans="5:5" ht="16.5">
      <c r="E12906" s="123"/>
    </row>
    <row r="12907" spans="5:5" ht="16.5">
      <c r="E12907" s="123"/>
    </row>
    <row r="12908" spans="5:5" ht="16.5">
      <c r="E12908" s="123"/>
    </row>
    <row r="12909" spans="5:5" ht="16.5">
      <c r="E12909" s="123"/>
    </row>
    <row r="12910" spans="5:5" ht="16.5">
      <c r="E12910" s="123"/>
    </row>
    <row r="12911" spans="5:5" ht="16.5">
      <c r="E12911" s="123"/>
    </row>
    <row r="12912" spans="5:5" ht="16.5">
      <c r="E12912" s="123"/>
    </row>
    <row r="12913" spans="5:5" ht="16.5">
      <c r="E12913" s="123"/>
    </row>
    <row r="12914" spans="5:5" ht="16.5">
      <c r="E12914" s="123"/>
    </row>
    <row r="12915" spans="5:5" ht="16.5">
      <c r="E12915" s="123"/>
    </row>
    <row r="12916" spans="5:5" ht="16.5">
      <c r="E12916" s="123"/>
    </row>
    <row r="12917" spans="5:5" ht="16.5">
      <c r="E12917" s="123"/>
    </row>
    <row r="12918" spans="5:5" ht="16.5">
      <c r="E12918" s="123"/>
    </row>
    <row r="12919" spans="5:5" ht="16.5">
      <c r="E12919" s="123"/>
    </row>
    <row r="12920" spans="5:5" ht="16.5">
      <c r="E12920" s="123"/>
    </row>
    <row r="12921" spans="5:5" ht="16.5">
      <c r="E12921" s="123"/>
    </row>
    <row r="12922" spans="5:5" ht="16.5">
      <c r="E12922" s="123"/>
    </row>
    <row r="12923" spans="5:5" ht="16.5">
      <c r="E12923" s="123"/>
    </row>
    <row r="12924" spans="5:5" ht="16.5">
      <c r="E12924" s="123"/>
    </row>
    <row r="12925" spans="5:5" ht="16.5">
      <c r="E12925" s="123"/>
    </row>
    <row r="12926" spans="5:5" ht="16.5">
      <c r="E12926" s="123"/>
    </row>
    <row r="12927" spans="5:5" ht="16.5">
      <c r="E12927" s="123"/>
    </row>
    <row r="12928" spans="5:5" ht="16.5">
      <c r="E12928" s="123"/>
    </row>
    <row r="12929" spans="5:5" ht="16.5">
      <c r="E12929" s="123"/>
    </row>
    <row r="12930" spans="5:5" ht="16.5">
      <c r="E12930" s="123"/>
    </row>
    <row r="12931" spans="5:5" ht="16.5">
      <c r="E12931" s="123"/>
    </row>
    <row r="12932" spans="5:5" ht="16.5">
      <c r="E12932" s="123"/>
    </row>
    <row r="12933" spans="5:5" ht="16.5">
      <c r="E12933" s="123"/>
    </row>
    <row r="12934" spans="5:5" ht="16.5">
      <c r="E12934" s="123"/>
    </row>
    <row r="12935" spans="5:5" ht="16.5">
      <c r="E12935" s="123"/>
    </row>
    <row r="12936" spans="5:5" ht="16.5">
      <c r="E12936" s="123"/>
    </row>
    <row r="12937" spans="5:5" ht="16.5">
      <c r="E12937" s="123"/>
    </row>
    <row r="12938" spans="5:5" ht="16.5">
      <c r="E12938" s="123"/>
    </row>
    <row r="12939" spans="5:5" ht="16.5">
      <c r="E12939" s="123"/>
    </row>
    <row r="12940" spans="5:5" ht="16.5">
      <c r="E12940" s="123"/>
    </row>
    <row r="12941" spans="5:5" ht="16.5">
      <c r="E12941" s="123"/>
    </row>
    <row r="12942" spans="5:5" ht="16.5">
      <c r="E12942" s="123"/>
    </row>
    <row r="12943" spans="5:5" ht="16.5">
      <c r="E12943" s="123"/>
    </row>
    <row r="12944" spans="5:5" ht="16.5">
      <c r="E12944" s="123"/>
    </row>
    <row r="12945" spans="5:5" ht="16.5">
      <c r="E12945" s="123"/>
    </row>
    <row r="12946" spans="5:5" ht="16.5">
      <c r="E12946" s="123"/>
    </row>
    <row r="12947" spans="5:5" ht="16.5">
      <c r="E12947" s="123"/>
    </row>
    <row r="12948" spans="5:5" ht="16.5">
      <c r="E12948" s="123"/>
    </row>
    <row r="12949" spans="5:5" ht="16.5">
      <c r="E12949" s="123"/>
    </row>
    <row r="12950" spans="5:5" ht="16.5">
      <c r="E12950" s="123"/>
    </row>
    <row r="12951" spans="5:5" ht="16.5">
      <c r="E12951" s="123"/>
    </row>
    <row r="12952" spans="5:5" ht="16.5">
      <c r="E12952" s="123"/>
    </row>
    <row r="12953" spans="5:5" ht="16.5">
      <c r="E12953" s="123"/>
    </row>
    <row r="12954" spans="5:5" ht="16.5">
      <c r="E12954" s="123"/>
    </row>
    <row r="12955" spans="5:5" ht="16.5">
      <c r="E12955" s="123"/>
    </row>
    <row r="12956" spans="5:5" ht="16.5">
      <c r="E12956" s="123"/>
    </row>
    <row r="12957" spans="5:5" ht="16.5">
      <c r="E12957" s="123"/>
    </row>
    <row r="12958" spans="5:5" ht="16.5">
      <c r="E12958" s="123"/>
    </row>
    <row r="12959" spans="5:5" ht="16.5">
      <c r="E12959" s="123"/>
    </row>
    <row r="12960" spans="5:5" ht="16.5">
      <c r="E12960" s="123"/>
    </row>
    <row r="12961" spans="5:5" ht="16.5">
      <c r="E12961" s="123"/>
    </row>
    <row r="12962" spans="5:5" ht="16.5">
      <c r="E12962" s="123"/>
    </row>
    <row r="12963" spans="5:5" ht="16.5">
      <c r="E12963" s="123"/>
    </row>
    <row r="12964" spans="5:5" ht="16.5">
      <c r="E12964" s="123"/>
    </row>
    <row r="12965" spans="5:5" ht="16.5">
      <c r="E12965" s="123"/>
    </row>
    <row r="12966" spans="5:5" ht="16.5">
      <c r="E12966" s="123"/>
    </row>
    <row r="12967" spans="5:5" ht="16.5">
      <c r="E12967" s="123"/>
    </row>
    <row r="12968" spans="5:5" ht="16.5">
      <c r="E12968" s="123"/>
    </row>
    <row r="12969" spans="5:5" ht="16.5">
      <c r="E12969" s="123"/>
    </row>
    <row r="12970" spans="5:5" ht="16.5">
      <c r="E12970" s="123"/>
    </row>
    <row r="12971" spans="5:5" ht="16.5">
      <c r="E12971" s="123"/>
    </row>
    <row r="12972" spans="5:5" ht="16.5">
      <c r="E12972" s="123"/>
    </row>
    <row r="12973" spans="5:5" ht="16.5">
      <c r="E12973" s="123"/>
    </row>
    <row r="12974" spans="5:5" ht="16.5">
      <c r="E12974" s="123"/>
    </row>
    <row r="12975" spans="5:5" ht="16.5">
      <c r="E12975" s="123"/>
    </row>
    <row r="12976" spans="5:5" ht="16.5">
      <c r="E12976" s="123"/>
    </row>
    <row r="12977" spans="5:5" ht="16.5">
      <c r="E12977" s="123"/>
    </row>
    <row r="12978" spans="5:5" ht="16.5">
      <c r="E12978" s="123"/>
    </row>
    <row r="12979" spans="5:5" ht="16.5">
      <c r="E12979" s="123"/>
    </row>
    <row r="12980" spans="5:5" ht="16.5">
      <c r="E12980" s="123"/>
    </row>
    <row r="12981" spans="5:5" ht="16.5">
      <c r="E12981" s="123"/>
    </row>
    <row r="12982" spans="5:5" ht="16.5">
      <c r="E12982" s="123"/>
    </row>
    <row r="12983" spans="5:5" ht="16.5">
      <c r="E12983" s="123"/>
    </row>
    <row r="12984" spans="5:5" ht="16.5">
      <c r="E12984" s="123"/>
    </row>
    <row r="12985" spans="5:5" ht="16.5">
      <c r="E12985" s="123"/>
    </row>
    <row r="12986" spans="5:5" ht="16.5">
      <c r="E12986" s="123"/>
    </row>
    <row r="12987" spans="5:5" ht="16.5">
      <c r="E12987" s="123"/>
    </row>
    <row r="12988" spans="5:5" ht="16.5">
      <c r="E12988" s="123"/>
    </row>
    <row r="12989" spans="5:5" ht="16.5">
      <c r="E12989" s="123"/>
    </row>
    <row r="12990" spans="5:5" ht="16.5">
      <c r="E12990" s="123"/>
    </row>
    <row r="12991" spans="5:5" ht="16.5">
      <c r="E12991" s="123"/>
    </row>
    <row r="12992" spans="5:5" ht="16.5">
      <c r="E12992" s="123"/>
    </row>
    <row r="12993" spans="5:5" ht="16.5">
      <c r="E12993" s="123"/>
    </row>
    <row r="12994" spans="5:5" ht="16.5">
      <c r="E12994" s="123"/>
    </row>
    <row r="12995" spans="5:5" ht="16.5">
      <c r="E12995" s="123"/>
    </row>
    <row r="12996" spans="5:5" ht="16.5">
      <c r="E12996" s="123"/>
    </row>
    <row r="12997" spans="5:5" ht="16.5">
      <c r="E12997" s="123"/>
    </row>
    <row r="12998" spans="5:5" ht="16.5">
      <c r="E12998" s="123"/>
    </row>
    <row r="12999" spans="5:5" ht="16.5">
      <c r="E12999" s="123"/>
    </row>
    <row r="13000" spans="5:5" ht="16.5">
      <c r="E13000" s="123"/>
    </row>
    <row r="13001" spans="5:5" ht="16.5">
      <c r="E13001" s="123"/>
    </row>
    <row r="13002" spans="5:5" ht="16.5">
      <c r="E13002" s="123"/>
    </row>
    <row r="13003" spans="5:5" ht="16.5">
      <c r="E13003" s="123"/>
    </row>
    <row r="13004" spans="5:5" ht="16.5">
      <c r="E13004" s="123"/>
    </row>
    <row r="13005" spans="5:5" ht="16.5">
      <c r="E13005" s="123"/>
    </row>
    <row r="13006" spans="5:5" ht="16.5">
      <c r="E13006" s="123"/>
    </row>
    <row r="13007" spans="5:5" ht="16.5">
      <c r="E13007" s="123"/>
    </row>
    <row r="13008" spans="5:5" ht="16.5">
      <c r="E13008" s="123"/>
    </row>
    <row r="13009" spans="5:5" ht="16.5">
      <c r="E13009" s="123"/>
    </row>
    <row r="13010" spans="5:5" ht="16.5">
      <c r="E13010" s="123"/>
    </row>
    <row r="13011" spans="5:5" ht="16.5">
      <c r="E13011" s="123"/>
    </row>
    <row r="13012" spans="5:5" ht="16.5">
      <c r="E13012" s="123"/>
    </row>
    <row r="13013" spans="5:5" ht="16.5">
      <c r="E13013" s="123"/>
    </row>
    <row r="13014" spans="5:5" ht="16.5">
      <c r="E13014" s="123"/>
    </row>
    <row r="13015" spans="5:5" ht="16.5">
      <c r="E13015" s="123"/>
    </row>
    <row r="13016" spans="5:5" ht="16.5">
      <c r="E13016" s="123"/>
    </row>
    <row r="13017" spans="5:5" ht="16.5">
      <c r="E13017" s="123"/>
    </row>
    <row r="13018" spans="5:5" ht="16.5">
      <c r="E13018" s="123"/>
    </row>
    <row r="13019" spans="5:5" ht="16.5">
      <c r="E13019" s="123"/>
    </row>
    <row r="13020" spans="5:5" ht="16.5">
      <c r="E13020" s="123"/>
    </row>
    <row r="13021" spans="5:5" ht="16.5">
      <c r="E13021" s="123"/>
    </row>
    <row r="13022" spans="5:5" ht="16.5">
      <c r="E13022" s="123"/>
    </row>
    <row r="13023" spans="5:5" ht="16.5">
      <c r="E13023" s="123"/>
    </row>
    <row r="13024" spans="5:5" ht="16.5">
      <c r="E13024" s="123"/>
    </row>
    <row r="13025" spans="5:5" ht="16.5">
      <c r="E13025" s="123"/>
    </row>
    <row r="13026" spans="5:5" ht="16.5">
      <c r="E13026" s="123"/>
    </row>
    <row r="13027" spans="5:5" ht="16.5">
      <c r="E13027" s="123"/>
    </row>
    <row r="13028" spans="5:5" ht="16.5">
      <c r="E13028" s="123"/>
    </row>
    <row r="13029" spans="5:5" ht="16.5">
      <c r="E13029" s="123"/>
    </row>
    <row r="13030" spans="5:5" ht="16.5">
      <c r="E13030" s="123"/>
    </row>
    <row r="13031" spans="5:5" ht="16.5">
      <c r="E13031" s="123"/>
    </row>
    <row r="13032" spans="5:5" ht="16.5">
      <c r="E13032" s="123"/>
    </row>
    <row r="13033" spans="5:5" ht="16.5">
      <c r="E13033" s="123"/>
    </row>
    <row r="13034" spans="5:5" ht="16.5">
      <c r="E13034" s="123"/>
    </row>
    <row r="13035" spans="5:5" ht="16.5">
      <c r="E13035" s="123"/>
    </row>
    <row r="13036" spans="5:5" ht="16.5">
      <c r="E13036" s="123"/>
    </row>
    <row r="13037" spans="5:5" ht="16.5">
      <c r="E13037" s="123"/>
    </row>
    <row r="13038" spans="5:5" ht="16.5">
      <c r="E13038" s="123"/>
    </row>
    <row r="13039" spans="5:5" ht="16.5">
      <c r="E13039" s="123"/>
    </row>
    <row r="13040" spans="5:5" ht="16.5">
      <c r="E13040" s="123"/>
    </row>
    <row r="13041" spans="5:5" ht="16.5">
      <c r="E13041" s="123"/>
    </row>
    <row r="13042" spans="5:5" ht="16.5">
      <c r="E13042" s="123"/>
    </row>
    <row r="13043" spans="5:5" ht="16.5">
      <c r="E13043" s="123"/>
    </row>
    <row r="13044" spans="5:5" ht="16.5">
      <c r="E13044" s="123"/>
    </row>
    <row r="13045" spans="5:5" ht="16.5">
      <c r="E13045" s="123"/>
    </row>
    <row r="13046" spans="5:5" ht="16.5">
      <c r="E13046" s="123"/>
    </row>
    <row r="13047" spans="5:5" ht="16.5">
      <c r="E13047" s="123"/>
    </row>
    <row r="13048" spans="5:5" ht="16.5">
      <c r="E13048" s="123"/>
    </row>
    <row r="13049" spans="5:5" ht="16.5">
      <c r="E13049" s="123"/>
    </row>
    <row r="13050" spans="5:5" ht="16.5">
      <c r="E13050" s="123"/>
    </row>
    <row r="13051" spans="5:5" ht="16.5">
      <c r="E13051" s="123"/>
    </row>
    <row r="13052" spans="5:5" ht="16.5">
      <c r="E13052" s="123"/>
    </row>
    <row r="13053" spans="5:5" ht="16.5">
      <c r="E13053" s="123"/>
    </row>
    <row r="13054" spans="5:5" ht="16.5">
      <c r="E13054" s="123"/>
    </row>
    <row r="13055" spans="5:5" ht="16.5">
      <c r="E13055" s="123"/>
    </row>
    <row r="13056" spans="5:5" ht="16.5">
      <c r="E13056" s="123"/>
    </row>
    <row r="13057" spans="5:5" ht="16.5">
      <c r="E13057" s="123"/>
    </row>
    <row r="13058" spans="5:5" ht="16.5">
      <c r="E13058" s="123"/>
    </row>
    <row r="13059" spans="5:5" ht="16.5">
      <c r="E13059" s="123"/>
    </row>
    <row r="13060" spans="5:5" ht="16.5">
      <c r="E13060" s="123"/>
    </row>
    <row r="13061" spans="5:5" ht="16.5">
      <c r="E13061" s="123"/>
    </row>
    <row r="13062" spans="5:5" ht="16.5">
      <c r="E13062" s="123"/>
    </row>
    <row r="13063" spans="5:5" ht="16.5">
      <c r="E13063" s="123"/>
    </row>
    <row r="13064" spans="5:5" ht="16.5">
      <c r="E13064" s="123"/>
    </row>
    <row r="13065" spans="5:5" ht="16.5">
      <c r="E13065" s="123"/>
    </row>
    <row r="13066" spans="5:5" ht="16.5">
      <c r="E13066" s="123"/>
    </row>
    <row r="13067" spans="5:5" ht="16.5">
      <c r="E13067" s="123"/>
    </row>
    <row r="13068" spans="5:5" ht="16.5">
      <c r="E13068" s="123"/>
    </row>
    <row r="13069" spans="5:5" ht="16.5">
      <c r="E13069" s="123"/>
    </row>
    <row r="13070" spans="5:5" ht="16.5">
      <c r="E13070" s="123"/>
    </row>
    <row r="13071" spans="5:5" ht="16.5">
      <c r="E13071" s="123"/>
    </row>
    <row r="13072" spans="5:5" ht="16.5">
      <c r="E13072" s="123"/>
    </row>
    <row r="13073" spans="5:5" ht="16.5">
      <c r="E13073" s="123"/>
    </row>
    <row r="13074" spans="5:5" ht="16.5">
      <c r="E13074" s="123"/>
    </row>
    <row r="13075" spans="5:5" ht="16.5">
      <c r="E13075" s="123"/>
    </row>
    <row r="13076" spans="5:5" ht="16.5">
      <c r="E13076" s="123"/>
    </row>
    <row r="13077" spans="5:5" ht="16.5">
      <c r="E13077" s="123"/>
    </row>
    <row r="13078" spans="5:5" ht="16.5">
      <c r="E13078" s="123"/>
    </row>
    <row r="13079" spans="5:5" ht="16.5">
      <c r="E13079" s="123"/>
    </row>
    <row r="13080" spans="5:5" ht="16.5">
      <c r="E13080" s="123"/>
    </row>
    <row r="13081" spans="5:5" ht="16.5">
      <c r="E13081" s="123"/>
    </row>
    <row r="13082" spans="5:5" ht="16.5">
      <c r="E13082" s="123"/>
    </row>
    <row r="13083" spans="5:5" ht="16.5">
      <c r="E13083" s="123"/>
    </row>
    <row r="13084" spans="5:5" ht="16.5">
      <c r="E13084" s="123"/>
    </row>
    <row r="13085" spans="5:5" ht="16.5">
      <c r="E13085" s="123"/>
    </row>
    <row r="13086" spans="5:5" ht="16.5">
      <c r="E13086" s="123"/>
    </row>
    <row r="13087" spans="5:5" ht="16.5">
      <c r="E13087" s="123"/>
    </row>
    <row r="13088" spans="5:5" ht="16.5">
      <c r="E13088" s="123"/>
    </row>
    <row r="13089" spans="5:5" ht="16.5">
      <c r="E13089" s="123"/>
    </row>
    <row r="13090" spans="5:5" ht="16.5">
      <c r="E13090" s="123"/>
    </row>
    <row r="13091" spans="5:5" ht="16.5">
      <c r="E13091" s="123"/>
    </row>
    <row r="13092" spans="5:5" ht="16.5">
      <c r="E13092" s="123"/>
    </row>
    <row r="13093" spans="5:5" ht="16.5">
      <c r="E13093" s="123"/>
    </row>
    <row r="13094" spans="5:5" ht="16.5">
      <c r="E13094" s="123"/>
    </row>
    <row r="13095" spans="5:5" ht="16.5">
      <c r="E13095" s="123"/>
    </row>
    <row r="13096" spans="5:5" ht="16.5">
      <c r="E13096" s="123"/>
    </row>
    <row r="13097" spans="5:5" ht="16.5">
      <c r="E13097" s="123"/>
    </row>
    <row r="13098" spans="5:5" ht="16.5">
      <c r="E13098" s="123"/>
    </row>
    <row r="13099" spans="5:5" ht="16.5">
      <c r="E13099" s="123"/>
    </row>
    <row r="13100" spans="5:5" ht="16.5">
      <c r="E13100" s="123"/>
    </row>
    <row r="13101" spans="5:5" ht="16.5">
      <c r="E13101" s="123"/>
    </row>
    <row r="13102" spans="5:5" ht="16.5">
      <c r="E13102" s="123"/>
    </row>
    <row r="13103" spans="5:5" ht="16.5">
      <c r="E13103" s="123"/>
    </row>
    <row r="13104" spans="5:5" ht="16.5">
      <c r="E13104" s="123"/>
    </row>
    <row r="13105" spans="5:5" ht="16.5">
      <c r="E13105" s="123"/>
    </row>
    <row r="13106" spans="5:5" ht="16.5">
      <c r="E13106" s="123"/>
    </row>
    <row r="13107" spans="5:5" ht="16.5">
      <c r="E13107" s="123"/>
    </row>
    <row r="13108" spans="5:5" ht="16.5">
      <c r="E13108" s="123"/>
    </row>
    <row r="13109" spans="5:5" ht="16.5">
      <c r="E13109" s="123"/>
    </row>
    <row r="13110" spans="5:5" ht="16.5">
      <c r="E13110" s="123"/>
    </row>
    <row r="13111" spans="5:5" ht="16.5">
      <c r="E13111" s="123"/>
    </row>
    <row r="13112" spans="5:5" ht="16.5">
      <c r="E13112" s="123"/>
    </row>
    <row r="13113" spans="5:5" ht="16.5">
      <c r="E13113" s="123"/>
    </row>
    <row r="13114" spans="5:5" ht="16.5">
      <c r="E13114" s="123"/>
    </row>
    <row r="13115" spans="5:5" ht="16.5">
      <c r="E13115" s="123"/>
    </row>
    <row r="13116" spans="5:5" ht="16.5">
      <c r="E13116" s="123"/>
    </row>
    <row r="13117" spans="5:5" ht="16.5">
      <c r="E13117" s="123"/>
    </row>
    <row r="13118" spans="5:5" ht="16.5">
      <c r="E13118" s="123"/>
    </row>
    <row r="13119" spans="5:5" ht="16.5">
      <c r="E13119" s="123"/>
    </row>
    <row r="13120" spans="5:5" ht="16.5">
      <c r="E13120" s="123"/>
    </row>
    <row r="13121" spans="5:5" ht="16.5">
      <c r="E13121" s="123"/>
    </row>
    <row r="13122" spans="5:5" ht="16.5">
      <c r="E13122" s="123"/>
    </row>
    <row r="13123" spans="5:5" ht="16.5">
      <c r="E13123" s="123"/>
    </row>
    <row r="13124" spans="5:5" ht="16.5">
      <c r="E13124" s="123"/>
    </row>
    <row r="13125" spans="5:5" ht="16.5">
      <c r="E13125" s="123"/>
    </row>
    <row r="13126" spans="5:5" ht="16.5">
      <c r="E13126" s="123"/>
    </row>
    <row r="13127" spans="5:5" ht="16.5">
      <c r="E13127" s="123"/>
    </row>
    <row r="13128" spans="5:5" ht="16.5">
      <c r="E13128" s="123"/>
    </row>
    <row r="13129" spans="5:5" ht="16.5">
      <c r="E13129" s="123"/>
    </row>
    <row r="13130" spans="5:5" ht="16.5">
      <c r="E13130" s="123"/>
    </row>
    <row r="13131" spans="5:5" ht="16.5">
      <c r="E13131" s="123"/>
    </row>
    <row r="13132" spans="5:5" ht="16.5">
      <c r="E13132" s="123"/>
    </row>
    <row r="13133" spans="5:5" ht="16.5">
      <c r="E13133" s="123"/>
    </row>
    <row r="13134" spans="5:5" ht="16.5">
      <c r="E13134" s="123"/>
    </row>
    <row r="13135" spans="5:5" ht="16.5">
      <c r="E13135" s="123"/>
    </row>
    <row r="13136" spans="5:5" ht="16.5">
      <c r="E13136" s="123"/>
    </row>
    <row r="13137" spans="5:5" ht="16.5">
      <c r="E13137" s="123"/>
    </row>
    <row r="13138" spans="5:5" ht="16.5">
      <c r="E13138" s="123"/>
    </row>
    <row r="13139" spans="5:5" ht="16.5">
      <c r="E13139" s="123"/>
    </row>
    <row r="13140" spans="5:5" ht="16.5">
      <c r="E13140" s="123"/>
    </row>
    <row r="13141" spans="5:5" ht="16.5">
      <c r="E13141" s="123"/>
    </row>
    <row r="13142" spans="5:5" ht="16.5">
      <c r="E13142" s="123"/>
    </row>
    <row r="13143" spans="5:5" ht="16.5">
      <c r="E13143" s="123"/>
    </row>
    <row r="13144" spans="5:5" ht="16.5">
      <c r="E13144" s="123"/>
    </row>
    <row r="13145" spans="5:5" ht="16.5">
      <c r="E13145" s="123"/>
    </row>
    <row r="13146" spans="5:5" ht="16.5">
      <c r="E13146" s="123"/>
    </row>
    <row r="13147" spans="5:5" ht="16.5">
      <c r="E13147" s="123"/>
    </row>
    <row r="13148" spans="5:5" ht="16.5">
      <c r="E13148" s="123"/>
    </row>
    <row r="13149" spans="5:5" ht="16.5">
      <c r="E13149" s="123"/>
    </row>
    <row r="13150" spans="5:5" ht="16.5">
      <c r="E13150" s="123"/>
    </row>
    <row r="13151" spans="5:5" ht="16.5">
      <c r="E13151" s="123"/>
    </row>
    <row r="13152" spans="5:5" ht="16.5">
      <c r="E13152" s="123"/>
    </row>
    <row r="13153" spans="5:5" ht="16.5">
      <c r="E13153" s="123"/>
    </row>
    <row r="13154" spans="5:5" ht="16.5">
      <c r="E13154" s="123"/>
    </row>
    <row r="13155" spans="5:5" ht="16.5">
      <c r="E13155" s="123"/>
    </row>
    <row r="13156" spans="5:5" ht="16.5">
      <c r="E13156" s="123"/>
    </row>
    <row r="13157" spans="5:5" ht="16.5">
      <c r="E13157" s="123"/>
    </row>
    <row r="13158" spans="5:5" ht="16.5">
      <c r="E13158" s="123"/>
    </row>
    <row r="13159" spans="5:5" ht="16.5">
      <c r="E13159" s="123"/>
    </row>
    <row r="13160" spans="5:5" ht="16.5">
      <c r="E13160" s="123"/>
    </row>
    <row r="13161" spans="5:5" ht="16.5">
      <c r="E13161" s="123"/>
    </row>
    <row r="13162" spans="5:5" ht="16.5">
      <c r="E13162" s="123"/>
    </row>
    <row r="13163" spans="5:5" ht="16.5">
      <c r="E13163" s="123"/>
    </row>
    <row r="13164" spans="5:5" ht="16.5">
      <c r="E13164" s="123"/>
    </row>
    <row r="13165" spans="5:5" ht="16.5">
      <c r="E13165" s="123"/>
    </row>
    <row r="13166" spans="5:5" ht="16.5">
      <c r="E13166" s="123"/>
    </row>
    <row r="13167" spans="5:5" ht="16.5">
      <c r="E13167" s="123"/>
    </row>
    <row r="13168" spans="5:5" ht="16.5">
      <c r="E13168" s="123"/>
    </row>
    <row r="13169" spans="5:5" ht="16.5">
      <c r="E13169" s="123"/>
    </row>
    <row r="13170" spans="5:5" ht="16.5">
      <c r="E13170" s="123"/>
    </row>
    <row r="13171" spans="5:5" ht="16.5">
      <c r="E13171" s="123"/>
    </row>
    <row r="13172" spans="5:5" ht="16.5">
      <c r="E13172" s="123"/>
    </row>
    <row r="13173" spans="5:5" ht="16.5">
      <c r="E13173" s="123"/>
    </row>
    <row r="13174" spans="5:5" ht="16.5">
      <c r="E13174" s="123"/>
    </row>
    <row r="13175" spans="5:5" ht="16.5">
      <c r="E13175" s="123"/>
    </row>
    <row r="13176" spans="5:5" ht="16.5">
      <c r="E13176" s="123"/>
    </row>
    <row r="13177" spans="5:5" ht="16.5">
      <c r="E13177" s="123"/>
    </row>
    <row r="13178" spans="5:5" ht="16.5">
      <c r="E13178" s="123"/>
    </row>
    <row r="13179" spans="5:5" ht="16.5">
      <c r="E13179" s="123"/>
    </row>
    <row r="13180" spans="5:5" ht="16.5">
      <c r="E13180" s="123"/>
    </row>
    <row r="13181" spans="5:5" ht="16.5">
      <c r="E13181" s="123"/>
    </row>
    <row r="13182" spans="5:5" ht="16.5">
      <c r="E13182" s="123"/>
    </row>
    <row r="13183" spans="5:5" ht="16.5">
      <c r="E13183" s="123"/>
    </row>
    <row r="13184" spans="5:5" ht="16.5">
      <c r="E13184" s="123"/>
    </row>
    <row r="13185" spans="5:5" ht="16.5">
      <c r="E13185" s="123"/>
    </row>
    <row r="13186" spans="5:5" ht="16.5">
      <c r="E13186" s="123"/>
    </row>
    <row r="13187" spans="5:5" ht="16.5">
      <c r="E13187" s="123"/>
    </row>
    <row r="13188" spans="5:5" ht="16.5">
      <c r="E13188" s="123"/>
    </row>
    <row r="13189" spans="5:5" ht="16.5">
      <c r="E13189" s="123"/>
    </row>
    <row r="13190" spans="5:5" ht="16.5">
      <c r="E13190" s="123"/>
    </row>
    <row r="13191" spans="5:5" ht="16.5">
      <c r="E13191" s="123"/>
    </row>
    <row r="13192" spans="5:5" ht="16.5">
      <c r="E13192" s="123"/>
    </row>
    <row r="13193" spans="5:5" ht="16.5">
      <c r="E13193" s="123"/>
    </row>
    <row r="13194" spans="5:5" ht="16.5">
      <c r="E13194" s="123"/>
    </row>
    <row r="13195" spans="5:5" ht="16.5">
      <c r="E13195" s="123"/>
    </row>
    <row r="13196" spans="5:5" ht="16.5">
      <c r="E13196" s="123"/>
    </row>
    <row r="13197" spans="5:5" ht="16.5">
      <c r="E13197" s="123"/>
    </row>
    <row r="13198" spans="5:5" ht="16.5">
      <c r="E13198" s="123"/>
    </row>
    <row r="13199" spans="5:5" ht="16.5">
      <c r="E13199" s="123"/>
    </row>
    <row r="13200" spans="5:5" ht="16.5">
      <c r="E13200" s="123"/>
    </row>
    <row r="13201" spans="5:5" ht="16.5">
      <c r="E13201" s="123"/>
    </row>
    <row r="13202" spans="5:5" ht="16.5">
      <c r="E13202" s="123"/>
    </row>
    <row r="13203" spans="5:5" ht="16.5">
      <c r="E13203" s="123"/>
    </row>
    <row r="13204" spans="5:5" ht="16.5">
      <c r="E13204" s="123"/>
    </row>
    <row r="13205" spans="5:5" ht="16.5">
      <c r="E13205" s="123"/>
    </row>
    <row r="13206" spans="5:5" ht="16.5">
      <c r="E13206" s="123"/>
    </row>
    <row r="13207" spans="5:5" ht="16.5">
      <c r="E13207" s="123"/>
    </row>
    <row r="13208" spans="5:5" ht="16.5">
      <c r="E13208" s="123"/>
    </row>
    <row r="13209" spans="5:5" ht="16.5">
      <c r="E13209" s="123"/>
    </row>
    <row r="13210" spans="5:5" ht="16.5">
      <c r="E13210" s="123"/>
    </row>
    <row r="13211" spans="5:5" ht="16.5">
      <c r="E13211" s="123"/>
    </row>
    <row r="13212" spans="5:5" ht="16.5">
      <c r="E13212" s="123"/>
    </row>
    <row r="13213" spans="5:5" ht="16.5">
      <c r="E13213" s="123"/>
    </row>
    <row r="13214" spans="5:5" ht="16.5">
      <c r="E13214" s="123"/>
    </row>
    <row r="13215" spans="5:5" ht="16.5">
      <c r="E13215" s="123"/>
    </row>
    <row r="13216" spans="5:5" ht="16.5">
      <c r="E13216" s="123"/>
    </row>
    <row r="13217" spans="5:5" ht="16.5">
      <c r="E13217" s="123"/>
    </row>
    <row r="13218" spans="5:5" ht="16.5">
      <c r="E13218" s="123"/>
    </row>
    <row r="13219" spans="5:5" ht="16.5">
      <c r="E13219" s="123"/>
    </row>
    <row r="13220" spans="5:5" ht="16.5">
      <c r="E13220" s="123"/>
    </row>
    <row r="13221" spans="5:5" ht="16.5">
      <c r="E13221" s="123"/>
    </row>
    <row r="13222" spans="5:5" ht="16.5">
      <c r="E13222" s="123"/>
    </row>
    <row r="13223" spans="5:5" ht="16.5">
      <c r="E13223" s="123"/>
    </row>
    <row r="13224" spans="5:5" ht="16.5">
      <c r="E13224" s="123"/>
    </row>
    <row r="13225" spans="5:5" ht="16.5">
      <c r="E13225" s="123"/>
    </row>
    <row r="13226" spans="5:5" ht="16.5">
      <c r="E13226" s="123"/>
    </row>
    <row r="13227" spans="5:5" ht="16.5">
      <c r="E13227" s="123"/>
    </row>
    <row r="13228" spans="5:5" ht="16.5">
      <c r="E13228" s="123"/>
    </row>
    <row r="13229" spans="5:5" ht="16.5">
      <c r="E13229" s="123"/>
    </row>
    <row r="13230" spans="5:5" ht="16.5">
      <c r="E13230" s="123"/>
    </row>
    <row r="13231" spans="5:5" ht="16.5">
      <c r="E13231" s="123"/>
    </row>
    <row r="13232" spans="5:5" ht="16.5">
      <c r="E13232" s="123"/>
    </row>
    <row r="13233" spans="5:5" ht="16.5">
      <c r="E13233" s="123"/>
    </row>
    <row r="13234" spans="5:5" ht="16.5">
      <c r="E13234" s="123"/>
    </row>
    <row r="13235" spans="5:5" ht="16.5">
      <c r="E13235" s="123"/>
    </row>
    <row r="13236" spans="5:5" ht="16.5">
      <c r="E13236" s="123"/>
    </row>
    <row r="13237" spans="5:5" ht="16.5">
      <c r="E13237" s="123"/>
    </row>
    <row r="13238" spans="5:5" ht="16.5">
      <c r="E13238" s="123"/>
    </row>
    <row r="13239" spans="5:5" ht="16.5">
      <c r="E13239" s="123"/>
    </row>
    <row r="13240" spans="5:5" ht="16.5">
      <c r="E13240" s="123"/>
    </row>
    <row r="13241" spans="5:5" ht="16.5">
      <c r="E13241" s="123"/>
    </row>
    <row r="13242" spans="5:5" ht="16.5">
      <c r="E13242" s="123"/>
    </row>
    <row r="13243" spans="5:5" ht="16.5">
      <c r="E13243" s="123"/>
    </row>
    <row r="13244" spans="5:5" ht="16.5">
      <c r="E13244" s="123"/>
    </row>
    <row r="13245" spans="5:5" ht="16.5">
      <c r="E13245" s="123"/>
    </row>
    <row r="13246" spans="5:5" ht="16.5">
      <c r="E13246" s="123"/>
    </row>
    <row r="13247" spans="5:5" ht="16.5">
      <c r="E13247" s="123"/>
    </row>
    <row r="13248" spans="5:5" ht="16.5">
      <c r="E13248" s="123"/>
    </row>
    <row r="13249" spans="5:5" ht="16.5">
      <c r="E13249" s="123"/>
    </row>
    <row r="13250" spans="5:5" ht="16.5">
      <c r="E13250" s="123"/>
    </row>
    <row r="13251" spans="5:5" ht="16.5">
      <c r="E13251" s="123"/>
    </row>
    <row r="13252" spans="5:5" ht="16.5">
      <c r="E13252" s="123"/>
    </row>
    <row r="13253" spans="5:5" ht="16.5">
      <c r="E13253" s="123"/>
    </row>
    <row r="13254" spans="5:5" ht="16.5">
      <c r="E13254" s="123"/>
    </row>
    <row r="13255" spans="5:5" ht="16.5">
      <c r="E13255" s="123"/>
    </row>
    <row r="13256" spans="5:5" ht="16.5">
      <c r="E13256" s="123"/>
    </row>
    <row r="13257" spans="5:5" ht="16.5">
      <c r="E13257" s="123"/>
    </row>
    <row r="13258" spans="5:5" ht="16.5">
      <c r="E13258" s="123"/>
    </row>
    <row r="13259" spans="5:5" ht="16.5">
      <c r="E13259" s="123"/>
    </row>
    <row r="13260" spans="5:5" ht="16.5">
      <c r="E13260" s="123"/>
    </row>
    <row r="13261" spans="5:5" ht="16.5">
      <c r="E13261" s="123"/>
    </row>
    <row r="13262" spans="5:5" ht="16.5">
      <c r="E13262" s="123"/>
    </row>
    <row r="13263" spans="5:5" ht="16.5">
      <c r="E13263" s="123"/>
    </row>
    <row r="13264" spans="5:5" ht="16.5">
      <c r="E13264" s="123"/>
    </row>
    <row r="13265" spans="5:5" ht="16.5">
      <c r="E13265" s="123"/>
    </row>
    <row r="13266" spans="5:5" ht="16.5">
      <c r="E13266" s="123"/>
    </row>
    <row r="13267" spans="5:5" ht="16.5">
      <c r="E13267" s="123"/>
    </row>
    <row r="13268" spans="5:5" ht="16.5">
      <c r="E13268" s="123"/>
    </row>
    <row r="13269" spans="5:5" ht="16.5">
      <c r="E13269" s="123"/>
    </row>
    <row r="13270" spans="5:5" ht="16.5">
      <c r="E13270" s="123"/>
    </row>
    <row r="13271" spans="5:5" ht="16.5">
      <c r="E13271" s="123"/>
    </row>
    <row r="13272" spans="5:5" ht="16.5">
      <c r="E13272" s="123"/>
    </row>
    <row r="13273" spans="5:5" ht="16.5">
      <c r="E13273" s="123"/>
    </row>
    <row r="13274" spans="5:5" ht="16.5">
      <c r="E13274" s="123"/>
    </row>
    <row r="13275" spans="5:5" ht="16.5">
      <c r="E13275" s="123"/>
    </row>
    <row r="13276" spans="5:5" ht="16.5">
      <c r="E13276" s="123"/>
    </row>
    <row r="13277" spans="5:5" ht="16.5">
      <c r="E13277" s="123"/>
    </row>
    <row r="13278" spans="5:5" ht="16.5">
      <c r="E13278" s="123"/>
    </row>
    <row r="13279" spans="5:5" ht="16.5">
      <c r="E13279" s="123"/>
    </row>
    <row r="13280" spans="5:5" ht="16.5">
      <c r="E13280" s="123"/>
    </row>
    <row r="13281" spans="5:5" ht="16.5">
      <c r="E13281" s="123"/>
    </row>
    <row r="13282" spans="5:5" ht="16.5">
      <c r="E13282" s="123"/>
    </row>
    <row r="13283" spans="5:5" ht="16.5">
      <c r="E13283" s="123"/>
    </row>
    <row r="13284" spans="5:5" ht="16.5">
      <c r="E13284" s="123"/>
    </row>
    <row r="13285" spans="5:5" ht="16.5">
      <c r="E13285" s="123"/>
    </row>
    <row r="13286" spans="5:5" ht="16.5">
      <c r="E13286" s="123"/>
    </row>
    <row r="13287" spans="5:5" ht="16.5">
      <c r="E13287" s="123"/>
    </row>
    <row r="13288" spans="5:5" ht="16.5">
      <c r="E13288" s="123"/>
    </row>
    <row r="13289" spans="5:5" ht="16.5">
      <c r="E13289" s="123"/>
    </row>
    <row r="13290" spans="5:5" ht="16.5">
      <c r="E13290" s="123"/>
    </row>
    <row r="13291" spans="5:5" ht="16.5">
      <c r="E13291" s="123"/>
    </row>
    <row r="13292" spans="5:5" ht="16.5">
      <c r="E13292" s="123"/>
    </row>
    <row r="13293" spans="5:5" ht="16.5">
      <c r="E13293" s="123"/>
    </row>
    <row r="13294" spans="5:5" ht="16.5">
      <c r="E13294" s="123"/>
    </row>
    <row r="13295" spans="5:5" ht="16.5">
      <c r="E13295" s="123"/>
    </row>
    <row r="13296" spans="5:5" ht="16.5">
      <c r="E13296" s="123"/>
    </row>
    <row r="13297" spans="5:5" ht="16.5">
      <c r="E13297" s="123"/>
    </row>
    <row r="13298" spans="5:5" ht="16.5">
      <c r="E13298" s="123"/>
    </row>
    <row r="13299" spans="5:5" ht="16.5">
      <c r="E13299" s="123"/>
    </row>
    <row r="13300" spans="5:5" ht="16.5">
      <c r="E13300" s="123"/>
    </row>
    <row r="13301" spans="5:5" ht="16.5">
      <c r="E13301" s="123"/>
    </row>
    <row r="13302" spans="5:5" ht="16.5">
      <c r="E13302" s="123"/>
    </row>
    <row r="13303" spans="5:5" ht="16.5">
      <c r="E13303" s="123"/>
    </row>
    <row r="13304" spans="5:5" ht="16.5">
      <c r="E13304" s="123"/>
    </row>
    <row r="13305" spans="5:5" ht="16.5">
      <c r="E13305" s="123"/>
    </row>
    <row r="13306" spans="5:5" ht="16.5">
      <c r="E13306" s="123"/>
    </row>
    <row r="13307" spans="5:5" ht="16.5">
      <c r="E13307" s="123"/>
    </row>
    <row r="13308" spans="5:5" ht="16.5">
      <c r="E13308" s="123"/>
    </row>
    <row r="13309" spans="5:5" ht="16.5">
      <c r="E13309" s="123"/>
    </row>
    <row r="13310" spans="5:5" ht="16.5">
      <c r="E13310" s="123"/>
    </row>
    <row r="13311" spans="5:5" ht="16.5">
      <c r="E13311" s="123"/>
    </row>
    <row r="13312" spans="5:5" ht="16.5">
      <c r="E13312" s="123"/>
    </row>
    <row r="13313" spans="5:5" ht="16.5">
      <c r="E13313" s="123"/>
    </row>
    <row r="13314" spans="5:5" ht="16.5">
      <c r="E13314" s="123"/>
    </row>
    <row r="13315" spans="5:5" ht="16.5">
      <c r="E13315" s="123"/>
    </row>
    <row r="13316" spans="5:5" ht="16.5">
      <c r="E13316" s="123"/>
    </row>
    <row r="13317" spans="5:5" ht="16.5">
      <c r="E13317" s="123"/>
    </row>
    <row r="13318" spans="5:5" ht="16.5">
      <c r="E13318" s="123"/>
    </row>
    <row r="13319" spans="5:5" ht="16.5">
      <c r="E13319" s="123"/>
    </row>
    <row r="13320" spans="5:5" ht="16.5">
      <c r="E13320" s="123"/>
    </row>
    <row r="13321" spans="5:5" ht="16.5">
      <c r="E13321" s="123"/>
    </row>
    <row r="13322" spans="5:5" ht="16.5">
      <c r="E13322" s="123"/>
    </row>
    <row r="13323" spans="5:5" ht="16.5">
      <c r="E13323" s="123"/>
    </row>
    <row r="13324" spans="5:5" ht="16.5">
      <c r="E13324" s="123"/>
    </row>
    <row r="13325" spans="5:5" ht="16.5">
      <c r="E13325" s="123"/>
    </row>
    <row r="13326" spans="5:5" ht="16.5">
      <c r="E13326" s="123"/>
    </row>
    <row r="13327" spans="5:5" ht="16.5">
      <c r="E13327" s="123"/>
    </row>
    <row r="13328" spans="5:5" ht="16.5">
      <c r="E13328" s="123"/>
    </row>
    <row r="13329" spans="5:5" ht="16.5">
      <c r="E13329" s="123"/>
    </row>
    <row r="13330" spans="5:5" ht="16.5">
      <c r="E13330" s="123"/>
    </row>
    <row r="13331" spans="5:5" ht="16.5">
      <c r="E13331" s="123"/>
    </row>
    <row r="13332" spans="5:5" ht="16.5">
      <c r="E13332" s="123"/>
    </row>
    <row r="13333" spans="5:5" ht="16.5">
      <c r="E13333" s="123"/>
    </row>
    <row r="13334" spans="5:5" ht="16.5">
      <c r="E13334" s="123"/>
    </row>
    <row r="13335" spans="5:5" ht="16.5">
      <c r="E13335" s="123"/>
    </row>
    <row r="13336" spans="5:5" ht="16.5">
      <c r="E13336" s="123"/>
    </row>
    <row r="13337" spans="5:5" ht="16.5">
      <c r="E13337" s="123"/>
    </row>
    <row r="13338" spans="5:5" ht="16.5">
      <c r="E13338" s="123"/>
    </row>
    <row r="13339" spans="5:5" ht="16.5">
      <c r="E13339" s="123"/>
    </row>
    <row r="13340" spans="5:5" ht="16.5">
      <c r="E13340" s="123"/>
    </row>
    <row r="13341" spans="5:5" ht="16.5">
      <c r="E13341" s="123"/>
    </row>
    <row r="13342" spans="5:5" ht="16.5">
      <c r="E13342" s="123"/>
    </row>
    <row r="13343" spans="5:5" ht="16.5">
      <c r="E13343" s="123"/>
    </row>
    <row r="13344" spans="5:5" ht="16.5">
      <c r="E13344" s="123"/>
    </row>
    <row r="13345" spans="5:5" ht="16.5">
      <c r="E13345" s="123"/>
    </row>
    <row r="13346" spans="5:5" ht="16.5">
      <c r="E13346" s="123"/>
    </row>
    <row r="13347" spans="5:5" ht="16.5">
      <c r="E13347" s="123"/>
    </row>
    <row r="13348" spans="5:5" ht="16.5">
      <c r="E13348" s="123"/>
    </row>
    <row r="13349" spans="5:5" ht="16.5">
      <c r="E13349" s="123"/>
    </row>
    <row r="13350" spans="5:5" ht="16.5">
      <c r="E13350" s="123"/>
    </row>
    <row r="13351" spans="5:5" ht="16.5">
      <c r="E13351" s="123"/>
    </row>
    <row r="13352" spans="5:5" ht="16.5">
      <c r="E13352" s="123"/>
    </row>
    <row r="13353" spans="5:5" ht="16.5">
      <c r="E13353" s="123"/>
    </row>
    <row r="13354" spans="5:5" ht="16.5">
      <c r="E13354" s="123"/>
    </row>
    <row r="13355" spans="5:5" ht="16.5">
      <c r="E13355" s="123"/>
    </row>
    <row r="13356" spans="5:5" ht="16.5">
      <c r="E13356" s="123"/>
    </row>
    <row r="13357" spans="5:5" ht="16.5">
      <c r="E13357" s="123"/>
    </row>
    <row r="13358" spans="5:5" ht="16.5">
      <c r="E13358" s="123"/>
    </row>
    <row r="13359" spans="5:5" ht="16.5">
      <c r="E13359" s="123"/>
    </row>
    <row r="13360" spans="5:5" ht="16.5">
      <c r="E13360" s="123"/>
    </row>
    <row r="13361" spans="5:5" ht="16.5">
      <c r="E13361" s="123"/>
    </row>
    <row r="13362" spans="5:5" ht="16.5">
      <c r="E13362" s="123"/>
    </row>
    <row r="13363" spans="5:5" ht="16.5">
      <c r="E13363" s="123"/>
    </row>
    <row r="13364" spans="5:5" ht="16.5">
      <c r="E13364" s="123"/>
    </row>
    <row r="13365" spans="5:5" ht="16.5">
      <c r="E13365" s="123"/>
    </row>
    <row r="13366" spans="5:5" ht="16.5">
      <c r="E13366" s="123"/>
    </row>
    <row r="13367" spans="5:5" ht="16.5">
      <c r="E13367" s="123"/>
    </row>
    <row r="13368" spans="5:5" ht="16.5">
      <c r="E13368" s="123"/>
    </row>
    <row r="13369" spans="5:5" ht="16.5">
      <c r="E13369" s="123"/>
    </row>
    <row r="13370" spans="5:5" ht="16.5">
      <c r="E13370" s="123"/>
    </row>
    <row r="13371" spans="5:5" ht="16.5">
      <c r="E13371" s="123"/>
    </row>
    <row r="13372" spans="5:5" ht="16.5">
      <c r="E13372" s="123"/>
    </row>
    <row r="13373" spans="5:5" ht="16.5">
      <c r="E13373" s="123"/>
    </row>
    <row r="13374" spans="5:5" ht="16.5">
      <c r="E13374" s="123"/>
    </row>
    <row r="13375" spans="5:5" ht="16.5">
      <c r="E13375" s="123"/>
    </row>
    <row r="13376" spans="5:5" ht="16.5">
      <c r="E13376" s="123"/>
    </row>
    <row r="13377" spans="5:5" ht="16.5">
      <c r="E13377" s="123"/>
    </row>
    <row r="13378" spans="5:5" ht="16.5">
      <c r="E13378" s="123"/>
    </row>
    <row r="13379" spans="5:5" ht="16.5">
      <c r="E13379" s="123"/>
    </row>
    <row r="13380" spans="5:5" ht="16.5">
      <c r="E13380" s="123"/>
    </row>
    <row r="13381" spans="5:5" ht="16.5">
      <c r="E13381" s="123"/>
    </row>
    <row r="13382" spans="5:5" ht="16.5">
      <c r="E13382" s="123"/>
    </row>
    <row r="13383" spans="5:5" ht="16.5">
      <c r="E13383" s="123"/>
    </row>
    <row r="13384" spans="5:5" ht="16.5">
      <c r="E13384" s="123"/>
    </row>
    <row r="13385" spans="5:5" ht="16.5">
      <c r="E13385" s="123"/>
    </row>
    <row r="13386" spans="5:5" ht="16.5">
      <c r="E13386" s="123"/>
    </row>
    <row r="13387" spans="5:5" ht="16.5">
      <c r="E13387" s="123"/>
    </row>
    <row r="13388" spans="5:5" ht="16.5">
      <c r="E13388" s="123"/>
    </row>
    <row r="13389" spans="5:5" ht="16.5">
      <c r="E13389" s="123"/>
    </row>
    <row r="13390" spans="5:5" ht="16.5">
      <c r="E13390" s="123"/>
    </row>
    <row r="13391" spans="5:5" ht="16.5">
      <c r="E13391" s="123"/>
    </row>
    <row r="13392" spans="5:5" ht="16.5">
      <c r="E13392" s="123"/>
    </row>
    <row r="13393" spans="5:5" ht="16.5">
      <c r="E13393" s="123"/>
    </row>
    <row r="13394" spans="5:5" ht="16.5">
      <c r="E13394" s="123"/>
    </row>
    <row r="13395" spans="5:5" ht="16.5">
      <c r="E13395" s="123"/>
    </row>
    <row r="13396" spans="5:5" ht="16.5">
      <c r="E13396" s="123"/>
    </row>
    <row r="13397" spans="5:5" ht="16.5">
      <c r="E13397" s="123"/>
    </row>
    <row r="13398" spans="5:5" ht="16.5">
      <c r="E13398" s="123"/>
    </row>
    <row r="13399" spans="5:5" ht="16.5">
      <c r="E13399" s="123"/>
    </row>
    <row r="13400" spans="5:5" ht="16.5">
      <c r="E13400" s="123"/>
    </row>
    <row r="13401" spans="5:5" ht="16.5">
      <c r="E13401" s="123"/>
    </row>
    <row r="13402" spans="5:5" ht="16.5">
      <c r="E13402" s="123"/>
    </row>
    <row r="13403" spans="5:5" ht="16.5">
      <c r="E13403" s="123"/>
    </row>
    <row r="13404" spans="5:5" ht="16.5">
      <c r="E13404" s="123"/>
    </row>
    <row r="13405" spans="5:5" ht="16.5">
      <c r="E13405" s="123"/>
    </row>
    <row r="13406" spans="5:5" ht="16.5">
      <c r="E13406" s="123"/>
    </row>
    <row r="13407" spans="5:5" ht="16.5">
      <c r="E13407" s="123"/>
    </row>
    <row r="13408" spans="5:5" ht="16.5">
      <c r="E13408" s="123"/>
    </row>
    <row r="13409" spans="5:5" ht="16.5">
      <c r="E13409" s="123"/>
    </row>
    <row r="13410" spans="5:5" ht="16.5">
      <c r="E13410" s="123"/>
    </row>
    <row r="13411" spans="5:5" ht="16.5">
      <c r="E13411" s="123"/>
    </row>
    <row r="13412" spans="5:5" ht="16.5">
      <c r="E13412" s="123"/>
    </row>
    <row r="13413" spans="5:5" ht="16.5">
      <c r="E13413" s="123"/>
    </row>
    <row r="13414" spans="5:5" ht="16.5">
      <c r="E13414" s="123"/>
    </row>
    <row r="13415" spans="5:5" ht="16.5">
      <c r="E13415" s="123"/>
    </row>
    <row r="13416" spans="5:5" ht="16.5">
      <c r="E13416" s="123"/>
    </row>
    <row r="13417" spans="5:5" ht="16.5">
      <c r="E13417" s="123"/>
    </row>
    <row r="13418" spans="5:5" ht="16.5">
      <c r="E13418" s="123"/>
    </row>
    <row r="13419" spans="5:5" ht="16.5">
      <c r="E13419" s="123"/>
    </row>
    <row r="13420" spans="5:5" ht="16.5">
      <c r="E13420" s="123"/>
    </row>
    <row r="13421" spans="5:5" ht="16.5">
      <c r="E13421" s="123"/>
    </row>
    <row r="13422" spans="5:5" ht="16.5">
      <c r="E13422" s="123"/>
    </row>
    <row r="13423" spans="5:5" ht="16.5">
      <c r="E13423" s="123"/>
    </row>
    <row r="13424" spans="5:5" ht="16.5">
      <c r="E13424" s="123"/>
    </row>
    <row r="13425" spans="5:5" ht="16.5">
      <c r="E13425" s="123"/>
    </row>
    <row r="13426" spans="5:5" ht="16.5">
      <c r="E13426" s="123"/>
    </row>
    <row r="13427" spans="5:5" ht="16.5">
      <c r="E13427" s="123"/>
    </row>
    <row r="13428" spans="5:5" ht="16.5">
      <c r="E13428" s="123"/>
    </row>
    <row r="13429" spans="5:5" ht="16.5">
      <c r="E13429" s="123"/>
    </row>
    <row r="13430" spans="5:5" ht="16.5">
      <c r="E13430" s="123"/>
    </row>
    <row r="13431" spans="5:5" ht="16.5">
      <c r="E13431" s="123"/>
    </row>
    <row r="13432" spans="5:5" ht="16.5">
      <c r="E13432" s="123"/>
    </row>
    <row r="13433" spans="5:5" ht="16.5">
      <c r="E13433" s="123"/>
    </row>
    <row r="13434" spans="5:5" ht="16.5">
      <c r="E13434" s="123"/>
    </row>
    <row r="13435" spans="5:5" ht="16.5">
      <c r="E13435" s="123"/>
    </row>
    <row r="13436" spans="5:5" ht="16.5">
      <c r="E13436" s="123"/>
    </row>
    <row r="13437" spans="5:5" ht="16.5">
      <c r="E13437" s="123"/>
    </row>
    <row r="13438" spans="5:5" ht="16.5">
      <c r="E13438" s="123"/>
    </row>
    <row r="13439" spans="5:5" ht="16.5">
      <c r="E13439" s="123"/>
    </row>
    <row r="13440" spans="5:5" ht="16.5">
      <c r="E13440" s="123"/>
    </row>
    <row r="13441" spans="5:5" ht="16.5">
      <c r="E13441" s="123"/>
    </row>
    <row r="13442" spans="5:5" ht="16.5">
      <c r="E13442" s="123"/>
    </row>
    <row r="13443" spans="5:5" ht="16.5">
      <c r="E13443" s="123"/>
    </row>
    <row r="13444" spans="5:5" ht="16.5">
      <c r="E13444" s="123"/>
    </row>
    <row r="13445" spans="5:5" ht="16.5">
      <c r="E13445" s="123"/>
    </row>
    <row r="13446" spans="5:5" ht="16.5">
      <c r="E13446" s="123"/>
    </row>
    <row r="13447" spans="5:5" ht="16.5">
      <c r="E13447" s="123"/>
    </row>
    <row r="13448" spans="5:5" ht="16.5">
      <c r="E13448" s="123"/>
    </row>
    <row r="13449" spans="5:5" ht="16.5">
      <c r="E13449" s="123"/>
    </row>
    <row r="13450" spans="5:5" ht="16.5">
      <c r="E13450" s="123"/>
    </row>
    <row r="13451" spans="5:5" ht="16.5">
      <c r="E13451" s="123"/>
    </row>
    <row r="13452" spans="5:5" ht="16.5">
      <c r="E13452" s="123"/>
    </row>
    <row r="13453" spans="5:5" ht="16.5">
      <c r="E13453" s="123"/>
    </row>
    <row r="13454" spans="5:5" ht="16.5">
      <c r="E13454" s="123"/>
    </row>
    <row r="13455" spans="5:5" ht="16.5">
      <c r="E13455" s="123"/>
    </row>
    <row r="13456" spans="5:5" ht="16.5">
      <c r="E13456" s="123"/>
    </row>
    <row r="13457" spans="5:5" ht="16.5">
      <c r="E13457" s="123"/>
    </row>
    <row r="13458" spans="5:5" ht="16.5">
      <c r="E13458" s="123"/>
    </row>
    <row r="13459" spans="5:5" ht="16.5">
      <c r="E13459" s="123"/>
    </row>
    <row r="13460" spans="5:5" ht="16.5">
      <c r="E13460" s="123"/>
    </row>
    <row r="13461" spans="5:5" ht="16.5">
      <c r="E13461" s="123"/>
    </row>
    <row r="13462" spans="5:5" ht="16.5">
      <c r="E13462" s="123"/>
    </row>
    <row r="13463" spans="5:5" ht="16.5">
      <c r="E13463" s="123"/>
    </row>
    <row r="13464" spans="5:5" ht="16.5">
      <c r="E13464" s="123"/>
    </row>
    <row r="13465" spans="5:5" ht="16.5">
      <c r="E13465" s="123"/>
    </row>
    <row r="13466" spans="5:5" ht="16.5">
      <c r="E13466" s="123"/>
    </row>
    <row r="13467" spans="5:5" ht="16.5">
      <c r="E13467" s="123"/>
    </row>
    <row r="13468" spans="5:5" ht="16.5">
      <c r="E13468" s="123"/>
    </row>
    <row r="13469" spans="5:5" ht="16.5">
      <c r="E13469" s="123"/>
    </row>
    <row r="13470" spans="5:5" ht="16.5">
      <c r="E13470" s="123"/>
    </row>
    <row r="13471" spans="5:5" ht="16.5">
      <c r="E13471" s="123"/>
    </row>
    <row r="13472" spans="5:5" ht="16.5">
      <c r="E13472" s="123"/>
    </row>
    <row r="13473" spans="5:5" ht="16.5">
      <c r="E13473" s="123"/>
    </row>
    <row r="13474" spans="5:5" ht="16.5">
      <c r="E13474" s="123"/>
    </row>
    <row r="13475" spans="5:5" ht="16.5">
      <c r="E13475" s="123"/>
    </row>
    <row r="13476" spans="5:5" ht="16.5">
      <c r="E13476" s="123"/>
    </row>
    <row r="13477" spans="5:5" ht="16.5">
      <c r="E13477" s="123"/>
    </row>
    <row r="13478" spans="5:5" ht="16.5">
      <c r="E13478" s="123"/>
    </row>
    <row r="13479" spans="5:5" ht="16.5">
      <c r="E13479" s="123"/>
    </row>
    <row r="13480" spans="5:5" ht="16.5">
      <c r="E13480" s="123"/>
    </row>
    <row r="13481" spans="5:5" ht="16.5">
      <c r="E13481" s="123"/>
    </row>
    <row r="13482" spans="5:5" ht="16.5">
      <c r="E13482" s="123"/>
    </row>
    <row r="13483" spans="5:5" ht="16.5">
      <c r="E13483" s="123"/>
    </row>
    <row r="13484" spans="5:5" ht="16.5">
      <c r="E13484" s="123"/>
    </row>
    <row r="13485" spans="5:5" ht="16.5">
      <c r="E13485" s="123"/>
    </row>
    <row r="13486" spans="5:5" ht="16.5">
      <c r="E13486" s="123"/>
    </row>
    <row r="13487" spans="5:5" ht="16.5">
      <c r="E13487" s="123"/>
    </row>
    <row r="13488" spans="5:5" ht="16.5">
      <c r="E13488" s="123"/>
    </row>
    <row r="13489" spans="5:5" ht="16.5">
      <c r="E13489" s="123"/>
    </row>
    <row r="13490" spans="5:5" ht="16.5">
      <c r="E13490" s="123"/>
    </row>
    <row r="13491" spans="5:5" ht="16.5">
      <c r="E13491" s="123"/>
    </row>
    <row r="13492" spans="5:5" ht="16.5">
      <c r="E13492" s="123"/>
    </row>
    <row r="13493" spans="5:5" ht="16.5">
      <c r="E13493" s="123"/>
    </row>
    <row r="13494" spans="5:5" ht="16.5">
      <c r="E13494" s="123"/>
    </row>
    <row r="13495" spans="5:5" ht="16.5">
      <c r="E13495" s="123"/>
    </row>
    <row r="13496" spans="5:5" ht="16.5">
      <c r="E13496" s="123"/>
    </row>
    <row r="13497" spans="5:5" ht="16.5">
      <c r="E13497" s="123"/>
    </row>
    <row r="13498" spans="5:5" ht="16.5">
      <c r="E13498" s="123"/>
    </row>
    <row r="13499" spans="5:5" ht="16.5">
      <c r="E13499" s="123"/>
    </row>
    <row r="13500" spans="5:5" ht="16.5">
      <c r="E13500" s="123"/>
    </row>
    <row r="13501" spans="5:5" ht="16.5">
      <c r="E13501" s="123"/>
    </row>
    <row r="13502" spans="5:5" ht="16.5">
      <c r="E13502" s="123"/>
    </row>
    <row r="13503" spans="5:5" ht="16.5">
      <c r="E13503" s="123"/>
    </row>
    <row r="13504" spans="5:5" ht="16.5">
      <c r="E13504" s="123"/>
    </row>
    <row r="13505" spans="5:5" ht="16.5">
      <c r="E13505" s="123"/>
    </row>
    <row r="13506" spans="5:5" ht="16.5">
      <c r="E13506" s="123"/>
    </row>
    <row r="13507" spans="5:5" ht="16.5">
      <c r="E13507" s="123"/>
    </row>
    <row r="13508" spans="5:5" ht="16.5">
      <c r="E13508" s="123"/>
    </row>
    <row r="13509" spans="5:5" ht="16.5">
      <c r="E13509" s="123"/>
    </row>
    <row r="13510" spans="5:5" ht="16.5">
      <c r="E13510" s="123"/>
    </row>
    <row r="13511" spans="5:5" ht="16.5">
      <c r="E13511" s="123"/>
    </row>
    <row r="13512" spans="5:5" ht="16.5">
      <c r="E13512" s="123"/>
    </row>
    <row r="13513" spans="5:5" ht="16.5">
      <c r="E13513" s="123"/>
    </row>
    <row r="13514" spans="5:5" ht="16.5">
      <c r="E13514" s="123"/>
    </row>
    <row r="13515" spans="5:5" ht="16.5">
      <c r="E13515" s="123"/>
    </row>
    <row r="13516" spans="5:5" ht="16.5">
      <c r="E13516" s="123"/>
    </row>
    <row r="13517" spans="5:5" ht="16.5">
      <c r="E13517" s="123"/>
    </row>
    <row r="13518" spans="5:5" ht="16.5">
      <c r="E13518" s="123"/>
    </row>
    <row r="13519" spans="5:5" ht="16.5">
      <c r="E13519" s="123"/>
    </row>
    <row r="13520" spans="5:5" ht="16.5">
      <c r="E13520" s="123"/>
    </row>
    <row r="13521" spans="5:5" ht="16.5">
      <c r="E13521" s="123"/>
    </row>
    <row r="13522" spans="5:5" ht="16.5">
      <c r="E13522" s="123"/>
    </row>
    <row r="13523" spans="5:5" ht="16.5">
      <c r="E13523" s="123"/>
    </row>
    <row r="13524" spans="5:5" ht="16.5">
      <c r="E13524" s="123"/>
    </row>
    <row r="13525" spans="5:5" ht="16.5">
      <c r="E13525" s="123"/>
    </row>
    <row r="13526" spans="5:5" ht="16.5">
      <c r="E13526" s="123"/>
    </row>
    <row r="13527" spans="5:5" ht="16.5">
      <c r="E13527" s="123"/>
    </row>
    <row r="13528" spans="5:5" ht="16.5">
      <c r="E13528" s="123"/>
    </row>
    <row r="13529" spans="5:5" ht="16.5">
      <c r="E13529" s="123"/>
    </row>
    <row r="13530" spans="5:5" ht="16.5">
      <c r="E13530" s="123"/>
    </row>
    <row r="13531" spans="5:5" ht="16.5">
      <c r="E13531" s="123"/>
    </row>
    <row r="13532" spans="5:5" ht="16.5">
      <c r="E13532" s="123"/>
    </row>
    <row r="13533" spans="5:5" ht="16.5">
      <c r="E13533" s="123"/>
    </row>
    <row r="13534" spans="5:5" ht="16.5">
      <c r="E13534" s="123"/>
    </row>
    <row r="13535" spans="5:5" ht="16.5">
      <c r="E13535" s="123"/>
    </row>
    <row r="13536" spans="5:5" ht="16.5">
      <c r="E13536" s="123"/>
    </row>
    <row r="13537" spans="5:5" ht="16.5">
      <c r="E13537" s="123"/>
    </row>
    <row r="13538" spans="5:5" ht="16.5">
      <c r="E13538" s="123"/>
    </row>
    <row r="13539" spans="5:5" ht="16.5">
      <c r="E13539" s="123"/>
    </row>
    <row r="13540" spans="5:5" ht="16.5">
      <c r="E13540" s="123"/>
    </row>
    <row r="13541" spans="5:5" ht="16.5">
      <c r="E13541" s="123"/>
    </row>
    <row r="13542" spans="5:5" ht="16.5">
      <c r="E13542" s="123"/>
    </row>
    <row r="13543" spans="5:5" ht="16.5">
      <c r="E13543" s="123"/>
    </row>
    <row r="13544" spans="5:5" ht="16.5">
      <c r="E13544" s="123"/>
    </row>
    <row r="13545" spans="5:5" ht="16.5">
      <c r="E13545" s="123"/>
    </row>
    <row r="13546" spans="5:5" ht="16.5">
      <c r="E13546" s="123"/>
    </row>
    <row r="13547" spans="5:5" ht="16.5">
      <c r="E13547" s="123"/>
    </row>
    <row r="13548" spans="5:5" ht="16.5">
      <c r="E13548" s="123"/>
    </row>
    <row r="13549" spans="5:5" ht="16.5">
      <c r="E13549" s="123"/>
    </row>
    <row r="13550" spans="5:5" ht="16.5">
      <c r="E13550" s="123"/>
    </row>
    <row r="13551" spans="5:5" ht="16.5">
      <c r="E13551" s="123"/>
    </row>
    <row r="13552" spans="5:5" ht="16.5">
      <c r="E13552" s="123"/>
    </row>
    <row r="13553" spans="5:5" ht="16.5">
      <c r="E13553" s="123"/>
    </row>
    <row r="13554" spans="5:5" ht="16.5">
      <c r="E13554" s="123"/>
    </row>
    <row r="13555" spans="5:5" ht="16.5">
      <c r="E13555" s="123"/>
    </row>
    <row r="13556" spans="5:5" ht="16.5">
      <c r="E13556" s="123"/>
    </row>
    <row r="13557" spans="5:5" ht="16.5">
      <c r="E13557" s="123"/>
    </row>
    <row r="13558" spans="5:5" ht="16.5">
      <c r="E13558" s="123"/>
    </row>
    <row r="13559" spans="5:5" ht="16.5">
      <c r="E13559" s="123"/>
    </row>
    <row r="13560" spans="5:5" ht="16.5">
      <c r="E13560" s="123"/>
    </row>
    <row r="13561" spans="5:5" ht="16.5">
      <c r="E13561" s="123"/>
    </row>
    <row r="13562" spans="5:5" ht="16.5">
      <c r="E13562" s="123"/>
    </row>
    <row r="13563" spans="5:5" ht="16.5">
      <c r="E13563" s="123"/>
    </row>
    <row r="13564" spans="5:5" ht="16.5">
      <c r="E13564" s="123"/>
    </row>
    <row r="13565" spans="5:5" ht="16.5">
      <c r="E13565" s="123"/>
    </row>
    <row r="13566" spans="5:5" ht="16.5">
      <c r="E13566" s="123"/>
    </row>
    <row r="13567" spans="5:5" ht="16.5">
      <c r="E13567" s="123"/>
    </row>
    <row r="13568" spans="5:5" ht="16.5">
      <c r="E13568" s="123"/>
    </row>
    <row r="13569" spans="5:5" ht="16.5">
      <c r="E13569" s="123"/>
    </row>
    <row r="13570" spans="5:5" ht="16.5">
      <c r="E13570" s="123"/>
    </row>
    <row r="13571" spans="5:5" ht="16.5">
      <c r="E13571" s="123"/>
    </row>
    <row r="13572" spans="5:5" ht="16.5">
      <c r="E13572" s="123"/>
    </row>
    <row r="13573" spans="5:5" ht="16.5">
      <c r="E13573" s="123"/>
    </row>
    <row r="13574" spans="5:5" ht="16.5">
      <c r="E13574" s="123"/>
    </row>
    <row r="13575" spans="5:5" ht="16.5">
      <c r="E13575" s="123"/>
    </row>
    <row r="13576" spans="5:5" ht="16.5">
      <c r="E13576" s="123"/>
    </row>
    <row r="13577" spans="5:5" ht="16.5">
      <c r="E13577" s="123"/>
    </row>
    <row r="13578" spans="5:5" ht="16.5">
      <c r="E13578" s="123"/>
    </row>
    <row r="13579" spans="5:5" ht="16.5">
      <c r="E13579" s="123"/>
    </row>
    <row r="13580" spans="5:5" ht="16.5">
      <c r="E13580" s="123"/>
    </row>
    <row r="13581" spans="5:5" ht="16.5">
      <c r="E13581" s="123"/>
    </row>
    <row r="13582" spans="5:5" ht="16.5">
      <c r="E13582" s="123"/>
    </row>
    <row r="13583" spans="5:5" ht="16.5">
      <c r="E13583" s="123"/>
    </row>
    <row r="13584" spans="5:5" ht="16.5">
      <c r="E13584" s="123"/>
    </row>
    <row r="13585" spans="5:5" ht="16.5">
      <c r="E13585" s="123"/>
    </row>
    <row r="13586" spans="5:5" ht="16.5">
      <c r="E13586" s="123"/>
    </row>
    <row r="13587" spans="5:5" ht="16.5">
      <c r="E13587" s="123"/>
    </row>
    <row r="13588" spans="5:5" ht="16.5">
      <c r="E13588" s="123"/>
    </row>
    <row r="13589" spans="5:5" ht="16.5">
      <c r="E13589" s="123"/>
    </row>
    <row r="13590" spans="5:5" ht="16.5">
      <c r="E13590" s="123"/>
    </row>
    <row r="13591" spans="5:5" ht="16.5">
      <c r="E13591" s="123"/>
    </row>
    <row r="13592" spans="5:5" ht="16.5">
      <c r="E13592" s="123"/>
    </row>
    <row r="13593" spans="5:5" ht="16.5">
      <c r="E13593" s="123"/>
    </row>
    <row r="13594" spans="5:5" ht="16.5">
      <c r="E13594" s="123"/>
    </row>
    <row r="13595" spans="5:5" ht="16.5">
      <c r="E13595" s="123"/>
    </row>
    <row r="13596" spans="5:5" ht="16.5">
      <c r="E13596" s="123"/>
    </row>
    <row r="13597" spans="5:5" ht="16.5">
      <c r="E13597" s="123"/>
    </row>
    <row r="13598" spans="5:5" ht="16.5">
      <c r="E13598" s="123"/>
    </row>
    <row r="13599" spans="5:5" ht="16.5">
      <c r="E13599" s="123"/>
    </row>
    <row r="13600" spans="5:5" ht="16.5">
      <c r="E13600" s="123"/>
    </row>
    <row r="13601" spans="5:5" ht="16.5">
      <c r="E13601" s="123"/>
    </row>
    <row r="13602" spans="5:5" ht="16.5">
      <c r="E13602" s="123"/>
    </row>
    <row r="13603" spans="5:5" ht="16.5">
      <c r="E13603" s="123"/>
    </row>
    <row r="13604" spans="5:5" ht="16.5">
      <c r="E13604" s="123"/>
    </row>
    <row r="13605" spans="5:5" ht="16.5">
      <c r="E13605" s="123"/>
    </row>
    <row r="13606" spans="5:5" ht="16.5">
      <c r="E13606" s="123"/>
    </row>
    <row r="13607" spans="5:5" ht="16.5">
      <c r="E13607" s="123"/>
    </row>
    <row r="13608" spans="5:5" ht="16.5">
      <c r="E13608" s="123"/>
    </row>
    <row r="13609" spans="5:5" ht="16.5">
      <c r="E13609" s="123"/>
    </row>
    <row r="13610" spans="5:5" ht="16.5">
      <c r="E13610" s="123"/>
    </row>
    <row r="13611" spans="5:5" ht="16.5">
      <c r="E13611" s="123"/>
    </row>
    <row r="13612" spans="5:5" ht="16.5">
      <c r="E13612" s="123"/>
    </row>
    <row r="13613" spans="5:5" ht="16.5">
      <c r="E13613" s="123"/>
    </row>
    <row r="13614" spans="5:5" ht="16.5">
      <c r="E13614" s="123"/>
    </row>
    <row r="13615" spans="5:5" ht="16.5">
      <c r="E13615" s="123"/>
    </row>
    <row r="13616" spans="5:5" ht="16.5">
      <c r="E13616" s="123"/>
    </row>
    <row r="13617" spans="5:5" ht="16.5">
      <c r="E13617" s="123"/>
    </row>
    <row r="13618" spans="5:5" ht="16.5">
      <c r="E13618" s="123"/>
    </row>
    <row r="13619" spans="5:5" ht="16.5">
      <c r="E13619" s="123"/>
    </row>
    <row r="13620" spans="5:5" ht="16.5">
      <c r="E13620" s="123"/>
    </row>
    <row r="13621" spans="5:5" ht="16.5">
      <c r="E13621" s="123"/>
    </row>
    <row r="13622" spans="5:5" ht="16.5">
      <c r="E13622" s="123"/>
    </row>
    <row r="13623" spans="5:5" ht="16.5">
      <c r="E13623" s="123"/>
    </row>
    <row r="13624" spans="5:5" ht="16.5">
      <c r="E13624" s="123"/>
    </row>
    <row r="13625" spans="5:5" ht="16.5">
      <c r="E13625" s="123"/>
    </row>
    <row r="13626" spans="5:5" ht="16.5">
      <c r="E13626" s="123"/>
    </row>
    <row r="13627" spans="5:5" ht="16.5">
      <c r="E13627" s="123"/>
    </row>
    <row r="13628" spans="5:5" ht="16.5">
      <c r="E13628" s="123"/>
    </row>
    <row r="13629" spans="5:5" ht="16.5">
      <c r="E13629" s="123"/>
    </row>
    <row r="13630" spans="5:5" ht="16.5">
      <c r="E13630" s="123"/>
    </row>
    <row r="13631" spans="5:5" ht="16.5">
      <c r="E13631" s="123"/>
    </row>
    <row r="13632" spans="5:5" ht="16.5">
      <c r="E13632" s="123"/>
    </row>
    <row r="13633" spans="5:5" ht="16.5">
      <c r="E13633" s="123"/>
    </row>
    <row r="13634" spans="5:5" ht="16.5">
      <c r="E13634" s="123"/>
    </row>
    <row r="13635" spans="5:5" ht="16.5">
      <c r="E13635" s="123"/>
    </row>
    <row r="13636" spans="5:5" ht="16.5">
      <c r="E13636" s="123"/>
    </row>
    <row r="13637" spans="5:5" ht="16.5">
      <c r="E13637" s="123"/>
    </row>
    <row r="13638" spans="5:5" ht="16.5">
      <c r="E13638" s="123"/>
    </row>
    <row r="13639" spans="5:5" ht="16.5">
      <c r="E13639" s="123"/>
    </row>
    <row r="13640" spans="5:5" ht="16.5">
      <c r="E13640" s="123"/>
    </row>
    <row r="13641" spans="5:5" ht="16.5">
      <c r="E13641" s="123"/>
    </row>
    <row r="13642" spans="5:5" ht="16.5">
      <c r="E13642" s="123"/>
    </row>
    <row r="13643" spans="5:5" ht="16.5">
      <c r="E13643" s="123"/>
    </row>
    <row r="13644" spans="5:5" ht="16.5">
      <c r="E13644" s="123"/>
    </row>
    <row r="13645" spans="5:5" ht="16.5">
      <c r="E13645" s="123"/>
    </row>
    <row r="13646" spans="5:5" ht="16.5">
      <c r="E13646" s="123"/>
    </row>
    <row r="13647" spans="5:5" ht="16.5">
      <c r="E13647" s="123"/>
    </row>
    <row r="13648" spans="5:5" ht="16.5">
      <c r="E13648" s="123"/>
    </row>
    <row r="13649" spans="5:5" ht="16.5">
      <c r="E13649" s="123"/>
    </row>
    <row r="13650" spans="5:5" ht="16.5">
      <c r="E13650" s="123"/>
    </row>
    <row r="13651" spans="5:5" ht="16.5">
      <c r="E13651" s="123"/>
    </row>
    <row r="13652" spans="5:5" ht="16.5">
      <c r="E13652" s="123"/>
    </row>
    <row r="13653" spans="5:5" ht="16.5">
      <c r="E13653" s="123"/>
    </row>
    <row r="13654" spans="5:5" ht="16.5">
      <c r="E13654" s="123"/>
    </row>
    <row r="13655" spans="5:5" ht="16.5">
      <c r="E13655" s="123"/>
    </row>
    <row r="13656" spans="5:5" ht="16.5">
      <c r="E13656" s="123"/>
    </row>
    <row r="13657" spans="5:5" ht="16.5">
      <c r="E13657" s="123"/>
    </row>
    <row r="13658" spans="5:5" ht="16.5">
      <c r="E13658" s="123"/>
    </row>
    <row r="13659" spans="5:5" ht="16.5">
      <c r="E13659" s="123"/>
    </row>
    <row r="13660" spans="5:5" ht="16.5">
      <c r="E13660" s="123"/>
    </row>
    <row r="13661" spans="5:5" ht="16.5">
      <c r="E13661" s="123"/>
    </row>
    <row r="13662" spans="5:5" ht="16.5">
      <c r="E13662" s="123"/>
    </row>
    <row r="13663" spans="5:5" ht="16.5">
      <c r="E13663" s="123"/>
    </row>
    <row r="13664" spans="5:5" ht="16.5">
      <c r="E13664" s="123"/>
    </row>
    <row r="13665" spans="5:5" ht="16.5">
      <c r="E13665" s="123"/>
    </row>
    <row r="13666" spans="5:5" ht="16.5">
      <c r="E13666" s="123"/>
    </row>
    <row r="13667" spans="5:5" ht="16.5">
      <c r="E13667" s="123"/>
    </row>
    <row r="13668" spans="5:5" ht="16.5">
      <c r="E13668" s="123"/>
    </row>
    <row r="13669" spans="5:5" ht="16.5">
      <c r="E13669" s="123"/>
    </row>
    <row r="13670" spans="5:5" ht="16.5">
      <c r="E13670" s="123"/>
    </row>
    <row r="13671" spans="5:5" ht="16.5">
      <c r="E13671" s="123"/>
    </row>
    <row r="13672" spans="5:5" ht="16.5">
      <c r="E13672" s="123"/>
    </row>
    <row r="13673" spans="5:5" ht="16.5">
      <c r="E13673" s="123"/>
    </row>
    <row r="13674" spans="5:5" ht="16.5">
      <c r="E13674" s="123"/>
    </row>
    <row r="13675" spans="5:5" ht="16.5">
      <c r="E13675" s="123"/>
    </row>
    <row r="13676" spans="5:5" ht="16.5">
      <c r="E13676" s="123"/>
    </row>
    <row r="13677" spans="5:5" ht="16.5">
      <c r="E13677" s="123"/>
    </row>
    <row r="13678" spans="5:5" ht="16.5">
      <c r="E13678" s="123"/>
    </row>
    <row r="13679" spans="5:5" ht="16.5">
      <c r="E13679" s="123"/>
    </row>
    <row r="13680" spans="5:5" ht="16.5">
      <c r="E13680" s="123"/>
    </row>
    <row r="13681" spans="5:5" ht="16.5">
      <c r="E13681" s="123"/>
    </row>
    <row r="13682" spans="5:5" ht="16.5">
      <c r="E13682" s="123"/>
    </row>
    <row r="13683" spans="5:5" ht="16.5">
      <c r="E13683" s="123"/>
    </row>
    <row r="13684" spans="5:5" ht="16.5">
      <c r="E13684" s="123"/>
    </row>
    <row r="13685" spans="5:5" ht="16.5">
      <c r="E13685" s="123"/>
    </row>
    <row r="13686" spans="5:5" ht="16.5">
      <c r="E13686" s="123"/>
    </row>
    <row r="13687" spans="5:5" ht="16.5">
      <c r="E13687" s="123"/>
    </row>
    <row r="13688" spans="5:5" ht="16.5">
      <c r="E13688" s="123"/>
    </row>
    <row r="13689" spans="5:5" ht="16.5">
      <c r="E13689" s="123"/>
    </row>
    <row r="13690" spans="5:5" ht="16.5">
      <c r="E13690" s="123"/>
    </row>
    <row r="13691" spans="5:5" ht="16.5">
      <c r="E13691" s="123"/>
    </row>
    <row r="13692" spans="5:5" ht="16.5">
      <c r="E13692" s="123"/>
    </row>
    <row r="13693" spans="5:5" ht="16.5">
      <c r="E13693" s="123"/>
    </row>
    <row r="13694" spans="5:5" ht="16.5">
      <c r="E13694" s="123"/>
    </row>
    <row r="13695" spans="5:5" ht="16.5">
      <c r="E13695" s="123"/>
    </row>
    <row r="13696" spans="5:5" ht="16.5">
      <c r="E13696" s="123"/>
    </row>
    <row r="13697" spans="5:5" ht="16.5">
      <c r="E13697" s="123"/>
    </row>
    <row r="13698" spans="5:5" ht="16.5">
      <c r="E13698" s="123"/>
    </row>
    <row r="13699" spans="5:5" ht="16.5">
      <c r="E13699" s="123"/>
    </row>
    <row r="13700" spans="5:5" ht="16.5">
      <c r="E13700" s="123"/>
    </row>
    <row r="13701" spans="5:5" ht="16.5">
      <c r="E13701" s="123"/>
    </row>
    <row r="13702" spans="5:5" ht="16.5">
      <c r="E13702" s="123"/>
    </row>
    <row r="13703" spans="5:5" ht="16.5">
      <c r="E13703" s="123"/>
    </row>
    <row r="13704" spans="5:5" ht="16.5">
      <c r="E13704" s="123"/>
    </row>
    <row r="13705" spans="5:5" ht="16.5">
      <c r="E13705" s="123"/>
    </row>
    <row r="13706" spans="5:5" ht="16.5">
      <c r="E13706" s="123"/>
    </row>
    <row r="13707" spans="5:5" ht="16.5">
      <c r="E13707" s="123"/>
    </row>
    <row r="13708" spans="5:5" ht="16.5">
      <c r="E13708" s="123"/>
    </row>
    <row r="13709" spans="5:5" ht="16.5">
      <c r="E13709" s="123"/>
    </row>
    <row r="13710" spans="5:5" ht="16.5">
      <c r="E13710" s="123"/>
    </row>
    <row r="13711" spans="5:5" ht="16.5">
      <c r="E13711" s="123"/>
    </row>
    <row r="13712" spans="5:5" ht="16.5">
      <c r="E13712" s="123"/>
    </row>
    <row r="13713" spans="5:5" ht="16.5">
      <c r="E13713" s="123"/>
    </row>
    <row r="13714" spans="5:5" ht="16.5">
      <c r="E13714" s="123"/>
    </row>
    <row r="13715" spans="5:5" ht="16.5">
      <c r="E13715" s="123"/>
    </row>
    <row r="13716" spans="5:5" ht="16.5">
      <c r="E13716" s="123"/>
    </row>
    <row r="13717" spans="5:5" ht="16.5">
      <c r="E13717" s="123"/>
    </row>
    <row r="13718" spans="5:5" ht="16.5">
      <c r="E13718" s="123"/>
    </row>
    <row r="13719" spans="5:5" ht="16.5">
      <c r="E13719" s="123"/>
    </row>
    <row r="13720" spans="5:5" ht="16.5">
      <c r="E13720" s="123"/>
    </row>
    <row r="13721" spans="5:5" ht="16.5">
      <c r="E13721" s="123"/>
    </row>
    <row r="13722" spans="5:5" ht="16.5">
      <c r="E13722" s="123"/>
    </row>
    <row r="13723" spans="5:5" ht="16.5">
      <c r="E13723" s="123"/>
    </row>
    <row r="13724" spans="5:5" ht="16.5">
      <c r="E13724" s="123"/>
    </row>
    <row r="13725" spans="5:5" ht="16.5">
      <c r="E13725" s="123"/>
    </row>
    <row r="13726" spans="5:5" ht="16.5">
      <c r="E13726" s="123"/>
    </row>
    <row r="13727" spans="5:5" ht="16.5">
      <c r="E13727" s="123"/>
    </row>
    <row r="13728" spans="5:5" ht="16.5">
      <c r="E13728" s="123"/>
    </row>
    <row r="13729" spans="5:5" ht="16.5">
      <c r="E13729" s="123"/>
    </row>
    <row r="13730" spans="5:5" ht="16.5">
      <c r="E13730" s="123"/>
    </row>
    <row r="13731" spans="5:5" ht="16.5">
      <c r="E13731" s="123"/>
    </row>
    <row r="13732" spans="5:5" ht="16.5">
      <c r="E13732" s="123"/>
    </row>
    <row r="13733" spans="5:5" ht="16.5">
      <c r="E13733" s="123"/>
    </row>
    <row r="13734" spans="5:5" ht="16.5">
      <c r="E13734" s="123"/>
    </row>
    <row r="13735" spans="5:5" ht="16.5">
      <c r="E13735" s="123"/>
    </row>
    <row r="13736" spans="5:5" ht="16.5">
      <c r="E13736" s="123"/>
    </row>
    <row r="13737" spans="5:5" ht="16.5">
      <c r="E13737" s="123"/>
    </row>
    <row r="13738" spans="5:5" ht="16.5">
      <c r="E13738" s="123"/>
    </row>
    <row r="13739" spans="5:5" ht="16.5">
      <c r="E13739" s="123"/>
    </row>
    <row r="13740" spans="5:5" ht="16.5">
      <c r="E13740" s="123"/>
    </row>
    <row r="13741" spans="5:5" ht="16.5">
      <c r="E13741" s="123"/>
    </row>
    <row r="13742" spans="5:5" ht="16.5">
      <c r="E13742" s="123"/>
    </row>
    <row r="13743" spans="5:5" ht="16.5">
      <c r="E13743" s="123"/>
    </row>
    <row r="13744" spans="5:5" ht="16.5">
      <c r="E13744" s="123"/>
    </row>
    <row r="13745" spans="5:5" ht="16.5">
      <c r="E13745" s="123"/>
    </row>
    <row r="13746" spans="5:5" ht="16.5">
      <c r="E13746" s="123"/>
    </row>
    <row r="13747" spans="5:5" ht="16.5">
      <c r="E13747" s="123"/>
    </row>
    <row r="13748" spans="5:5" ht="16.5">
      <c r="E13748" s="123"/>
    </row>
    <row r="13749" spans="5:5" ht="16.5">
      <c r="E13749" s="123"/>
    </row>
    <row r="13750" spans="5:5" ht="16.5">
      <c r="E13750" s="123"/>
    </row>
    <row r="13751" spans="5:5" ht="16.5">
      <c r="E13751" s="123"/>
    </row>
    <row r="13752" spans="5:5" ht="16.5">
      <c r="E13752" s="123"/>
    </row>
    <row r="13753" spans="5:5" ht="16.5">
      <c r="E13753" s="123"/>
    </row>
    <row r="13754" spans="5:5" ht="16.5">
      <c r="E13754" s="123"/>
    </row>
    <row r="13755" spans="5:5" ht="16.5">
      <c r="E13755" s="123"/>
    </row>
    <row r="13756" spans="5:5" ht="16.5">
      <c r="E13756" s="123"/>
    </row>
    <row r="13757" spans="5:5" ht="16.5">
      <c r="E13757" s="123"/>
    </row>
    <row r="13758" spans="5:5" ht="16.5">
      <c r="E13758" s="123"/>
    </row>
    <row r="13759" spans="5:5" ht="16.5">
      <c r="E13759" s="123"/>
    </row>
    <row r="13760" spans="5:5" ht="16.5">
      <c r="E13760" s="123"/>
    </row>
    <row r="13761" spans="5:5" ht="16.5">
      <c r="E13761" s="123"/>
    </row>
    <row r="13762" spans="5:5" ht="16.5">
      <c r="E13762" s="123"/>
    </row>
    <row r="13763" spans="5:5" ht="16.5">
      <c r="E13763" s="123"/>
    </row>
    <row r="13764" spans="5:5" ht="16.5">
      <c r="E13764" s="123"/>
    </row>
    <row r="13765" spans="5:5" ht="16.5">
      <c r="E13765" s="123"/>
    </row>
    <row r="13766" spans="5:5" ht="16.5">
      <c r="E13766" s="123"/>
    </row>
    <row r="13767" spans="5:5" ht="16.5">
      <c r="E13767" s="123"/>
    </row>
    <row r="13768" spans="5:5" ht="16.5">
      <c r="E13768" s="123"/>
    </row>
    <row r="13769" spans="5:5" ht="16.5">
      <c r="E13769" s="123"/>
    </row>
    <row r="13770" spans="5:5" ht="16.5">
      <c r="E13770" s="123"/>
    </row>
    <row r="13771" spans="5:5" ht="16.5">
      <c r="E13771" s="123"/>
    </row>
    <row r="13772" spans="5:5" ht="16.5">
      <c r="E13772" s="123"/>
    </row>
    <row r="13773" spans="5:5" ht="16.5">
      <c r="E13773" s="123"/>
    </row>
    <row r="13774" spans="5:5" ht="16.5">
      <c r="E13774" s="123"/>
    </row>
    <row r="13775" spans="5:5" ht="16.5">
      <c r="E13775" s="123"/>
    </row>
    <row r="13776" spans="5:5" ht="16.5">
      <c r="E13776" s="123"/>
    </row>
    <row r="13777" spans="5:5" ht="16.5">
      <c r="E13777" s="123"/>
    </row>
    <row r="13778" spans="5:5" ht="16.5">
      <c r="E13778" s="123"/>
    </row>
    <row r="13779" spans="5:5" ht="16.5">
      <c r="E13779" s="123"/>
    </row>
    <row r="13780" spans="5:5" ht="16.5">
      <c r="E13780" s="123"/>
    </row>
    <row r="13781" spans="5:5" ht="16.5">
      <c r="E13781" s="123"/>
    </row>
    <row r="13782" spans="5:5" ht="16.5">
      <c r="E13782" s="123"/>
    </row>
    <row r="13783" spans="5:5" ht="16.5">
      <c r="E13783" s="123"/>
    </row>
    <row r="13784" spans="5:5" ht="16.5">
      <c r="E13784" s="123"/>
    </row>
    <row r="13785" spans="5:5" ht="16.5">
      <c r="E13785" s="123"/>
    </row>
    <row r="13786" spans="5:5" ht="16.5">
      <c r="E13786" s="123"/>
    </row>
    <row r="13787" spans="5:5" ht="16.5">
      <c r="E13787" s="123"/>
    </row>
    <row r="13788" spans="5:5" ht="16.5">
      <c r="E13788" s="123"/>
    </row>
    <row r="13789" spans="5:5" ht="16.5">
      <c r="E13789" s="123"/>
    </row>
    <row r="13790" spans="5:5" ht="16.5">
      <c r="E13790" s="123"/>
    </row>
    <row r="13791" spans="5:5" ht="16.5">
      <c r="E13791" s="123"/>
    </row>
    <row r="13792" spans="5:5" ht="16.5">
      <c r="E13792" s="123"/>
    </row>
    <row r="13793" spans="5:5" ht="16.5">
      <c r="E13793" s="123"/>
    </row>
    <row r="13794" spans="5:5" ht="16.5">
      <c r="E13794" s="123"/>
    </row>
    <row r="13795" spans="5:5" ht="16.5">
      <c r="E13795" s="123"/>
    </row>
    <row r="13796" spans="5:5" ht="16.5">
      <c r="E13796" s="123"/>
    </row>
    <row r="13797" spans="5:5" ht="16.5">
      <c r="E13797" s="123"/>
    </row>
    <row r="13798" spans="5:5" ht="16.5">
      <c r="E13798" s="123"/>
    </row>
    <row r="13799" spans="5:5" ht="16.5">
      <c r="E13799" s="123"/>
    </row>
    <row r="13800" spans="5:5" ht="16.5">
      <c r="E13800" s="123"/>
    </row>
    <row r="13801" spans="5:5" ht="16.5">
      <c r="E13801" s="123"/>
    </row>
    <row r="13802" spans="5:5" ht="16.5">
      <c r="E13802" s="123"/>
    </row>
    <row r="13803" spans="5:5" ht="16.5">
      <c r="E13803" s="123"/>
    </row>
    <row r="13804" spans="5:5" ht="16.5">
      <c r="E13804" s="123"/>
    </row>
    <row r="13805" spans="5:5" ht="16.5">
      <c r="E13805" s="123"/>
    </row>
    <row r="13806" spans="5:5" ht="16.5">
      <c r="E13806" s="123"/>
    </row>
    <row r="13807" spans="5:5" ht="16.5">
      <c r="E13807" s="123"/>
    </row>
    <row r="13808" spans="5:5" ht="16.5">
      <c r="E13808" s="123"/>
    </row>
    <row r="13809" spans="5:5" ht="16.5">
      <c r="E13809" s="123"/>
    </row>
    <row r="13810" spans="5:5" ht="16.5">
      <c r="E13810" s="123"/>
    </row>
    <row r="13811" spans="5:5" ht="16.5">
      <c r="E13811" s="123"/>
    </row>
    <row r="13812" spans="5:5" ht="16.5">
      <c r="E13812" s="123"/>
    </row>
    <row r="13813" spans="5:5" ht="16.5">
      <c r="E13813" s="123"/>
    </row>
    <row r="13814" spans="5:5" ht="16.5">
      <c r="E13814" s="123"/>
    </row>
    <row r="13815" spans="5:5" ht="16.5">
      <c r="E13815" s="123"/>
    </row>
    <row r="13816" spans="5:5" ht="16.5">
      <c r="E13816" s="123"/>
    </row>
    <row r="13817" spans="5:5" ht="16.5">
      <c r="E13817" s="123"/>
    </row>
    <row r="13818" spans="5:5" ht="16.5">
      <c r="E13818" s="123"/>
    </row>
    <row r="13819" spans="5:5" ht="16.5">
      <c r="E13819" s="123"/>
    </row>
    <row r="13820" spans="5:5" ht="16.5">
      <c r="E13820" s="123"/>
    </row>
    <row r="13821" spans="5:5" ht="16.5">
      <c r="E13821" s="123"/>
    </row>
    <row r="13822" spans="5:5" ht="16.5">
      <c r="E13822" s="123"/>
    </row>
    <row r="13823" spans="5:5" ht="16.5">
      <c r="E13823" s="123"/>
    </row>
    <row r="13824" spans="5:5" ht="16.5">
      <c r="E13824" s="123"/>
    </row>
    <row r="13825" spans="5:5" ht="16.5">
      <c r="E13825" s="123"/>
    </row>
    <row r="13826" spans="5:5" ht="16.5">
      <c r="E13826" s="123"/>
    </row>
    <row r="13827" spans="5:5" ht="16.5">
      <c r="E13827" s="123"/>
    </row>
    <row r="13828" spans="5:5" ht="16.5">
      <c r="E13828" s="123"/>
    </row>
    <row r="13829" spans="5:5" ht="16.5">
      <c r="E13829" s="123"/>
    </row>
    <row r="13830" spans="5:5" ht="16.5">
      <c r="E13830" s="123"/>
    </row>
    <row r="13831" spans="5:5" ht="16.5">
      <c r="E13831" s="123"/>
    </row>
    <row r="13832" spans="5:5" ht="16.5">
      <c r="E13832" s="123"/>
    </row>
    <row r="13833" spans="5:5" ht="16.5">
      <c r="E13833" s="123"/>
    </row>
    <row r="13834" spans="5:5" ht="16.5">
      <c r="E13834" s="123"/>
    </row>
    <row r="13835" spans="5:5" ht="16.5">
      <c r="E13835" s="123"/>
    </row>
    <row r="13836" spans="5:5" ht="16.5">
      <c r="E13836" s="123"/>
    </row>
    <row r="13837" spans="5:5" ht="16.5">
      <c r="E13837" s="123"/>
    </row>
    <row r="13838" spans="5:5" ht="16.5">
      <c r="E13838" s="123"/>
    </row>
    <row r="13839" spans="5:5" ht="16.5">
      <c r="E13839" s="123"/>
    </row>
    <row r="13840" spans="5:5" ht="16.5">
      <c r="E13840" s="123"/>
    </row>
    <row r="13841" spans="5:5" ht="16.5">
      <c r="E13841" s="123"/>
    </row>
    <row r="13842" spans="5:5" ht="16.5">
      <c r="E13842" s="123"/>
    </row>
    <row r="13843" spans="5:5" ht="16.5">
      <c r="E13843" s="123"/>
    </row>
    <row r="13844" spans="5:5" ht="16.5">
      <c r="E13844" s="123"/>
    </row>
    <row r="13845" spans="5:5" ht="16.5">
      <c r="E13845" s="123"/>
    </row>
    <row r="13846" spans="5:5" ht="16.5">
      <c r="E13846" s="123"/>
    </row>
    <row r="13847" spans="5:5" ht="16.5">
      <c r="E13847" s="123"/>
    </row>
    <row r="13848" spans="5:5" ht="16.5">
      <c r="E13848" s="123"/>
    </row>
    <row r="13849" spans="5:5" ht="16.5">
      <c r="E13849" s="123"/>
    </row>
    <row r="13850" spans="5:5" ht="16.5">
      <c r="E13850" s="123"/>
    </row>
    <row r="13851" spans="5:5" ht="16.5">
      <c r="E13851" s="123"/>
    </row>
    <row r="13852" spans="5:5" ht="16.5">
      <c r="E13852" s="123"/>
    </row>
    <row r="13853" spans="5:5" ht="16.5">
      <c r="E13853" s="123"/>
    </row>
    <row r="13854" spans="5:5" ht="16.5">
      <c r="E13854" s="123"/>
    </row>
    <row r="13855" spans="5:5" ht="16.5">
      <c r="E13855" s="123"/>
    </row>
    <row r="13856" spans="5:5" ht="16.5">
      <c r="E13856" s="123"/>
    </row>
    <row r="13857" spans="5:5" ht="16.5">
      <c r="E13857" s="123"/>
    </row>
    <row r="13858" spans="5:5" ht="16.5">
      <c r="E13858" s="123"/>
    </row>
    <row r="13859" spans="5:5" ht="16.5">
      <c r="E13859" s="123"/>
    </row>
    <row r="13860" spans="5:5" ht="16.5">
      <c r="E13860" s="123"/>
    </row>
    <row r="13861" spans="5:5" ht="16.5">
      <c r="E13861" s="123"/>
    </row>
    <row r="13862" spans="5:5" ht="16.5">
      <c r="E13862" s="123"/>
    </row>
    <row r="13863" spans="5:5" ht="16.5">
      <c r="E13863" s="123"/>
    </row>
    <row r="13864" spans="5:5" ht="16.5">
      <c r="E13864" s="123"/>
    </row>
    <row r="13865" spans="5:5" ht="16.5">
      <c r="E13865" s="123"/>
    </row>
    <row r="13866" spans="5:5" ht="16.5">
      <c r="E13866" s="123"/>
    </row>
    <row r="13867" spans="5:5" ht="16.5">
      <c r="E13867" s="123"/>
    </row>
    <row r="13868" spans="5:5" ht="16.5">
      <c r="E13868" s="123"/>
    </row>
    <row r="13869" spans="5:5" ht="16.5">
      <c r="E13869" s="123"/>
    </row>
    <row r="13870" spans="5:5" ht="16.5">
      <c r="E13870" s="123"/>
    </row>
    <row r="13871" spans="5:5" ht="16.5">
      <c r="E13871" s="123"/>
    </row>
    <row r="13872" spans="5:5" ht="16.5">
      <c r="E13872" s="123"/>
    </row>
    <row r="13873" spans="5:5" ht="16.5">
      <c r="E13873" s="123"/>
    </row>
    <row r="13874" spans="5:5" ht="16.5">
      <c r="E13874" s="123"/>
    </row>
    <row r="13875" spans="5:5" ht="16.5">
      <c r="E13875" s="123"/>
    </row>
    <row r="13876" spans="5:5" ht="16.5">
      <c r="E13876" s="123"/>
    </row>
    <row r="13877" spans="5:5" ht="16.5">
      <c r="E13877" s="123"/>
    </row>
    <row r="13878" spans="5:5" ht="16.5">
      <c r="E13878" s="123"/>
    </row>
    <row r="13879" spans="5:5" ht="16.5">
      <c r="E13879" s="123"/>
    </row>
    <row r="13880" spans="5:5" ht="16.5">
      <c r="E13880" s="123"/>
    </row>
    <row r="13881" spans="5:5" ht="16.5">
      <c r="E13881" s="123"/>
    </row>
    <row r="13882" spans="5:5" ht="16.5">
      <c r="E13882" s="123"/>
    </row>
    <row r="13883" spans="5:5" ht="16.5">
      <c r="E13883" s="123"/>
    </row>
    <row r="13884" spans="5:5" ht="16.5">
      <c r="E13884" s="123"/>
    </row>
    <row r="13885" spans="5:5" ht="16.5">
      <c r="E13885" s="123"/>
    </row>
    <row r="13886" spans="5:5" ht="16.5">
      <c r="E13886" s="123"/>
    </row>
    <row r="13887" spans="5:5" ht="16.5">
      <c r="E13887" s="123"/>
    </row>
    <row r="13888" spans="5:5" ht="16.5">
      <c r="E13888" s="123"/>
    </row>
    <row r="13889" spans="5:5" ht="16.5">
      <c r="E13889" s="123"/>
    </row>
    <row r="13890" spans="5:5" ht="16.5">
      <c r="E13890" s="123"/>
    </row>
    <row r="13891" spans="5:5" ht="16.5">
      <c r="E13891" s="123"/>
    </row>
    <row r="13892" spans="5:5" ht="16.5">
      <c r="E13892" s="123"/>
    </row>
    <row r="13893" spans="5:5" ht="16.5">
      <c r="E13893" s="123"/>
    </row>
    <row r="13894" spans="5:5" ht="16.5">
      <c r="E13894" s="123"/>
    </row>
    <row r="13895" spans="5:5" ht="16.5">
      <c r="E13895" s="123"/>
    </row>
    <row r="13896" spans="5:5" ht="16.5">
      <c r="E13896" s="123"/>
    </row>
    <row r="13897" spans="5:5" ht="16.5">
      <c r="E13897" s="123"/>
    </row>
    <row r="13898" spans="5:5" ht="16.5">
      <c r="E13898" s="123"/>
    </row>
    <row r="13899" spans="5:5" ht="16.5">
      <c r="E13899" s="123"/>
    </row>
    <row r="13900" spans="5:5" ht="16.5">
      <c r="E13900" s="123"/>
    </row>
    <row r="13901" spans="5:5" ht="16.5">
      <c r="E13901" s="123"/>
    </row>
    <row r="13902" spans="5:5" ht="16.5">
      <c r="E13902" s="123"/>
    </row>
    <row r="13903" spans="5:5" ht="16.5">
      <c r="E13903" s="123"/>
    </row>
    <row r="13904" spans="5:5" ht="16.5">
      <c r="E13904" s="123"/>
    </row>
    <row r="13905" spans="5:5" ht="16.5">
      <c r="E13905" s="123"/>
    </row>
    <row r="13906" spans="5:5" ht="16.5">
      <c r="E13906" s="123"/>
    </row>
    <row r="13907" spans="5:5" ht="16.5">
      <c r="E13907" s="123"/>
    </row>
    <row r="13908" spans="5:5" ht="16.5">
      <c r="E13908" s="123"/>
    </row>
    <row r="13909" spans="5:5" ht="16.5">
      <c r="E13909" s="123"/>
    </row>
    <row r="13910" spans="5:5" ht="16.5">
      <c r="E13910" s="123"/>
    </row>
    <row r="13911" spans="5:5" ht="16.5">
      <c r="E13911" s="123"/>
    </row>
    <row r="13912" spans="5:5" ht="16.5">
      <c r="E13912" s="123"/>
    </row>
    <row r="13913" spans="5:5" ht="16.5">
      <c r="E13913" s="123"/>
    </row>
    <row r="13914" spans="5:5" ht="16.5">
      <c r="E13914" s="123"/>
    </row>
    <row r="13915" spans="5:5" ht="16.5">
      <c r="E13915" s="123"/>
    </row>
    <row r="13916" spans="5:5" ht="16.5">
      <c r="E13916" s="123"/>
    </row>
    <row r="13917" spans="5:5" ht="16.5">
      <c r="E13917" s="123"/>
    </row>
    <row r="13918" spans="5:5" ht="16.5">
      <c r="E13918" s="123"/>
    </row>
    <row r="13919" spans="5:5" ht="16.5">
      <c r="E13919" s="123"/>
    </row>
    <row r="13920" spans="5:5" ht="16.5">
      <c r="E13920" s="123"/>
    </row>
    <row r="13921" spans="5:5" ht="16.5">
      <c r="E13921" s="123"/>
    </row>
    <row r="13922" spans="5:5" ht="16.5">
      <c r="E13922" s="123"/>
    </row>
    <row r="13923" spans="5:5" ht="16.5">
      <c r="E13923" s="123"/>
    </row>
    <row r="13924" spans="5:5" ht="16.5">
      <c r="E13924" s="123"/>
    </row>
    <row r="13925" spans="5:5" ht="16.5">
      <c r="E13925" s="123"/>
    </row>
    <row r="13926" spans="5:5" ht="16.5">
      <c r="E13926" s="123"/>
    </row>
    <row r="13927" spans="5:5" ht="16.5">
      <c r="E13927" s="123"/>
    </row>
    <row r="13928" spans="5:5" ht="16.5">
      <c r="E13928" s="123"/>
    </row>
    <row r="13929" spans="5:5" ht="16.5">
      <c r="E13929" s="123"/>
    </row>
    <row r="13930" spans="5:5" ht="16.5">
      <c r="E13930" s="123"/>
    </row>
    <row r="13931" spans="5:5" ht="16.5">
      <c r="E13931" s="123"/>
    </row>
    <row r="13932" spans="5:5" ht="16.5">
      <c r="E13932" s="123"/>
    </row>
    <row r="13933" spans="5:5" ht="16.5">
      <c r="E13933" s="123"/>
    </row>
    <row r="13934" spans="5:5" ht="16.5">
      <c r="E13934" s="123"/>
    </row>
    <row r="13935" spans="5:5" ht="16.5">
      <c r="E13935" s="123"/>
    </row>
    <row r="13936" spans="5:5" ht="16.5">
      <c r="E13936" s="123"/>
    </row>
    <row r="13937" spans="5:5" ht="16.5">
      <c r="E13937" s="123"/>
    </row>
    <row r="13938" spans="5:5" ht="16.5">
      <c r="E13938" s="123"/>
    </row>
    <row r="13939" spans="5:5" ht="16.5">
      <c r="E13939" s="123"/>
    </row>
    <row r="13940" spans="5:5" ht="16.5">
      <c r="E13940" s="123"/>
    </row>
    <row r="13941" spans="5:5" ht="16.5">
      <c r="E13941" s="123"/>
    </row>
    <row r="13942" spans="5:5" ht="16.5">
      <c r="E13942" s="123"/>
    </row>
    <row r="13943" spans="5:5" ht="16.5">
      <c r="E13943" s="123"/>
    </row>
    <row r="13944" spans="5:5" ht="16.5">
      <c r="E13944" s="123"/>
    </row>
    <row r="13945" spans="5:5" ht="16.5">
      <c r="E13945" s="123"/>
    </row>
    <row r="13946" spans="5:5" ht="16.5">
      <c r="E13946" s="123"/>
    </row>
    <row r="13947" spans="5:5" ht="16.5">
      <c r="E13947" s="123"/>
    </row>
    <row r="13948" spans="5:5" ht="16.5">
      <c r="E13948" s="123"/>
    </row>
    <row r="13949" spans="5:5" ht="16.5">
      <c r="E13949" s="123"/>
    </row>
    <row r="13950" spans="5:5" ht="16.5">
      <c r="E13950" s="123"/>
    </row>
    <row r="13951" spans="5:5" ht="16.5">
      <c r="E13951" s="123"/>
    </row>
    <row r="13952" spans="5:5" ht="16.5">
      <c r="E13952" s="123"/>
    </row>
    <row r="13953" spans="5:5" ht="16.5">
      <c r="E13953" s="123"/>
    </row>
    <row r="13954" spans="5:5" ht="16.5">
      <c r="E13954" s="123"/>
    </row>
    <row r="13955" spans="5:5" ht="16.5">
      <c r="E13955" s="123"/>
    </row>
    <row r="13956" spans="5:5" ht="16.5">
      <c r="E13956" s="123"/>
    </row>
    <row r="13957" spans="5:5" ht="16.5">
      <c r="E13957" s="123"/>
    </row>
    <row r="13958" spans="5:5" ht="16.5">
      <c r="E13958" s="123"/>
    </row>
    <row r="13959" spans="5:5" ht="16.5">
      <c r="E13959" s="123"/>
    </row>
    <row r="13960" spans="5:5" ht="16.5">
      <c r="E13960" s="123"/>
    </row>
    <row r="13961" spans="5:5" ht="16.5">
      <c r="E13961" s="123"/>
    </row>
    <row r="13962" spans="5:5" ht="16.5">
      <c r="E13962" s="123"/>
    </row>
    <row r="13963" spans="5:5" ht="16.5">
      <c r="E13963" s="123"/>
    </row>
    <row r="13964" spans="5:5" ht="16.5">
      <c r="E13964" s="123"/>
    </row>
    <row r="13965" spans="5:5" ht="16.5">
      <c r="E13965" s="123"/>
    </row>
    <row r="13966" spans="5:5" ht="16.5">
      <c r="E13966" s="123"/>
    </row>
    <row r="13967" spans="5:5" ht="16.5">
      <c r="E13967" s="123"/>
    </row>
    <row r="13968" spans="5:5" ht="16.5">
      <c r="E13968" s="123"/>
    </row>
    <row r="13969" spans="5:5" ht="16.5">
      <c r="E13969" s="123"/>
    </row>
    <row r="13970" spans="5:5" ht="16.5">
      <c r="E13970" s="123"/>
    </row>
    <row r="13971" spans="5:5" ht="16.5">
      <c r="E13971" s="123"/>
    </row>
    <row r="13972" spans="5:5" ht="16.5">
      <c r="E13972" s="123"/>
    </row>
    <row r="13973" spans="5:5" ht="16.5">
      <c r="E13973" s="123"/>
    </row>
    <row r="13974" spans="5:5" ht="16.5">
      <c r="E13974" s="123"/>
    </row>
    <row r="13975" spans="5:5" ht="16.5">
      <c r="E13975" s="123"/>
    </row>
    <row r="13976" spans="5:5" ht="16.5">
      <c r="E13976" s="123"/>
    </row>
    <row r="13977" spans="5:5" ht="16.5">
      <c r="E13977" s="123"/>
    </row>
    <row r="13978" spans="5:5" ht="16.5">
      <c r="E13978" s="123"/>
    </row>
    <row r="13979" spans="5:5" ht="16.5">
      <c r="E13979" s="123"/>
    </row>
    <row r="13980" spans="5:5" ht="16.5">
      <c r="E13980" s="123"/>
    </row>
    <row r="13981" spans="5:5" ht="16.5">
      <c r="E13981" s="123"/>
    </row>
    <row r="13982" spans="5:5" ht="16.5">
      <c r="E13982" s="123"/>
    </row>
    <row r="13983" spans="5:5" ht="16.5">
      <c r="E13983" s="123"/>
    </row>
    <row r="13984" spans="5:5" ht="16.5">
      <c r="E13984" s="123"/>
    </row>
    <row r="13985" spans="5:5" ht="16.5">
      <c r="E13985" s="123"/>
    </row>
    <row r="13986" spans="5:5" ht="16.5">
      <c r="E13986" s="123"/>
    </row>
    <row r="13987" spans="5:5" ht="16.5">
      <c r="E13987" s="123"/>
    </row>
    <row r="13988" spans="5:5" ht="16.5">
      <c r="E13988" s="123"/>
    </row>
    <row r="13989" spans="5:5" ht="16.5">
      <c r="E13989" s="123"/>
    </row>
    <row r="13990" spans="5:5" ht="16.5">
      <c r="E13990" s="123"/>
    </row>
    <row r="13991" spans="5:5" ht="16.5">
      <c r="E13991" s="123"/>
    </row>
    <row r="13992" spans="5:5" ht="16.5">
      <c r="E13992" s="123"/>
    </row>
    <row r="13993" spans="5:5" ht="16.5">
      <c r="E13993" s="123"/>
    </row>
    <row r="13994" spans="5:5" ht="16.5">
      <c r="E13994" s="123"/>
    </row>
    <row r="13995" spans="5:5" ht="16.5">
      <c r="E13995" s="123"/>
    </row>
    <row r="13996" spans="5:5" ht="16.5">
      <c r="E13996" s="123"/>
    </row>
    <row r="13997" spans="5:5" ht="16.5">
      <c r="E13997" s="123"/>
    </row>
    <row r="13998" spans="5:5" ht="16.5">
      <c r="E13998" s="123"/>
    </row>
    <row r="13999" spans="5:5" ht="16.5">
      <c r="E13999" s="123"/>
    </row>
    <row r="14000" spans="5:5" ht="16.5">
      <c r="E14000" s="123"/>
    </row>
    <row r="14001" spans="5:5" ht="16.5">
      <c r="E14001" s="123"/>
    </row>
    <row r="14002" spans="5:5" ht="16.5">
      <c r="E14002" s="123"/>
    </row>
    <row r="14003" spans="5:5" ht="16.5">
      <c r="E14003" s="123"/>
    </row>
    <row r="14004" spans="5:5" ht="16.5">
      <c r="E14004" s="123"/>
    </row>
    <row r="14005" spans="5:5" ht="16.5">
      <c r="E14005" s="123"/>
    </row>
    <row r="14006" spans="5:5" ht="16.5">
      <c r="E14006" s="123"/>
    </row>
    <row r="14007" spans="5:5" ht="16.5">
      <c r="E14007" s="123"/>
    </row>
    <row r="14008" spans="5:5" ht="16.5">
      <c r="E14008" s="123"/>
    </row>
    <row r="14009" spans="5:5" ht="16.5">
      <c r="E14009" s="123"/>
    </row>
    <row r="14010" spans="5:5" ht="16.5">
      <c r="E14010" s="123"/>
    </row>
    <row r="14011" spans="5:5" ht="16.5">
      <c r="E14011" s="123"/>
    </row>
    <row r="14012" spans="5:5" ht="16.5">
      <c r="E14012" s="123"/>
    </row>
    <row r="14013" spans="5:5" ht="16.5">
      <c r="E14013" s="123"/>
    </row>
    <row r="14014" spans="5:5" ht="16.5">
      <c r="E14014" s="123"/>
    </row>
    <row r="14015" spans="5:5" ht="16.5">
      <c r="E14015" s="123"/>
    </row>
    <row r="14016" spans="5:5" ht="16.5">
      <c r="E14016" s="123"/>
    </row>
    <row r="14017" spans="5:5" ht="16.5">
      <c r="E14017" s="123"/>
    </row>
    <row r="14018" spans="5:5" ht="16.5">
      <c r="E14018" s="123"/>
    </row>
    <row r="14019" spans="5:5" ht="16.5">
      <c r="E14019" s="123"/>
    </row>
    <row r="14020" spans="5:5" ht="16.5">
      <c r="E14020" s="123"/>
    </row>
    <row r="14021" spans="5:5" ht="16.5">
      <c r="E14021" s="123"/>
    </row>
    <row r="14022" spans="5:5" ht="16.5">
      <c r="E14022" s="123"/>
    </row>
    <row r="14023" spans="5:5" ht="16.5">
      <c r="E14023" s="123"/>
    </row>
    <row r="14024" spans="5:5" ht="16.5">
      <c r="E14024" s="123"/>
    </row>
    <row r="14025" spans="5:5" ht="16.5">
      <c r="E14025" s="123"/>
    </row>
    <row r="14026" spans="5:5" ht="16.5">
      <c r="E14026" s="123"/>
    </row>
    <row r="14027" spans="5:5" ht="16.5">
      <c r="E14027" s="123"/>
    </row>
    <row r="14028" spans="5:5" ht="16.5">
      <c r="E14028" s="123"/>
    </row>
    <row r="14029" spans="5:5" ht="16.5">
      <c r="E14029" s="123"/>
    </row>
    <row r="14030" spans="5:5" ht="16.5">
      <c r="E14030" s="123"/>
    </row>
    <row r="14031" spans="5:5" ht="16.5">
      <c r="E14031" s="123"/>
    </row>
    <row r="14032" spans="5:5" ht="16.5">
      <c r="E14032" s="123"/>
    </row>
    <row r="14033" spans="5:5" ht="16.5">
      <c r="E14033" s="123"/>
    </row>
    <row r="14034" spans="5:5" ht="16.5">
      <c r="E14034" s="123"/>
    </row>
    <row r="14035" spans="5:5" ht="16.5">
      <c r="E14035" s="123"/>
    </row>
    <row r="14036" spans="5:5" ht="16.5">
      <c r="E14036" s="123"/>
    </row>
    <row r="14037" spans="5:5" ht="16.5">
      <c r="E14037" s="123"/>
    </row>
    <row r="14038" spans="5:5" ht="16.5">
      <c r="E14038" s="123"/>
    </row>
    <row r="14039" spans="5:5" ht="16.5">
      <c r="E14039" s="123"/>
    </row>
    <row r="14040" spans="5:5" ht="16.5">
      <c r="E14040" s="123"/>
    </row>
    <row r="14041" spans="5:5" ht="16.5">
      <c r="E14041" s="123"/>
    </row>
    <row r="14042" spans="5:5" ht="16.5">
      <c r="E14042" s="123"/>
    </row>
    <row r="14043" spans="5:5" ht="16.5">
      <c r="E14043" s="123"/>
    </row>
    <row r="14044" spans="5:5" ht="16.5">
      <c r="E14044" s="123"/>
    </row>
    <row r="14045" spans="5:5" ht="16.5">
      <c r="E14045" s="123"/>
    </row>
    <row r="14046" spans="5:5" ht="16.5">
      <c r="E14046" s="123"/>
    </row>
    <row r="14047" spans="5:5" ht="16.5">
      <c r="E14047" s="123"/>
    </row>
    <row r="14048" spans="5:5" ht="16.5">
      <c r="E14048" s="123"/>
    </row>
    <row r="14049" spans="5:5" ht="16.5">
      <c r="E14049" s="123"/>
    </row>
    <row r="14050" spans="5:5" ht="16.5">
      <c r="E14050" s="123"/>
    </row>
    <row r="14051" spans="5:5" ht="16.5">
      <c r="E14051" s="123"/>
    </row>
    <row r="14052" spans="5:5" ht="16.5">
      <c r="E14052" s="123"/>
    </row>
    <row r="14053" spans="5:5" ht="16.5">
      <c r="E14053" s="123"/>
    </row>
    <row r="14054" spans="5:5" ht="16.5">
      <c r="E14054" s="123"/>
    </row>
    <row r="14055" spans="5:5" ht="16.5">
      <c r="E14055" s="123"/>
    </row>
    <row r="14056" spans="5:5" ht="16.5">
      <c r="E14056" s="123"/>
    </row>
    <row r="14057" spans="5:5" ht="16.5">
      <c r="E14057" s="123"/>
    </row>
    <row r="14058" spans="5:5" ht="16.5">
      <c r="E14058" s="123"/>
    </row>
    <row r="14059" spans="5:5" ht="16.5">
      <c r="E14059" s="123"/>
    </row>
    <row r="14060" spans="5:5" ht="16.5">
      <c r="E14060" s="123"/>
    </row>
    <row r="14061" spans="5:5" ht="16.5">
      <c r="E14061" s="123"/>
    </row>
    <row r="14062" spans="5:5" ht="16.5">
      <c r="E14062" s="123"/>
    </row>
    <row r="14063" spans="5:5" ht="16.5">
      <c r="E14063" s="123"/>
    </row>
    <row r="14064" spans="5:5" ht="16.5">
      <c r="E14064" s="123"/>
    </row>
    <row r="14065" spans="5:5" ht="16.5">
      <c r="E14065" s="123"/>
    </row>
    <row r="14066" spans="5:5" ht="16.5">
      <c r="E14066" s="123"/>
    </row>
    <row r="14067" spans="5:5" ht="16.5">
      <c r="E14067" s="123"/>
    </row>
    <row r="14068" spans="5:5" ht="16.5">
      <c r="E14068" s="123"/>
    </row>
    <row r="14069" spans="5:5" ht="16.5">
      <c r="E14069" s="123"/>
    </row>
    <row r="14070" spans="5:5" ht="16.5">
      <c r="E14070" s="123"/>
    </row>
    <row r="14071" spans="5:5" ht="16.5">
      <c r="E14071" s="123"/>
    </row>
    <row r="14072" spans="5:5" ht="16.5">
      <c r="E14072" s="123"/>
    </row>
    <row r="14073" spans="5:5" ht="16.5">
      <c r="E14073" s="123"/>
    </row>
    <row r="14074" spans="5:5" ht="16.5">
      <c r="E14074" s="123"/>
    </row>
    <row r="14075" spans="5:5" ht="16.5">
      <c r="E14075" s="123"/>
    </row>
    <row r="14076" spans="5:5" ht="16.5">
      <c r="E14076" s="123"/>
    </row>
    <row r="14077" spans="5:5" ht="16.5">
      <c r="E14077" s="123"/>
    </row>
    <row r="14078" spans="5:5" ht="16.5">
      <c r="E14078" s="123"/>
    </row>
    <row r="14079" spans="5:5" ht="16.5">
      <c r="E14079" s="123"/>
    </row>
    <row r="14080" spans="5:5" ht="16.5">
      <c r="E14080" s="123"/>
    </row>
    <row r="14081" spans="5:5" ht="16.5">
      <c r="E14081" s="123"/>
    </row>
    <row r="14082" spans="5:5" ht="16.5">
      <c r="E14082" s="123"/>
    </row>
    <row r="14083" spans="5:5" ht="16.5">
      <c r="E14083" s="123"/>
    </row>
    <row r="14084" spans="5:5" ht="16.5">
      <c r="E14084" s="123"/>
    </row>
    <row r="14085" spans="5:5" ht="16.5">
      <c r="E14085" s="123"/>
    </row>
    <row r="14086" spans="5:5" ht="16.5">
      <c r="E14086" s="123"/>
    </row>
    <row r="14087" spans="5:5" ht="16.5">
      <c r="E14087" s="123"/>
    </row>
    <row r="14088" spans="5:5" ht="16.5">
      <c r="E14088" s="123"/>
    </row>
    <row r="14089" spans="5:5" ht="16.5">
      <c r="E14089" s="123"/>
    </row>
    <row r="14090" spans="5:5" ht="16.5">
      <c r="E14090" s="123"/>
    </row>
    <row r="14091" spans="5:5" ht="16.5">
      <c r="E14091" s="123"/>
    </row>
    <row r="14092" spans="5:5" ht="16.5">
      <c r="E14092" s="123"/>
    </row>
    <row r="14093" spans="5:5" ht="16.5">
      <c r="E14093" s="123"/>
    </row>
    <row r="14094" spans="5:5" ht="16.5">
      <c r="E14094" s="123"/>
    </row>
    <row r="14095" spans="5:5" ht="16.5">
      <c r="E14095" s="123"/>
    </row>
    <row r="14096" spans="5:5" ht="16.5">
      <c r="E14096" s="123"/>
    </row>
    <row r="14097" spans="5:5" ht="16.5">
      <c r="E14097" s="123"/>
    </row>
    <row r="14098" spans="5:5" ht="16.5">
      <c r="E14098" s="123"/>
    </row>
    <row r="14099" spans="5:5" ht="16.5">
      <c r="E14099" s="123"/>
    </row>
    <row r="14100" spans="5:5" ht="16.5">
      <c r="E14100" s="123"/>
    </row>
    <row r="14101" spans="5:5" ht="16.5">
      <c r="E14101" s="123"/>
    </row>
    <row r="14102" spans="5:5" ht="16.5">
      <c r="E14102" s="123"/>
    </row>
    <row r="14103" spans="5:5" ht="16.5">
      <c r="E14103" s="123"/>
    </row>
    <row r="14104" spans="5:5" ht="16.5">
      <c r="E14104" s="123"/>
    </row>
    <row r="14105" spans="5:5" ht="16.5">
      <c r="E14105" s="123"/>
    </row>
    <row r="14106" spans="5:5" ht="16.5">
      <c r="E14106" s="123"/>
    </row>
    <row r="14107" spans="5:5" ht="16.5">
      <c r="E14107" s="123"/>
    </row>
    <row r="14108" spans="5:5" ht="16.5">
      <c r="E14108" s="123"/>
    </row>
    <row r="14109" spans="5:5" ht="16.5">
      <c r="E14109" s="123"/>
    </row>
    <row r="14110" spans="5:5" ht="16.5">
      <c r="E14110" s="123"/>
    </row>
    <row r="14111" spans="5:5" ht="16.5">
      <c r="E14111" s="123"/>
    </row>
    <row r="14112" spans="5:5" ht="16.5">
      <c r="E14112" s="123"/>
    </row>
    <row r="14113" spans="5:5" ht="16.5">
      <c r="E14113" s="123"/>
    </row>
    <row r="14114" spans="5:5" ht="16.5">
      <c r="E14114" s="123"/>
    </row>
    <row r="14115" spans="5:5" ht="16.5">
      <c r="E14115" s="123"/>
    </row>
    <row r="14116" spans="5:5" ht="16.5">
      <c r="E14116" s="123"/>
    </row>
    <row r="14117" spans="5:5" ht="16.5">
      <c r="E14117" s="123"/>
    </row>
    <row r="14118" spans="5:5" ht="16.5">
      <c r="E14118" s="123"/>
    </row>
    <row r="14119" spans="5:5" ht="16.5">
      <c r="E14119" s="123"/>
    </row>
    <row r="14120" spans="5:5" ht="16.5">
      <c r="E14120" s="123"/>
    </row>
    <row r="14121" spans="5:5" ht="16.5">
      <c r="E14121" s="123"/>
    </row>
    <row r="14122" spans="5:5" ht="16.5">
      <c r="E14122" s="123"/>
    </row>
    <row r="14123" spans="5:5" ht="16.5">
      <c r="E14123" s="123"/>
    </row>
    <row r="14124" spans="5:5" ht="16.5">
      <c r="E14124" s="123"/>
    </row>
    <row r="14125" spans="5:5" ht="16.5">
      <c r="E14125" s="123"/>
    </row>
    <row r="14126" spans="5:5" ht="16.5">
      <c r="E14126" s="123"/>
    </row>
    <row r="14127" spans="5:5" ht="16.5">
      <c r="E14127" s="123"/>
    </row>
    <row r="14128" spans="5:5" ht="16.5">
      <c r="E14128" s="123"/>
    </row>
    <row r="14129" spans="5:5" ht="16.5">
      <c r="E14129" s="123"/>
    </row>
    <row r="14130" spans="5:5" ht="16.5">
      <c r="E14130" s="123"/>
    </row>
    <row r="14131" spans="5:5" ht="16.5">
      <c r="E14131" s="123"/>
    </row>
    <row r="14132" spans="5:5" ht="16.5">
      <c r="E14132" s="123"/>
    </row>
    <row r="14133" spans="5:5" ht="16.5">
      <c r="E14133" s="123"/>
    </row>
    <row r="14134" spans="5:5" ht="16.5">
      <c r="E14134" s="123"/>
    </row>
    <row r="14135" spans="5:5" ht="16.5">
      <c r="E14135" s="123"/>
    </row>
    <row r="14136" spans="5:5" ht="16.5">
      <c r="E14136" s="123"/>
    </row>
    <row r="14137" spans="5:5" ht="16.5">
      <c r="E14137" s="123"/>
    </row>
    <row r="14138" spans="5:5" ht="16.5">
      <c r="E14138" s="123"/>
    </row>
    <row r="14139" spans="5:5" ht="16.5">
      <c r="E14139" s="123"/>
    </row>
    <row r="14140" spans="5:5" ht="16.5">
      <c r="E14140" s="123"/>
    </row>
    <row r="14141" spans="5:5" ht="16.5">
      <c r="E14141" s="123"/>
    </row>
    <row r="14142" spans="5:5" ht="16.5">
      <c r="E14142" s="123"/>
    </row>
    <row r="14143" spans="5:5" ht="16.5">
      <c r="E14143" s="123"/>
    </row>
    <row r="14144" spans="5:5" ht="16.5">
      <c r="E14144" s="123"/>
    </row>
    <row r="14145" spans="5:5" ht="16.5">
      <c r="E14145" s="123"/>
    </row>
    <row r="14146" spans="5:5" ht="16.5">
      <c r="E14146" s="123"/>
    </row>
    <row r="14147" spans="5:5" ht="16.5">
      <c r="E14147" s="123"/>
    </row>
    <row r="14148" spans="5:5" ht="16.5">
      <c r="E14148" s="123"/>
    </row>
    <row r="14149" spans="5:5" ht="16.5">
      <c r="E14149" s="123"/>
    </row>
    <row r="14150" spans="5:5" ht="16.5">
      <c r="E14150" s="123"/>
    </row>
    <row r="14151" spans="5:5" ht="16.5">
      <c r="E14151" s="123"/>
    </row>
    <row r="14152" spans="5:5" ht="16.5">
      <c r="E14152" s="123"/>
    </row>
    <row r="14153" spans="5:5" ht="16.5">
      <c r="E14153" s="123"/>
    </row>
    <row r="14154" spans="5:5" ht="16.5">
      <c r="E14154" s="123"/>
    </row>
    <row r="14155" spans="5:5" ht="16.5">
      <c r="E14155" s="123"/>
    </row>
    <row r="14156" spans="5:5" ht="16.5">
      <c r="E14156" s="123"/>
    </row>
    <row r="14157" spans="5:5" ht="16.5">
      <c r="E14157" s="123"/>
    </row>
    <row r="14158" spans="5:5" ht="16.5">
      <c r="E14158" s="123"/>
    </row>
    <row r="14159" spans="5:5" ht="16.5">
      <c r="E14159" s="123"/>
    </row>
    <row r="14160" spans="5:5" ht="16.5">
      <c r="E14160" s="123"/>
    </row>
    <row r="14161" spans="5:5" ht="16.5">
      <c r="E14161" s="123"/>
    </row>
    <row r="14162" spans="5:5" ht="16.5">
      <c r="E14162" s="123"/>
    </row>
    <row r="14163" spans="5:5" ht="16.5">
      <c r="E14163" s="123"/>
    </row>
    <row r="14164" spans="5:5" ht="16.5">
      <c r="E14164" s="123"/>
    </row>
    <row r="14165" spans="5:5" ht="16.5">
      <c r="E14165" s="123"/>
    </row>
    <row r="14166" spans="5:5" ht="16.5">
      <c r="E14166" s="123"/>
    </row>
    <row r="14167" spans="5:5" ht="16.5">
      <c r="E14167" s="123"/>
    </row>
    <row r="14168" spans="5:5" ht="16.5">
      <c r="E14168" s="123"/>
    </row>
    <row r="14169" spans="5:5" ht="16.5">
      <c r="E14169" s="123"/>
    </row>
    <row r="14170" spans="5:5" ht="16.5">
      <c r="E14170" s="123"/>
    </row>
    <row r="14171" spans="5:5" ht="16.5">
      <c r="E14171" s="123"/>
    </row>
    <row r="14172" spans="5:5" ht="16.5">
      <c r="E14172" s="123"/>
    </row>
    <row r="14173" spans="5:5" ht="16.5">
      <c r="E14173" s="123"/>
    </row>
    <row r="14174" spans="5:5" ht="16.5">
      <c r="E14174" s="123"/>
    </row>
    <row r="14175" spans="5:5" ht="16.5">
      <c r="E14175" s="123"/>
    </row>
    <row r="14176" spans="5:5" ht="16.5">
      <c r="E14176" s="123"/>
    </row>
    <row r="14177" spans="5:5" ht="16.5">
      <c r="E14177" s="123"/>
    </row>
    <row r="14178" spans="5:5" ht="16.5">
      <c r="E14178" s="123"/>
    </row>
    <row r="14179" spans="5:5" ht="16.5">
      <c r="E14179" s="123"/>
    </row>
    <row r="14180" spans="5:5" ht="16.5">
      <c r="E14180" s="123"/>
    </row>
    <row r="14181" spans="5:5" ht="16.5">
      <c r="E14181" s="123"/>
    </row>
    <row r="14182" spans="5:5" ht="16.5">
      <c r="E14182" s="123"/>
    </row>
    <row r="14183" spans="5:5" ht="16.5">
      <c r="E14183" s="123"/>
    </row>
    <row r="14184" spans="5:5" ht="16.5">
      <c r="E14184" s="123"/>
    </row>
    <row r="14185" spans="5:5" ht="16.5">
      <c r="E14185" s="123"/>
    </row>
    <row r="14186" spans="5:5" ht="16.5">
      <c r="E14186" s="123"/>
    </row>
    <row r="14187" spans="5:5" ht="16.5">
      <c r="E14187" s="123"/>
    </row>
    <row r="14188" spans="5:5" ht="16.5">
      <c r="E14188" s="123"/>
    </row>
    <row r="14189" spans="5:5" ht="16.5">
      <c r="E14189" s="123"/>
    </row>
    <row r="14190" spans="5:5" ht="16.5">
      <c r="E14190" s="123"/>
    </row>
    <row r="14191" spans="5:5" ht="16.5">
      <c r="E14191" s="123"/>
    </row>
    <row r="14192" spans="5:5" ht="16.5">
      <c r="E14192" s="123"/>
    </row>
    <row r="14193" spans="5:5" ht="16.5">
      <c r="E14193" s="123"/>
    </row>
    <row r="14194" spans="5:5" ht="16.5">
      <c r="E14194" s="123"/>
    </row>
    <row r="14195" spans="5:5" ht="16.5">
      <c r="E14195" s="123"/>
    </row>
    <row r="14196" spans="5:5" ht="16.5">
      <c r="E14196" s="123"/>
    </row>
    <row r="14197" spans="5:5" ht="16.5">
      <c r="E14197" s="123"/>
    </row>
    <row r="14198" spans="5:5" ht="16.5">
      <c r="E14198" s="123"/>
    </row>
    <row r="14199" spans="5:5" ht="16.5">
      <c r="E14199" s="123"/>
    </row>
    <row r="14200" spans="5:5" ht="16.5">
      <c r="E14200" s="123"/>
    </row>
    <row r="14201" spans="5:5" ht="16.5">
      <c r="E14201" s="123"/>
    </row>
    <row r="14202" spans="5:5" ht="16.5">
      <c r="E14202" s="123"/>
    </row>
    <row r="14203" spans="5:5" ht="16.5">
      <c r="E14203" s="123"/>
    </row>
    <row r="14204" spans="5:5" ht="16.5">
      <c r="E14204" s="123"/>
    </row>
    <row r="14205" spans="5:5" ht="16.5">
      <c r="E14205" s="123"/>
    </row>
    <row r="14206" spans="5:5" ht="16.5">
      <c r="E14206" s="123"/>
    </row>
    <row r="14207" spans="5:5" ht="16.5">
      <c r="E14207" s="123"/>
    </row>
    <row r="14208" spans="5:5" ht="16.5">
      <c r="E14208" s="123"/>
    </row>
    <row r="14209" spans="5:5" ht="16.5">
      <c r="E14209" s="123"/>
    </row>
    <row r="14210" spans="5:5" ht="16.5">
      <c r="E14210" s="123"/>
    </row>
    <row r="14211" spans="5:5" ht="16.5">
      <c r="E14211" s="123"/>
    </row>
    <row r="14212" spans="5:5" ht="16.5">
      <c r="E14212" s="123"/>
    </row>
    <row r="14213" spans="5:5" ht="16.5">
      <c r="E14213" s="123"/>
    </row>
    <row r="14214" spans="5:5" ht="16.5">
      <c r="E14214" s="123"/>
    </row>
    <row r="14215" spans="5:5" ht="16.5">
      <c r="E14215" s="123"/>
    </row>
    <row r="14216" spans="5:5" ht="16.5">
      <c r="E14216" s="123"/>
    </row>
    <row r="14217" spans="5:5" ht="16.5">
      <c r="E14217" s="123"/>
    </row>
    <row r="14218" spans="5:5" ht="16.5">
      <c r="E14218" s="123"/>
    </row>
    <row r="14219" spans="5:5" ht="16.5">
      <c r="E14219" s="123"/>
    </row>
    <row r="14220" spans="5:5" ht="16.5">
      <c r="E14220" s="123"/>
    </row>
    <row r="14221" spans="5:5" ht="16.5">
      <c r="E14221" s="123"/>
    </row>
    <row r="14222" spans="5:5" ht="16.5">
      <c r="E14222" s="123"/>
    </row>
    <row r="14223" spans="5:5" ht="16.5">
      <c r="E14223" s="123"/>
    </row>
    <row r="14224" spans="5:5" ht="16.5">
      <c r="E14224" s="123"/>
    </row>
    <row r="14225" spans="5:5" ht="16.5">
      <c r="E14225" s="123"/>
    </row>
    <row r="14226" spans="5:5" ht="16.5">
      <c r="E14226" s="123"/>
    </row>
    <row r="14227" spans="5:5" ht="16.5">
      <c r="E14227" s="123"/>
    </row>
    <row r="14228" spans="5:5" ht="16.5">
      <c r="E14228" s="123"/>
    </row>
    <row r="14229" spans="5:5" ht="16.5">
      <c r="E14229" s="123"/>
    </row>
    <row r="14230" spans="5:5" ht="16.5">
      <c r="E14230" s="123"/>
    </row>
    <row r="14231" spans="5:5" ht="16.5">
      <c r="E14231" s="123"/>
    </row>
    <row r="14232" spans="5:5" ht="16.5">
      <c r="E14232" s="123"/>
    </row>
    <row r="14233" spans="5:5" ht="16.5">
      <c r="E14233" s="123"/>
    </row>
    <row r="14234" spans="5:5" ht="16.5">
      <c r="E14234" s="123"/>
    </row>
    <row r="14235" spans="5:5" ht="16.5">
      <c r="E14235" s="123"/>
    </row>
    <row r="14236" spans="5:5" ht="16.5">
      <c r="E14236" s="123"/>
    </row>
    <row r="14237" spans="5:5" ht="16.5">
      <c r="E14237" s="123"/>
    </row>
    <row r="14238" spans="5:5" ht="16.5">
      <c r="E14238" s="123"/>
    </row>
    <row r="14239" spans="5:5" ht="16.5">
      <c r="E14239" s="123"/>
    </row>
    <row r="14240" spans="5:5" ht="16.5">
      <c r="E14240" s="123"/>
    </row>
    <row r="14241" spans="5:5" ht="16.5">
      <c r="E14241" s="123"/>
    </row>
    <row r="14242" spans="5:5" ht="16.5">
      <c r="E14242" s="123"/>
    </row>
    <row r="14243" spans="5:5" ht="16.5">
      <c r="E14243" s="123"/>
    </row>
    <row r="14244" spans="5:5" ht="16.5">
      <c r="E14244" s="123"/>
    </row>
    <row r="14245" spans="5:5" ht="16.5">
      <c r="E14245" s="123"/>
    </row>
    <row r="14246" spans="5:5" ht="16.5">
      <c r="E14246" s="123"/>
    </row>
    <row r="14247" spans="5:5" ht="16.5">
      <c r="E14247" s="123"/>
    </row>
    <row r="14248" spans="5:5" ht="16.5">
      <c r="E14248" s="123"/>
    </row>
    <row r="14249" spans="5:5" ht="16.5">
      <c r="E14249" s="123"/>
    </row>
    <row r="14250" spans="5:5" ht="16.5">
      <c r="E14250" s="123"/>
    </row>
    <row r="14251" spans="5:5" ht="16.5">
      <c r="E14251" s="123"/>
    </row>
    <row r="14252" spans="5:5" ht="16.5">
      <c r="E14252" s="123"/>
    </row>
    <row r="14253" spans="5:5" ht="16.5">
      <c r="E14253" s="123"/>
    </row>
    <row r="14254" spans="5:5" ht="16.5">
      <c r="E14254" s="123"/>
    </row>
    <row r="14255" spans="5:5" ht="16.5">
      <c r="E14255" s="123"/>
    </row>
    <row r="14256" spans="5:5" ht="16.5">
      <c r="E14256" s="123"/>
    </row>
    <row r="14257" spans="5:5" ht="16.5">
      <c r="E14257" s="123"/>
    </row>
    <row r="14258" spans="5:5" ht="16.5">
      <c r="E14258" s="123"/>
    </row>
    <row r="14259" spans="5:5" ht="16.5">
      <c r="E14259" s="123"/>
    </row>
    <row r="14260" spans="5:5" ht="16.5">
      <c r="E14260" s="123"/>
    </row>
    <row r="14261" spans="5:5" ht="16.5">
      <c r="E14261" s="123"/>
    </row>
    <row r="14262" spans="5:5" ht="16.5">
      <c r="E14262" s="123"/>
    </row>
    <row r="14263" spans="5:5" ht="16.5">
      <c r="E14263" s="123"/>
    </row>
    <row r="14264" spans="5:5" ht="16.5">
      <c r="E14264" s="123"/>
    </row>
    <row r="14265" spans="5:5" ht="16.5">
      <c r="E14265" s="123"/>
    </row>
    <row r="14266" spans="5:5" ht="16.5">
      <c r="E14266" s="123"/>
    </row>
    <row r="14267" spans="5:5" ht="16.5">
      <c r="E14267" s="123"/>
    </row>
    <row r="14268" spans="5:5" ht="16.5">
      <c r="E14268" s="123"/>
    </row>
    <row r="14269" spans="5:5" ht="16.5">
      <c r="E14269" s="123"/>
    </row>
    <row r="14270" spans="5:5" ht="16.5">
      <c r="E14270" s="123"/>
    </row>
    <row r="14271" spans="5:5" ht="16.5">
      <c r="E14271" s="123"/>
    </row>
    <row r="14272" spans="5:5" ht="16.5">
      <c r="E14272" s="123"/>
    </row>
    <row r="14273" spans="5:5" ht="16.5">
      <c r="E14273" s="123"/>
    </row>
    <row r="14274" spans="5:5" ht="16.5">
      <c r="E14274" s="123"/>
    </row>
    <row r="14275" spans="5:5" ht="16.5">
      <c r="E14275" s="123"/>
    </row>
    <row r="14276" spans="5:5" ht="16.5">
      <c r="E14276" s="123"/>
    </row>
    <row r="14277" spans="5:5" ht="16.5">
      <c r="E14277" s="123"/>
    </row>
    <row r="14278" spans="5:5" ht="16.5">
      <c r="E14278" s="123"/>
    </row>
    <row r="14279" spans="5:5" ht="16.5">
      <c r="E14279" s="123"/>
    </row>
    <row r="14280" spans="5:5" ht="16.5">
      <c r="E14280" s="123"/>
    </row>
    <row r="14281" spans="5:5" ht="16.5">
      <c r="E14281" s="123"/>
    </row>
    <row r="14282" spans="5:5" ht="16.5">
      <c r="E14282" s="123"/>
    </row>
    <row r="14283" spans="5:5" ht="16.5">
      <c r="E14283" s="123"/>
    </row>
    <row r="14284" spans="5:5" ht="16.5">
      <c r="E14284" s="123"/>
    </row>
    <row r="14285" spans="5:5" ht="16.5">
      <c r="E14285" s="123"/>
    </row>
    <row r="14286" spans="5:5" ht="16.5">
      <c r="E14286" s="123"/>
    </row>
    <row r="14287" spans="5:5" ht="16.5">
      <c r="E14287" s="123"/>
    </row>
    <row r="14288" spans="5:5" ht="16.5">
      <c r="E14288" s="123"/>
    </row>
    <row r="14289" spans="5:5" ht="16.5">
      <c r="E14289" s="123"/>
    </row>
    <row r="14290" spans="5:5" ht="16.5">
      <c r="E14290" s="123"/>
    </row>
    <row r="14291" spans="5:5" ht="16.5">
      <c r="E14291" s="123"/>
    </row>
    <row r="14292" spans="5:5" ht="16.5">
      <c r="E14292" s="123"/>
    </row>
    <row r="14293" spans="5:5" ht="16.5">
      <c r="E14293" s="123"/>
    </row>
    <row r="14294" spans="5:5" ht="16.5">
      <c r="E14294" s="123"/>
    </row>
    <row r="14295" spans="5:5" ht="16.5">
      <c r="E14295" s="123"/>
    </row>
    <row r="14296" spans="5:5" ht="16.5">
      <c r="E14296" s="123"/>
    </row>
    <row r="14297" spans="5:5" ht="16.5">
      <c r="E14297" s="123"/>
    </row>
    <row r="14298" spans="5:5" ht="16.5">
      <c r="E14298" s="123"/>
    </row>
    <row r="14299" spans="5:5" ht="16.5">
      <c r="E14299" s="123"/>
    </row>
    <row r="14300" spans="5:5" ht="16.5">
      <c r="E14300" s="123"/>
    </row>
    <row r="14301" spans="5:5" ht="16.5">
      <c r="E14301" s="123"/>
    </row>
    <row r="14302" spans="5:5" ht="16.5">
      <c r="E14302" s="123"/>
    </row>
    <row r="14303" spans="5:5" ht="16.5">
      <c r="E14303" s="123"/>
    </row>
    <row r="14304" spans="5:5" ht="16.5">
      <c r="E14304" s="123"/>
    </row>
    <row r="14305" spans="5:5" ht="16.5">
      <c r="E14305" s="123"/>
    </row>
    <row r="14306" spans="5:5" ht="16.5">
      <c r="E14306" s="123"/>
    </row>
    <row r="14307" spans="5:5" ht="16.5">
      <c r="E14307" s="123"/>
    </row>
    <row r="14308" spans="5:5" ht="16.5">
      <c r="E14308" s="123"/>
    </row>
    <row r="14309" spans="5:5" ht="16.5">
      <c r="E14309" s="123"/>
    </row>
    <row r="14310" spans="5:5" ht="16.5">
      <c r="E14310" s="123"/>
    </row>
    <row r="14311" spans="5:5" ht="16.5">
      <c r="E14311" s="123"/>
    </row>
    <row r="14312" spans="5:5" ht="16.5">
      <c r="E14312" s="123"/>
    </row>
    <row r="14313" spans="5:5" ht="16.5">
      <c r="E14313" s="123"/>
    </row>
    <row r="14314" spans="5:5" ht="16.5">
      <c r="E14314" s="123"/>
    </row>
    <row r="14315" spans="5:5" ht="16.5">
      <c r="E14315" s="123"/>
    </row>
    <row r="14316" spans="5:5" ht="16.5">
      <c r="E14316" s="123"/>
    </row>
    <row r="14317" spans="5:5" ht="16.5">
      <c r="E14317" s="123"/>
    </row>
    <row r="14318" spans="5:5" ht="16.5">
      <c r="E14318" s="123"/>
    </row>
    <row r="14319" spans="5:5" ht="16.5">
      <c r="E14319" s="123"/>
    </row>
    <row r="14320" spans="5:5" ht="16.5">
      <c r="E14320" s="123"/>
    </row>
    <row r="14321" spans="5:5" ht="16.5">
      <c r="E14321" s="123"/>
    </row>
    <row r="14322" spans="5:5" ht="16.5">
      <c r="E14322" s="123"/>
    </row>
    <row r="14323" spans="5:5" ht="16.5">
      <c r="E14323" s="123"/>
    </row>
    <row r="14324" spans="5:5" ht="16.5">
      <c r="E14324" s="123"/>
    </row>
    <row r="14325" spans="5:5" ht="16.5">
      <c r="E14325" s="123"/>
    </row>
    <row r="14326" spans="5:5" ht="16.5">
      <c r="E14326" s="123"/>
    </row>
    <row r="14327" spans="5:5" ht="16.5">
      <c r="E14327" s="123"/>
    </row>
    <row r="14328" spans="5:5" ht="16.5">
      <c r="E14328" s="123"/>
    </row>
    <row r="14329" spans="5:5" ht="16.5">
      <c r="E14329" s="123"/>
    </row>
    <row r="14330" spans="5:5" ht="16.5">
      <c r="E14330" s="123"/>
    </row>
    <row r="14331" spans="5:5" ht="16.5">
      <c r="E14331" s="123"/>
    </row>
    <row r="14332" spans="5:5" ht="16.5">
      <c r="E14332" s="123"/>
    </row>
    <row r="14333" spans="5:5" ht="16.5">
      <c r="E14333" s="123"/>
    </row>
    <row r="14334" spans="5:5" ht="16.5">
      <c r="E14334" s="123"/>
    </row>
    <row r="14335" spans="5:5" ht="16.5">
      <c r="E14335" s="123"/>
    </row>
    <row r="14336" spans="5:5" ht="16.5">
      <c r="E14336" s="123"/>
    </row>
    <row r="14337" spans="5:5" ht="16.5">
      <c r="E14337" s="123"/>
    </row>
    <row r="14338" spans="5:5" ht="16.5">
      <c r="E14338" s="123"/>
    </row>
    <row r="14339" spans="5:5" ht="16.5">
      <c r="E14339" s="123"/>
    </row>
    <row r="14340" spans="5:5" ht="16.5">
      <c r="E14340" s="123"/>
    </row>
    <row r="14341" spans="5:5" ht="16.5">
      <c r="E14341" s="123"/>
    </row>
    <row r="14342" spans="5:5" ht="16.5">
      <c r="E14342" s="123"/>
    </row>
    <row r="14343" spans="5:5" ht="16.5">
      <c r="E14343" s="123"/>
    </row>
    <row r="14344" spans="5:5" ht="16.5">
      <c r="E14344" s="123"/>
    </row>
    <row r="14345" spans="5:5" ht="16.5">
      <c r="E14345" s="123"/>
    </row>
    <row r="14346" spans="5:5" ht="16.5">
      <c r="E14346" s="123"/>
    </row>
    <row r="14347" spans="5:5" ht="16.5">
      <c r="E14347" s="123"/>
    </row>
    <row r="14348" spans="5:5" ht="16.5">
      <c r="E14348" s="123"/>
    </row>
    <row r="14349" spans="5:5" ht="16.5">
      <c r="E14349" s="123"/>
    </row>
    <row r="14350" spans="5:5" ht="16.5">
      <c r="E14350" s="123"/>
    </row>
    <row r="14351" spans="5:5" ht="16.5">
      <c r="E14351" s="123"/>
    </row>
    <row r="14352" spans="5:5" ht="16.5">
      <c r="E14352" s="123"/>
    </row>
    <row r="14353" spans="5:5" ht="16.5">
      <c r="E14353" s="123"/>
    </row>
    <row r="14354" spans="5:5" ht="16.5">
      <c r="E14354" s="123"/>
    </row>
    <row r="14355" spans="5:5" ht="16.5">
      <c r="E14355" s="123"/>
    </row>
    <row r="14356" spans="5:5" ht="16.5">
      <c r="E14356" s="123"/>
    </row>
    <row r="14357" spans="5:5" ht="16.5">
      <c r="E14357" s="123"/>
    </row>
    <row r="14358" spans="5:5" ht="16.5">
      <c r="E14358" s="123"/>
    </row>
    <row r="14359" spans="5:5" ht="16.5">
      <c r="E14359" s="123"/>
    </row>
    <row r="14360" spans="5:5" ht="16.5">
      <c r="E14360" s="123"/>
    </row>
    <row r="14361" spans="5:5" ht="16.5">
      <c r="E14361" s="123"/>
    </row>
    <row r="14362" spans="5:5" ht="16.5">
      <c r="E14362" s="123"/>
    </row>
    <row r="14363" spans="5:5" ht="16.5">
      <c r="E14363" s="123"/>
    </row>
    <row r="14364" spans="5:5" ht="16.5">
      <c r="E14364" s="123"/>
    </row>
    <row r="14365" spans="5:5" ht="16.5">
      <c r="E14365" s="123"/>
    </row>
    <row r="14366" spans="5:5" ht="16.5">
      <c r="E14366" s="123"/>
    </row>
    <row r="14367" spans="5:5" ht="16.5">
      <c r="E14367" s="123"/>
    </row>
    <row r="14368" spans="5:5" ht="16.5">
      <c r="E14368" s="123"/>
    </row>
    <row r="14369" spans="5:5" ht="16.5">
      <c r="E14369" s="123"/>
    </row>
    <row r="14370" spans="5:5" ht="16.5">
      <c r="E14370" s="123"/>
    </row>
    <row r="14371" spans="5:5" ht="16.5">
      <c r="E14371" s="123"/>
    </row>
    <row r="14372" spans="5:5" ht="16.5">
      <c r="E14372" s="123"/>
    </row>
    <row r="14373" spans="5:5" ht="16.5">
      <c r="E14373" s="123"/>
    </row>
    <row r="14374" spans="5:5" ht="16.5">
      <c r="E14374" s="123"/>
    </row>
    <row r="14375" spans="5:5" ht="16.5">
      <c r="E14375" s="123"/>
    </row>
    <row r="14376" spans="5:5" ht="16.5">
      <c r="E14376" s="123"/>
    </row>
    <row r="14377" spans="5:5" ht="16.5">
      <c r="E14377" s="123"/>
    </row>
    <row r="14378" spans="5:5" ht="16.5">
      <c r="E14378" s="123"/>
    </row>
    <row r="14379" spans="5:5" ht="16.5">
      <c r="E14379" s="123"/>
    </row>
    <row r="14380" spans="5:5" ht="16.5">
      <c r="E14380" s="123"/>
    </row>
    <row r="14381" spans="5:5" ht="16.5">
      <c r="E14381" s="123"/>
    </row>
    <row r="14382" spans="5:5" ht="16.5">
      <c r="E14382" s="123"/>
    </row>
    <row r="14383" spans="5:5" ht="16.5">
      <c r="E14383" s="123"/>
    </row>
    <row r="14384" spans="5:5" ht="16.5">
      <c r="E14384" s="123"/>
    </row>
    <row r="14385" spans="5:5" ht="16.5">
      <c r="E14385" s="123"/>
    </row>
    <row r="14386" spans="5:5" ht="16.5">
      <c r="E14386" s="123"/>
    </row>
    <row r="14387" spans="5:5" ht="16.5">
      <c r="E14387" s="123"/>
    </row>
    <row r="14388" spans="5:5" ht="16.5">
      <c r="E14388" s="123"/>
    </row>
    <row r="14389" spans="5:5" ht="16.5">
      <c r="E14389" s="123"/>
    </row>
    <row r="14390" spans="5:5" ht="16.5">
      <c r="E14390" s="123"/>
    </row>
    <row r="14391" spans="5:5" ht="16.5">
      <c r="E14391" s="123"/>
    </row>
    <row r="14392" spans="5:5" ht="16.5">
      <c r="E14392" s="123"/>
    </row>
    <row r="14393" spans="5:5" ht="16.5">
      <c r="E14393" s="123"/>
    </row>
    <row r="14394" spans="5:5" ht="16.5">
      <c r="E14394" s="123"/>
    </row>
    <row r="14395" spans="5:5" ht="16.5">
      <c r="E14395" s="123"/>
    </row>
    <row r="14396" spans="5:5" ht="16.5">
      <c r="E14396" s="123"/>
    </row>
    <row r="14397" spans="5:5" ht="16.5">
      <c r="E14397" s="123"/>
    </row>
    <row r="14398" spans="5:5" ht="16.5">
      <c r="E14398" s="123"/>
    </row>
    <row r="14399" spans="5:5" ht="16.5">
      <c r="E14399" s="123"/>
    </row>
    <row r="14400" spans="5:5" ht="16.5">
      <c r="E14400" s="123"/>
    </row>
    <row r="14401" spans="5:5" ht="16.5">
      <c r="E14401" s="123"/>
    </row>
    <row r="14402" spans="5:5" ht="16.5">
      <c r="E14402" s="123"/>
    </row>
    <row r="14403" spans="5:5" ht="16.5">
      <c r="E14403" s="123"/>
    </row>
    <row r="14404" spans="5:5" ht="16.5">
      <c r="E14404" s="123"/>
    </row>
    <row r="14405" spans="5:5" ht="16.5">
      <c r="E14405" s="123"/>
    </row>
    <row r="14406" spans="5:5" ht="16.5">
      <c r="E14406" s="123"/>
    </row>
    <row r="14407" spans="5:5" ht="16.5">
      <c r="E14407" s="123"/>
    </row>
    <row r="14408" spans="5:5" ht="16.5">
      <c r="E14408" s="123"/>
    </row>
    <row r="14409" spans="5:5" ht="16.5">
      <c r="E14409" s="123"/>
    </row>
    <row r="14410" spans="5:5" ht="16.5">
      <c r="E14410" s="123"/>
    </row>
    <row r="14411" spans="5:5" ht="16.5">
      <c r="E14411" s="123"/>
    </row>
    <row r="14412" spans="5:5" ht="16.5">
      <c r="E14412" s="123"/>
    </row>
    <row r="14413" spans="5:5" ht="16.5">
      <c r="E14413" s="123"/>
    </row>
    <row r="14414" spans="5:5" ht="16.5">
      <c r="E14414" s="123"/>
    </row>
    <row r="14415" spans="5:5" ht="16.5">
      <c r="E14415" s="123"/>
    </row>
    <row r="14416" spans="5:5" ht="16.5">
      <c r="E14416" s="123"/>
    </row>
    <row r="14417" spans="5:5" ht="16.5">
      <c r="E14417" s="123"/>
    </row>
    <row r="14418" spans="5:5" ht="16.5">
      <c r="E14418" s="123"/>
    </row>
    <row r="14419" spans="5:5" ht="16.5">
      <c r="E14419" s="123"/>
    </row>
    <row r="14420" spans="5:5" ht="16.5">
      <c r="E14420" s="123"/>
    </row>
    <row r="14421" spans="5:5" ht="16.5">
      <c r="E14421" s="123"/>
    </row>
    <row r="14422" spans="5:5" ht="16.5">
      <c r="E14422" s="123"/>
    </row>
    <row r="14423" spans="5:5" ht="16.5">
      <c r="E14423" s="123"/>
    </row>
    <row r="14424" spans="5:5" ht="16.5">
      <c r="E14424" s="123"/>
    </row>
    <row r="14425" spans="5:5" ht="16.5">
      <c r="E14425" s="123"/>
    </row>
    <row r="14426" spans="5:5" ht="16.5">
      <c r="E14426" s="123"/>
    </row>
    <row r="14427" spans="5:5" ht="16.5">
      <c r="E14427" s="123"/>
    </row>
    <row r="14428" spans="5:5" ht="16.5">
      <c r="E14428" s="123"/>
    </row>
    <row r="14429" spans="5:5" ht="16.5">
      <c r="E14429" s="123"/>
    </row>
    <row r="14430" spans="5:5" ht="16.5">
      <c r="E14430" s="123"/>
    </row>
    <row r="14431" spans="5:5" ht="16.5">
      <c r="E14431" s="123"/>
    </row>
    <row r="14432" spans="5:5" ht="16.5">
      <c r="E14432" s="123"/>
    </row>
    <row r="14433" spans="5:5" ht="16.5">
      <c r="E14433" s="123"/>
    </row>
    <row r="14434" spans="5:5" ht="16.5">
      <c r="E14434" s="123"/>
    </row>
    <row r="14435" spans="5:5" ht="16.5">
      <c r="E14435" s="123"/>
    </row>
    <row r="14436" spans="5:5" ht="16.5">
      <c r="E14436" s="123"/>
    </row>
    <row r="14437" spans="5:5" ht="16.5">
      <c r="E14437" s="123"/>
    </row>
    <row r="14438" spans="5:5" ht="16.5">
      <c r="E14438" s="123"/>
    </row>
    <row r="14439" spans="5:5" ht="16.5">
      <c r="E14439" s="123"/>
    </row>
    <row r="14440" spans="5:5" ht="16.5">
      <c r="E14440" s="123"/>
    </row>
    <row r="14441" spans="5:5" ht="16.5">
      <c r="E14441" s="123"/>
    </row>
    <row r="14442" spans="5:5" ht="16.5">
      <c r="E14442" s="123"/>
    </row>
    <row r="14443" spans="5:5" ht="16.5">
      <c r="E14443" s="123"/>
    </row>
    <row r="14444" spans="5:5" ht="16.5">
      <c r="E14444" s="123"/>
    </row>
    <row r="14445" spans="5:5" ht="16.5">
      <c r="E14445" s="123"/>
    </row>
    <row r="14446" spans="5:5" ht="16.5">
      <c r="E14446" s="123"/>
    </row>
    <row r="14447" spans="5:5" ht="16.5">
      <c r="E14447" s="123"/>
    </row>
    <row r="14448" spans="5:5" ht="16.5">
      <c r="E14448" s="123"/>
    </row>
    <row r="14449" spans="5:5" ht="16.5">
      <c r="E14449" s="123"/>
    </row>
    <row r="14450" spans="5:5" ht="16.5">
      <c r="E14450" s="123"/>
    </row>
    <row r="14451" spans="5:5" ht="16.5">
      <c r="E14451" s="123"/>
    </row>
    <row r="14452" spans="5:5" ht="16.5">
      <c r="E14452" s="123"/>
    </row>
    <row r="14453" spans="5:5" ht="16.5">
      <c r="E14453" s="123"/>
    </row>
    <row r="14454" spans="5:5" ht="16.5">
      <c r="E14454" s="123"/>
    </row>
    <row r="14455" spans="5:5" ht="16.5">
      <c r="E14455" s="123"/>
    </row>
    <row r="14456" spans="5:5" ht="16.5">
      <c r="E14456" s="123"/>
    </row>
    <row r="14457" spans="5:5" ht="16.5">
      <c r="E14457" s="123"/>
    </row>
    <row r="14458" spans="5:5" ht="16.5">
      <c r="E14458" s="123"/>
    </row>
    <row r="14459" spans="5:5" ht="16.5">
      <c r="E14459" s="123"/>
    </row>
    <row r="14460" spans="5:5" ht="16.5">
      <c r="E14460" s="123"/>
    </row>
    <row r="14461" spans="5:5" ht="16.5">
      <c r="E14461" s="123"/>
    </row>
    <row r="14462" spans="5:5" ht="16.5">
      <c r="E14462" s="123"/>
    </row>
    <row r="14463" spans="5:5" ht="16.5">
      <c r="E14463" s="123"/>
    </row>
    <row r="14464" spans="5:5" ht="16.5">
      <c r="E14464" s="123"/>
    </row>
    <row r="14465" spans="5:5" ht="16.5">
      <c r="E14465" s="123"/>
    </row>
    <row r="14466" spans="5:5" ht="16.5">
      <c r="E14466" s="123"/>
    </row>
    <row r="14467" spans="5:5" ht="16.5">
      <c r="E14467" s="123"/>
    </row>
    <row r="14468" spans="5:5" ht="16.5">
      <c r="E14468" s="123"/>
    </row>
    <row r="14469" spans="5:5" ht="16.5">
      <c r="E14469" s="123"/>
    </row>
    <row r="14470" spans="5:5" ht="16.5">
      <c r="E14470" s="123"/>
    </row>
    <row r="14471" spans="5:5" ht="16.5">
      <c r="E14471" s="123"/>
    </row>
    <row r="14472" spans="5:5" ht="16.5">
      <c r="E14472" s="123"/>
    </row>
    <row r="14473" spans="5:5" ht="16.5">
      <c r="E14473" s="123"/>
    </row>
    <row r="14474" spans="5:5" ht="16.5">
      <c r="E14474" s="123"/>
    </row>
    <row r="14475" spans="5:5" ht="16.5">
      <c r="E14475" s="123"/>
    </row>
    <row r="14476" spans="5:5" ht="16.5">
      <c r="E14476" s="123"/>
    </row>
    <row r="14477" spans="5:5" ht="16.5">
      <c r="E14477" s="123"/>
    </row>
    <row r="14478" spans="5:5" ht="16.5">
      <c r="E14478" s="123"/>
    </row>
    <row r="14479" spans="5:5" ht="16.5">
      <c r="E14479" s="123"/>
    </row>
    <row r="14480" spans="5:5" ht="16.5">
      <c r="E14480" s="123"/>
    </row>
    <row r="14481" spans="5:5" ht="16.5">
      <c r="E14481" s="123"/>
    </row>
    <row r="14482" spans="5:5" ht="16.5">
      <c r="E14482" s="123"/>
    </row>
    <row r="14483" spans="5:5" ht="16.5">
      <c r="E14483" s="123"/>
    </row>
    <row r="14484" spans="5:5" ht="16.5">
      <c r="E14484" s="123"/>
    </row>
    <row r="14485" spans="5:5" ht="16.5">
      <c r="E14485" s="123"/>
    </row>
    <row r="14486" spans="5:5" ht="16.5">
      <c r="E14486" s="123"/>
    </row>
    <row r="14487" spans="5:5" ht="16.5">
      <c r="E14487" s="123"/>
    </row>
    <row r="14488" spans="5:5" ht="16.5">
      <c r="E14488" s="123"/>
    </row>
    <row r="14489" spans="5:5" ht="16.5">
      <c r="E14489" s="123"/>
    </row>
    <row r="14490" spans="5:5" ht="16.5">
      <c r="E14490" s="123"/>
    </row>
    <row r="14491" spans="5:5" ht="16.5">
      <c r="E14491" s="123"/>
    </row>
    <row r="14492" spans="5:5" ht="16.5">
      <c r="E14492" s="123"/>
    </row>
    <row r="14493" spans="5:5" ht="16.5">
      <c r="E14493" s="123"/>
    </row>
    <row r="14494" spans="5:5" ht="16.5">
      <c r="E14494" s="123"/>
    </row>
    <row r="14495" spans="5:5" ht="16.5">
      <c r="E14495" s="123"/>
    </row>
    <row r="14496" spans="5:5" ht="16.5">
      <c r="E14496" s="123"/>
    </row>
    <row r="14497" spans="5:5" ht="16.5">
      <c r="E14497" s="123"/>
    </row>
    <row r="14498" spans="5:5" ht="16.5">
      <c r="E14498" s="123"/>
    </row>
    <row r="14499" spans="5:5" ht="16.5">
      <c r="E14499" s="123"/>
    </row>
    <row r="14500" spans="5:5" ht="16.5">
      <c r="E14500" s="123"/>
    </row>
    <row r="14501" spans="5:5" ht="16.5">
      <c r="E14501" s="123"/>
    </row>
    <row r="14502" spans="5:5" ht="16.5">
      <c r="E14502" s="123"/>
    </row>
    <row r="14503" spans="5:5" ht="16.5">
      <c r="E14503" s="123"/>
    </row>
    <row r="14504" spans="5:5" ht="16.5">
      <c r="E14504" s="123"/>
    </row>
    <row r="14505" spans="5:5" ht="16.5">
      <c r="E14505" s="123"/>
    </row>
    <row r="14506" spans="5:5" ht="16.5">
      <c r="E14506" s="123"/>
    </row>
    <row r="14507" spans="5:5" ht="16.5">
      <c r="E14507" s="123"/>
    </row>
    <row r="14508" spans="5:5" ht="16.5">
      <c r="E14508" s="123"/>
    </row>
    <row r="14509" spans="5:5" ht="16.5">
      <c r="E14509" s="123"/>
    </row>
    <row r="14510" spans="5:5" ht="16.5">
      <c r="E14510" s="123"/>
    </row>
    <row r="14511" spans="5:5" ht="16.5">
      <c r="E14511" s="123"/>
    </row>
    <row r="14512" spans="5:5" ht="16.5">
      <c r="E14512" s="123"/>
    </row>
    <row r="14513" spans="5:5" ht="16.5">
      <c r="E14513" s="123"/>
    </row>
    <row r="14514" spans="5:5" ht="16.5">
      <c r="E14514" s="123"/>
    </row>
    <row r="14515" spans="5:5" ht="16.5">
      <c r="E14515" s="123"/>
    </row>
    <row r="14516" spans="5:5" ht="16.5">
      <c r="E14516" s="123"/>
    </row>
    <row r="14517" spans="5:5" ht="16.5">
      <c r="E14517" s="123"/>
    </row>
    <row r="14518" spans="5:5" ht="16.5">
      <c r="E14518" s="123"/>
    </row>
    <row r="14519" spans="5:5" ht="16.5">
      <c r="E14519" s="123"/>
    </row>
    <row r="14520" spans="5:5" ht="16.5">
      <c r="E14520" s="123"/>
    </row>
    <row r="14521" spans="5:5" ht="16.5">
      <c r="E14521" s="123"/>
    </row>
    <row r="14522" spans="5:5" ht="16.5">
      <c r="E14522" s="123"/>
    </row>
    <row r="14523" spans="5:5" ht="16.5">
      <c r="E14523" s="123"/>
    </row>
    <row r="14524" spans="5:5" ht="16.5">
      <c r="E14524" s="123"/>
    </row>
    <row r="14525" spans="5:5" ht="16.5">
      <c r="E14525" s="123"/>
    </row>
    <row r="14526" spans="5:5" ht="16.5">
      <c r="E14526" s="123"/>
    </row>
    <row r="14527" spans="5:5" ht="16.5">
      <c r="E14527" s="123"/>
    </row>
    <row r="14528" spans="5:5" ht="16.5">
      <c r="E14528" s="123"/>
    </row>
    <row r="14529" spans="5:5" ht="16.5">
      <c r="E14529" s="123"/>
    </row>
    <row r="14530" spans="5:5" ht="16.5">
      <c r="E14530" s="123"/>
    </row>
    <row r="14531" spans="5:5" ht="16.5">
      <c r="E14531" s="123"/>
    </row>
    <row r="14532" spans="5:5" ht="16.5">
      <c r="E14532" s="123"/>
    </row>
    <row r="14533" spans="5:5" ht="16.5">
      <c r="E14533" s="123"/>
    </row>
    <row r="14534" spans="5:5" ht="16.5">
      <c r="E14534" s="123"/>
    </row>
    <row r="14535" spans="5:5" ht="16.5">
      <c r="E14535" s="123"/>
    </row>
    <row r="14536" spans="5:5" ht="16.5">
      <c r="E14536" s="123"/>
    </row>
    <row r="14537" spans="5:5" ht="16.5">
      <c r="E14537" s="123"/>
    </row>
    <row r="14538" spans="5:5" ht="16.5">
      <c r="E14538" s="123"/>
    </row>
    <row r="14539" spans="5:5" ht="16.5">
      <c r="E14539" s="123"/>
    </row>
    <row r="14540" spans="5:5" ht="16.5">
      <c r="E14540" s="123"/>
    </row>
    <row r="14541" spans="5:5" ht="16.5">
      <c r="E14541" s="123"/>
    </row>
    <row r="14542" spans="5:5" ht="16.5">
      <c r="E14542" s="123"/>
    </row>
    <row r="14543" spans="5:5" ht="16.5">
      <c r="E14543" s="123"/>
    </row>
    <row r="14544" spans="5:5" ht="16.5">
      <c r="E14544" s="123"/>
    </row>
    <row r="14545" spans="5:5" ht="16.5">
      <c r="E14545" s="123"/>
    </row>
    <row r="14546" spans="5:5" ht="16.5">
      <c r="E14546" s="123"/>
    </row>
    <row r="14547" spans="5:5" ht="16.5">
      <c r="E14547" s="123"/>
    </row>
    <row r="14548" spans="5:5" ht="16.5">
      <c r="E14548" s="123"/>
    </row>
    <row r="14549" spans="5:5" ht="16.5">
      <c r="E14549" s="123"/>
    </row>
    <row r="14550" spans="5:5" ht="16.5">
      <c r="E14550" s="123"/>
    </row>
    <row r="14551" spans="5:5" ht="16.5">
      <c r="E14551" s="123"/>
    </row>
    <row r="14552" spans="5:5" ht="16.5">
      <c r="E14552" s="123"/>
    </row>
    <row r="14553" spans="5:5" ht="16.5">
      <c r="E14553" s="123"/>
    </row>
    <row r="14554" spans="5:5" ht="16.5">
      <c r="E14554" s="123"/>
    </row>
    <row r="14555" spans="5:5" ht="16.5">
      <c r="E14555" s="123"/>
    </row>
    <row r="14556" spans="5:5" ht="16.5">
      <c r="E14556" s="123"/>
    </row>
    <row r="14557" spans="5:5" ht="16.5">
      <c r="E14557" s="123"/>
    </row>
    <row r="14558" spans="5:5" ht="16.5">
      <c r="E14558" s="123"/>
    </row>
    <row r="14559" spans="5:5" ht="16.5">
      <c r="E14559" s="123"/>
    </row>
    <row r="14560" spans="5:5" ht="16.5">
      <c r="E14560" s="123"/>
    </row>
    <row r="14561" spans="5:5" ht="16.5">
      <c r="E14561" s="123"/>
    </row>
    <row r="14562" spans="5:5" ht="16.5">
      <c r="E14562" s="123"/>
    </row>
    <row r="14563" spans="5:5" ht="16.5">
      <c r="E14563" s="123"/>
    </row>
    <row r="14564" spans="5:5" ht="16.5">
      <c r="E14564" s="123"/>
    </row>
    <row r="14565" spans="5:5" ht="16.5">
      <c r="E14565" s="123"/>
    </row>
    <row r="14566" spans="5:5" ht="16.5">
      <c r="E14566" s="123"/>
    </row>
    <row r="14567" spans="5:5" ht="16.5">
      <c r="E14567" s="123"/>
    </row>
    <row r="14568" spans="5:5" ht="16.5">
      <c r="E14568" s="123"/>
    </row>
    <row r="14569" spans="5:5" ht="16.5">
      <c r="E14569" s="123"/>
    </row>
    <row r="14570" spans="5:5" ht="16.5">
      <c r="E14570" s="123"/>
    </row>
    <row r="14571" spans="5:5" ht="16.5">
      <c r="E14571" s="123"/>
    </row>
    <row r="14572" spans="5:5" ht="16.5">
      <c r="E14572" s="123"/>
    </row>
    <row r="14573" spans="5:5" ht="16.5">
      <c r="E14573" s="123"/>
    </row>
    <row r="14574" spans="5:5" ht="16.5">
      <c r="E14574" s="123"/>
    </row>
    <row r="14575" spans="5:5" ht="16.5">
      <c r="E14575" s="123"/>
    </row>
    <row r="14576" spans="5:5" ht="16.5">
      <c r="E14576" s="123"/>
    </row>
    <row r="14577" spans="5:5" ht="16.5">
      <c r="E14577" s="123"/>
    </row>
    <row r="14578" spans="5:5" ht="16.5">
      <c r="E14578" s="123"/>
    </row>
    <row r="14579" spans="5:5" ht="16.5">
      <c r="E14579" s="123"/>
    </row>
    <row r="14580" spans="5:5" ht="16.5">
      <c r="E14580" s="123"/>
    </row>
    <row r="14581" spans="5:5" ht="16.5">
      <c r="E14581" s="123"/>
    </row>
    <row r="14582" spans="5:5" ht="16.5">
      <c r="E14582" s="123"/>
    </row>
    <row r="14583" spans="5:5" ht="16.5">
      <c r="E14583" s="123"/>
    </row>
    <row r="14584" spans="5:5" ht="16.5">
      <c r="E14584" s="123"/>
    </row>
    <row r="14585" spans="5:5" ht="16.5">
      <c r="E14585" s="123"/>
    </row>
    <row r="14586" spans="5:5" ht="16.5">
      <c r="E14586" s="123"/>
    </row>
    <row r="14587" spans="5:5" ht="16.5">
      <c r="E14587" s="123"/>
    </row>
    <row r="14588" spans="5:5" ht="16.5">
      <c r="E14588" s="123"/>
    </row>
    <row r="14589" spans="5:5" ht="16.5">
      <c r="E14589" s="123"/>
    </row>
    <row r="14590" spans="5:5" ht="16.5">
      <c r="E14590" s="123"/>
    </row>
    <row r="14591" spans="5:5" ht="16.5">
      <c r="E14591" s="123"/>
    </row>
    <row r="14592" spans="5:5" ht="16.5">
      <c r="E14592" s="123"/>
    </row>
    <row r="14593" spans="5:5" ht="16.5">
      <c r="E14593" s="123"/>
    </row>
    <row r="14594" spans="5:5" ht="16.5">
      <c r="E14594" s="123"/>
    </row>
    <row r="14595" spans="5:5" ht="16.5">
      <c r="E14595" s="123"/>
    </row>
    <row r="14596" spans="5:5" ht="16.5">
      <c r="E14596" s="123"/>
    </row>
    <row r="14597" spans="5:5" ht="16.5">
      <c r="E14597" s="123"/>
    </row>
    <row r="14598" spans="5:5" ht="16.5">
      <c r="E14598" s="123"/>
    </row>
    <row r="14599" spans="5:5" ht="16.5">
      <c r="E14599" s="123"/>
    </row>
    <row r="14600" spans="5:5" ht="16.5">
      <c r="E14600" s="123"/>
    </row>
    <row r="14601" spans="5:5" ht="16.5">
      <c r="E14601" s="123"/>
    </row>
    <row r="14602" spans="5:5" ht="16.5">
      <c r="E14602" s="123"/>
    </row>
    <row r="14603" spans="5:5" ht="16.5">
      <c r="E14603" s="123"/>
    </row>
    <row r="14604" spans="5:5" ht="16.5">
      <c r="E14604" s="123"/>
    </row>
    <row r="14605" spans="5:5" ht="16.5">
      <c r="E14605" s="123"/>
    </row>
    <row r="14606" spans="5:5" ht="16.5">
      <c r="E14606" s="123"/>
    </row>
    <row r="14607" spans="5:5" ht="16.5">
      <c r="E14607" s="123"/>
    </row>
    <row r="14608" spans="5:5" ht="16.5">
      <c r="E14608" s="123"/>
    </row>
    <row r="14609" spans="5:5" ht="16.5">
      <c r="E14609" s="123"/>
    </row>
    <row r="14610" spans="5:5" ht="16.5">
      <c r="E14610" s="123"/>
    </row>
    <row r="14611" spans="5:5" ht="16.5">
      <c r="E14611" s="123"/>
    </row>
    <row r="14612" spans="5:5" ht="16.5">
      <c r="E14612" s="123"/>
    </row>
    <row r="14613" spans="5:5" ht="16.5">
      <c r="E14613" s="123"/>
    </row>
    <row r="14614" spans="5:5" ht="16.5">
      <c r="E14614" s="123"/>
    </row>
    <row r="14615" spans="5:5" ht="16.5">
      <c r="E14615" s="123"/>
    </row>
    <row r="14616" spans="5:5" ht="16.5">
      <c r="E14616" s="123"/>
    </row>
    <row r="14617" spans="5:5" ht="16.5">
      <c r="E14617" s="123"/>
    </row>
    <row r="14618" spans="5:5" ht="16.5">
      <c r="E14618" s="123"/>
    </row>
    <row r="14619" spans="5:5" ht="16.5">
      <c r="E14619" s="123"/>
    </row>
    <row r="14620" spans="5:5" ht="16.5">
      <c r="E14620" s="123"/>
    </row>
    <row r="14621" spans="5:5" ht="16.5">
      <c r="E14621" s="123"/>
    </row>
    <row r="14622" spans="5:5" ht="16.5">
      <c r="E14622" s="123"/>
    </row>
    <row r="14623" spans="5:5" ht="16.5">
      <c r="E14623" s="123"/>
    </row>
    <row r="14624" spans="5:5" ht="16.5">
      <c r="E14624" s="123"/>
    </row>
    <row r="14625" spans="5:5" ht="16.5">
      <c r="E14625" s="123"/>
    </row>
    <row r="14626" spans="5:5" ht="16.5">
      <c r="E14626" s="123"/>
    </row>
    <row r="14627" spans="5:5" ht="16.5">
      <c r="E14627" s="123"/>
    </row>
    <row r="14628" spans="5:5" ht="16.5">
      <c r="E14628" s="123"/>
    </row>
    <row r="14629" spans="5:5" ht="16.5">
      <c r="E14629" s="123"/>
    </row>
    <row r="14630" spans="5:5" ht="16.5">
      <c r="E14630" s="123"/>
    </row>
    <row r="14631" spans="5:5" ht="16.5">
      <c r="E14631" s="123"/>
    </row>
    <row r="14632" spans="5:5" ht="16.5">
      <c r="E14632" s="123"/>
    </row>
    <row r="14633" spans="5:5" ht="16.5">
      <c r="E14633" s="123"/>
    </row>
    <row r="14634" spans="5:5" ht="16.5">
      <c r="E14634" s="123"/>
    </row>
    <row r="14635" spans="5:5" ht="16.5">
      <c r="E14635" s="123"/>
    </row>
    <row r="14636" spans="5:5" ht="16.5">
      <c r="E14636" s="123"/>
    </row>
    <row r="14637" spans="5:5" ht="16.5">
      <c r="E14637" s="123"/>
    </row>
    <row r="14638" spans="5:5" ht="16.5">
      <c r="E14638" s="123"/>
    </row>
    <row r="14639" spans="5:5" ht="16.5">
      <c r="E14639" s="123"/>
    </row>
    <row r="14640" spans="5:5" ht="16.5">
      <c r="E14640" s="123"/>
    </row>
    <row r="14641" spans="5:5" ht="16.5">
      <c r="E14641" s="123"/>
    </row>
    <row r="14642" spans="5:5" ht="16.5">
      <c r="E14642" s="123"/>
    </row>
    <row r="14643" spans="5:5" ht="16.5">
      <c r="E14643" s="123"/>
    </row>
    <row r="14644" spans="5:5" ht="16.5">
      <c r="E14644" s="123"/>
    </row>
    <row r="14645" spans="5:5" ht="16.5">
      <c r="E14645" s="123"/>
    </row>
    <row r="14646" spans="5:5" ht="16.5">
      <c r="E14646" s="123"/>
    </row>
    <row r="14647" spans="5:5" ht="16.5">
      <c r="E14647" s="123"/>
    </row>
    <row r="14648" spans="5:5" ht="16.5">
      <c r="E14648" s="123"/>
    </row>
    <row r="14649" spans="5:5" ht="16.5">
      <c r="E14649" s="123"/>
    </row>
    <row r="14650" spans="5:5" ht="16.5">
      <c r="E14650" s="123"/>
    </row>
    <row r="14651" spans="5:5" ht="16.5">
      <c r="E14651" s="123"/>
    </row>
    <row r="14652" spans="5:5" ht="16.5">
      <c r="E14652" s="123"/>
    </row>
    <row r="14653" spans="5:5" ht="16.5">
      <c r="E14653" s="123"/>
    </row>
    <row r="14654" spans="5:5" ht="16.5">
      <c r="E14654" s="123"/>
    </row>
    <row r="14655" spans="5:5" ht="16.5">
      <c r="E14655" s="123"/>
    </row>
    <row r="14656" spans="5:5" ht="16.5">
      <c r="E14656" s="123"/>
    </row>
    <row r="14657" spans="5:5" ht="16.5">
      <c r="E14657" s="123"/>
    </row>
    <row r="14658" spans="5:5" ht="16.5">
      <c r="E14658" s="123"/>
    </row>
    <row r="14659" spans="5:5" ht="16.5">
      <c r="E14659" s="123"/>
    </row>
    <row r="14660" spans="5:5" ht="16.5">
      <c r="E14660" s="123"/>
    </row>
    <row r="14661" spans="5:5" ht="16.5">
      <c r="E14661" s="123"/>
    </row>
    <row r="14662" spans="5:5" ht="16.5">
      <c r="E14662" s="123"/>
    </row>
    <row r="14663" spans="5:5" ht="16.5">
      <c r="E14663" s="123"/>
    </row>
    <row r="14664" spans="5:5" ht="16.5">
      <c r="E14664" s="123"/>
    </row>
    <row r="14665" spans="5:5" ht="16.5">
      <c r="E14665" s="123"/>
    </row>
    <row r="14666" spans="5:5" ht="16.5">
      <c r="E14666" s="123"/>
    </row>
    <row r="14667" spans="5:5" ht="16.5">
      <c r="E14667" s="123"/>
    </row>
    <row r="14668" spans="5:5" ht="16.5">
      <c r="E14668" s="123"/>
    </row>
    <row r="14669" spans="5:5" ht="16.5">
      <c r="E14669" s="123"/>
    </row>
    <row r="14670" spans="5:5" ht="16.5">
      <c r="E14670" s="123"/>
    </row>
    <row r="14671" spans="5:5" ht="16.5">
      <c r="E14671" s="123"/>
    </row>
    <row r="14672" spans="5:5" ht="16.5">
      <c r="E14672" s="123"/>
    </row>
    <row r="14673" spans="5:5" ht="16.5">
      <c r="E14673" s="123"/>
    </row>
    <row r="14674" spans="5:5" ht="16.5">
      <c r="E14674" s="123"/>
    </row>
    <row r="14675" spans="5:5" ht="16.5">
      <c r="E14675" s="123"/>
    </row>
    <row r="14676" spans="5:5" ht="16.5">
      <c r="E14676" s="123"/>
    </row>
    <row r="14677" spans="5:5" ht="16.5">
      <c r="E14677" s="123"/>
    </row>
    <row r="14678" spans="5:5" ht="16.5">
      <c r="E14678" s="123"/>
    </row>
    <row r="14679" spans="5:5" ht="16.5">
      <c r="E14679" s="123"/>
    </row>
    <row r="14680" spans="5:5" ht="16.5">
      <c r="E14680" s="123"/>
    </row>
    <row r="14681" spans="5:5" ht="16.5">
      <c r="E14681" s="123"/>
    </row>
    <row r="14682" spans="5:5" ht="16.5">
      <c r="E14682" s="123"/>
    </row>
    <row r="14683" spans="5:5" ht="16.5">
      <c r="E14683" s="123"/>
    </row>
    <row r="14684" spans="5:5" ht="16.5">
      <c r="E14684" s="123"/>
    </row>
    <row r="14685" spans="5:5" ht="16.5">
      <c r="E14685" s="123"/>
    </row>
    <row r="14686" spans="5:5" ht="16.5">
      <c r="E14686" s="123"/>
    </row>
    <row r="14687" spans="5:5" ht="16.5">
      <c r="E14687" s="123"/>
    </row>
    <row r="14688" spans="5:5" ht="16.5">
      <c r="E14688" s="123"/>
    </row>
    <row r="14689" spans="5:5" ht="16.5">
      <c r="E14689" s="123"/>
    </row>
    <row r="14690" spans="5:5" ht="16.5">
      <c r="E14690" s="123"/>
    </row>
    <row r="14691" spans="5:5" ht="16.5">
      <c r="E14691" s="123"/>
    </row>
    <row r="14692" spans="5:5" ht="16.5">
      <c r="E14692" s="123"/>
    </row>
    <row r="14693" spans="5:5" ht="16.5">
      <c r="E14693" s="123"/>
    </row>
    <row r="14694" spans="5:5" ht="16.5">
      <c r="E14694" s="123"/>
    </row>
    <row r="14695" spans="5:5" ht="16.5">
      <c r="E14695" s="123"/>
    </row>
    <row r="14696" spans="5:5" ht="16.5">
      <c r="E14696" s="123"/>
    </row>
    <row r="14697" spans="5:5" ht="16.5">
      <c r="E14697" s="123"/>
    </row>
    <row r="14698" spans="5:5" ht="16.5">
      <c r="E14698" s="123"/>
    </row>
    <row r="14699" spans="5:5" ht="16.5">
      <c r="E14699" s="123"/>
    </row>
    <row r="14700" spans="5:5" ht="16.5">
      <c r="E14700" s="123"/>
    </row>
    <row r="14701" spans="5:5" ht="16.5">
      <c r="E14701" s="123"/>
    </row>
    <row r="14702" spans="5:5" ht="16.5">
      <c r="E14702" s="123"/>
    </row>
    <row r="14703" spans="5:5" ht="16.5">
      <c r="E14703" s="123"/>
    </row>
    <row r="14704" spans="5:5" ht="16.5">
      <c r="E14704" s="123"/>
    </row>
    <row r="14705" spans="5:5" ht="16.5">
      <c r="E14705" s="123"/>
    </row>
    <row r="14706" spans="5:5" ht="16.5">
      <c r="E14706" s="123"/>
    </row>
    <row r="14707" spans="5:5" ht="16.5">
      <c r="E14707" s="123"/>
    </row>
    <row r="14708" spans="5:5" ht="16.5">
      <c r="E14708" s="123"/>
    </row>
    <row r="14709" spans="5:5" ht="16.5">
      <c r="E14709" s="123"/>
    </row>
    <row r="14710" spans="5:5" ht="16.5">
      <c r="E14710" s="123"/>
    </row>
    <row r="14711" spans="5:5" ht="16.5">
      <c r="E14711" s="123"/>
    </row>
    <row r="14712" spans="5:5" ht="16.5">
      <c r="E14712" s="123"/>
    </row>
    <row r="14713" spans="5:5" ht="16.5">
      <c r="E14713" s="123"/>
    </row>
    <row r="14714" spans="5:5" ht="16.5">
      <c r="E14714" s="123"/>
    </row>
    <row r="14715" spans="5:5" ht="16.5">
      <c r="E14715" s="123"/>
    </row>
    <row r="14716" spans="5:5" ht="16.5">
      <c r="E14716" s="123"/>
    </row>
    <row r="14717" spans="5:5" ht="16.5">
      <c r="E14717" s="123"/>
    </row>
    <row r="14718" spans="5:5" ht="16.5">
      <c r="E14718" s="123"/>
    </row>
    <row r="14719" spans="5:5" ht="16.5">
      <c r="E14719" s="123"/>
    </row>
    <row r="14720" spans="5:5" ht="16.5">
      <c r="E14720" s="123"/>
    </row>
    <row r="14721" spans="5:5" ht="16.5">
      <c r="E14721" s="123"/>
    </row>
    <row r="14722" spans="5:5" ht="16.5">
      <c r="E14722" s="123"/>
    </row>
    <row r="14723" spans="5:5" ht="16.5">
      <c r="E14723" s="123"/>
    </row>
    <row r="14724" spans="5:5" ht="16.5">
      <c r="E14724" s="123"/>
    </row>
    <row r="14725" spans="5:5" ht="16.5">
      <c r="E14725" s="123"/>
    </row>
    <row r="14726" spans="5:5" ht="16.5">
      <c r="E14726" s="123"/>
    </row>
    <row r="14727" spans="5:5" ht="16.5">
      <c r="E14727" s="123"/>
    </row>
    <row r="14728" spans="5:5" ht="16.5">
      <c r="E14728" s="123"/>
    </row>
    <row r="14729" spans="5:5" ht="16.5">
      <c r="E14729" s="123"/>
    </row>
    <row r="14730" spans="5:5" ht="16.5">
      <c r="E14730" s="123"/>
    </row>
    <row r="14731" spans="5:5" ht="16.5">
      <c r="E14731" s="123"/>
    </row>
    <row r="14732" spans="5:5" ht="16.5">
      <c r="E14732" s="123"/>
    </row>
    <row r="14733" spans="5:5" ht="16.5">
      <c r="E14733" s="123"/>
    </row>
    <row r="14734" spans="5:5" ht="16.5">
      <c r="E14734" s="123"/>
    </row>
    <row r="14735" spans="5:5" ht="16.5">
      <c r="E14735" s="123"/>
    </row>
    <row r="14736" spans="5:5" ht="16.5">
      <c r="E14736" s="123"/>
    </row>
    <row r="14737" spans="5:5" ht="16.5">
      <c r="E14737" s="123"/>
    </row>
    <row r="14738" spans="5:5" ht="16.5">
      <c r="E14738" s="123"/>
    </row>
    <row r="14739" spans="5:5" ht="16.5">
      <c r="E14739" s="123"/>
    </row>
    <row r="14740" spans="5:5" ht="16.5">
      <c r="E14740" s="123"/>
    </row>
    <row r="14741" spans="5:5" ht="16.5">
      <c r="E14741" s="123"/>
    </row>
    <row r="14742" spans="5:5" ht="16.5">
      <c r="E14742" s="123"/>
    </row>
    <row r="14743" spans="5:5" ht="16.5">
      <c r="E14743" s="123"/>
    </row>
    <row r="14744" spans="5:5" ht="16.5">
      <c r="E14744" s="123"/>
    </row>
    <row r="14745" spans="5:5" ht="16.5">
      <c r="E14745" s="123"/>
    </row>
    <row r="14746" spans="5:5" ht="16.5">
      <c r="E14746" s="123"/>
    </row>
    <row r="14747" spans="5:5" ht="16.5">
      <c r="E14747" s="123"/>
    </row>
    <row r="14748" spans="5:5" ht="16.5">
      <c r="E14748" s="123"/>
    </row>
    <row r="14749" spans="5:5" ht="16.5">
      <c r="E14749" s="123"/>
    </row>
    <row r="14750" spans="5:5" ht="16.5">
      <c r="E14750" s="123"/>
    </row>
    <row r="14751" spans="5:5" ht="16.5">
      <c r="E14751" s="123"/>
    </row>
    <row r="14752" spans="5:5" ht="16.5">
      <c r="E14752" s="123"/>
    </row>
    <row r="14753" spans="5:5" ht="16.5">
      <c r="E14753" s="123"/>
    </row>
    <row r="14754" spans="5:5" ht="16.5">
      <c r="E14754" s="123"/>
    </row>
    <row r="14755" spans="5:5" ht="16.5">
      <c r="E14755" s="123"/>
    </row>
    <row r="14756" spans="5:5" ht="16.5">
      <c r="E14756" s="123"/>
    </row>
    <row r="14757" spans="5:5" ht="16.5">
      <c r="E14757" s="123"/>
    </row>
    <row r="14758" spans="5:5" ht="16.5">
      <c r="E14758" s="123"/>
    </row>
    <row r="14759" spans="5:5" ht="16.5">
      <c r="E14759" s="123"/>
    </row>
    <row r="14760" spans="5:5" ht="16.5">
      <c r="E14760" s="123"/>
    </row>
    <row r="14761" spans="5:5" ht="16.5">
      <c r="E14761" s="123"/>
    </row>
    <row r="14762" spans="5:5" ht="16.5">
      <c r="E14762" s="123"/>
    </row>
    <row r="14763" spans="5:5" ht="16.5">
      <c r="E14763" s="123"/>
    </row>
    <row r="14764" spans="5:5" ht="16.5">
      <c r="E14764" s="123"/>
    </row>
    <row r="14765" spans="5:5" ht="16.5">
      <c r="E14765" s="123"/>
    </row>
    <row r="14766" spans="5:5" ht="16.5">
      <c r="E14766" s="123"/>
    </row>
    <row r="14767" spans="5:5" ht="16.5">
      <c r="E14767" s="123"/>
    </row>
    <row r="14768" spans="5:5" ht="16.5">
      <c r="E14768" s="123"/>
    </row>
    <row r="14769" spans="5:5" ht="16.5">
      <c r="E14769" s="123"/>
    </row>
    <row r="14770" spans="5:5" ht="16.5">
      <c r="E14770" s="123"/>
    </row>
    <row r="14771" spans="5:5" ht="16.5">
      <c r="E14771" s="123"/>
    </row>
    <row r="14772" spans="5:5" ht="16.5">
      <c r="E14772" s="123"/>
    </row>
    <row r="14773" spans="5:5" ht="16.5">
      <c r="E14773" s="123"/>
    </row>
    <row r="14774" spans="5:5" ht="16.5">
      <c r="E14774" s="123"/>
    </row>
    <row r="14775" spans="5:5" ht="16.5">
      <c r="E14775" s="123"/>
    </row>
    <row r="14776" spans="5:5" ht="16.5">
      <c r="E14776" s="123"/>
    </row>
    <row r="14777" spans="5:5" ht="16.5">
      <c r="E14777" s="123"/>
    </row>
    <row r="14778" spans="5:5" ht="16.5">
      <c r="E14778" s="123"/>
    </row>
    <row r="14779" spans="5:5" ht="16.5">
      <c r="E14779" s="123"/>
    </row>
    <row r="14780" spans="5:5" ht="16.5">
      <c r="E14780" s="123"/>
    </row>
    <row r="14781" spans="5:5" ht="16.5">
      <c r="E14781" s="123"/>
    </row>
    <row r="14782" spans="5:5" ht="16.5">
      <c r="E14782" s="123"/>
    </row>
    <row r="14783" spans="5:5" ht="16.5">
      <c r="E14783" s="123"/>
    </row>
    <row r="14784" spans="5:5" ht="16.5">
      <c r="E14784" s="123"/>
    </row>
    <row r="14785" spans="5:5" ht="16.5">
      <c r="E14785" s="123"/>
    </row>
    <row r="14786" spans="5:5" ht="16.5">
      <c r="E14786" s="123"/>
    </row>
    <row r="14787" spans="5:5" ht="16.5">
      <c r="E14787" s="123"/>
    </row>
    <row r="14788" spans="5:5" ht="16.5">
      <c r="E14788" s="123"/>
    </row>
    <row r="14789" spans="5:5" ht="16.5">
      <c r="E14789" s="123"/>
    </row>
    <row r="14790" spans="5:5" ht="16.5">
      <c r="E14790" s="123"/>
    </row>
    <row r="14791" spans="5:5" ht="16.5">
      <c r="E14791" s="123"/>
    </row>
    <row r="14792" spans="5:5" ht="16.5">
      <c r="E14792" s="123"/>
    </row>
    <row r="14793" spans="5:5" ht="16.5">
      <c r="E14793" s="123"/>
    </row>
    <row r="14794" spans="5:5" ht="16.5">
      <c r="E14794" s="123"/>
    </row>
    <row r="14795" spans="5:5" ht="16.5">
      <c r="E14795" s="123"/>
    </row>
    <row r="14796" spans="5:5" ht="16.5">
      <c r="E14796" s="123"/>
    </row>
    <row r="14797" spans="5:5" ht="16.5">
      <c r="E14797" s="123"/>
    </row>
    <row r="14798" spans="5:5" ht="16.5">
      <c r="E14798" s="123"/>
    </row>
    <row r="14799" spans="5:5" ht="16.5">
      <c r="E14799" s="123"/>
    </row>
    <row r="14800" spans="5:5" ht="16.5">
      <c r="E14800" s="123"/>
    </row>
    <row r="14801" spans="5:5" ht="16.5">
      <c r="E14801" s="123"/>
    </row>
    <row r="14802" spans="5:5" ht="16.5">
      <c r="E14802" s="123"/>
    </row>
    <row r="14803" spans="5:5" ht="16.5">
      <c r="E14803" s="123"/>
    </row>
    <row r="14804" spans="5:5" ht="16.5">
      <c r="E14804" s="123"/>
    </row>
    <row r="14805" spans="5:5" ht="16.5">
      <c r="E14805" s="123"/>
    </row>
    <row r="14806" spans="5:5" ht="16.5">
      <c r="E14806" s="123"/>
    </row>
    <row r="14807" spans="5:5" ht="16.5">
      <c r="E14807" s="123"/>
    </row>
    <row r="14808" spans="5:5" ht="16.5">
      <c r="E14808" s="123"/>
    </row>
    <row r="14809" spans="5:5" ht="16.5">
      <c r="E14809" s="123"/>
    </row>
    <row r="14810" spans="5:5" ht="16.5">
      <c r="E14810" s="123"/>
    </row>
    <row r="14811" spans="5:5" ht="16.5">
      <c r="E14811" s="123"/>
    </row>
    <row r="14812" spans="5:5" ht="16.5">
      <c r="E14812" s="123"/>
    </row>
    <row r="14813" spans="5:5" ht="16.5">
      <c r="E14813" s="123"/>
    </row>
    <row r="14814" spans="5:5" ht="16.5">
      <c r="E14814" s="123"/>
    </row>
    <row r="14815" spans="5:5" ht="16.5">
      <c r="E14815" s="123"/>
    </row>
    <row r="14816" spans="5:5" ht="16.5">
      <c r="E14816" s="123"/>
    </row>
    <row r="14817" spans="5:5" ht="16.5">
      <c r="E14817" s="123"/>
    </row>
    <row r="14818" spans="5:5" ht="16.5">
      <c r="E14818" s="123"/>
    </row>
    <row r="14819" spans="5:5" ht="16.5">
      <c r="E14819" s="123"/>
    </row>
    <row r="14820" spans="5:5" ht="16.5">
      <c r="E14820" s="123"/>
    </row>
    <row r="14821" spans="5:5" ht="16.5">
      <c r="E14821" s="123"/>
    </row>
    <row r="14822" spans="5:5" ht="16.5">
      <c r="E14822" s="123"/>
    </row>
    <row r="14823" spans="5:5" ht="16.5">
      <c r="E14823" s="123"/>
    </row>
    <row r="14824" spans="5:5" ht="16.5">
      <c r="E14824" s="123"/>
    </row>
    <row r="14825" spans="5:5" ht="16.5">
      <c r="E14825" s="123"/>
    </row>
    <row r="14826" spans="5:5" ht="16.5">
      <c r="E14826" s="123"/>
    </row>
    <row r="14827" spans="5:5" ht="16.5">
      <c r="E14827" s="123"/>
    </row>
    <row r="14828" spans="5:5" ht="16.5">
      <c r="E14828" s="123"/>
    </row>
    <row r="14829" spans="5:5" ht="16.5">
      <c r="E14829" s="123"/>
    </row>
    <row r="14830" spans="5:5" ht="16.5">
      <c r="E14830" s="123"/>
    </row>
    <row r="14831" spans="5:5" ht="16.5">
      <c r="E14831" s="123"/>
    </row>
    <row r="14832" spans="5:5" ht="16.5">
      <c r="E14832" s="123"/>
    </row>
    <row r="14833" spans="5:5" ht="16.5">
      <c r="E14833" s="123"/>
    </row>
    <row r="14834" spans="5:5" ht="16.5">
      <c r="E14834" s="123"/>
    </row>
    <row r="14835" spans="5:5" ht="16.5">
      <c r="E14835" s="123"/>
    </row>
    <row r="14836" spans="5:5" ht="16.5">
      <c r="E14836" s="123"/>
    </row>
    <row r="14837" spans="5:5" ht="16.5">
      <c r="E14837" s="123"/>
    </row>
    <row r="14838" spans="5:5" ht="16.5">
      <c r="E14838" s="123"/>
    </row>
    <row r="14839" spans="5:5" ht="16.5">
      <c r="E14839" s="123"/>
    </row>
    <row r="14840" spans="5:5" ht="16.5">
      <c r="E14840" s="123"/>
    </row>
    <row r="14841" spans="5:5" ht="16.5">
      <c r="E14841" s="123"/>
    </row>
    <row r="14842" spans="5:5" ht="16.5">
      <c r="E14842" s="123"/>
    </row>
    <row r="14843" spans="5:5" ht="16.5">
      <c r="E14843" s="123"/>
    </row>
    <row r="14844" spans="5:5" ht="16.5">
      <c r="E14844" s="123"/>
    </row>
    <row r="14845" spans="5:5" ht="16.5">
      <c r="E14845" s="123"/>
    </row>
    <row r="14846" spans="5:5" ht="16.5">
      <c r="E14846" s="123"/>
    </row>
    <row r="14847" spans="5:5" ht="16.5">
      <c r="E14847" s="123"/>
    </row>
    <row r="14848" spans="5:5" ht="16.5">
      <c r="E14848" s="123"/>
    </row>
    <row r="14849" spans="5:5" ht="16.5">
      <c r="E14849" s="123"/>
    </row>
    <row r="14850" spans="5:5" ht="16.5">
      <c r="E14850" s="123"/>
    </row>
    <row r="14851" spans="5:5" ht="16.5">
      <c r="E14851" s="123"/>
    </row>
    <row r="14852" spans="5:5" ht="16.5">
      <c r="E14852" s="123"/>
    </row>
    <row r="14853" spans="5:5" ht="16.5">
      <c r="E14853" s="123"/>
    </row>
    <row r="14854" spans="5:5" ht="16.5">
      <c r="E14854" s="123"/>
    </row>
    <row r="14855" spans="5:5" ht="16.5">
      <c r="E14855" s="123"/>
    </row>
    <row r="14856" spans="5:5" ht="16.5">
      <c r="E14856" s="123"/>
    </row>
    <row r="14857" spans="5:5" ht="16.5">
      <c r="E14857" s="123"/>
    </row>
    <row r="14858" spans="5:5" ht="16.5">
      <c r="E14858" s="123"/>
    </row>
    <row r="14859" spans="5:5" ht="16.5">
      <c r="E14859" s="123"/>
    </row>
    <row r="14860" spans="5:5" ht="16.5">
      <c r="E14860" s="123"/>
    </row>
    <row r="14861" spans="5:5" ht="16.5">
      <c r="E14861" s="123"/>
    </row>
    <row r="14862" spans="5:5" ht="16.5">
      <c r="E14862" s="123"/>
    </row>
    <row r="14863" spans="5:5" ht="16.5">
      <c r="E14863" s="123"/>
    </row>
    <row r="14864" spans="5:5" ht="16.5">
      <c r="E14864" s="123"/>
    </row>
    <row r="14865" spans="5:5" ht="16.5">
      <c r="E14865" s="123"/>
    </row>
    <row r="14866" spans="5:5" ht="16.5">
      <c r="E14866" s="123"/>
    </row>
    <row r="14867" spans="5:5" ht="16.5">
      <c r="E14867" s="123"/>
    </row>
    <row r="14868" spans="5:5" ht="16.5">
      <c r="E14868" s="123"/>
    </row>
    <row r="14869" spans="5:5" ht="16.5">
      <c r="E14869" s="123"/>
    </row>
    <row r="14870" spans="5:5" ht="16.5">
      <c r="E14870" s="123"/>
    </row>
    <row r="14871" spans="5:5" ht="16.5">
      <c r="E14871" s="123"/>
    </row>
    <row r="14872" spans="5:5" ht="16.5">
      <c r="E14872" s="123"/>
    </row>
    <row r="14873" spans="5:5" ht="16.5">
      <c r="E14873" s="123"/>
    </row>
    <row r="14874" spans="5:5" ht="16.5">
      <c r="E14874" s="123"/>
    </row>
    <row r="14875" spans="5:5" ht="16.5">
      <c r="E14875" s="123"/>
    </row>
    <row r="14876" spans="5:5" ht="16.5">
      <c r="E14876" s="123"/>
    </row>
    <row r="14877" spans="5:5" ht="16.5">
      <c r="E14877" s="123"/>
    </row>
    <row r="14878" spans="5:5" ht="16.5">
      <c r="E14878" s="123"/>
    </row>
    <row r="14879" spans="5:5" ht="16.5">
      <c r="E14879" s="123"/>
    </row>
    <row r="14880" spans="5:5" ht="16.5">
      <c r="E14880" s="123"/>
    </row>
    <row r="14881" spans="5:5" ht="16.5">
      <c r="E14881" s="123"/>
    </row>
    <row r="14882" spans="5:5" ht="16.5">
      <c r="E14882" s="123"/>
    </row>
    <row r="14883" spans="5:5" ht="16.5">
      <c r="E14883" s="123"/>
    </row>
    <row r="14884" spans="5:5" ht="16.5">
      <c r="E14884" s="123"/>
    </row>
    <row r="14885" spans="5:5" ht="16.5">
      <c r="E14885" s="123"/>
    </row>
    <row r="14886" spans="5:5" ht="16.5">
      <c r="E14886" s="123"/>
    </row>
    <row r="14887" spans="5:5" ht="16.5">
      <c r="E14887" s="123"/>
    </row>
    <row r="14888" spans="5:5" ht="16.5">
      <c r="E14888" s="123"/>
    </row>
    <row r="14889" spans="5:5" ht="16.5">
      <c r="E14889" s="123"/>
    </row>
    <row r="14890" spans="5:5" ht="16.5">
      <c r="E14890" s="123"/>
    </row>
    <row r="14891" spans="5:5" ht="16.5">
      <c r="E14891" s="123"/>
    </row>
    <row r="14892" spans="5:5" ht="16.5">
      <c r="E14892" s="123"/>
    </row>
    <row r="14893" spans="5:5" ht="16.5">
      <c r="E14893" s="123"/>
    </row>
    <row r="14894" spans="5:5" ht="16.5">
      <c r="E14894" s="123"/>
    </row>
    <row r="14895" spans="5:5" ht="16.5">
      <c r="E14895" s="123"/>
    </row>
    <row r="14896" spans="5:5" ht="16.5">
      <c r="E14896" s="123"/>
    </row>
    <row r="14897" spans="5:5" ht="16.5">
      <c r="E14897" s="123"/>
    </row>
    <row r="14898" spans="5:5" ht="16.5">
      <c r="E14898" s="123"/>
    </row>
    <row r="14899" spans="5:5" ht="16.5">
      <c r="E14899" s="123"/>
    </row>
    <row r="14900" spans="5:5" ht="16.5">
      <c r="E14900" s="123"/>
    </row>
    <row r="14901" spans="5:5" ht="16.5">
      <c r="E14901" s="123"/>
    </row>
    <row r="14902" spans="5:5" ht="16.5">
      <c r="E14902" s="123"/>
    </row>
    <row r="14903" spans="5:5" ht="16.5">
      <c r="E14903" s="123"/>
    </row>
    <row r="14904" spans="5:5" ht="16.5">
      <c r="E14904" s="123"/>
    </row>
    <row r="14905" spans="5:5" ht="16.5">
      <c r="E14905" s="123"/>
    </row>
    <row r="14906" spans="5:5" ht="16.5">
      <c r="E14906" s="123"/>
    </row>
    <row r="14907" spans="5:5" ht="16.5">
      <c r="E14907" s="123"/>
    </row>
    <row r="14908" spans="5:5" ht="16.5">
      <c r="E14908" s="123"/>
    </row>
    <row r="14909" spans="5:5" ht="16.5">
      <c r="E14909" s="123"/>
    </row>
    <row r="14910" spans="5:5" ht="16.5">
      <c r="E14910" s="123"/>
    </row>
    <row r="14911" spans="5:5" ht="16.5">
      <c r="E14911" s="123"/>
    </row>
    <row r="14912" spans="5:5" ht="16.5">
      <c r="E14912" s="123"/>
    </row>
    <row r="14913" spans="5:5" ht="16.5">
      <c r="E14913" s="123"/>
    </row>
    <row r="14914" spans="5:5" ht="16.5">
      <c r="E14914" s="123"/>
    </row>
    <row r="14915" spans="5:5" ht="16.5">
      <c r="E14915" s="123"/>
    </row>
    <row r="14916" spans="5:5" ht="16.5">
      <c r="E14916" s="123"/>
    </row>
    <row r="14917" spans="5:5" ht="16.5">
      <c r="E14917" s="123"/>
    </row>
    <row r="14918" spans="5:5" ht="16.5">
      <c r="E14918" s="123"/>
    </row>
    <row r="14919" spans="5:5" ht="16.5">
      <c r="E14919" s="123"/>
    </row>
    <row r="14920" spans="5:5" ht="16.5">
      <c r="E14920" s="123"/>
    </row>
    <row r="14921" spans="5:5" ht="16.5">
      <c r="E14921" s="123"/>
    </row>
    <row r="14922" spans="5:5" ht="16.5">
      <c r="E14922" s="123"/>
    </row>
    <row r="14923" spans="5:5" ht="16.5">
      <c r="E14923" s="123"/>
    </row>
    <row r="14924" spans="5:5" ht="16.5">
      <c r="E14924" s="123"/>
    </row>
    <row r="14925" spans="5:5" ht="16.5">
      <c r="E14925" s="123"/>
    </row>
    <row r="14926" spans="5:5" ht="16.5">
      <c r="E14926" s="123"/>
    </row>
    <row r="14927" spans="5:5" ht="16.5">
      <c r="E14927" s="123"/>
    </row>
    <row r="14928" spans="5:5" ht="16.5">
      <c r="E14928" s="123"/>
    </row>
    <row r="14929" spans="5:5" ht="16.5">
      <c r="E14929" s="123"/>
    </row>
    <row r="14930" spans="5:5" ht="16.5">
      <c r="E14930" s="123"/>
    </row>
    <row r="14931" spans="5:5" ht="16.5">
      <c r="E14931" s="123"/>
    </row>
    <row r="14932" spans="5:5" ht="16.5">
      <c r="E14932" s="123"/>
    </row>
    <row r="14933" spans="5:5" ht="16.5">
      <c r="E14933" s="123"/>
    </row>
    <row r="14934" spans="5:5" ht="16.5">
      <c r="E14934" s="123"/>
    </row>
    <row r="14935" spans="5:5" ht="16.5">
      <c r="E14935" s="123"/>
    </row>
    <row r="14936" spans="5:5" ht="16.5">
      <c r="E14936" s="123"/>
    </row>
    <row r="14937" spans="5:5" ht="16.5">
      <c r="E14937" s="123"/>
    </row>
    <row r="14938" spans="5:5" ht="16.5">
      <c r="E14938" s="123"/>
    </row>
    <row r="14939" spans="5:5" ht="16.5">
      <c r="E14939" s="123"/>
    </row>
    <row r="14940" spans="5:5" ht="16.5">
      <c r="E14940" s="123"/>
    </row>
    <row r="14941" spans="5:5" ht="16.5">
      <c r="E14941" s="123"/>
    </row>
    <row r="14942" spans="5:5" ht="16.5">
      <c r="E14942" s="123"/>
    </row>
    <row r="14943" spans="5:5" ht="16.5">
      <c r="E14943" s="123"/>
    </row>
    <row r="14944" spans="5:5" ht="16.5">
      <c r="E14944" s="123"/>
    </row>
    <row r="14945" spans="5:5" ht="16.5">
      <c r="E14945" s="123"/>
    </row>
    <row r="14946" spans="5:5" ht="16.5">
      <c r="E14946" s="123"/>
    </row>
    <row r="14947" spans="5:5" ht="16.5">
      <c r="E14947" s="123"/>
    </row>
    <row r="14948" spans="5:5" ht="16.5">
      <c r="E14948" s="123"/>
    </row>
    <row r="14949" spans="5:5" ht="16.5">
      <c r="E14949" s="123"/>
    </row>
    <row r="14950" spans="5:5" ht="16.5">
      <c r="E14950" s="123"/>
    </row>
    <row r="14951" spans="5:5" ht="16.5">
      <c r="E14951" s="123"/>
    </row>
    <row r="14952" spans="5:5" ht="16.5">
      <c r="E14952" s="123"/>
    </row>
    <row r="14953" spans="5:5" ht="16.5">
      <c r="E14953" s="123"/>
    </row>
    <row r="14954" spans="5:5" ht="16.5">
      <c r="E14954" s="123"/>
    </row>
    <row r="14955" spans="5:5" ht="16.5">
      <c r="E14955" s="123"/>
    </row>
    <row r="14956" spans="5:5" ht="16.5">
      <c r="E14956" s="123"/>
    </row>
    <row r="14957" spans="5:5" ht="16.5">
      <c r="E14957" s="123"/>
    </row>
    <row r="14958" spans="5:5" ht="16.5">
      <c r="E14958" s="123"/>
    </row>
    <row r="14959" spans="5:5" ht="16.5">
      <c r="E14959" s="123"/>
    </row>
    <row r="14960" spans="5:5" ht="16.5">
      <c r="E14960" s="123"/>
    </row>
    <row r="14961" spans="5:5" ht="16.5">
      <c r="E14961" s="123"/>
    </row>
    <row r="14962" spans="5:5" ht="16.5">
      <c r="E14962" s="123"/>
    </row>
    <row r="14963" spans="5:5" ht="16.5">
      <c r="E14963" s="123"/>
    </row>
    <row r="14964" spans="5:5" ht="16.5">
      <c r="E14964" s="123"/>
    </row>
    <row r="14965" spans="5:5" ht="16.5">
      <c r="E14965" s="123"/>
    </row>
    <row r="14966" spans="5:5" ht="16.5">
      <c r="E14966" s="123"/>
    </row>
    <row r="14967" spans="5:5" ht="16.5">
      <c r="E14967" s="123"/>
    </row>
    <row r="14968" spans="5:5" ht="16.5">
      <c r="E14968" s="123"/>
    </row>
    <row r="14969" spans="5:5" ht="16.5">
      <c r="E14969" s="123"/>
    </row>
    <row r="14970" spans="5:5" ht="16.5">
      <c r="E14970" s="123"/>
    </row>
    <row r="14971" spans="5:5" ht="16.5">
      <c r="E14971" s="123"/>
    </row>
    <row r="14972" spans="5:5" ht="16.5">
      <c r="E14972" s="123"/>
    </row>
    <row r="14973" spans="5:5" ht="16.5">
      <c r="E14973" s="123"/>
    </row>
    <row r="14974" spans="5:5" ht="16.5">
      <c r="E14974" s="123"/>
    </row>
    <row r="14975" spans="5:5" ht="16.5">
      <c r="E14975" s="123"/>
    </row>
    <row r="14976" spans="5:5" ht="16.5">
      <c r="E14976" s="123"/>
    </row>
    <row r="14977" spans="5:5" ht="16.5">
      <c r="E14977" s="123"/>
    </row>
    <row r="14978" spans="5:5" ht="16.5">
      <c r="E14978" s="123"/>
    </row>
    <row r="14979" spans="5:5" ht="16.5">
      <c r="E14979" s="123"/>
    </row>
    <row r="14980" spans="5:5" ht="16.5">
      <c r="E14980" s="123"/>
    </row>
    <row r="14981" spans="5:5" ht="16.5">
      <c r="E14981" s="123"/>
    </row>
    <row r="14982" spans="5:5" ht="16.5">
      <c r="E14982" s="123"/>
    </row>
    <row r="14983" spans="5:5" ht="16.5">
      <c r="E14983" s="123"/>
    </row>
    <row r="14984" spans="5:5" ht="16.5">
      <c r="E14984" s="123"/>
    </row>
    <row r="14985" spans="5:5" ht="16.5">
      <c r="E14985" s="123"/>
    </row>
    <row r="14986" spans="5:5" ht="16.5">
      <c r="E14986" s="123"/>
    </row>
    <row r="14987" spans="5:5" ht="16.5">
      <c r="E14987" s="123"/>
    </row>
    <row r="14988" spans="5:5" ht="16.5">
      <c r="E14988" s="123"/>
    </row>
    <row r="14989" spans="5:5" ht="16.5">
      <c r="E14989" s="123"/>
    </row>
    <row r="14990" spans="5:5" ht="16.5">
      <c r="E14990" s="123"/>
    </row>
    <row r="14991" spans="5:5" ht="16.5">
      <c r="E14991" s="123"/>
    </row>
    <row r="14992" spans="5:5" ht="16.5">
      <c r="E14992" s="123"/>
    </row>
    <row r="14993" spans="5:5" ht="16.5">
      <c r="E14993" s="123"/>
    </row>
    <row r="14994" spans="5:5" ht="16.5">
      <c r="E14994" s="123"/>
    </row>
    <row r="14995" spans="5:5" ht="16.5">
      <c r="E14995" s="123"/>
    </row>
    <row r="14996" spans="5:5" ht="16.5">
      <c r="E14996" s="123"/>
    </row>
    <row r="14997" spans="5:5" ht="16.5">
      <c r="E14997" s="123"/>
    </row>
    <row r="14998" spans="5:5" ht="16.5">
      <c r="E14998" s="123"/>
    </row>
    <row r="14999" spans="5:5" ht="16.5">
      <c r="E14999" s="123"/>
    </row>
    <row r="15000" spans="5:5" ht="16.5">
      <c r="E15000" s="123"/>
    </row>
    <row r="15001" spans="5:5" ht="16.5">
      <c r="E15001" s="123"/>
    </row>
    <row r="15002" spans="5:5" ht="16.5">
      <c r="E15002" s="123"/>
    </row>
    <row r="15003" spans="5:5" ht="16.5">
      <c r="E15003" s="123"/>
    </row>
    <row r="15004" spans="5:5" ht="16.5">
      <c r="E15004" s="123"/>
    </row>
    <row r="15005" spans="5:5" ht="16.5">
      <c r="E15005" s="123"/>
    </row>
    <row r="15006" spans="5:5" ht="16.5">
      <c r="E15006" s="123"/>
    </row>
    <row r="15007" spans="5:5" ht="16.5">
      <c r="E15007" s="123"/>
    </row>
    <row r="15008" spans="5:5" ht="16.5">
      <c r="E15008" s="123"/>
    </row>
    <row r="15009" spans="5:5" ht="16.5">
      <c r="E15009" s="123"/>
    </row>
    <row r="15010" spans="5:5" ht="16.5">
      <c r="E15010" s="123"/>
    </row>
    <row r="15011" spans="5:5" ht="16.5">
      <c r="E15011" s="123"/>
    </row>
    <row r="15012" spans="5:5" ht="16.5">
      <c r="E15012" s="123"/>
    </row>
    <row r="15013" spans="5:5" ht="16.5">
      <c r="E15013" s="123"/>
    </row>
    <row r="15014" spans="5:5" ht="16.5">
      <c r="E15014" s="123"/>
    </row>
    <row r="15015" spans="5:5" ht="16.5">
      <c r="E15015" s="123"/>
    </row>
    <row r="15016" spans="5:5" ht="16.5">
      <c r="E15016" s="123"/>
    </row>
    <row r="15017" spans="5:5" ht="16.5">
      <c r="E15017" s="123"/>
    </row>
    <row r="15018" spans="5:5" ht="16.5">
      <c r="E15018" s="123"/>
    </row>
    <row r="15019" spans="5:5" ht="16.5">
      <c r="E15019" s="123"/>
    </row>
    <row r="15020" spans="5:5" ht="16.5">
      <c r="E15020" s="123"/>
    </row>
    <row r="15021" spans="5:5" ht="16.5">
      <c r="E15021" s="123"/>
    </row>
    <row r="15022" spans="5:5" ht="16.5">
      <c r="E15022" s="123"/>
    </row>
    <row r="15023" spans="5:5" ht="16.5">
      <c r="E15023" s="123"/>
    </row>
    <row r="15024" spans="5:5" ht="16.5">
      <c r="E15024" s="123"/>
    </row>
    <row r="15025" spans="5:5" ht="16.5">
      <c r="E15025" s="123"/>
    </row>
    <row r="15026" spans="5:5" ht="16.5">
      <c r="E15026" s="123"/>
    </row>
    <row r="15027" spans="5:5" ht="16.5">
      <c r="E15027" s="123"/>
    </row>
    <row r="15028" spans="5:5" ht="16.5">
      <c r="E15028" s="123"/>
    </row>
    <row r="15029" spans="5:5" ht="16.5">
      <c r="E15029" s="123"/>
    </row>
    <row r="15030" spans="5:5" ht="16.5">
      <c r="E15030" s="123"/>
    </row>
    <row r="15031" spans="5:5" ht="16.5">
      <c r="E15031" s="123"/>
    </row>
    <row r="15032" spans="5:5" ht="16.5">
      <c r="E15032" s="123"/>
    </row>
    <row r="15033" spans="5:5" ht="16.5">
      <c r="E15033" s="123"/>
    </row>
    <row r="15034" spans="5:5" ht="16.5">
      <c r="E15034" s="123"/>
    </row>
    <row r="15035" spans="5:5" ht="16.5">
      <c r="E15035" s="123"/>
    </row>
    <row r="15036" spans="5:5" ht="16.5">
      <c r="E15036" s="123"/>
    </row>
    <row r="15037" spans="5:5" ht="16.5">
      <c r="E15037" s="123"/>
    </row>
    <row r="15038" spans="5:5" ht="16.5">
      <c r="E15038" s="123"/>
    </row>
    <row r="15039" spans="5:5" ht="16.5">
      <c r="E15039" s="123"/>
    </row>
    <row r="15040" spans="5:5" ht="16.5">
      <c r="E15040" s="123"/>
    </row>
    <row r="15041" spans="5:5" ht="16.5">
      <c r="E15041" s="123"/>
    </row>
    <row r="15042" spans="5:5" ht="16.5">
      <c r="E15042" s="123"/>
    </row>
    <row r="15043" spans="5:5" ht="16.5">
      <c r="E15043" s="123"/>
    </row>
    <row r="15044" spans="5:5" ht="16.5">
      <c r="E15044" s="123"/>
    </row>
    <row r="15045" spans="5:5" ht="16.5">
      <c r="E15045" s="123"/>
    </row>
    <row r="15046" spans="5:5" ht="16.5">
      <c r="E15046" s="123"/>
    </row>
    <row r="15047" spans="5:5" ht="16.5">
      <c r="E15047" s="123"/>
    </row>
    <row r="15048" spans="5:5" ht="16.5">
      <c r="E15048" s="123"/>
    </row>
    <row r="15049" spans="5:5" ht="16.5">
      <c r="E15049" s="123"/>
    </row>
    <row r="15050" spans="5:5" ht="16.5">
      <c r="E15050" s="123"/>
    </row>
    <row r="15051" spans="5:5" ht="16.5">
      <c r="E15051" s="123"/>
    </row>
    <row r="15052" spans="5:5" ht="16.5">
      <c r="E15052" s="123"/>
    </row>
    <row r="15053" spans="5:5" ht="16.5">
      <c r="E15053" s="123"/>
    </row>
    <row r="15054" spans="5:5" ht="16.5">
      <c r="E15054" s="123"/>
    </row>
    <row r="15055" spans="5:5" ht="16.5">
      <c r="E15055" s="123"/>
    </row>
    <row r="15056" spans="5:5" ht="16.5">
      <c r="E15056" s="123"/>
    </row>
    <row r="15057" spans="5:5" ht="16.5">
      <c r="E15057" s="123"/>
    </row>
    <row r="15058" spans="5:5" ht="16.5">
      <c r="E15058" s="123"/>
    </row>
    <row r="15059" spans="5:5" ht="16.5">
      <c r="E15059" s="123"/>
    </row>
    <row r="15060" spans="5:5" ht="16.5">
      <c r="E15060" s="123"/>
    </row>
    <row r="15061" spans="5:5" ht="16.5">
      <c r="E15061" s="123"/>
    </row>
    <row r="15062" spans="5:5" ht="16.5">
      <c r="E15062" s="123"/>
    </row>
    <row r="15063" spans="5:5" ht="16.5">
      <c r="E15063" s="123"/>
    </row>
    <row r="15064" spans="5:5" ht="16.5">
      <c r="E15064" s="123"/>
    </row>
    <row r="15065" spans="5:5" ht="16.5">
      <c r="E15065" s="123"/>
    </row>
    <row r="15066" spans="5:5" ht="16.5">
      <c r="E15066" s="123"/>
    </row>
    <row r="15067" spans="5:5" ht="16.5">
      <c r="E15067" s="123"/>
    </row>
    <row r="15068" spans="5:5" ht="16.5">
      <c r="E15068" s="123"/>
    </row>
    <row r="15069" spans="5:5" ht="16.5">
      <c r="E15069" s="123"/>
    </row>
    <row r="15070" spans="5:5" ht="16.5">
      <c r="E15070" s="123"/>
    </row>
    <row r="15071" spans="5:5" ht="16.5">
      <c r="E15071" s="123"/>
    </row>
    <row r="15072" spans="5:5" ht="16.5">
      <c r="E15072" s="123"/>
    </row>
    <row r="15073" spans="5:5" ht="16.5">
      <c r="E15073" s="123"/>
    </row>
    <row r="15074" spans="5:5" ht="16.5">
      <c r="E15074" s="123"/>
    </row>
    <row r="15075" spans="5:5" ht="16.5">
      <c r="E15075" s="123"/>
    </row>
    <row r="15076" spans="5:5" ht="16.5">
      <c r="E15076" s="123"/>
    </row>
    <row r="15077" spans="5:5" ht="16.5">
      <c r="E15077" s="123"/>
    </row>
    <row r="15078" spans="5:5" ht="16.5">
      <c r="E15078" s="123"/>
    </row>
    <row r="15079" spans="5:5" ht="16.5">
      <c r="E15079" s="123"/>
    </row>
    <row r="15080" spans="5:5" ht="16.5">
      <c r="E15080" s="123"/>
    </row>
    <row r="15081" spans="5:5" ht="16.5">
      <c r="E15081" s="123"/>
    </row>
    <row r="15082" spans="5:5" ht="16.5">
      <c r="E15082" s="123"/>
    </row>
    <row r="15083" spans="5:5" ht="16.5">
      <c r="E15083" s="123"/>
    </row>
    <row r="15084" spans="5:5" ht="16.5">
      <c r="E15084" s="123"/>
    </row>
    <row r="15085" spans="5:5" ht="16.5">
      <c r="E15085" s="123"/>
    </row>
    <row r="15086" spans="5:5" ht="16.5">
      <c r="E15086" s="123"/>
    </row>
    <row r="15087" spans="5:5" ht="16.5">
      <c r="E15087" s="123"/>
    </row>
    <row r="15088" spans="5:5" ht="16.5">
      <c r="E15088" s="123"/>
    </row>
    <row r="15089" spans="5:5" ht="16.5">
      <c r="E15089" s="123"/>
    </row>
    <row r="15090" spans="5:5" ht="16.5">
      <c r="E15090" s="123"/>
    </row>
    <row r="15091" spans="5:5" ht="16.5">
      <c r="E15091" s="123"/>
    </row>
    <row r="15092" spans="5:5" ht="16.5">
      <c r="E15092" s="123"/>
    </row>
    <row r="15093" spans="5:5" ht="16.5">
      <c r="E15093" s="123"/>
    </row>
    <row r="15094" spans="5:5" ht="16.5">
      <c r="E15094" s="123"/>
    </row>
    <row r="15095" spans="5:5" ht="16.5">
      <c r="E15095" s="123"/>
    </row>
    <row r="15096" spans="5:5" ht="16.5">
      <c r="E15096" s="123"/>
    </row>
    <row r="15097" spans="5:5" ht="16.5">
      <c r="E15097" s="123"/>
    </row>
    <row r="15098" spans="5:5" ht="16.5">
      <c r="E15098" s="123"/>
    </row>
    <row r="15099" spans="5:5" ht="16.5">
      <c r="E15099" s="123"/>
    </row>
    <row r="15100" spans="5:5" ht="16.5">
      <c r="E15100" s="123"/>
    </row>
    <row r="15101" spans="5:5" ht="16.5">
      <c r="E15101" s="123"/>
    </row>
    <row r="15102" spans="5:5" ht="16.5">
      <c r="E15102" s="123"/>
    </row>
    <row r="15103" spans="5:5" ht="16.5">
      <c r="E15103" s="123"/>
    </row>
    <row r="15104" spans="5:5" ht="16.5">
      <c r="E15104" s="123"/>
    </row>
    <row r="15105" spans="5:5" ht="16.5">
      <c r="E15105" s="123"/>
    </row>
    <row r="15106" spans="5:5" ht="16.5">
      <c r="E15106" s="123"/>
    </row>
    <row r="15107" spans="5:5" ht="16.5">
      <c r="E15107" s="123"/>
    </row>
    <row r="15108" spans="5:5" ht="16.5">
      <c r="E15108" s="123"/>
    </row>
    <row r="15109" spans="5:5" ht="16.5">
      <c r="E15109" s="123"/>
    </row>
    <row r="15110" spans="5:5" ht="16.5">
      <c r="E15110" s="123"/>
    </row>
    <row r="15111" spans="5:5" ht="16.5">
      <c r="E15111" s="123"/>
    </row>
    <row r="15112" spans="5:5" ht="16.5">
      <c r="E15112" s="123"/>
    </row>
    <row r="15113" spans="5:5" ht="16.5">
      <c r="E15113" s="123"/>
    </row>
    <row r="15114" spans="5:5" ht="16.5">
      <c r="E15114" s="123"/>
    </row>
    <row r="15115" spans="5:5" ht="16.5">
      <c r="E15115" s="123"/>
    </row>
    <row r="15116" spans="5:5" ht="16.5">
      <c r="E15116" s="123"/>
    </row>
    <row r="15117" spans="5:5" ht="16.5">
      <c r="E15117" s="123"/>
    </row>
    <row r="15118" spans="5:5" ht="16.5">
      <c r="E15118" s="123"/>
    </row>
    <row r="15119" spans="5:5" ht="16.5">
      <c r="E15119" s="123"/>
    </row>
    <row r="15120" spans="5:5" ht="16.5">
      <c r="E15120" s="123"/>
    </row>
    <row r="15121" spans="5:5" ht="16.5">
      <c r="E15121" s="123"/>
    </row>
    <row r="15122" spans="5:5" ht="16.5">
      <c r="E15122" s="123"/>
    </row>
    <row r="15123" spans="5:5" ht="16.5">
      <c r="E15123" s="123"/>
    </row>
    <row r="15124" spans="5:5" ht="16.5">
      <c r="E15124" s="123"/>
    </row>
    <row r="15125" spans="5:5" ht="16.5">
      <c r="E15125" s="123"/>
    </row>
    <row r="15126" spans="5:5" ht="16.5">
      <c r="E15126" s="123"/>
    </row>
    <row r="15127" spans="5:5" ht="16.5">
      <c r="E15127" s="123"/>
    </row>
    <row r="15128" spans="5:5" ht="16.5">
      <c r="E15128" s="123"/>
    </row>
    <row r="15129" spans="5:5" ht="16.5">
      <c r="E15129" s="123"/>
    </row>
    <row r="15130" spans="5:5" ht="16.5">
      <c r="E15130" s="123"/>
    </row>
    <row r="15131" spans="5:5" ht="16.5">
      <c r="E15131" s="123"/>
    </row>
    <row r="15132" spans="5:5" ht="16.5">
      <c r="E15132" s="123"/>
    </row>
    <row r="15133" spans="5:5" ht="16.5">
      <c r="E15133" s="123"/>
    </row>
    <row r="15134" spans="5:5" ht="16.5">
      <c r="E15134" s="123"/>
    </row>
    <row r="15135" spans="5:5" ht="16.5">
      <c r="E15135" s="123"/>
    </row>
    <row r="15136" spans="5:5" ht="16.5">
      <c r="E15136" s="123"/>
    </row>
    <row r="15137" spans="5:5" ht="16.5">
      <c r="E15137" s="123"/>
    </row>
    <row r="15138" spans="5:5" ht="16.5">
      <c r="E15138" s="123"/>
    </row>
    <row r="15139" spans="5:5" ht="16.5">
      <c r="E15139" s="123"/>
    </row>
    <row r="15140" spans="5:5" ht="16.5">
      <c r="E15140" s="123"/>
    </row>
    <row r="15141" spans="5:5" ht="16.5">
      <c r="E15141" s="123"/>
    </row>
    <row r="15142" spans="5:5" ht="16.5">
      <c r="E15142" s="123"/>
    </row>
    <row r="15143" spans="5:5" ht="16.5">
      <c r="E15143" s="123"/>
    </row>
    <row r="15144" spans="5:5" ht="16.5">
      <c r="E15144" s="123"/>
    </row>
    <row r="15145" spans="5:5" ht="16.5">
      <c r="E15145" s="123"/>
    </row>
    <row r="15146" spans="5:5" ht="16.5">
      <c r="E15146" s="123"/>
    </row>
    <row r="15147" spans="5:5" ht="16.5">
      <c r="E15147" s="123"/>
    </row>
    <row r="15148" spans="5:5" ht="16.5">
      <c r="E15148" s="123"/>
    </row>
    <row r="15149" spans="5:5" ht="16.5">
      <c r="E15149" s="123"/>
    </row>
    <row r="15150" spans="5:5" ht="16.5">
      <c r="E15150" s="123"/>
    </row>
    <row r="15151" spans="5:5" ht="16.5">
      <c r="E15151" s="123"/>
    </row>
    <row r="15152" spans="5:5" ht="16.5">
      <c r="E15152" s="123"/>
    </row>
    <row r="15153" spans="5:5" ht="16.5">
      <c r="E15153" s="123"/>
    </row>
    <row r="15154" spans="5:5" ht="16.5">
      <c r="E15154" s="123"/>
    </row>
    <row r="15155" spans="5:5" ht="16.5">
      <c r="E15155" s="123"/>
    </row>
    <row r="15156" spans="5:5" ht="16.5">
      <c r="E15156" s="123"/>
    </row>
    <row r="15157" spans="5:5" ht="16.5">
      <c r="E15157" s="123"/>
    </row>
    <row r="15158" spans="5:5" ht="16.5">
      <c r="E15158" s="123"/>
    </row>
    <row r="15159" spans="5:5" ht="16.5">
      <c r="E15159" s="123"/>
    </row>
    <row r="15160" spans="5:5" ht="16.5">
      <c r="E15160" s="123"/>
    </row>
    <row r="15161" spans="5:5" ht="16.5">
      <c r="E15161" s="123"/>
    </row>
    <row r="15162" spans="5:5" ht="16.5">
      <c r="E15162" s="123"/>
    </row>
    <row r="15163" spans="5:5" ht="16.5">
      <c r="E15163" s="123"/>
    </row>
    <row r="15164" spans="5:5" ht="16.5">
      <c r="E15164" s="123"/>
    </row>
    <row r="15165" spans="5:5" ht="16.5">
      <c r="E15165" s="123"/>
    </row>
    <row r="15166" spans="5:5" ht="16.5">
      <c r="E15166" s="123"/>
    </row>
    <row r="15167" spans="5:5" ht="16.5">
      <c r="E15167" s="123"/>
    </row>
    <row r="15168" spans="5:5" ht="16.5">
      <c r="E15168" s="123"/>
    </row>
    <row r="15169" spans="5:5" ht="16.5">
      <c r="E15169" s="123"/>
    </row>
    <row r="15170" spans="5:5" ht="16.5">
      <c r="E15170" s="123"/>
    </row>
    <row r="15171" spans="5:5" ht="16.5">
      <c r="E15171" s="123"/>
    </row>
    <row r="15172" spans="5:5" ht="16.5">
      <c r="E15172" s="123"/>
    </row>
    <row r="15173" spans="5:5" ht="16.5">
      <c r="E15173" s="123"/>
    </row>
    <row r="15174" spans="5:5" ht="16.5">
      <c r="E15174" s="123"/>
    </row>
    <row r="15175" spans="5:5" ht="16.5">
      <c r="E15175" s="123"/>
    </row>
    <row r="15176" spans="5:5" ht="16.5">
      <c r="E15176" s="123"/>
    </row>
    <row r="15177" spans="5:5" ht="16.5">
      <c r="E15177" s="123"/>
    </row>
    <row r="15178" spans="5:5" ht="16.5">
      <c r="E15178" s="123"/>
    </row>
    <row r="15179" spans="5:5" ht="16.5">
      <c r="E15179" s="123"/>
    </row>
    <row r="15180" spans="5:5" ht="16.5">
      <c r="E15180" s="123"/>
    </row>
    <row r="15181" spans="5:5" ht="16.5">
      <c r="E15181" s="123"/>
    </row>
    <row r="15182" spans="5:5" ht="16.5">
      <c r="E15182" s="123"/>
    </row>
    <row r="15183" spans="5:5" ht="16.5">
      <c r="E15183" s="123"/>
    </row>
    <row r="15184" spans="5:5" ht="16.5">
      <c r="E15184" s="123"/>
    </row>
    <row r="15185" spans="5:5" ht="16.5">
      <c r="E15185" s="123"/>
    </row>
    <row r="15186" spans="5:5" ht="16.5">
      <c r="E15186" s="123"/>
    </row>
    <row r="15187" spans="5:5" ht="16.5">
      <c r="E15187" s="123"/>
    </row>
    <row r="15188" spans="5:5" ht="16.5">
      <c r="E15188" s="123"/>
    </row>
    <row r="15189" spans="5:5" ht="16.5">
      <c r="E15189" s="123"/>
    </row>
    <row r="15190" spans="5:5" ht="16.5">
      <c r="E15190" s="123"/>
    </row>
    <row r="15191" spans="5:5" ht="16.5">
      <c r="E15191" s="123"/>
    </row>
    <row r="15192" spans="5:5" ht="16.5">
      <c r="E15192" s="123"/>
    </row>
    <row r="15193" spans="5:5" ht="16.5">
      <c r="E15193" s="123"/>
    </row>
    <row r="15194" spans="5:5" ht="16.5">
      <c r="E15194" s="123"/>
    </row>
    <row r="15195" spans="5:5" ht="16.5">
      <c r="E15195" s="123"/>
    </row>
    <row r="15196" spans="5:5" ht="16.5">
      <c r="E15196" s="123"/>
    </row>
    <row r="15197" spans="5:5" ht="16.5">
      <c r="E15197" s="123"/>
    </row>
    <row r="15198" spans="5:5" ht="16.5">
      <c r="E15198" s="123"/>
    </row>
    <row r="15199" spans="5:5" ht="16.5">
      <c r="E15199" s="123"/>
    </row>
    <row r="15200" spans="5:5" ht="16.5">
      <c r="E15200" s="123"/>
    </row>
    <row r="15201" spans="5:5" ht="16.5">
      <c r="E15201" s="123"/>
    </row>
    <row r="15202" spans="5:5" ht="16.5">
      <c r="E15202" s="123"/>
    </row>
    <row r="15203" spans="5:5" ht="16.5">
      <c r="E15203" s="123"/>
    </row>
    <row r="15204" spans="5:5" ht="16.5">
      <c r="E15204" s="123"/>
    </row>
    <row r="15205" spans="5:5" ht="16.5">
      <c r="E15205" s="123"/>
    </row>
    <row r="15206" spans="5:5" ht="16.5">
      <c r="E15206" s="123"/>
    </row>
    <row r="15207" spans="5:5" ht="16.5">
      <c r="E15207" s="123"/>
    </row>
    <row r="15208" spans="5:5" ht="16.5">
      <c r="E15208" s="123"/>
    </row>
    <row r="15209" spans="5:5" ht="16.5">
      <c r="E15209" s="123"/>
    </row>
    <row r="15210" spans="5:5" ht="16.5">
      <c r="E15210" s="123"/>
    </row>
    <row r="15211" spans="5:5" ht="16.5">
      <c r="E15211" s="123"/>
    </row>
    <row r="15212" spans="5:5" ht="16.5">
      <c r="E15212" s="123"/>
    </row>
    <row r="15213" spans="5:5" ht="16.5">
      <c r="E15213" s="123"/>
    </row>
    <row r="15214" spans="5:5" ht="16.5">
      <c r="E15214" s="123"/>
    </row>
    <row r="15215" spans="5:5" ht="16.5">
      <c r="E15215" s="123"/>
    </row>
    <row r="15216" spans="5:5" ht="16.5">
      <c r="E15216" s="123"/>
    </row>
    <row r="15217" spans="5:5" ht="16.5">
      <c r="E15217" s="123"/>
    </row>
    <row r="15218" spans="5:5" ht="16.5">
      <c r="E15218" s="123"/>
    </row>
    <row r="15219" spans="5:5" ht="16.5">
      <c r="E15219" s="123"/>
    </row>
    <row r="15220" spans="5:5" ht="16.5">
      <c r="E15220" s="123"/>
    </row>
    <row r="15221" spans="5:5" ht="16.5">
      <c r="E15221" s="123"/>
    </row>
    <row r="15222" spans="5:5" ht="16.5">
      <c r="E15222" s="123"/>
    </row>
    <row r="15223" spans="5:5" ht="16.5">
      <c r="E15223" s="123"/>
    </row>
    <row r="15224" spans="5:5" ht="16.5">
      <c r="E15224" s="123"/>
    </row>
    <row r="15225" spans="5:5" ht="16.5">
      <c r="E15225" s="123"/>
    </row>
    <row r="15226" spans="5:5" ht="16.5">
      <c r="E15226" s="123"/>
    </row>
    <row r="15227" spans="5:5" ht="16.5">
      <c r="E15227" s="123"/>
    </row>
    <row r="15228" spans="5:5" ht="16.5">
      <c r="E15228" s="123"/>
    </row>
    <row r="15229" spans="5:5" ht="16.5">
      <c r="E15229" s="123"/>
    </row>
    <row r="15230" spans="5:5" ht="16.5">
      <c r="E15230" s="123"/>
    </row>
    <row r="15231" spans="5:5" ht="16.5">
      <c r="E15231" s="123"/>
    </row>
    <row r="15232" spans="5:5" ht="16.5">
      <c r="E15232" s="123"/>
    </row>
    <row r="15233" spans="5:5" ht="16.5">
      <c r="E15233" s="123"/>
    </row>
    <row r="15234" spans="5:5" ht="16.5">
      <c r="E15234" s="123"/>
    </row>
    <row r="15235" spans="5:5" ht="16.5">
      <c r="E15235" s="123"/>
    </row>
    <row r="15236" spans="5:5" ht="16.5">
      <c r="E15236" s="123"/>
    </row>
    <row r="15237" spans="5:5" ht="16.5">
      <c r="E15237" s="123"/>
    </row>
    <row r="15238" spans="5:5" ht="16.5">
      <c r="E15238" s="123"/>
    </row>
    <row r="15239" spans="5:5" ht="16.5">
      <c r="E15239" s="123"/>
    </row>
    <row r="15240" spans="5:5" ht="16.5">
      <c r="E15240" s="123"/>
    </row>
    <row r="15241" spans="5:5" ht="16.5">
      <c r="E15241" s="123"/>
    </row>
    <row r="15242" spans="5:5" ht="16.5">
      <c r="E15242" s="123"/>
    </row>
    <row r="15243" spans="5:5" ht="16.5">
      <c r="E15243" s="123"/>
    </row>
    <row r="15244" spans="5:5" ht="16.5">
      <c r="E15244" s="123"/>
    </row>
    <row r="15245" spans="5:5" ht="16.5">
      <c r="E15245" s="123"/>
    </row>
    <row r="15246" spans="5:5" ht="16.5">
      <c r="E15246" s="123"/>
    </row>
    <row r="15247" spans="5:5" ht="16.5">
      <c r="E15247" s="123"/>
    </row>
    <row r="15248" spans="5:5" ht="16.5">
      <c r="E15248" s="123"/>
    </row>
    <row r="15249" spans="5:5" ht="16.5">
      <c r="E15249" s="123"/>
    </row>
    <row r="15250" spans="5:5" ht="16.5">
      <c r="E15250" s="123"/>
    </row>
    <row r="15251" spans="5:5" ht="16.5">
      <c r="E15251" s="123"/>
    </row>
    <row r="15252" spans="5:5" ht="16.5">
      <c r="E15252" s="123"/>
    </row>
    <row r="15253" spans="5:5" ht="16.5">
      <c r="E15253" s="123"/>
    </row>
    <row r="15254" spans="5:5" ht="16.5">
      <c r="E15254" s="123"/>
    </row>
    <row r="15255" spans="5:5" ht="16.5">
      <c r="E15255" s="123"/>
    </row>
    <row r="15256" spans="5:5" ht="16.5">
      <c r="E15256" s="123"/>
    </row>
    <row r="15257" spans="5:5" ht="16.5">
      <c r="E15257" s="123"/>
    </row>
    <row r="15258" spans="5:5" ht="16.5">
      <c r="E15258" s="123"/>
    </row>
    <row r="15259" spans="5:5" ht="16.5">
      <c r="E15259" s="123"/>
    </row>
    <row r="15260" spans="5:5" ht="16.5">
      <c r="E15260" s="123"/>
    </row>
    <row r="15261" spans="5:5" ht="16.5">
      <c r="E15261" s="123"/>
    </row>
    <row r="15262" spans="5:5" ht="16.5">
      <c r="E15262" s="123"/>
    </row>
    <row r="15263" spans="5:5" ht="16.5">
      <c r="E15263" s="123"/>
    </row>
    <row r="15264" spans="5:5" ht="16.5">
      <c r="E15264" s="123"/>
    </row>
    <row r="15265" spans="5:5" ht="16.5">
      <c r="E15265" s="123"/>
    </row>
    <row r="15266" spans="5:5" ht="16.5">
      <c r="E15266" s="123"/>
    </row>
    <row r="15267" spans="5:5" ht="16.5">
      <c r="E15267" s="123"/>
    </row>
    <row r="15268" spans="5:5" ht="16.5">
      <c r="E15268" s="123"/>
    </row>
    <row r="15269" spans="5:5" ht="16.5">
      <c r="E15269" s="123"/>
    </row>
    <row r="15270" spans="5:5" ht="16.5">
      <c r="E15270" s="123"/>
    </row>
    <row r="15271" spans="5:5" ht="16.5">
      <c r="E15271" s="123"/>
    </row>
    <row r="15272" spans="5:5" ht="16.5">
      <c r="E15272" s="123"/>
    </row>
    <row r="15273" spans="5:5" ht="16.5">
      <c r="E15273" s="123"/>
    </row>
    <row r="15274" spans="5:5" ht="16.5">
      <c r="E15274" s="123"/>
    </row>
    <row r="15275" spans="5:5" ht="16.5">
      <c r="E15275" s="123"/>
    </row>
    <row r="15276" spans="5:5" ht="16.5">
      <c r="E15276" s="123"/>
    </row>
    <row r="15277" spans="5:5" ht="16.5">
      <c r="E15277" s="123"/>
    </row>
    <row r="15278" spans="5:5" ht="16.5">
      <c r="E15278" s="123"/>
    </row>
    <row r="15279" spans="5:5" ht="16.5">
      <c r="E15279" s="123"/>
    </row>
    <row r="15280" spans="5:5" ht="16.5">
      <c r="E15280" s="123"/>
    </row>
    <row r="15281" spans="5:5" ht="16.5">
      <c r="E15281" s="123"/>
    </row>
    <row r="15282" spans="5:5" ht="16.5">
      <c r="E15282" s="123"/>
    </row>
    <row r="15283" spans="5:5" ht="16.5">
      <c r="E15283" s="123"/>
    </row>
    <row r="15284" spans="5:5" ht="16.5">
      <c r="E15284" s="123"/>
    </row>
    <row r="15285" spans="5:5" ht="16.5">
      <c r="E15285" s="123"/>
    </row>
    <row r="15286" spans="5:5" ht="16.5">
      <c r="E15286" s="123"/>
    </row>
    <row r="15287" spans="5:5" ht="16.5">
      <c r="E15287" s="123"/>
    </row>
    <row r="15288" spans="5:5" ht="16.5">
      <c r="E15288" s="123"/>
    </row>
    <row r="15289" spans="5:5" ht="16.5">
      <c r="E15289" s="123"/>
    </row>
    <row r="15290" spans="5:5" ht="16.5">
      <c r="E15290" s="123"/>
    </row>
    <row r="15291" spans="5:5" ht="16.5">
      <c r="E15291" s="123"/>
    </row>
    <row r="15292" spans="5:5" ht="16.5">
      <c r="E15292" s="123"/>
    </row>
    <row r="15293" spans="5:5" ht="16.5">
      <c r="E15293" s="123"/>
    </row>
    <row r="15294" spans="5:5" ht="16.5">
      <c r="E15294" s="123"/>
    </row>
    <row r="15295" spans="5:5" ht="16.5">
      <c r="E15295" s="123"/>
    </row>
    <row r="15296" spans="5:5" ht="16.5">
      <c r="E15296" s="123"/>
    </row>
    <row r="15297" spans="5:5" ht="16.5">
      <c r="E15297" s="123"/>
    </row>
    <row r="15298" spans="5:5" ht="16.5">
      <c r="E15298" s="123"/>
    </row>
    <row r="15299" spans="5:5" ht="16.5">
      <c r="E15299" s="123"/>
    </row>
    <row r="15300" spans="5:5" ht="16.5">
      <c r="E15300" s="123"/>
    </row>
    <row r="15301" spans="5:5" ht="16.5">
      <c r="E15301" s="123"/>
    </row>
    <row r="15302" spans="5:5" ht="16.5">
      <c r="E15302" s="123"/>
    </row>
    <row r="15303" spans="5:5" ht="16.5">
      <c r="E15303" s="123"/>
    </row>
    <row r="15304" spans="5:5" ht="16.5">
      <c r="E15304" s="123"/>
    </row>
    <row r="15305" spans="5:5" ht="16.5">
      <c r="E15305" s="123"/>
    </row>
    <row r="15306" spans="5:5" ht="16.5">
      <c r="E15306" s="123"/>
    </row>
    <row r="15307" spans="5:5" ht="16.5">
      <c r="E15307" s="123"/>
    </row>
    <row r="15308" spans="5:5" ht="16.5">
      <c r="E15308" s="123"/>
    </row>
    <row r="15309" spans="5:5" ht="16.5">
      <c r="E15309" s="123"/>
    </row>
    <row r="15310" spans="5:5" ht="16.5">
      <c r="E15310" s="123"/>
    </row>
    <row r="15311" spans="5:5" ht="16.5">
      <c r="E15311" s="123"/>
    </row>
    <row r="15312" spans="5:5" ht="16.5">
      <c r="E15312" s="123"/>
    </row>
    <row r="15313" spans="5:5" ht="16.5">
      <c r="E15313" s="123"/>
    </row>
    <row r="15314" spans="5:5" ht="16.5">
      <c r="E15314" s="123"/>
    </row>
    <row r="15315" spans="5:5" ht="16.5">
      <c r="E15315" s="123"/>
    </row>
    <row r="15316" spans="5:5" ht="16.5">
      <c r="E15316" s="123"/>
    </row>
    <row r="15317" spans="5:5" ht="16.5">
      <c r="E15317" s="123"/>
    </row>
    <row r="15318" spans="5:5" ht="16.5">
      <c r="E15318" s="123"/>
    </row>
    <row r="15319" spans="5:5" ht="16.5">
      <c r="E15319" s="123"/>
    </row>
    <row r="15320" spans="5:5" ht="16.5">
      <c r="E15320" s="123"/>
    </row>
    <row r="15321" spans="5:5" ht="16.5">
      <c r="E15321" s="123"/>
    </row>
    <row r="15322" spans="5:5" ht="16.5">
      <c r="E15322" s="123"/>
    </row>
    <row r="15323" spans="5:5" ht="16.5">
      <c r="E15323" s="123"/>
    </row>
    <row r="15324" spans="5:5" ht="16.5">
      <c r="E15324" s="123"/>
    </row>
    <row r="15325" spans="5:5" ht="16.5">
      <c r="E15325" s="123"/>
    </row>
    <row r="15326" spans="5:5" ht="16.5">
      <c r="E15326" s="123"/>
    </row>
    <row r="15327" spans="5:5" ht="16.5">
      <c r="E15327" s="123"/>
    </row>
    <row r="15328" spans="5:5" ht="16.5">
      <c r="E15328" s="123"/>
    </row>
    <row r="15329" spans="5:5" ht="16.5">
      <c r="E15329" s="123"/>
    </row>
    <row r="15330" spans="5:5" ht="16.5">
      <c r="E15330" s="123"/>
    </row>
    <row r="15331" spans="5:5" ht="16.5">
      <c r="E15331" s="123"/>
    </row>
    <row r="15332" spans="5:5" ht="16.5">
      <c r="E15332" s="123"/>
    </row>
    <row r="15333" spans="5:5" ht="16.5">
      <c r="E15333" s="123"/>
    </row>
    <row r="15334" spans="5:5" ht="16.5">
      <c r="E15334" s="123"/>
    </row>
    <row r="15335" spans="5:5" ht="16.5">
      <c r="E15335" s="123"/>
    </row>
    <row r="15336" spans="5:5" ht="16.5">
      <c r="E15336" s="123"/>
    </row>
    <row r="15337" spans="5:5" ht="16.5">
      <c r="E15337" s="123"/>
    </row>
    <row r="15338" spans="5:5" ht="16.5">
      <c r="E15338" s="123"/>
    </row>
    <row r="15339" spans="5:5" ht="16.5">
      <c r="E15339" s="123"/>
    </row>
    <row r="15340" spans="5:5" ht="16.5">
      <c r="E15340" s="123"/>
    </row>
    <row r="15341" spans="5:5" ht="16.5">
      <c r="E15341" s="123"/>
    </row>
    <row r="15342" spans="5:5" ht="16.5">
      <c r="E15342" s="123"/>
    </row>
    <row r="15343" spans="5:5" ht="16.5">
      <c r="E15343" s="123"/>
    </row>
    <row r="15344" spans="5:5" ht="16.5">
      <c r="E15344" s="123"/>
    </row>
    <row r="15345" spans="5:5" ht="16.5">
      <c r="E15345" s="123"/>
    </row>
    <row r="15346" spans="5:5" ht="16.5">
      <c r="E15346" s="123"/>
    </row>
    <row r="15347" spans="5:5" ht="16.5">
      <c r="E15347" s="123"/>
    </row>
    <row r="15348" spans="5:5" ht="16.5">
      <c r="E15348" s="123"/>
    </row>
    <row r="15349" spans="5:5" ht="16.5">
      <c r="E15349" s="123"/>
    </row>
    <row r="15350" spans="5:5" ht="16.5">
      <c r="E15350" s="123"/>
    </row>
    <row r="15351" spans="5:5" ht="16.5">
      <c r="E15351" s="123"/>
    </row>
    <row r="15352" spans="5:5" ht="16.5">
      <c r="E15352" s="123"/>
    </row>
    <row r="15353" spans="5:5" ht="16.5">
      <c r="E15353" s="123"/>
    </row>
    <row r="15354" spans="5:5" ht="16.5">
      <c r="E15354" s="123"/>
    </row>
    <row r="15355" spans="5:5" ht="16.5">
      <c r="E15355" s="123"/>
    </row>
    <row r="15356" spans="5:5" ht="16.5">
      <c r="E15356" s="123"/>
    </row>
    <row r="15357" spans="5:5" ht="16.5">
      <c r="E15357" s="123"/>
    </row>
    <row r="15358" spans="5:5" ht="16.5">
      <c r="E15358" s="123"/>
    </row>
    <row r="15359" spans="5:5" ht="16.5">
      <c r="E15359" s="123"/>
    </row>
    <row r="15360" spans="5:5" ht="16.5">
      <c r="E15360" s="123"/>
    </row>
    <row r="15361" spans="5:5" ht="16.5">
      <c r="E15361" s="123"/>
    </row>
    <row r="15362" spans="5:5" ht="16.5">
      <c r="E15362" s="123"/>
    </row>
    <row r="15363" spans="5:5" ht="16.5">
      <c r="E15363" s="123"/>
    </row>
    <row r="15364" spans="5:5" ht="16.5">
      <c r="E15364" s="123"/>
    </row>
    <row r="15365" spans="5:5" ht="16.5">
      <c r="E15365" s="123"/>
    </row>
    <row r="15366" spans="5:5" ht="16.5">
      <c r="E15366" s="123"/>
    </row>
    <row r="15367" spans="5:5" ht="16.5">
      <c r="E15367" s="123"/>
    </row>
    <row r="15368" spans="5:5" ht="16.5">
      <c r="E15368" s="123"/>
    </row>
    <row r="15369" spans="5:5" ht="16.5">
      <c r="E15369" s="123"/>
    </row>
    <row r="15370" spans="5:5" ht="16.5">
      <c r="E15370" s="123"/>
    </row>
    <row r="15371" spans="5:5" ht="16.5">
      <c r="E15371" s="123"/>
    </row>
    <row r="15372" spans="5:5" ht="16.5">
      <c r="E15372" s="123"/>
    </row>
    <row r="15373" spans="5:5" ht="16.5">
      <c r="E15373" s="123"/>
    </row>
    <row r="15374" spans="5:5" ht="16.5">
      <c r="E15374" s="123"/>
    </row>
    <row r="15375" spans="5:5" ht="16.5">
      <c r="E15375" s="123"/>
    </row>
    <row r="15376" spans="5:5" ht="16.5">
      <c r="E15376" s="123"/>
    </row>
    <row r="15377" spans="5:5" ht="16.5">
      <c r="E15377" s="123"/>
    </row>
    <row r="15378" spans="5:5" ht="16.5">
      <c r="E15378" s="123"/>
    </row>
    <row r="15379" spans="5:5" ht="16.5">
      <c r="E15379" s="123"/>
    </row>
    <row r="15380" spans="5:5" ht="16.5">
      <c r="E15380" s="123"/>
    </row>
    <row r="15381" spans="5:5" ht="16.5">
      <c r="E15381" s="123"/>
    </row>
    <row r="15382" spans="5:5" ht="16.5">
      <c r="E15382" s="123"/>
    </row>
    <row r="15383" spans="5:5" ht="16.5">
      <c r="E15383" s="123"/>
    </row>
    <row r="15384" spans="5:5" ht="16.5">
      <c r="E15384" s="123"/>
    </row>
    <row r="15385" spans="5:5" ht="16.5">
      <c r="E15385" s="123"/>
    </row>
    <row r="15386" spans="5:5" ht="16.5">
      <c r="E15386" s="123"/>
    </row>
    <row r="15387" spans="5:5" ht="16.5">
      <c r="E15387" s="123"/>
    </row>
    <row r="15388" spans="5:5" ht="16.5">
      <c r="E15388" s="123"/>
    </row>
    <row r="15389" spans="5:5" ht="16.5">
      <c r="E15389" s="123"/>
    </row>
    <row r="15390" spans="5:5" ht="16.5">
      <c r="E15390" s="123"/>
    </row>
    <row r="15391" spans="5:5" ht="16.5">
      <c r="E15391" s="123"/>
    </row>
    <row r="15392" spans="5:5" ht="16.5">
      <c r="E15392" s="123"/>
    </row>
    <row r="15393" spans="5:5" ht="16.5">
      <c r="E15393" s="123"/>
    </row>
    <row r="15394" spans="5:5" ht="16.5">
      <c r="E15394" s="123"/>
    </row>
    <row r="15395" spans="5:5" ht="16.5">
      <c r="E15395" s="123"/>
    </row>
    <row r="15396" spans="5:5" ht="16.5">
      <c r="E15396" s="123"/>
    </row>
    <row r="15397" spans="5:5" ht="16.5">
      <c r="E15397" s="123"/>
    </row>
    <row r="15398" spans="5:5" ht="16.5">
      <c r="E15398" s="123"/>
    </row>
    <row r="15399" spans="5:5" ht="16.5">
      <c r="E15399" s="123"/>
    </row>
    <row r="15400" spans="5:5" ht="16.5">
      <c r="E15400" s="123"/>
    </row>
    <row r="15401" spans="5:5" ht="16.5">
      <c r="E15401" s="123"/>
    </row>
    <row r="15402" spans="5:5" ht="16.5">
      <c r="E15402" s="123"/>
    </row>
    <row r="15403" spans="5:5" ht="16.5">
      <c r="E15403" s="123"/>
    </row>
    <row r="15404" spans="5:5" ht="16.5">
      <c r="E15404" s="123"/>
    </row>
    <row r="15405" spans="5:5" ht="16.5">
      <c r="E15405" s="123"/>
    </row>
    <row r="15406" spans="5:5" ht="16.5">
      <c r="E15406" s="123"/>
    </row>
    <row r="15407" spans="5:5" ht="16.5">
      <c r="E15407" s="123"/>
    </row>
    <row r="15408" spans="5:5" ht="16.5">
      <c r="E15408" s="123"/>
    </row>
    <row r="15409" spans="5:5" ht="16.5">
      <c r="E15409" s="123"/>
    </row>
    <row r="15410" spans="5:5" ht="16.5">
      <c r="E15410" s="123"/>
    </row>
    <row r="15411" spans="5:5" ht="16.5">
      <c r="E15411" s="123"/>
    </row>
    <row r="15412" spans="5:5" ht="16.5">
      <c r="E15412" s="123"/>
    </row>
    <row r="15413" spans="5:5" ht="16.5">
      <c r="E15413" s="123"/>
    </row>
    <row r="15414" spans="5:5" ht="16.5">
      <c r="E15414" s="123"/>
    </row>
    <row r="15415" spans="5:5" ht="16.5">
      <c r="E15415" s="123"/>
    </row>
    <row r="15416" spans="5:5" ht="16.5">
      <c r="E15416" s="123"/>
    </row>
    <row r="15417" spans="5:5" ht="16.5">
      <c r="E15417" s="123"/>
    </row>
    <row r="15418" spans="5:5" ht="16.5">
      <c r="E15418" s="123"/>
    </row>
    <row r="15419" spans="5:5" ht="16.5">
      <c r="E15419" s="123"/>
    </row>
    <row r="15420" spans="5:5" ht="16.5">
      <c r="E15420" s="123"/>
    </row>
    <row r="15421" spans="5:5" ht="16.5">
      <c r="E15421" s="123"/>
    </row>
    <row r="15422" spans="5:5" ht="16.5">
      <c r="E15422" s="123"/>
    </row>
    <row r="15423" spans="5:5" ht="16.5">
      <c r="E15423" s="123"/>
    </row>
    <row r="15424" spans="5:5" ht="16.5">
      <c r="E15424" s="123"/>
    </row>
    <row r="15425" spans="5:5" ht="16.5">
      <c r="E15425" s="123"/>
    </row>
    <row r="15426" spans="5:5" ht="16.5">
      <c r="E15426" s="123"/>
    </row>
    <row r="15427" spans="5:5" ht="16.5">
      <c r="E15427" s="123"/>
    </row>
    <row r="15428" spans="5:5" ht="16.5">
      <c r="E15428" s="123"/>
    </row>
    <row r="15429" spans="5:5" ht="16.5">
      <c r="E15429" s="123"/>
    </row>
    <row r="15430" spans="5:5" ht="16.5">
      <c r="E15430" s="123"/>
    </row>
    <row r="15431" spans="5:5" ht="16.5">
      <c r="E15431" s="123"/>
    </row>
    <row r="15432" spans="5:5" ht="16.5">
      <c r="E15432" s="123"/>
    </row>
    <row r="15433" spans="5:5" ht="16.5">
      <c r="E15433" s="123"/>
    </row>
    <row r="15434" spans="5:5" ht="16.5">
      <c r="E15434" s="123"/>
    </row>
    <row r="15435" spans="5:5" ht="16.5">
      <c r="E15435" s="123"/>
    </row>
    <row r="15436" spans="5:5" ht="16.5">
      <c r="E15436" s="123"/>
    </row>
    <row r="15437" spans="5:5" ht="16.5">
      <c r="E15437" s="123"/>
    </row>
    <row r="15438" spans="5:5" ht="16.5">
      <c r="E15438" s="123"/>
    </row>
    <row r="15439" spans="5:5" ht="16.5">
      <c r="E15439" s="123"/>
    </row>
    <row r="15440" spans="5:5" ht="16.5">
      <c r="E15440" s="123"/>
    </row>
    <row r="15441" spans="5:5" ht="16.5">
      <c r="E15441" s="123"/>
    </row>
    <row r="15442" spans="5:5" ht="16.5">
      <c r="E15442" s="123"/>
    </row>
    <row r="15443" spans="5:5" ht="16.5">
      <c r="E15443" s="123"/>
    </row>
    <row r="15444" spans="5:5" ht="16.5">
      <c r="E15444" s="123"/>
    </row>
    <row r="15445" spans="5:5" ht="16.5">
      <c r="E15445" s="123"/>
    </row>
    <row r="15446" spans="5:5" ht="16.5">
      <c r="E15446" s="123"/>
    </row>
    <row r="15447" spans="5:5" ht="16.5">
      <c r="E15447" s="123"/>
    </row>
    <row r="15448" spans="5:5" ht="16.5">
      <c r="E15448" s="123"/>
    </row>
    <row r="15449" spans="5:5" ht="16.5">
      <c r="E15449" s="123"/>
    </row>
    <row r="15450" spans="5:5" ht="16.5">
      <c r="E15450" s="123"/>
    </row>
    <row r="15451" spans="5:5" ht="16.5">
      <c r="E15451" s="123"/>
    </row>
    <row r="15452" spans="5:5" ht="16.5">
      <c r="E15452" s="123"/>
    </row>
    <row r="15453" spans="5:5" ht="16.5">
      <c r="E15453" s="123"/>
    </row>
    <row r="15454" spans="5:5" ht="16.5">
      <c r="E15454" s="123"/>
    </row>
    <row r="15455" spans="5:5" ht="16.5">
      <c r="E15455" s="123"/>
    </row>
    <row r="15456" spans="5:5" ht="16.5">
      <c r="E15456" s="123"/>
    </row>
    <row r="15457" spans="5:5" ht="16.5">
      <c r="E15457" s="123"/>
    </row>
    <row r="15458" spans="5:5" ht="16.5">
      <c r="E15458" s="123"/>
    </row>
    <row r="15459" spans="5:5" ht="16.5">
      <c r="E15459" s="123"/>
    </row>
    <row r="15460" spans="5:5" ht="16.5">
      <c r="E15460" s="123"/>
    </row>
    <row r="15461" spans="5:5" ht="16.5">
      <c r="E15461" s="123"/>
    </row>
    <row r="15462" spans="5:5" ht="16.5">
      <c r="E15462" s="123"/>
    </row>
    <row r="15463" spans="5:5" ht="16.5">
      <c r="E15463" s="123"/>
    </row>
    <row r="15464" spans="5:5" ht="16.5">
      <c r="E15464" s="123"/>
    </row>
    <row r="15465" spans="5:5" ht="16.5">
      <c r="E15465" s="123"/>
    </row>
    <row r="15466" spans="5:5" ht="16.5">
      <c r="E15466" s="123"/>
    </row>
    <row r="15467" spans="5:5" ht="16.5">
      <c r="E15467" s="123"/>
    </row>
    <row r="15468" spans="5:5" ht="16.5">
      <c r="E15468" s="123"/>
    </row>
    <row r="15469" spans="5:5" ht="16.5">
      <c r="E15469" s="123"/>
    </row>
    <row r="15470" spans="5:5" ht="16.5">
      <c r="E15470" s="123"/>
    </row>
    <row r="15471" spans="5:5" ht="16.5">
      <c r="E15471" s="123"/>
    </row>
    <row r="15472" spans="5:5" ht="16.5">
      <c r="E15472" s="123"/>
    </row>
    <row r="15473" spans="5:5" ht="16.5">
      <c r="E15473" s="123"/>
    </row>
    <row r="15474" spans="5:5" ht="16.5">
      <c r="E15474" s="123"/>
    </row>
    <row r="15475" spans="5:5" ht="16.5">
      <c r="E15475" s="123"/>
    </row>
    <row r="15476" spans="5:5" ht="16.5">
      <c r="E15476" s="123"/>
    </row>
    <row r="15477" spans="5:5" ht="16.5">
      <c r="E15477" s="123"/>
    </row>
    <row r="15478" spans="5:5" ht="16.5">
      <c r="E15478" s="123"/>
    </row>
    <row r="15479" spans="5:5" ht="16.5">
      <c r="E15479" s="123"/>
    </row>
    <row r="15480" spans="5:5" ht="16.5">
      <c r="E15480" s="123"/>
    </row>
    <row r="15481" spans="5:5" ht="16.5">
      <c r="E15481" s="123"/>
    </row>
    <row r="15482" spans="5:5" ht="16.5">
      <c r="E15482" s="123"/>
    </row>
    <row r="15483" spans="5:5" ht="16.5">
      <c r="E15483" s="123"/>
    </row>
    <row r="15484" spans="5:5" ht="16.5">
      <c r="E15484" s="123"/>
    </row>
    <row r="15485" spans="5:5" ht="16.5">
      <c r="E15485" s="123"/>
    </row>
    <row r="15486" spans="5:5" ht="16.5">
      <c r="E15486" s="123"/>
    </row>
    <row r="15487" spans="5:5" ht="16.5">
      <c r="E15487" s="123"/>
    </row>
    <row r="15488" spans="5:5" ht="16.5">
      <c r="E15488" s="123"/>
    </row>
    <row r="15489" spans="5:5" ht="16.5">
      <c r="E15489" s="123"/>
    </row>
    <row r="15490" spans="5:5" ht="16.5">
      <c r="E15490" s="123"/>
    </row>
    <row r="15491" spans="5:5" ht="16.5">
      <c r="E15491" s="123"/>
    </row>
    <row r="15492" spans="5:5" ht="16.5">
      <c r="E15492" s="123"/>
    </row>
    <row r="15493" spans="5:5" ht="16.5">
      <c r="E15493" s="123"/>
    </row>
    <row r="15494" spans="5:5" ht="16.5">
      <c r="E15494" s="123"/>
    </row>
    <row r="15495" spans="5:5" ht="16.5">
      <c r="E15495" s="123"/>
    </row>
    <row r="15496" spans="5:5" ht="16.5">
      <c r="E15496" s="123"/>
    </row>
    <row r="15497" spans="5:5" ht="16.5">
      <c r="E15497" s="123"/>
    </row>
    <row r="15498" spans="5:5" ht="16.5">
      <c r="E15498" s="123"/>
    </row>
    <row r="15499" spans="5:5" ht="16.5">
      <c r="E15499" s="123"/>
    </row>
    <row r="15500" spans="5:5" ht="16.5">
      <c r="E15500" s="123"/>
    </row>
    <row r="15501" spans="5:5" ht="16.5">
      <c r="E15501" s="123"/>
    </row>
    <row r="15502" spans="5:5" ht="16.5">
      <c r="E15502" s="123"/>
    </row>
    <row r="15503" spans="5:5" ht="16.5">
      <c r="E15503" s="123"/>
    </row>
    <row r="15504" spans="5:5" ht="16.5">
      <c r="E15504" s="123"/>
    </row>
    <row r="15505" spans="5:5" ht="16.5">
      <c r="E15505" s="123"/>
    </row>
    <row r="15506" spans="5:5" ht="16.5">
      <c r="E15506" s="123"/>
    </row>
    <row r="15507" spans="5:5" ht="16.5">
      <c r="E15507" s="123"/>
    </row>
    <row r="15508" spans="5:5" ht="16.5">
      <c r="E15508" s="123"/>
    </row>
    <row r="15509" spans="5:5" ht="16.5">
      <c r="E15509" s="123"/>
    </row>
    <row r="15510" spans="5:5" ht="16.5">
      <c r="E15510" s="123"/>
    </row>
    <row r="15511" spans="5:5" ht="16.5">
      <c r="E15511" s="123"/>
    </row>
    <row r="15512" spans="5:5" ht="16.5">
      <c r="E15512" s="123"/>
    </row>
    <row r="15513" spans="5:5" ht="16.5">
      <c r="E15513" s="123"/>
    </row>
    <row r="15514" spans="5:5" ht="16.5">
      <c r="E15514" s="123"/>
    </row>
    <row r="15515" spans="5:5" ht="16.5">
      <c r="E15515" s="123"/>
    </row>
    <row r="15516" spans="5:5" ht="16.5">
      <c r="E15516" s="123"/>
    </row>
    <row r="15517" spans="5:5" ht="16.5">
      <c r="E15517" s="123"/>
    </row>
    <row r="15518" spans="5:5" ht="16.5">
      <c r="E15518" s="123"/>
    </row>
    <row r="15519" spans="5:5" ht="16.5">
      <c r="E15519" s="123"/>
    </row>
    <row r="15520" spans="5:5" ht="16.5">
      <c r="E15520" s="123"/>
    </row>
    <row r="15521" spans="5:5" ht="16.5">
      <c r="E15521" s="123"/>
    </row>
    <row r="15522" spans="5:5" ht="16.5">
      <c r="E15522" s="123"/>
    </row>
    <row r="15523" spans="5:5" ht="16.5">
      <c r="E15523" s="123"/>
    </row>
    <row r="15524" spans="5:5" ht="16.5">
      <c r="E15524" s="123"/>
    </row>
    <row r="15525" spans="5:5" ht="16.5">
      <c r="E15525" s="123"/>
    </row>
    <row r="15526" spans="5:5" ht="16.5">
      <c r="E15526" s="123"/>
    </row>
    <row r="15527" spans="5:5" ht="16.5">
      <c r="E15527" s="123"/>
    </row>
    <row r="15528" spans="5:5" ht="16.5">
      <c r="E15528" s="123"/>
    </row>
    <row r="15529" spans="5:5" ht="16.5">
      <c r="E15529" s="123"/>
    </row>
    <row r="15530" spans="5:5" ht="16.5">
      <c r="E15530" s="123"/>
    </row>
    <row r="15531" spans="5:5" ht="16.5">
      <c r="E15531" s="123"/>
    </row>
    <row r="15532" spans="5:5" ht="16.5">
      <c r="E15532" s="123"/>
    </row>
    <row r="15533" spans="5:5" ht="16.5">
      <c r="E15533" s="123"/>
    </row>
    <row r="15534" spans="5:5" ht="16.5">
      <c r="E15534" s="123"/>
    </row>
    <row r="15535" spans="5:5" ht="16.5">
      <c r="E15535" s="123"/>
    </row>
    <row r="15536" spans="5:5" ht="16.5">
      <c r="E15536" s="123"/>
    </row>
    <row r="15537" spans="5:5" ht="16.5">
      <c r="E15537" s="123"/>
    </row>
    <row r="15538" spans="5:5" ht="16.5">
      <c r="E15538" s="123"/>
    </row>
    <row r="15539" spans="5:5" ht="16.5">
      <c r="E15539" s="123"/>
    </row>
    <row r="15540" spans="5:5" ht="16.5">
      <c r="E15540" s="123"/>
    </row>
    <row r="15541" spans="5:5" ht="16.5">
      <c r="E15541" s="123"/>
    </row>
    <row r="15542" spans="5:5" ht="16.5">
      <c r="E15542" s="123"/>
    </row>
    <row r="15543" spans="5:5" ht="16.5">
      <c r="E15543" s="123"/>
    </row>
    <row r="15544" spans="5:5" ht="16.5">
      <c r="E15544" s="123"/>
    </row>
    <row r="15545" spans="5:5" ht="16.5">
      <c r="E15545" s="123"/>
    </row>
    <row r="15546" spans="5:5" ht="16.5">
      <c r="E15546" s="123"/>
    </row>
    <row r="15547" spans="5:5" ht="16.5">
      <c r="E15547" s="123"/>
    </row>
    <row r="15548" spans="5:5" ht="16.5">
      <c r="E15548" s="123"/>
    </row>
    <row r="15549" spans="5:5" ht="16.5">
      <c r="E15549" s="123"/>
    </row>
    <row r="15550" spans="5:5" ht="16.5">
      <c r="E15550" s="123"/>
    </row>
    <row r="15551" spans="5:5" ht="16.5">
      <c r="E15551" s="123"/>
    </row>
    <row r="15552" spans="5:5" ht="16.5">
      <c r="E15552" s="123"/>
    </row>
    <row r="15553" spans="5:5" ht="16.5">
      <c r="E15553" s="123"/>
    </row>
    <row r="15554" spans="5:5" ht="16.5">
      <c r="E15554" s="123"/>
    </row>
    <row r="15555" spans="5:5" ht="16.5">
      <c r="E15555" s="123"/>
    </row>
    <row r="15556" spans="5:5" ht="16.5">
      <c r="E15556" s="123"/>
    </row>
    <row r="15557" spans="5:5" ht="16.5">
      <c r="E15557" s="123"/>
    </row>
    <row r="15558" spans="5:5" ht="16.5">
      <c r="E15558" s="123"/>
    </row>
    <row r="15559" spans="5:5" ht="16.5">
      <c r="E15559" s="123"/>
    </row>
    <row r="15560" spans="5:5" ht="16.5">
      <c r="E15560" s="123"/>
    </row>
    <row r="15561" spans="5:5" ht="16.5">
      <c r="E15561" s="123"/>
    </row>
    <row r="15562" spans="5:5" ht="16.5">
      <c r="E15562" s="123"/>
    </row>
    <row r="15563" spans="5:5" ht="16.5">
      <c r="E15563" s="123"/>
    </row>
    <row r="15564" spans="5:5" ht="16.5">
      <c r="E15564" s="123"/>
    </row>
    <row r="15565" spans="5:5" ht="16.5">
      <c r="E15565" s="123"/>
    </row>
    <row r="15566" spans="5:5" ht="16.5">
      <c r="E15566" s="123"/>
    </row>
    <row r="15567" spans="5:5" ht="16.5">
      <c r="E15567" s="123"/>
    </row>
    <row r="15568" spans="5:5" ht="16.5">
      <c r="E15568" s="123"/>
    </row>
    <row r="15569" spans="5:5" ht="16.5">
      <c r="E15569" s="123"/>
    </row>
    <row r="15570" spans="5:5" ht="16.5">
      <c r="E15570" s="123"/>
    </row>
    <row r="15571" spans="5:5" ht="16.5">
      <c r="E15571" s="123"/>
    </row>
    <row r="15572" spans="5:5" ht="16.5">
      <c r="E15572" s="123"/>
    </row>
    <row r="15573" spans="5:5" ht="16.5">
      <c r="E15573" s="123"/>
    </row>
    <row r="15574" spans="5:5" ht="16.5">
      <c r="E15574" s="123"/>
    </row>
    <row r="15575" spans="5:5" ht="16.5">
      <c r="E15575" s="123"/>
    </row>
    <row r="15576" spans="5:5" ht="16.5">
      <c r="E15576" s="123"/>
    </row>
    <row r="15577" spans="5:5" ht="16.5">
      <c r="E15577" s="123"/>
    </row>
    <row r="15578" spans="5:5" ht="16.5">
      <c r="E15578" s="123"/>
    </row>
    <row r="15579" spans="5:5" ht="16.5">
      <c r="E15579" s="123"/>
    </row>
    <row r="15580" spans="5:5" ht="16.5">
      <c r="E15580" s="123"/>
    </row>
    <row r="15581" spans="5:5" ht="16.5">
      <c r="E15581" s="123"/>
    </row>
    <row r="15582" spans="5:5" ht="16.5">
      <c r="E15582" s="123"/>
    </row>
    <row r="15583" spans="5:5" ht="16.5">
      <c r="E15583" s="123"/>
    </row>
    <row r="15584" spans="5:5" ht="16.5">
      <c r="E15584" s="123"/>
    </row>
    <row r="15585" spans="5:5" ht="16.5">
      <c r="E15585" s="123"/>
    </row>
    <row r="15586" spans="5:5" ht="16.5">
      <c r="E15586" s="123"/>
    </row>
    <row r="15587" spans="5:5" ht="16.5">
      <c r="E15587" s="123"/>
    </row>
    <row r="15588" spans="5:5" ht="16.5">
      <c r="E15588" s="123"/>
    </row>
    <row r="15589" spans="5:5" ht="16.5">
      <c r="E15589" s="123"/>
    </row>
    <row r="15590" spans="5:5" ht="16.5">
      <c r="E15590" s="123"/>
    </row>
    <row r="15591" spans="5:5" ht="16.5">
      <c r="E15591" s="123"/>
    </row>
    <row r="15592" spans="5:5" ht="16.5">
      <c r="E15592" s="123"/>
    </row>
    <row r="15593" spans="5:5" ht="16.5">
      <c r="E15593" s="123"/>
    </row>
    <row r="15594" spans="5:5" ht="16.5">
      <c r="E15594" s="123"/>
    </row>
    <row r="15595" spans="5:5" ht="16.5">
      <c r="E15595" s="123"/>
    </row>
    <row r="15596" spans="5:5" ht="16.5">
      <c r="E15596" s="123"/>
    </row>
    <row r="15597" spans="5:5" ht="16.5">
      <c r="E15597" s="123"/>
    </row>
    <row r="15598" spans="5:5" ht="16.5">
      <c r="E15598" s="123"/>
    </row>
    <row r="15599" spans="5:5" ht="16.5">
      <c r="E15599" s="123"/>
    </row>
    <row r="15600" spans="5:5" ht="16.5">
      <c r="E15600" s="123"/>
    </row>
    <row r="15601" spans="5:5" ht="16.5">
      <c r="E15601" s="123"/>
    </row>
    <row r="15602" spans="5:5" ht="16.5">
      <c r="E15602" s="123"/>
    </row>
    <row r="15603" spans="5:5" ht="16.5">
      <c r="E15603" s="123"/>
    </row>
    <row r="15604" spans="5:5" ht="16.5">
      <c r="E15604" s="123"/>
    </row>
    <row r="15605" spans="5:5" ht="16.5">
      <c r="E15605" s="123"/>
    </row>
    <row r="15606" spans="5:5" ht="16.5">
      <c r="E15606" s="123"/>
    </row>
    <row r="15607" spans="5:5" ht="16.5">
      <c r="E15607" s="123"/>
    </row>
    <row r="15608" spans="5:5" ht="16.5">
      <c r="E15608" s="123"/>
    </row>
    <row r="15609" spans="5:5" ht="16.5">
      <c r="E15609" s="123"/>
    </row>
    <row r="15610" spans="5:5" ht="16.5">
      <c r="E15610" s="123"/>
    </row>
    <row r="15611" spans="5:5" ht="16.5">
      <c r="E15611" s="123"/>
    </row>
    <row r="15612" spans="5:5" ht="16.5">
      <c r="E15612" s="123"/>
    </row>
    <row r="15613" spans="5:5" ht="16.5">
      <c r="E15613" s="123"/>
    </row>
    <row r="15614" spans="5:5" ht="16.5">
      <c r="E15614" s="123"/>
    </row>
    <row r="15615" spans="5:5" ht="16.5">
      <c r="E15615" s="123"/>
    </row>
    <row r="15616" spans="5:5" ht="16.5">
      <c r="E15616" s="123"/>
    </row>
    <row r="15617" spans="5:5" ht="16.5">
      <c r="E15617" s="123"/>
    </row>
    <row r="15618" spans="5:5" ht="16.5">
      <c r="E15618" s="123"/>
    </row>
    <row r="15619" spans="5:5" ht="16.5">
      <c r="E15619" s="123"/>
    </row>
    <row r="15620" spans="5:5" ht="16.5">
      <c r="E15620" s="123"/>
    </row>
    <row r="15621" spans="5:5" ht="16.5">
      <c r="E15621" s="123"/>
    </row>
    <row r="15622" spans="5:5" ht="16.5">
      <c r="E15622" s="123"/>
    </row>
    <row r="15623" spans="5:5" ht="16.5">
      <c r="E15623" s="123"/>
    </row>
    <row r="15624" spans="5:5" ht="16.5">
      <c r="E15624" s="123"/>
    </row>
    <row r="15625" spans="5:5" ht="16.5">
      <c r="E15625" s="123"/>
    </row>
    <row r="15626" spans="5:5" ht="16.5">
      <c r="E15626" s="123"/>
    </row>
    <row r="15627" spans="5:5" ht="16.5">
      <c r="E15627" s="123"/>
    </row>
    <row r="15628" spans="5:5" ht="16.5">
      <c r="E15628" s="123"/>
    </row>
    <row r="15629" spans="5:5" ht="16.5">
      <c r="E15629" s="123"/>
    </row>
    <row r="15630" spans="5:5" ht="16.5">
      <c r="E15630" s="123"/>
    </row>
    <row r="15631" spans="5:5" ht="16.5">
      <c r="E15631" s="123"/>
    </row>
    <row r="15632" spans="5:5" ht="16.5">
      <c r="E15632" s="123"/>
    </row>
    <row r="15633" spans="5:5" ht="16.5">
      <c r="E15633" s="123"/>
    </row>
    <row r="15634" spans="5:5" ht="16.5">
      <c r="E15634" s="123"/>
    </row>
    <row r="15635" spans="5:5" ht="16.5">
      <c r="E15635" s="123"/>
    </row>
    <row r="15636" spans="5:5" ht="16.5">
      <c r="E15636" s="123"/>
    </row>
    <row r="15637" spans="5:5" ht="16.5">
      <c r="E15637" s="123"/>
    </row>
    <row r="15638" spans="5:5" ht="16.5">
      <c r="E15638" s="123"/>
    </row>
    <row r="15639" spans="5:5" ht="16.5">
      <c r="E15639" s="123"/>
    </row>
    <row r="15640" spans="5:5" ht="16.5">
      <c r="E15640" s="123"/>
    </row>
    <row r="15641" spans="5:5" ht="16.5">
      <c r="E15641" s="123"/>
    </row>
    <row r="15642" spans="5:5" ht="16.5">
      <c r="E15642" s="123"/>
    </row>
    <row r="15643" spans="5:5" ht="16.5">
      <c r="E15643" s="123"/>
    </row>
    <row r="15644" spans="5:5" ht="16.5">
      <c r="E15644" s="123"/>
    </row>
    <row r="15645" spans="5:5" ht="16.5">
      <c r="E15645" s="123"/>
    </row>
    <row r="15646" spans="5:5" ht="16.5">
      <c r="E15646" s="123"/>
    </row>
    <row r="15647" spans="5:5" ht="16.5">
      <c r="E15647" s="123"/>
    </row>
    <row r="15648" spans="5:5" ht="16.5">
      <c r="E15648" s="123"/>
    </row>
    <row r="15649" spans="5:5" ht="16.5">
      <c r="E15649" s="123"/>
    </row>
    <row r="15650" spans="5:5" ht="16.5">
      <c r="E15650" s="123"/>
    </row>
    <row r="15651" spans="5:5" ht="16.5">
      <c r="E15651" s="123"/>
    </row>
    <row r="15652" spans="5:5" ht="16.5">
      <c r="E15652" s="123"/>
    </row>
    <row r="15653" spans="5:5" ht="16.5">
      <c r="E15653" s="123"/>
    </row>
    <row r="15654" spans="5:5" ht="16.5">
      <c r="E15654" s="123"/>
    </row>
    <row r="15655" spans="5:5" ht="16.5">
      <c r="E15655" s="123"/>
    </row>
    <row r="15656" spans="5:5" ht="16.5">
      <c r="E15656" s="123"/>
    </row>
    <row r="15657" spans="5:5" ht="16.5">
      <c r="E15657" s="123"/>
    </row>
    <row r="15658" spans="5:5" ht="16.5">
      <c r="E15658" s="123"/>
    </row>
    <row r="15659" spans="5:5" ht="16.5">
      <c r="E15659" s="123"/>
    </row>
    <row r="15660" spans="5:5" ht="16.5">
      <c r="E15660" s="123"/>
    </row>
    <row r="15661" spans="5:5" ht="16.5">
      <c r="E15661" s="123"/>
    </row>
    <row r="15662" spans="5:5" ht="16.5">
      <c r="E15662" s="123"/>
    </row>
    <row r="15663" spans="5:5" ht="16.5">
      <c r="E15663" s="123"/>
    </row>
    <row r="15664" spans="5:5" ht="16.5">
      <c r="E15664" s="123"/>
    </row>
    <row r="15665" spans="5:5" ht="16.5">
      <c r="E15665" s="123"/>
    </row>
    <row r="15666" spans="5:5" ht="16.5">
      <c r="E15666" s="123"/>
    </row>
    <row r="15667" spans="5:5" ht="16.5">
      <c r="E15667" s="123"/>
    </row>
    <row r="15668" spans="5:5" ht="16.5">
      <c r="E15668" s="123"/>
    </row>
    <row r="15669" spans="5:5" ht="16.5">
      <c r="E15669" s="123"/>
    </row>
    <row r="15670" spans="5:5" ht="16.5">
      <c r="E15670" s="123"/>
    </row>
    <row r="15671" spans="5:5" ht="16.5">
      <c r="E15671" s="123"/>
    </row>
    <row r="15672" spans="5:5" ht="16.5">
      <c r="E15672" s="123"/>
    </row>
    <row r="15673" spans="5:5" ht="16.5">
      <c r="E15673" s="123"/>
    </row>
    <row r="15674" spans="5:5" ht="16.5">
      <c r="E15674" s="123"/>
    </row>
    <row r="15675" spans="5:5" ht="16.5">
      <c r="E15675" s="123"/>
    </row>
    <row r="15676" spans="5:5" ht="16.5">
      <c r="E15676" s="123"/>
    </row>
    <row r="15677" spans="5:5" ht="16.5">
      <c r="E15677" s="123"/>
    </row>
    <row r="15678" spans="5:5" ht="16.5">
      <c r="E15678" s="123"/>
    </row>
    <row r="15679" spans="5:5" ht="16.5">
      <c r="E15679" s="123"/>
    </row>
    <row r="15680" spans="5:5" ht="16.5">
      <c r="E15680" s="123"/>
    </row>
    <row r="15681" spans="5:5" ht="16.5">
      <c r="E15681" s="123"/>
    </row>
    <row r="15682" spans="5:5" ht="16.5">
      <c r="E15682" s="123"/>
    </row>
    <row r="15683" spans="5:5" ht="16.5">
      <c r="E15683" s="123"/>
    </row>
    <row r="15684" spans="5:5" ht="16.5">
      <c r="E15684" s="123"/>
    </row>
    <row r="15685" spans="5:5" ht="16.5">
      <c r="E15685" s="123"/>
    </row>
    <row r="15686" spans="5:5" ht="16.5">
      <c r="E15686" s="123"/>
    </row>
    <row r="15687" spans="5:5" ht="16.5">
      <c r="E15687" s="123"/>
    </row>
    <row r="15688" spans="5:5" ht="16.5">
      <c r="E15688" s="123"/>
    </row>
    <row r="15689" spans="5:5" ht="16.5">
      <c r="E15689" s="123"/>
    </row>
    <row r="15690" spans="5:5" ht="16.5">
      <c r="E15690" s="123"/>
    </row>
    <row r="15691" spans="5:5" ht="16.5">
      <c r="E15691" s="123"/>
    </row>
    <row r="15692" spans="5:5" ht="16.5">
      <c r="E15692" s="123"/>
    </row>
    <row r="15693" spans="5:5" ht="16.5">
      <c r="E15693" s="123"/>
    </row>
    <row r="15694" spans="5:5" ht="16.5">
      <c r="E15694" s="123"/>
    </row>
    <row r="15695" spans="5:5" ht="16.5">
      <c r="E15695" s="123"/>
    </row>
    <row r="15696" spans="5:5" ht="16.5">
      <c r="E15696" s="123"/>
    </row>
    <row r="15697" spans="5:5" ht="16.5">
      <c r="E15697" s="123"/>
    </row>
    <row r="15698" spans="5:5" ht="16.5">
      <c r="E15698" s="123"/>
    </row>
    <row r="15699" spans="5:5" ht="16.5">
      <c r="E15699" s="123"/>
    </row>
    <row r="15700" spans="5:5" ht="16.5">
      <c r="E15700" s="123"/>
    </row>
    <row r="15701" spans="5:5" ht="16.5">
      <c r="E15701" s="123"/>
    </row>
    <row r="15702" spans="5:5" ht="16.5">
      <c r="E15702" s="123"/>
    </row>
    <row r="15703" spans="5:5" ht="16.5">
      <c r="E15703" s="123"/>
    </row>
    <row r="15704" spans="5:5" ht="16.5">
      <c r="E15704" s="123"/>
    </row>
    <row r="15705" spans="5:5" ht="16.5">
      <c r="E15705" s="123"/>
    </row>
    <row r="15706" spans="5:5" ht="16.5">
      <c r="E15706" s="123"/>
    </row>
    <row r="15707" spans="5:5" ht="16.5">
      <c r="E15707" s="123"/>
    </row>
    <row r="15708" spans="5:5" ht="16.5">
      <c r="E15708" s="123"/>
    </row>
    <row r="15709" spans="5:5" ht="16.5">
      <c r="E15709" s="123"/>
    </row>
    <row r="15710" spans="5:5" ht="16.5">
      <c r="E15710" s="123"/>
    </row>
    <row r="15711" spans="5:5" ht="16.5">
      <c r="E15711" s="123"/>
    </row>
    <row r="15712" spans="5:5" ht="16.5">
      <c r="E15712" s="123"/>
    </row>
    <row r="15713" spans="5:5" ht="16.5">
      <c r="E15713" s="123"/>
    </row>
    <row r="15714" spans="5:5" ht="16.5">
      <c r="E15714" s="123"/>
    </row>
    <row r="15715" spans="5:5" ht="16.5">
      <c r="E15715" s="123"/>
    </row>
    <row r="15716" spans="5:5" ht="16.5">
      <c r="E15716" s="123"/>
    </row>
    <row r="15717" spans="5:5" ht="16.5">
      <c r="E15717" s="123"/>
    </row>
    <row r="15718" spans="5:5" ht="16.5">
      <c r="E15718" s="123"/>
    </row>
    <row r="15719" spans="5:5" ht="16.5">
      <c r="E15719" s="123"/>
    </row>
    <row r="15720" spans="5:5" ht="16.5">
      <c r="E15720" s="123"/>
    </row>
    <row r="15721" spans="5:5" ht="16.5">
      <c r="E15721" s="123"/>
    </row>
    <row r="15722" spans="5:5" ht="16.5">
      <c r="E15722" s="123"/>
    </row>
    <row r="15723" spans="5:5" ht="16.5">
      <c r="E15723" s="123"/>
    </row>
    <row r="15724" spans="5:5" ht="16.5">
      <c r="E15724" s="123"/>
    </row>
    <row r="15725" spans="5:5" ht="16.5">
      <c r="E15725" s="123"/>
    </row>
    <row r="15726" spans="5:5" ht="16.5">
      <c r="E15726" s="123"/>
    </row>
    <row r="15727" spans="5:5" ht="16.5">
      <c r="E15727" s="123"/>
    </row>
    <row r="15728" spans="5:5" ht="16.5">
      <c r="E15728" s="123"/>
    </row>
    <row r="15729" spans="5:5" ht="16.5">
      <c r="E15729" s="123"/>
    </row>
    <row r="15730" spans="5:5" ht="16.5">
      <c r="E15730" s="123"/>
    </row>
    <row r="15731" spans="5:5" ht="16.5">
      <c r="E15731" s="123"/>
    </row>
    <row r="15732" spans="5:5" ht="16.5">
      <c r="E15732" s="123"/>
    </row>
    <row r="15733" spans="5:5" ht="16.5">
      <c r="E15733" s="123"/>
    </row>
    <row r="15734" spans="5:5" ht="16.5">
      <c r="E15734" s="123"/>
    </row>
    <row r="15735" spans="5:5" ht="16.5">
      <c r="E15735" s="123"/>
    </row>
    <row r="15736" spans="5:5" ht="16.5">
      <c r="E15736" s="123"/>
    </row>
    <row r="15737" spans="5:5" ht="16.5">
      <c r="E15737" s="123"/>
    </row>
    <row r="15738" spans="5:5" ht="16.5">
      <c r="E15738" s="123"/>
    </row>
    <row r="15739" spans="5:5" ht="16.5">
      <c r="E15739" s="123"/>
    </row>
    <row r="15740" spans="5:5" ht="16.5">
      <c r="E15740" s="123"/>
    </row>
    <row r="15741" spans="5:5" ht="16.5">
      <c r="E15741" s="123"/>
    </row>
    <row r="15742" spans="5:5" ht="16.5">
      <c r="E15742" s="123"/>
    </row>
    <row r="15743" spans="5:5" ht="16.5">
      <c r="E15743" s="123"/>
    </row>
    <row r="15744" spans="5:5" ht="16.5">
      <c r="E15744" s="123"/>
    </row>
    <row r="15745" spans="5:5" ht="16.5">
      <c r="E15745" s="123"/>
    </row>
    <row r="15746" spans="5:5" ht="16.5">
      <c r="E15746" s="123"/>
    </row>
    <row r="15747" spans="5:5" ht="16.5">
      <c r="E15747" s="123"/>
    </row>
    <row r="15748" spans="5:5" ht="16.5">
      <c r="E15748" s="123"/>
    </row>
    <row r="15749" spans="5:5" ht="16.5">
      <c r="E15749" s="123"/>
    </row>
    <row r="15750" spans="5:5" ht="16.5">
      <c r="E15750" s="123"/>
    </row>
    <row r="15751" spans="5:5" ht="16.5">
      <c r="E15751" s="123"/>
    </row>
    <row r="15752" spans="5:5" ht="16.5">
      <c r="E15752" s="123"/>
    </row>
    <row r="15753" spans="5:5" ht="16.5">
      <c r="E15753" s="123"/>
    </row>
    <row r="15754" spans="5:5" ht="16.5">
      <c r="E15754" s="123"/>
    </row>
    <row r="15755" spans="5:5" ht="16.5">
      <c r="E15755" s="123"/>
    </row>
    <row r="15756" spans="5:5" ht="16.5">
      <c r="E15756" s="123"/>
    </row>
    <row r="15757" spans="5:5" ht="16.5">
      <c r="E15757" s="123"/>
    </row>
    <row r="15758" spans="5:5" ht="16.5">
      <c r="E15758" s="123"/>
    </row>
    <row r="15759" spans="5:5" ht="16.5">
      <c r="E15759" s="123"/>
    </row>
    <row r="15760" spans="5:5" ht="16.5">
      <c r="E15760" s="123"/>
    </row>
    <row r="15761" spans="5:5" ht="16.5">
      <c r="E15761" s="123"/>
    </row>
    <row r="15762" spans="5:5" ht="16.5">
      <c r="E15762" s="123"/>
    </row>
    <row r="15763" spans="5:5" ht="16.5">
      <c r="E15763" s="123"/>
    </row>
    <row r="15764" spans="5:5" ht="16.5">
      <c r="E15764" s="123"/>
    </row>
    <row r="15765" spans="5:5" ht="16.5">
      <c r="E15765" s="123"/>
    </row>
    <row r="15766" spans="5:5" ht="16.5">
      <c r="E15766" s="123"/>
    </row>
    <row r="15767" spans="5:5" ht="16.5">
      <c r="E15767" s="123"/>
    </row>
    <row r="15768" spans="5:5" ht="16.5">
      <c r="E15768" s="123"/>
    </row>
    <row r="15769" spans="5:5" ht="16.5">
      <c r="E15769" s="123"/>
    </row>
    <row r="15770" spans="5:5" ht="16.5">
      <c r="E15770" s="123"/>
    </row>
    <row r="15771" spans="5:5" ht="16.5">
      <c r="E15771" s="123"/>
    </row>
    <row r="15772" spans="5:5" ht="16.5">
      <c r="E15772" s="123"/>
    </row>
    <row r="15773" spans="5:5" ht="16.5">
      <c r="E15773" s="123"/>
    </row>
    <row r="15774" spans="5:5" ht="16.5">
      <c r="E15774" s="123"/>
    </row>
    <row r="15775" spans="5:5" ht="16.5">
      <c r="E15775" s="123"/>
    </row>
    <row r="15776" spans="5:5" ht="16.5">
      <c r="E15776" s="123"/>
    </row>
    <row r="15777" spans="5:5" ht="16.5">
      <c r="E15777" s="123"/>
    </row>
    <row r="15778" spans="5:5" ht="16.5">
      <c r="E15778" s="123"/>
    </row>
    <row r="15779" spans="5:5" ht="16.5">
      <c r="E15779" s="123"/>
    </row>
    <row r="15780" spans="5:5" ht="16.5">
      <c r="E15780" s="123"/>
    </row>
    <row r="15781" spans="5:5" ht="16.5">
      <c r="E15781" s="123"/>
    </row>
    <row r="15782" spans="5:5" ht="16.5">
      <c r="E15782" s="123"/>
    </row>
    <row r="15783" spans="5:5" ht="16.5">
      <c r="E15783" s="123"/>
    </row>
    <row r="15784" spans="5:5" ht="16.5">
      <c r="E15784" s="123"/>
    </row>
    <row r="15785" spans="5:5" ht="16.5">
      <c r="E15785" s="123"/>
    </row>
    <row r="15786" spans="5:5" ht="16.5">
      <c r="E15786" s="123"/>
    </row>
    <row r="15787" spans="5:5" ht="16.5">
      <c r="E15787" s="123"/>
    </row>
    <row r="15788" spans="5:5" ht="16.5">
      <c r="E15788" s="123"/>
    </row>
    <row r="15789" spans="5:5" ht="16.5">
      <c r="E15789" s="123"/>
    </row>
    <row r="15790" spans="5:5" ht="16.5">
      <c r="E15790" s="123"/>
    </row>
    <row r="15791" spans="5:5" ht="16.5">
      <c r="E15791" s="123"/>
    </row>
    <row r="15792" spans="5:5" ht="16.5">
      <c r="E15792" s="123"/>
    </row>
    <row r="15793" spans="5:5" ht="16.5">
      <c r="E15793" s="123"/>
    </row>
    <row r="15794" spans="5:5" ht="16.5">
      <c r="E15794" s="123"/>
    </row>
    <row r="15795" spans="5:5" ht="16.5">
      <c r="E15795" s="123"/>
    </row>
    <row r="15796" spans="5:5" ht="16.5">
      <c r="E15796" s="123"/>
    </row>
    <row r="15797" spans="5:5" ht="16.5">
      <c r="E15797" s="123"/>
    </row>
    <row r="15798" spans="5:5" ht="16.5">
      <c r="E15798" s="123"/>
    </row>
    <row r="15799" spans="5:5" ht="16.5">
      <c r="E15799" s="123"/>
    </row>
    <row r="15800" spans="5:5" ht="16.5">
      <c r="E15800" s="123"/>
    </row>
    <row r="15801" spans="5:5" ht="16.5">
      <c r="E15801" s="123"/>
    </row>
    <row r="15802" spans="5:5" ht="16.5">
      <c r="E15802" s="123"/>
    </row>
    <row r="15803" spans="5:5" ht="16.5">
      <c r="E15803" s="123"/>
    </row>
    <row r="15804" spans="5:5" ht="16.5">
      <c r="E15804" s="123"/>
    </row>
    <row r="15805" spans="5:5" ht="16.5">
      <c r="E15805" s="123"/>
    </row>
    <row r="15806" spans="5:5" ht="16.5">
      <c r="E15806" s="123"/>
    </row>
    <row r="15807" spans="5:5" ht="16.5">
      <c r="E15807" s="123"/>
    </row>
    <row r="15808" spans="5:5" ht="16.5">
      <c r="E15808" s="123"/>
    </row>
    <row r="15809" spans="5:5" ht="16.5">
      <c r="E15809" s="123"/>
    </row>
    <row r="15810" spans="5:5" ht="16.5">
      <c r="E15810" s="123"/>
    </row>
    <row r="15811" spans="5:5" ht="16.5">
      <c r="E15811" s="123"/>
    </row>
    <row r="15812" spans="5:5" ht="16.5">
      <c r="E15812" s="123"/>
    </row>
    <row r="15813" spans="5:5" ht="16.5">
      <c r="E15813" s="123"/>
    </row>
    <row r="15814" spans="5:5" ht="16.5">
      <c r="E15814" s="123"/>
    </row>
    <row r="15815" spans="5:5" ht="16.5">
      <c r="E15815" s="123"/>
    </row>
    <row r="15816" spans="5:5" ht="16.5">
      <c r="E15816" s="123"/>
    </row>
    <row r="15817" spans="5:5" ht="16.5">
      <c r="E15817" s="123"/>
    </row>
    <row r="15818" spans="5:5" ht="16.5">
      <c r="E15818" s="123"/>
    </row>
    <row r="15819" spans="5:5" ht="16.5">
      <c r="E15819" s="123"/>
    </row>
    <row r="15820" spans="5:5" ht="16.5">
      <c r="E15820" s="123"/>
    </row>
    <row r="15821" spans="5:5" ht="16.5">
      <c r="E15821" s="123"/>
    </row>
    <row r="15822" spans="5:5" ht="16.5">
      <c r="E15822" s="123"/>
    </row>
    <row r="15823" spans="5:5" ht="16.5">
      <c r="E15823" s="123"/>
    </row>
    <row r="15824" spans="5:5" ht="16.5">
      <c r="E15824" s="123"/>
    </row>
    <row r="15825" spans="5:5" ht="16.5">
      <c r="E15825" s="123"/>
    </row>
    <row r="15826" spans="5:5" ht="16.5">
      <c r="E15826" s="123"/>
    </row>
    <row r="15827" spans="5:5" ht="16.5">
      <c r="E15827" s="123"/>
    </row>
    <row r="15828" spans="5:5" ht="16.5">
      <c r="E15828" s="123"/>
    </row>
    <row r="15829" spans="5:5" ht="16.5">
      <c r="E15829" s="123"/>
    </row>
    <row r="15830" spans="5:5" ht="16.5">
      <c r="E15830" s="123"/>
    </row>
    <row r="15831" spans="5:5" ht="16.5">
      <c r="E15831" s="123"/>
    </row>
    <row r="15832" spans="5:5" ht="16.5">
      <c r="E15832" s="123"/>
    </row>
    <row r="15833" spans="5:5" ht="16.5">
      <c r="E15833" s="123"/>
    </row>
    <row r="15834" spans="5:5" ht="16.5">
      <c r="E15834" s="123"/>
    </row>
    <row r="15835" spans="5:5" ht="16.5">
      <c r="E15835" s="123"/>
    </row>
    <row r="15836" spans="5:5" ht="16.5">
      <c r="E15836" s="123"/>
    </row>
    <row r="15837" spans="5:5" ht="16.5">
      <c r="E15837" s="123"/>
    </row>
    <row r="15838" spans="5:5" ht="16.5">
      <c r="E15838" s="123"/>
    </row>
    <row r="15839" spans="5:5" ht="16.5">
      <c r="E15839" s="123"/>
    </row>
    <row r="15840" spans="5:5" ht="16.5">
      <c r="E15840" s="123"/>
    </row>
    <row r="15841" spans="5:5" ht="16.5">
      <c r="E15841" s="123"/>
    </row>
    <row r="15842" spans="5:5" ht="16.5">
      <c r="E15842" s="123"/>
    </row>
    <row r="15843" spans="5:5" ht="16.5">
      <c r="E15843" s="123"/>
    </row>
    <row r="15844" spans="5:5" ht="16.5">
      <c r="E15844" s="123"/>
    </row>
    <row r="15845" spans="5:5" ht="16.5">
      <c r="E15845" s="123"/>
    </row>
    <row r="15846" spans="5:5" ht="16.5">
      <c r="E15846" s="123"/>
    </row>
    <row r="15847" spans="5:5" ht="16.5">
      <c r="E15847" s="123"/>
    </row>
    <row r="15848" spans="5:5" ht="16.5">
      <c r="E15848" s="123"/>
    </row>
    <row r="15849" spans="5:5" ht="16.5">
      <c r="E15849" s="123"/>
    </row>
    <row r="15850" spans="5:5" ht="16.5">
      <c r="E15850" s="123"/>
    </row>
    <row r="15851" spans="5:5" ht="16.5">
      <c r="E15851" s="123"/>
    </row>
    <row r="15852" spans="5:5" ht="16.5">
      <c r="E15852" s="123"/>
    </row>
    <row r="15853" spans="5:5" ht="16.5">
      <c r="E15853" s="123"/>
    </row>
    <row r="15854" spans="5:5" ht="16.5">
      <c r="E15854" s="123"/>
    </row>
    <row r="15855" spans="5:5" ht="16.5">
      <c r="E15855" s="123"/>
    </row>
    <row r="15856" spans="5:5" ht="16.5">
      <c r="E15856" s="123"/>
    </row>
    <row r="15857" spans="5:5" ht="16.5">
      <c r="E15857" s="123"/>
    </row>
    <row r="15858" spans="5:5" ht="16.5">
      <c r="E15858" s="123"/>
    </row>
    <row r="15859" spans="5:5" ht="16.5">
      <c r="E15859" s="123"/>
    </row>
    <row r="15860" spans="5:5" ht="16.5">
      <c r="E15860" s="123"/>
    </row>
    <row r="15861" spans="5:5" ht="16.5">
      <c r="E15861" s="123"/>
    </row>
    <row r="15862" spans="5:5" ht="16.5">
      <c r="E15862" s="123"/>
    </row>
    <row r="15863" spans="5:5" ht="16.5">
      <c r="E15863" s="123"/>
    </row>
    <row r="15864" spans="5:5" ht="16.5">
      <c r="E15864" s="123"/>
    </row>
    <row r="15865" spans="5:5" ht="16.5">
      <c r="E15865" s="123"/>
    </row>
    <row r="15866" spans="5:5" ht="16.5">
      <c r="E15866" s="123"/>
    </row>
    <row r="15867" spans="5:5" ht="16.5">
      <c r="E15867" s="123"/>
    </row>
    <row r="15868" spans="5:5" ht="16.5">
      <c r="E15868" s="123"/>
    </row>
    <row r="15869" spans="5:5" ht="16.5">
      <c r="E15869" s="123"/>
    </row>
    <row r="15870" spans="5:5" ht="16.5">
      <c r="E15870" s="123"/>
    </row>
    <row r="15871" spans="5:5" ht="16.5">
      <c r="E15871" s="123"/>
    </row>
    <row r="15872" spans="5:5" ht="16.5">
      <c r="E15872" s="123"/>
    </row>
    <row r="15873" spans="5:5" ht="16.5">
      <c r="E15873" s="123"/>
    </row>
    <row r="15874" spans="5:5" ht="16.5">
      <c r="E15874" s="123"/>
    </row>
    <row r="15875" spans="5:5" ht="16.5">
      <c r="E15875" s="123"/>
    </row>
    <row r="15876" spans="5:5" ht="16.5">
      <c r="E15876" s="123"/>
    </row>
    <row r="15877" spans="5:5" ht="16.5">
      <c r="E15877" s="123"/>
    </row>
    <row r="15878" spans="5:5" ht="16.5">
      <c r="E15878" s="123"/>
    </row>
    <row r="15879" spans="5:5" ht="16.5">
      <c r="E15879" s="123"/>
    </row>
    <row r="15880" spans="5:5" ht="16.5">
      <c r="E15880" s="123"/>
    </row>
    <row r="15881" spans="5:5" ht="16.5">
      <c r="E15881" s="123"/>
    </row>
    <row r="15882" spans="5:5" ht="16.5">
      <c r="E15882" s="123"/>
    </row>
    <row r="15883" spans="5:5" ht="16.5">
      <c r="E15883" s="123"/>
    </row>
    <row r="15884" spans="5:5" ht="16.5">
      <c r="E15884" s="123"/>
    </row>
    <row r="15885" spans="5:5" ht="16.5">
      <c r="E15885" s="123"/>
    </row>
    <row r="15886" spans="5:5" ht="16.5">
      <c r="E15886" s="123"/>
    </row>
    <row r="15887" spans="5:5" ht="16.5">
      <c r="E15887" s="123"/>
    </row>
    <row r="15888" spans="5:5" ht="16.5">
      <c r="E15888" s="123"/>
    </row>
    <row r="15889" spans="5:5" ht="16.5">
      <c r="E15889" s="123"/>
    </row>
    <row r="15890" spans="5:5" ht="16.5">
      <c r="E15890" s="123"/>
    </row>
    <row r="15891" spans="5:5" ht="16.5">
      <c r="E15891" s="123"/>
    </row>
    <row r="15892" spans="5:5" ht="16.5">
      <c r="E15892" s="123"/>
    </row>
    <row r="15893" spans="5:5" ht="16.5">
      <c r="E15893" s="123"/>
    </row>
    <row r="15894" spans="5:5" ht="16.5">
      <c r="E15894" s="123"/>
    </row>
    <row r="15895" spans="5:5" ht="16.5">
      <c r="E15895" s="123"/>
    </row>
    <row r="15896" spans="5:5" ht="16.5">
      <c r="E15896" s="123"/>
    </row>
    <row r="15897" spans="5:5" ht="16.5">
      <c r="E15897" s="123"/>
    </row>
    <row r="15898" spans="5:5" ht="16.5">
      <c r="E15898" s="123"/>
    </row>
    <row r="15899" spans="5:5" ht="16.5">
      <c r="E15899" s="123"/>
    </row>
    <row r="15900" spans="5:5" ht="16.5">
      <c r="E15900" s="123"/>
    </row>
    <row r="15901" spans="5:5" ht="16.5">
      <c r="E15901" s="123"/>
    </row>
    <row r="15902" spans="5:5" ht="16.5">
      <c r="E15902" s="123"/>
    </row>
    <row r="15903" spans="5:5" ht="16.5">
      <c r="E15903" s="123"/>
    </row>
    <row r="15904" spans="5:5" ht="16.5">
      <c r="E15904" s="123"/>
    </row>
    <row r="15905" spans="5:5" ht="16.5">
      <c r="E15905" s="123"/>
    </row>
    <row r="15906" spans="5:5" ht="16.5">
      <c r="E15906" s="123"/>
    </row>
    <row r="15907" spans="5:5" ht="16.5">
      <c r="E15907" s="123"/>
    </row>
    <row r="15908" spans="5:5" ht="16.5">
      <c r="E15908" s="123"/>
    </row>
    <row r="15909" spans="5:5" ht="16.5">
      <c r="E15909" s="123"/>
    </row>
    <row r="15910" spans="5:5" ht="16.5">
      <c r="E15910" s="123"/>
    </row>
    <row r="15911" spans="5:5" ht="16.5">
      <c r="E15911" s="123"/>
    </row>
    <row r="15912" spans="5:5" ht="16.5">
      <c r="E15912" s="123"/>
    </row>
    <row r="15913" spans="5:5" ht="16.5">
      <c r="E15913" s="123"/>
    </row>
    <row r="15914" spans="5:5" ht="16.5">
      <c r="E15914" s="123"/>
    </row>
    <row r="15915" spans="5:5" ht="16.5">
      <c r="E15915" s="123"/>
    </row>
    <row r="15916" spans="5:5" ht="16.5">
      <c r="E15916" s="123"/>
    </row>
    <row r="15917" spans="5:5" ht="16.5">
      <c r="E15917" s="123"/>
    </row>
    <row r="15918" spans="5:5" ht="16.5">
      <c r="E15918" s="123"/>
    </row>
    <row r="15919" spans="5:5" ht="16.5">
      <c r="E15919" s="123"/>
    </row>
    <row r="15920" spans="5:5" ht="16.5">
      <c r="E15920" s="123"/>
    </row>
    <row r="15921" spans="5:5" ht="16.5">
      <c r="E15921" s="123"/>
    </row>
    <row r="15922" spans="5:5" ht="16.5">
      <c r="E15922" s="123"/>
    </row>
    <row r="15923" spans="5:5" ht="16.5">
      <c r="E15923" s="123"/>
    </row>
    <row r="15924" spans="5:5" ht="16.5">
      <c r="E15924" s="123"/>
    </row>
    <row r="15925" spans="5:5" ht="16.5">
      <c r="E15925" s="123"/>
    </row>
    <row r="15926" spans="5:5" ht="16.5">
      <c r="E15926" s="123"/>
    </row>
    <row r="15927" spans="5:5" ht="16.5">
      <c r="E15927" s="123"/>
    </row>
    <row r="15928" spans="5:5" ht="16.5">
      <c r="E15928" s="123"/>
    </row>
    <row r="15929" spans="5:5" ht="16.5">
      <c r="E15929" s="123"/>
    </row>
    <row r="15930" spans="5:5" ht="16.5">
      <c r="E15930" s="123"/>
    </row>
    <row r="15931" spans="5:5" ht="16.5">
      <c r="E15931" s="123"/>
    </row>
    <row r="15932" spans="5:5" ht="16.5">
      <c r="E15932" s="123"/>
    </row>
    <row r="15933" spans="5:5" ht="16.5">
      <c r="E15933" s="123"/>
    </row>
    <row r="15934" spans="5:5" ht="16.5">
      <c r="E15934" s="123"/>
    </row>
    <row r="15935" spans="5:5" ht="16.5">
      <c r="E15935" s="123"/>
    </row>
    <row r="15936" spans="5:5" ht="16.5">
      <c r="E15936" s="123"/>
    </row>
    <row r="15937" spans="5:5" ht="16.5">
      <c r="E15937" s="123"/>
    </row>
    <row r="15938" spans="5:5" ht="16.5">
      <c r="E15938" s="123"/>
    </row>
    <row r="15939" spans="5:5" ht="16.5">
      <c r="E15939" s="123"/>
    </row>
    <row r="15940" spans="5:5" ht="16.5">
      <c r="E15940" s="123"/>
    </row>
    <row r="15941" spans="5:5" ht="16.5">
      <c r="E15941" s="123"/>
    </row>
    <row r="15942" spans="5:5" ht="16.5">
      <c r="E15942" s="123"/>
    </row>
    <row r="15943" spans="5:5" ht="16.5">
      <c r="E15943" s="123"/>
    </row>
    <row r="15944" spans="5:5" ht="16.5">
      <c r="E15944" s="123"/>
    </row>
    <row r="15945" spans="5:5" ht="16.5">
      <c r="E15945" s="123"/>
    </row>
    <row r="15946" spans="5:5" ht="16.5">
      <c r="E15946" s="123"/>
    </row>
    <row r="15947" spans="5:5" ht="16.5">
      <c r="E15947" s="123"/>
    </row>
    <row r="15948" spans="5:5" ht="16.5">
      <c r="E15948" s="123"/>
    </row>
    <row r="15949" spans="5:5" ht="16.5">
      <c r="E15949" s="123"/>
    </row>
    <row r="15950" spans="5:5" ht="16.5">
      <c r="E15950" s="123"/>
    </row>
    <row r="15951" spans="5:5" ht="16.5">
      <c r="E15951" s="123"/>
    </row>
    <row r="15952" spans="5:5" ht="16.5">
      <c r="E15952" s="123"/>
    </row>
    <row r="15953" spans="5:5" ht="16.5">
      <c r="E15953" s="123"/>
    </row>
    <row r="15954" spans="5:5" ht="16.5">
      <c r="E15954" s="123"/>
    </row>
    <row r="15955" spans="5:5" ht="16.5">
      <c r="E15955" s="123"/>
    </row>
    <row r="15956" spans="5:5" ht="16.5">
      <c r="E15956" s="123"/>
    </row>
    <row r="15957" spans="5:5" ht="16.5">
      <c r="E15957" s="123"/>
    </row>
    <row r="15958" spans="5:5" ht="16.5">
      <c r="E15958" s="123"/>
    </row>
    <row r="15959" spans="5:5" ht="16.5">
      <c r="E15959" s="123"/>
    </row>
    <row r="15960" spans="5:5" ht="16.5">
      <c r="E15960" s="123"/>
    </row>
    <row r="15961" spans="5:5" ht="16.5">
      <c r="E15961" s="123"/>
    </row>
    <row r="15962" spans="5:5" ht="16.5">
      <c r="E15962" s="123"/>
    </row>
    <row r="15963" spans="5:5" ht="16.5">
      <c r="E15963" s="123"/>
    </row>
    <row r="15964" spans="5:5" ht="16.5">
      <c r="E15964" s="123"/>
    </row>
    <row r="15965" spans="5:5" ht="16.5">
      <c r="E15965" s="123"/>
    </row>
    <row r="15966" spans="5:5" ht="16.5">
      <c r="E15966" s="123"/>
    </row>
    <row r="15967" spans="5:5" ht="16.5">
      <c r="E15967" s="123"/>
    </row>
    <row r="15968" spans="5:5" ht="16.5">
      <c r="E15968" s="123"/>
    </row>
    <row r="15969" spans="5:5" ht="16.5">
      <c r="E15969" s="123"/>
    </row>
    <row r="15970" spans="5:5" ht="16.5">
      <c r="E15970" s="123"/>
    </row>
    <row r="15971" spans="5:5" ht="16.5">
      <c r="E15971" s="123"/>
    </row>
    <row r="15972" spans="5:5" ht="16.5">
      <c r="E15972" s="123"/>
    </row>
    <row r="15973" spans="5:5" ht="16.5">
      <c r="E15973" s="123"/>
    </row>
    <row r="15974" spans="5:5" ht="16.5">
      <c r="E15974" s="123"/>
    </row>
    <row r="15975" spans="5:5" ht="16.5">
      <c r="E15975" s="123"/>
    </row>
    <row r="15976" spans="5:5" ht="16.5">
      <c r="E15976" s="123"/>
    </row>
    <row r="15977" spans="5:5" ht="16.5">
      <c r="E15977" s="123"/>
    </row>
    <row r="15978" spans="5:5" ht="16.5">
      <c r="E15978" s="123"/>
    </row>
    <row r="15979" spans="5:5" ht="16.5">
      <c r="E15979" s="123"/>
    </row>
    <row r="15980" spans="5:5" ht="16.5">
      <c r="E15980" s="123"/>
    </row>
    <row r="15981" spans="5:5" ht="16.5">
      <c r="E15981" s="123"/>
    </row>
    <row r="15982" spans="5:5" ht="16.5">
      <c r="E15982" s="123"/>
    </row>
    <row r="15983" spans="5:5" ht="16.5">
      <c r="E15983" s="123"/>
    </row>
    <row r="15984" spans="5:5" ht="16.5">
      <c r="E15984" s="123"/>
    </row>
    <row r="15985" spans="5:5" ht="16.5">
      <c r="E15985" s="123"/>
    </row>
    <row r="15986" spans="5:5" ht="16.5">
      <c r="E15986" s="123"/>
    </row>
    <row r="15987" spans="5:5" ht="16.5">
      <c r="E15987" s="123"/>
    </row>
    <row r="15988" spans="5:5" ht="16.5">
      <c r="E15988" s="123"/>
    </row>
    <row r="15989" spans="5:5" ht="16.5">
      <c r="E15989" s="123"/>
    </row>
    <row r="15990" spans="5:5" ht="16.5">
      <c r="E15990" s="123"/>
    </row>
    <row r="15991" spans="5:5" ht="16.5">
      <c r="E15991" s="123"/>
    </row>
    <row r="15992" spans="5:5" ht="16.5">
      <c r="E15992" s="123"/>
    </row>
    <row r="15993" spans="5:5" ht="16.5">
      <c r="E15993" s="123"/>
    </row>
    <row r="15994" spans="5:5" ht="16.5">
      <c r="E15994" s="123"/>
    </row>
    <row r="15995" spans="5:5" ht="16.5">
      <c r="E15995" s="123"/>
    </row>
    <row r="15996" spans="5:5" ht="16.5">
      <c r="E15996" s="123"/>
    </row>
    <row r="15997" spans="5:5" ht="16.5">
      <c r="E15997" s="123"/>
    </row>
    <row r="15998" spans="5:5" ht="16.5">
      <c r="E15998" s="123"/>
    </row>
    <row r="15999" spans="5:5" ht="16.5">
      <c r="E15999" s="123"/>
    </row>
    <row r="16000" spans="5:5" ht="16.5">
      <c r="E16000" s="123"/>
    </row>
    <row r="16001" spans="5:5" ht="16.5">
      <c r="E16001" s="123"/>
    </row>
    <row r="16002" spans="5:5" ht="16.5">
      <c r="E16002" s="123"/>
    </row>
    <row r="16003" spans="5:5" ht="16.5">
      <c r="E16003" s="123"/>
    </row>
    <row r="16004" spans="5:5" ht="16.5">
      <c r="E16004" s="123"/>
    </row>
    <row r="16005" spans="5:5" ht="16.5">
      <c r="E16005" s="123"/>
    </row>
    <row r="16006" spans="5:5" ht="16.5">
      <c r="E16006" s="123"/>
    </row>
    <row r="16007" spans="5:5" ht="16.5">
      <c r="E16007" s="123"/>
    </row>
    <row r="16008" spans="5:5" ht="16.5">
      <c r="E16008" s="123"/>
    </row>
    <row r="16009" spans="5:5" ht="16.5">
      <c r="E16009" s="123"/>
    </row>
    <row r="16010" spans="5:5" ht="16.5">
      <c r="E16010" s="123"/>
    </row>
    <row r="16011" spans="5:5" ht="16.5">
      <c r="E16011" s="123"/>
    </row>
    <row r="16012" spans="5:5" ht="16.5">
      <c r="E16012" s="123"/>
    </row>
    <row r="16013" spans="5:5" ht="16.5">
      <c r="E16013" s="123"/>
    </row>
    <row r="16014" spans="5:5" ht="16.5">
      <c r="E16014" s="123"/>
    </row>
    <row r="16015" spans="5:5" ht="16.5">
      <c r="E16015" s="123"/>
    </row>
    <row r="16016" spans="5:5" ht="16.5">
      <c r="E16016" s="123"/>
    </row>
    <row r="16017" spans="5:5" ht="16.5">
      <c r="E16017" s="123"/>
    </row>
    <row r="16018" spans="5:5" ht="16.5">
      <c r="E16018" s="123"/>
    </row>
    <row r="16019" spans="5:5" ht="16.5">
      <c r="E16019" s="123"/>
    </row>
    <row r="16020" spans="5:5" ht="16.5">
      <c r="E16020" s="123"/>
    </row>
    <row r="16021" spans="5:5" ht="16.5">
      <c r="E16021" s="123"/>
    </row>
    <row r="16022" spans="5:5" ht="16.5">
      <c r="E16022" s="123"/>
    </row>
    <row r="16023" spans="5:5" ht="16.5">
      <c r="E16023" s="123"/>
    </row>
    <row r="16024" spans="5:5" ht="16.5">
      <c r="E16024" s="123"/>
    </row>
    <row r="16025" spans="5:5" ht="16.5">
      <c r="E16025" s="123"/>
    </row>
    <row r="16026" spans="5:5" ht="16.5">
      <c r="E16026" s="123"/>
    </row>
    <row r="16027" spans="5:5" ht="16.5">
      <c r="E16027" s="123"/>
    </row>
    <row r="16028" spans="5:5" ht="16.5">
      <c r="E16028" s="123"/>
    </row>
    <row r="16029" spans="5:5" ht="16.5">
      <c r="E16029" s="123"/>
    </row>
    <row r="16030" spans="5:5" ht="16.5">
      <c r="E16030" s="123"/>
    </row>
    <row r="16031" spans="5:5" ht="16.5">
      <c r="E16031" s="123"/>
    </row>
    <row r="16032" spans="5:5" ht="16.5">
      <c r="E16032" s="123"/>
    </row>
    <row r="16033" spans="5:5" ht="16.5">
      <c r="E16033" s="123"/>
    </row>
    <row r="16034" spans="5:5" ht="16.5">
      <c r="E16034" s="123"/>
    </row>
    <row r="16035" spans="5:5" ht="16.5">
      <c r="E16035" s="123"/>
    </row>
    <row r="16036" spans="5:5" ht="16.5">
      <c r="E16036" s="123"/>
    </row>
    <row r="16037" spans="5:5" ht="16.5">
      <c r="E16037" s="123"/>
    </row>
    <row r="16038" spans="5:5" ht="16.5">
      <c r="E16038" s="123"/>
    </row>
    <row r="16039" spans="5:5" ht="16.5">
      <c r="E16039" s="123"/>
    </row>
    <row r="16040" spans="5:5" ht="16.5">
      <c r="E16040" s="123"/>
    </row>
    <row r="16041" spans="5:5" ht="16.5">
      <c r="E16041" s="123"/>
    </row>
    <row r="16042" spans="5:5" ht="16.5">
      <c r="E16042" s="123"/>
    </row>
    <row r="16043" spans="5:5" ht="16.5">
      <c r="E16043" s="123"/>
    </row>
    <row r="16044" spans="5:5" ht="16.5">
      <c r="E16044" s="123"/>
    </row>
    <row r="16045" spans="5:5" ht="16.5">
      <c r="E16045" s="123"/>
    </row>
    <row r="16046" spans="5:5" ht="16.5">
      <c r="E16046" s="123"/>
    </row>
    <row r="16047" spans="5:5" ht="16.5">
      <c r="E16047" s="123"/>
    </row>
    <row r="16048" spans="5:5" ht="16.5">
      <c r="E16048" s="123"/>
    </row>
    <row r="16049" spans="5:5" ht="16.5">
      <c r="E16049" s="123"/>
    </row>
    <row r="16050" spans="5:5" ht="16.5">
      <c r="E16050" s="123"/>
    </row>
    <row r="16051" spans="5:5" ht="16.5">
      <c r="E16051" s="123"/>
    </row>
    <row r="16052" spans="5:5" ht="16.5">
      <c r="E16052" s="123"/>
    </row>
    <row r="16053" spans="5:5" ht="16.5">
      <c r="E16053" s="123"/>
    </row>
    <row r="16054" spans="5:5" ht="16.5">
      <c r="E16054" s="123"/>
    </row>
    <row r="16055" spans="5:5" ht="16.5">
      <c r="E16055" s="123"/>
    </row>
    <row r="16056" spans="5:5" ht="16.5">
      <c r="E16056" s="123"/>
    </row>
    <row r="16057" spans="5:5" ht="16.5">
      <c r="E16057" s="123"/>
    </row>
    <row r="16058" spans="5:5" ht="16.5">
      <c r="E16058" s="123"/>
    </row>
    <row r="16059" spans="5:5" ht="16.5">
      <c r="E16059" s="123"/>
    </row>
    <row r="16060" spans="5:5" ht="16.5">
      <c r="E16060" s="123"/>
    </row>
    <row r="16061" spans="5:5" ht="16.5">
      <c r="E16061" s="123"/>
    </row>
    <row r="16062" spans="5:5" ht="16.5">
      <c r="E16062" s="123"/>
    </row>
    <row r="16063" spans="5:5" ht="16.5">
      <c r="E16063" s="123"/>
    </row>
    <row r="16064" spans="5:5" ht="16.5">
      <c r="E16064" s="123"/>
    </row>
    <row r="16065" spans="5:5" ht="16.5">
      <c r="E16065" s="123"/>
    </row>
    <row r="16066" spans="5:5" ht="16.5">
      <c r="E16066" s="123"/>
    </row>
    <row r="16067" spans="5:5" ht="16.5">
      <c r="E16067" s="123"/>
    </row>
    <row r="16068" spans="5:5" ht="16.5">
      <c r="E16068" s="123"/>
    </row>
    <row r="16069" spans="5:5" ht="16.5">
      <c r="E16069" s="123"/>
    </row>
    <row r="16070" spans="5:5" ht="16.5">
      <c r="E16070" s="123"/>
    </row>
    <row r="16071" spans="5:5" ht="16.5">
      <c r="E16071" s="123"/>
    </row>
    <row r="16072" spans="5:5" ht="16.5">
      <c r="E16072" s="123"/>
    </row>
    <row r="16073" spans="5:5" ht="16.5">
      <c r="E16073" s="123"/>
    </row>
    <row r="16074" spans="5:5" ht="16.5">
      <c r="E16074" s="123"/>
    </row>
    <row r="16075" spans="5:5" ht="16.5">
      <c r="E16075" s="123"/>
    </row>
    <row r="16076" spans="5:5" ht="16.5">
      <c r="E16076" s="123"/>
    </row>
    <row r="16077" spans="5:5" ht="16.5">
      <c r="E16077" s="123"/>
    </row>
    <row r="16078" spans="5:5" ht="16.5">
      <c r="E16078" s="123"/>
    </row>
    <row r="16079" spans="5:5" ht="16.5">
      <c r="E16079" s="123"/>
    </row>
    <row r="16080" spans="5:5" ht="16.5">
      <c r="E16080" s="123"/>
    </row>
    <row r="16081" spans="5:5" ht="16.5">
      <c r="E16081" s="123"/>
    </row>
    <row r="16082" spans="5:5" ht="16.5">
      <c r="E16082" s="123"/>
    </row>
    <row r="16083" spans="5:5" ht="16.5">
      <c r="E16083" s="123"/>
    </row>
    <row r="16084" spans="5:5" ht="16.5">
      <c r="E16084" s="123"/>
    </row>
    <row r="16085" spans="5:5" ht="16.5">
      <c r="E16085" s="123"/>
    </row>
    <row r="16086" spans="5:5" ht="16.5">
      <c r="E16086" s="123"/>
    </row>
    <row r="16087" spans="5:5" ht="16.5">
      <c r="E16087" s="123"/>
    </row>
    <row r="16088" spans="5:5" ht="16.5">
      <c r="E16088" s="123"/>
    </row>
    <row r="16089" spans="5:5" ht="16.5">
      <c r="E16089" s="123"/>
    </row>
    <row r="16090" spans="5:5" ht="16.5">
      <c r="E16090" s="123"/>
    </row>
    <row r="16091" spans="5:5" ht="16.5">
      <c r="E16091" s="123"/>
    </row>
    <row r="16092" spans="5:5" ht="16.5">
      <c r="E16092" s="123"/>
    </row>
    <row r="16093" spans="5:5" ht="16.5">
      <c r="E16093" s="123"/>
    </row>
    <row r="16094" spans="5:5" ht="16.5">
      <c r="E16094" s="123"/>
    </row>
    <row r="16095" spans="5:5" ht="16.5">
      <c r="E16095" s="123"/>
    </row>
    <row r="16096" spans="5:5" ht="16.5">
      <c r="E16096" s="123"/>
    </row>
    <row r="16097" spans="5:5" ht="16.5">
      <c r="E16097" s="123"/>
    </row>
    <row r="16098" spans="5:5" ht="16.5">
      <c r="E16098" s="123"/>
    </row>
    <row r="16099" spans="5:5" ht="16.5">
      <c r="E16099" s="123"/>
    </row>
    <row r="16100" spans="5:5" ht="16.5">
      <c r="E16100" s="123"/>
    </row>
    <row r="16101" spans="5:5" ht="16.5">
      <c r="E16101" s="123"/>
    </row>
    <row r="16102" spans="5:5" ht="16.5">
      <c r="E16102" s="123"/>
    </row>
    <row r="16103" spans="5:5" ht="16.5">
      <c r="E16103" s="123"/>
    </row>
    <row r="16104" spans="5:5" ht="16.5">
      <c r="E16104" s="123"/>
    </row>
    <row r="16105" spans="5:5" ht="16.5">
      <c r="E16105" s="123"/>
    </row>
    <row r="16106" spans="5:5" ht="16.5">
      <c r="E16106" s="123"/>
    </row>
    <row r="16107" spans="5:5" ht="16.5">
      <c r="E16107" s="123"/>
    </row>
    <row r="16108" spans="5:5" ht="16.5">
      <c r="E16108" s="123"/>
    </row>
    <row r="16109" spans="5:5" ht="16.5">
      <c r="E16109" s="123"/>
    </row>
    <row r="16110" spans="5:5" ht="16.5">
      <c r="E16110" s="123"/>
    </row>
    <row r="16111" spans="5:5" ht="16.5">
      <c r="E16111" s="123"/>
    </row>
    <row r="16112" spans="5:5" ht="16.5">
      <c r="E16112" s="123"/>
    </row>
    <row r="16113" spans="5:5" ht="16.5">
      <c r="E16113" s="123"/>
    </row>
    <row r="16114" spans="5:5" ht="16.5">
      <c r="E16114" s="123"/>
    </row>
    <row r="16115" spans="5:5" ht="16.5">
      <c r="E16115" s="123"/>
    </row>
    <row r="16116" spans="5:5" ht="16.5">
      <c r="E16116" s="123"/>
    </row>
    <row r="16117" spans="5:5" ht="16.5">
      <c r="E16117" s="123"/>
    </row>
    <row r="16118" spans="5:5" ht="16.5">
      <c r="E16118" s="123"/>
    </row>
    <row r="16119" spans="5:5" ht="16.5">
      <c r="E16119" s="123"/>
    </row>
    <row r="16120" spans="5:5" ht="16.5">
      <c r="E16120" s="123"/>
    </row>
    <row r="16121" spans="5:5" ht="16.5">
      <c r="E16121" s="123"/>
    </row>
    <row r="16122" spans="5:5" ht="16.5">
      <c r="E16122" s="123"/>
    </row>
    <row r="16123" spans="5:5" ht="16.5">
      <c r="E16123" s="123"/>
    </row>
    <row r="16124" spans="5:5" ht="16.5">
      <c r="E16124" s="123"/>
    </row>
    <row r="16125" spans="5:5" ht="16.5">
      <c r="E16125" s="123"/>
    </row>
    <row r="16126" spans="5:5" ht="16.5">
      <c r="E16126" s="123"/>
    </row>
    <row r="16127" spans="5:5" ht="16.5">
      <c r="E16127" s="123"/>
    </row>
    <row r="16128" spans="5:5" ht="16.5">
      <c r="E16128" s="123"/>
    </row>
    <row r="16129" spans="5:5" ht="16.5">
      <c r="E16129" s="123"/>
    </row>
    <row r="16130" spans="5:5" ht="16.5">
      <c r="E16130" s="123"/>
    </row>
    <row r="16131" spans="5:5" ht="16.5">
      <c r="E16131" s="123"/>
    </row>
    <row r="16132" spans="5:5" ht="16.5">
      <c r="E16132" s="123"/>
    </row>
    <row r="16133" spans="5:5" ht="16.5">
      <c r="E16133" s="123"/>
    </row>
    <row r="16134" spans="5:5" ht="16.5">
      <c r="E16134" s="123"/>
    </row>
    <row r="16135" spans="5:5" ht="16.5">
      <c r="E16135" s="123"/>
    </row>
    <row r="16136" spans="5:5" ht="16.5">
      <c r="E16136" s="123"/>
    </row>
    <row r="16137" spans="5:5" ht="16.5">
      <c r="E16137" s="123"/>
    </row>
    <row r="16138" spans="5:5" ht="16.5">
      <c r="E16138" s="123"/>
    </row>
    <row r="16139" spans="5:5" ht="16.5">
      <c r="E16139" s="123"/>
    </row>
    <row r="16140" spans="5:5" ht="16.5">
      <c r="E16140" s="123"/>
    </row>
    <row r="16141" spans="5:5" ht="16.5">
      <c r="E16141" s="123"/>
    </row>
    <row r="16142" spans="5:5" ht="16.5">
      <c r="E16142" s="123"/>
    </row>
    <row r="16143" spans="5:5" ht="16.5">
      <c r="E16143" s="123"/>
    </row>
    <row r="16144" spans="5:5" ht="16.5">
      <c r="E16144" s="123"/>
    </row>
    <row r="16145" spans="5:5" ht="16.5">
      <c r="E16145" s="123"/>
    </row>
    <row r="16146" spans="5:5" ht="16.5">
      <c r="E16146" s="123"/>
    </row>
    <row r="16147" spans="5:5" ht="16.5">
      <c r="E16147" s="123"/>
    </row>
    <row r="16148" spans="5:5" ht="16.5">
      <c r="E16148" s="123"/>
    </row>
    <row r="16149" spans="5:5" ht="16.5">
      <c r="E16149" s="123"/>
    </row>
    <row r="16150" spans="5:5" ht="16.5">
      <c r="E16150" s="123"/>
    </row>
    <row r="16151" spans="5:5" ht="16.5">
      <c r="E16151" s="123"/>
    </row>
    <row r="16152" spans="5:5" ht="16.5">
      <c r="E16152" s="123"/>
    </row>
    <row r="16153" spans="5:5" ht="16.5">
      <c r="E16153" s="123"/>
    </row>
    <row r="16154" spans="5:5" ht="16.5">
      <c r="E16154" s="123"/>
    </row>
    <row r="16155" spans="5:5" ht="16.5">
      <c r="E16155" s="123"/>
    </row>
    <row r="16156" spans="5:5" ht="16.5">
      <c r="E16156" s="123"/>
    </row>
    <row r="16157" spans="5:5" ht="16.5">
      <c r="E16157" s="123"/>
    </row>
    <row r="16158" spans="5:5" ht="16.5">
      <c r="E16158" s="123"/>
    </row>
    <row r="16159" spans="5:5" ht="16.5">
      <c r="E16159" s="123"/>
    </row>
    <row r="16160" spans="5:5" ht="16.5">
      <c r="E16160" s="123"/>
    </row>
    <row r="16161" spans="5:5" ht="16.5">
      <c r="E16161" s="123"/>
    </row>
    <row r="16162" spans="5:5" ht="16.5">
      <c r="E16162" s="123"/>
    </row>
    <row r="16163" spans="5:5" ht="16.5">
      <c r="E16163" s="123"/>
    </row>
    <row r="16164" spans="5:5" ht="16.5">
      <c r="E16164" s="123"/>
    </row>
    <row r="16165" spans="5:5" ht="16.5">
      <c r="E16165" s="123"/>
    </row>
    <row r="16166" spans="5:5" ht="16.5">
      <c r="E16166" s="123"/>
    </row>
    <row r="16167" spans="5:5" ht="16.5">
      <c r="E16167" s="123"/>
    </row>
    <row r="16168" spans="5:5" ht="16.5">
      <c r="E16168" s="123"/>
    </row>
    <row r="16169" spans="5:5" ht="16.5">
      <c r="E16169" s="123"/>
    </row>
    <row r="16170" spans="5:5" ht="16.5">
      <c r="E16170" s="123"/>
    </row>
    <row r="16171" spans="5:5" ht="16.5">
      <c r="E16171" s="123"/>
    </row>
    <row r="16172" spans="5:5" ht="16.5">
      <c r="E16172" s="123"/>
    </row>
    <row r="16173" spans="5:5" ht="16.5">
      <c r="E16173" s="123"/>
    </row>
    <row r="16174" spans="5:5" ht="16.5">
      <c r="E16174" s="123"/>
    </row>
    <row r="16175" spans="5:5" ht="16.5">
      <c r="E16175" s="123"/>
    </row>
    <row r="16176" spans="5:5" ht="16.5">
      <c r="E16176" s="123"/>
    </row>
    <row r="16177" spans="5:5" ht="16.5">
      <c r="E16177" s="123"/>
    </row>
    <row r="16178" spans="5:5" ht="16.5">
      <c r="E16178" s="123"/>
    </row>
    <row r="16179" spans="5:5" ht="16.5">
      <c r="E16179" s="123"/>
    </row>
    <row r="16180" spans="5:5" ht="16.5">
      <c r="E16180" s="123"/>
    </row>
    <row r="16181" spans="5:5" ht="16.5">
      <c r="E16181" s="123"/>
    </row>
    <row r="16182" spans="5:5" ht="16.5">
      <c r="E16182" s="123"/>
    </row>
    <row r="16183" spans="5:5" ht="16.5">
      <c r="E16183" s="123"/>
    </row>
    <row r="16184" spans="5:5" ht="16.5">
      <c r="E16184" s="123"/>
    </row>
    <row r="16185" spans="5:5" ht="16.5">
      <c r="E16185" s="123"/>
    </row>
    <row r="16186" spans="5:5" ht="16.5">
      <c r="E16186" s="123"/>
    </row>
    <row r="16187" spans="5:5" ht="16.5">
      <c r="E16187" s="123"/>
    </row>
    <row r="16188" spans="5:5" ht="16.5">
      <c r="E16188" s="123"/>
    </row>
    <row r="16189" spans="5:5" ht="16.5">
      <c r="E16189" s="123"/>
    </row>
    <row r="16190" spans="5:5" ht="16.5">
      <c r="E16190" s="123"/>
    </row>
    <row r="16191" spans="5:5" ht="16.5">
      <c r="E16191" s="123"/>
    </row>
    <row r="16192" spans="5:5" ht="16.5">
      <c r="E16192" s="123"/>
    </row>
    <row r="16193" spans="5:5" ht="16.5">
      <c r="E16193" s="123"/>
    </row>
    <row r="16194" spans="5:5" ht="16.5">
      <c r="E16194" s="123"/>
    </row>
    <row r="16195" spans="5:5" ht="16.5">
      <c r="E16195" s="123"/>
    </row>
    <row r="16196" spans="5:5" ht="16.5">
      <c r="E16196" s="123"/>
    </row>
    <row r="16197" spans="5:5" ht="16.5">
      <c r="E16197" s="123"/>
    </row>
    <row r="16198" spans="5:5" ht="16.5">
      <c r="E16198" s="123"/>
    </row>
    <row r="16199" spans="5:5" ht="16.5">
      <c r="E16199" s="123"/>
    </row>
    <row r="16200" spans="5:5" ht="16.5">
      <c r="E16200" s="123"/>
    </row>
    <row r="16201" spans="5:5" ht="16.5">
      <c r="E16201" s="123"/>
    </row>
    <row r="16202" spans="5:5" ht="16.5">
      <c r="E16202" s="123"/>
    </row>
    <row r="16203" spans="5:5" ht="16.5">
      <c r="E16203" s="123"/>
    </row>
    <row r="16204" spans="5:5" ht="16.5">
      <c r="E16204" s="123"/>
    </row>
    <row r="16205" spans="5:5" ht="16.5">
      <c r="E16205" s="123"/>
    </row>
    <row r="16206" spans="5:5" ht="16.5">
      <c r="E16206" s="123"/>
    </row>
    <row r="16207" spans="5:5" ht="16.5">
      <c r="E16207" s="123"/>
    </row>
    <row r="16208" spans="5:5" ht="16.5">
      <c r="E16208" s="123"/>
    </row>
    <row r="16209" spans="5:5" ht="16.5">
      <c r="E16209" s="123"/>
    </row>
    <row r="16210" spans="5:5" ht="16.5">
      <c r="E16210" s="123"/>
    </row>
    <row r="16211" spans="5:5" ht="16.5">
      <c r="E16211" s="123"/>
    </row>
    <row r="16212" spans="5:5" ht="16.5">
      <c r="E16212" s="123"/>
    </row>
    <row r="16213" spans="5:5" ht="16.5">
      <c r="E16213" s="123"/>
    </row>
    <row r="16214" spans="5:5" ht="16.5">
      <c r="E16214" s="123"/>
    </row>
    <row r="16215" spans="5:5" ht="16.5">
      <c r="E16215" s="123"/>
    </row>
    <row r="16216" spans="5:5" ht="16.5">
      <c r="E16216" s="123"/>
    </row>
    <row r="16217" spans="5:5" ht="16.5">
      <c r="E16217" s="123"/>
    </row>
    <row r="16218" spans="5:5" ht="16.5">
      <c r="E16218" s="123"/>
    </row>
    <row r="16219" spans="5:5" ht="16.5">
      <c r="E16219" s="123"/>
    </row>
    <row r="16220" spans="5:5" ht="16.5">
      <c r="E16220" s="123"/>
    </row>
    <row r="16221" spans="5:5" ht="16.5">
      <c r="E16221" s="123"/>
    </row>
    <row r="16222" spans="5:5" ht="16.5">
      <c r="E16222" s="123"/>
    </row>
    <row r="16223" spans="5:5" ht="16.5">
      <c r="E16223" s="123"/>
    </row>
    <row r="16224" spans="5:5" ht="16.5">
      <c r="E16224" s="123"/>
    </row>
    <row r="16225" spans="5:5" ht="16.5">
      <c r="E16225" s="123"/>
    </row>
    <row r="16226" spans="5:5" ht="16.5">
      <c r="E16226" s="123"/>
    </row>
    <row r="16227" spans="5:5" ht="16.5">
      <c r="E16227" s="123"/>
    </row>
    <row r="16228" spans="5:5" ht="16.5">
      <c r="E16228" s="123"/>
    </row>
    <row r="16229" spans="5:5" ht="16.5">
      <c r="E16229" s="123"/>
    </row>
    <row r="16230" spans="5:5" ht="16.5">
      <c r="E16230" s="123"/>
    </row>
    <row r="16231" spans="5:5" ht="16.5">
      <c r="E16231" s="123"/>
    </row>
    <row r="16232" spans="5:5" ht="16.5">
      <c r="E16232" s="123"/>
    </row>
    <row r="16233" spans="5:5" ht="16.5">
      <c r="E16233" s="123"/>
    </row>
    <row r="16234" spans="5:5" ht="16.5">
      <c r="E16234" s="123"/>
    </row>
    <row r="16235" spans="5:5" ht="16.5">
      <c r="E16235" s="123"/>
    </row>
    <row r="16236" spans="5:5" ht="16.5">
      <c r="E16236" s="123"/>
    </row>
    <row r="16237" spans="5:5" ht="16.5">
      <c r="E16237" s="123"/>
    </row>
    <row r="16238" spans="5:5" ht="16.5">
      <c r="E16238" s="123"/>
    </row>
    <row r="16239" spans="5:5" ht="16.5">
      <c r="E16239" s="123"/>
    </row>
    <row r="16240" spans="5:5" ht="16.5">
      <c r="E16240" s="123"/>
    </row>
    <row r="16241" spans="5:5" ht="16.5">
      <c r="E16241" s="123"/>
    </row>
    <row r="16242" spans="5:5" ht="16.5">
      <c r="E16242" s="123"/>
    </row>
    <row r="16243" spans="5:5" ht="16.5">
      <c r="E16243" s="123"/>
    </row>
    <row r="16244" spans="5:5" ht="16.5">
      <c r="E16244" s="123"/>
    </row>
    <row r="16245" spans="5:5" ht="16.5">
      <c r="E16245" s="123"/>
    </row>
    <row r="16246" spans="5:5" ht="16.5">
      <c r="E16246" s="123"/>
    </row>
    <row r="16247" spans="5:5" ht="16.5">
      <c r="E16247" s="123"/>
    </row>
    <row r="16248" spans="5:5" ht="16.5">
      <c r="E16248" s="123"/>
    </row>
    <row r="16249" spans="5:5" ht="16.5">
      <c r="E16249" s="123"/>
    </row>
    <row r="16250" spans="5:5" ht="16.5">
      <c r="E16250" s="123"/>
    </row>
    <row r="16251" spans="5:5" ht="16.5">
      <c r="E16251" s="123"/>
    </row>
    <row r="16252" spans="5:5" ht="16.5">
      <c r="E16252" s="123"/>
    </row>
    <row r="16253" spans="5:5" ht="16.5">
      <c r="E16253" s="123"/>
    </row>
    <row r="16254" spans="5:5" ht="16.5">
      <c r="E16254" s="123"/>
    </row>
    <row r="16255" spans="5:5" ht="16.5">
      <c r="E16255" s="123"/>
    </row>
    <row r="16256" spans="5:5" ht="16.5">
      <c r="E16256" s="123"/>
    </row>
    <row r="16257" spans="5:5" ht="16.5">
      <c r="E16257" s="123"/>
    </row>
    <row r="16258" spans="5:5" ht="16.5">
      <c r="E16258" s="123"/>
    </row>
    <row r="16259" spans="5:5" ht="16.5">
      <c r="E16259" s="123"/>
    </row>
    <row r="16260" spans="5:5" ht="16.5">
      <c r="E16260" s="123"/>
    </row>
    <row r="16261" spans="5:5" ht="16.5">
      <c r="E16261" s="123"/>
    </row>
    <row r="16262" spans="5:5" ht="16.5">
      <c r="E16262" s="123"/>
    </row>
    <row r="16263" spans="5:5" ht="16.5">
      <c r="E16263" s="123"/>
    </row>
    <row r="16264" spans="5:5" ht="16.5">
      <c r="E16264" s="123"/>
    </row>
    <row r="16265" spans="5:5" ht="16.5">
      <c r="E16265" s="123"/>
    </row>
    <row r="16266" spans="5:5" ht="16.5">
      <c r="E16266" s="123"/>
    </row>
    <row r="16267" spans="5:5" ht="16.5">
      <c r="E16267" s="123"/>
    </row>
    <row r="16268" spans="5:5" ht="16.5">
      <c r="E16268" s="123"/>
    </row>
    <row r="16269" spans="5:5" ht="16.5">
      <c r="E16269" s="123"/>
    </row>
    <row r="16270" spans="5:5" ht="16.5">
      <c r="E16270" s="123"/>
    </row>
    <row r="16271" spans="5:5" ht="16.5">
      <c r="E16271" s="123"/>
    </row>
    <row r="16272" spans="5:5" ht="16.5">
      <c r="E16272" s="123"/>
    </row>
    <row r="16273" spans="5:5" ht="16.5">
      <c r="E16273" s="123"/>
    </row>
    <row r="16274" spans="5:5" ht="16.5">
      <c r="E16274" s="123"/>
    </row>
    <row r="16275" spans="5:5" ht="16.5">
      <c r="E16275" s="123"/>
    </row>
    <row r="16276" spans="5:5" ht="16.5">
      <c r="E16276" s="123"/>
    </row>
    <row r="16277" spans="5:5" ht="16.5">
      <c r="E16277" s="123"/>
    </row>
    <row r="16278" spans="5:5" ht="16.5">
      <c r="E16278" s="123"/>
    </row>
    <row r="16279" spans="5:5" ht="16.5">
      <c r="E16279" s="123"/>
    </row>
    <row r="16280" spans="5:5" ht="16.5">
      <c r="E16280" s="123"/>
    </row>
    <row r="16281" spans="5:5" ht="16.5">
      <c r="E16281" s="123"/>
    </row>
    <row r="16282" spans="5:5" ht="16.5">
      <c r="E16282" s="123"/>
    </row>
    <row r="16283" spans="5:5" ht="16.5">
      <c r="E16283" s="123"/>
    </row>
    <row r="16284" spans="5:5" ht="16.5">
      <c r="E16284" s="123"/>
    </row>
    <row r="16285" spans="5:5" ht="16.5">
      <c r="E16285" s="123"/>
    </row>
    <row r="16286" spans="5:5" ht="16.5">
      <c r="E16286" s="123"/>
    </row>
    <row r="16287" spans="5:5" ht="16.5">
      <c r="E16287" s="123"/>
    </row>
    <row r="16288" spans="5:5" ht="16.5">
      <c r="E16288" s="123"/>
    </row>
    <row r="16289" spans="5:5" ht="16.5">
      <c r="E16289" s="123"/>
    </row>
    <row r="16290" spans="5:5" ht="16.5">
      <c r="E16290" s="123"/>
    </row>
    <row r="16291" spans="5:5" ht="16.5">
      <c r="E16291" s="123"/>
    </row>
    <row r="16292" spans="5:5" ht="16.5">
      <c r="E16292" s="123"/>
    </row>
    <row r="16293" spans="5:5" ht="16.5">
      <c r="E16293" s="123"/>
    </row>
    <row r="16294" spans="5:5" ht="16.5">
      <c r="E16294" s="123"/>
    </row>
    <row r="16295" spans="5:5" ht="16.5">
      <c r="E16295" s="123"/>
    </row>
    <row r="16296" spans="5:5" ht="16.5">
      <c r="E16296" s="123"/>
    </row>
    <row r="16297" spans="5:5" ht="16.5">
      <c r="E16297" s="123"/>
    </row>
    <row r="16298" spans="5:5" ht="16.5">
      <c r="E16298" s="123"/>
    </row>
    <row r="16299" spans="5:5" ht="16.5">
      <c r="E16299" s="123"/>
    </row>
    <row r="16300" spans="5:5" ht="16.5">
      <c r="E16300" s="123"/>
    </row>
    <row r="16301" spans="5:5" ht="16.5">
      <c r="E16301" s="123"/>
    </row>
    <row r="16302" spans="5:5" ht="16.5">
      <c r="E16302" s="123"/>
    </row>
    <row r="16303" spans="5:5" ht="16.5">
      <c r="E16303" s="123"/>
    </row>
    <row r="16304" spans="5:5" ht="16.5">
      <c r="E16304" s="123"/>
    </row>
    <row r="16305" spans="5:5" ht="16.5">
      <c r="E16305" s="123"/>
    </row>
    <row r="16306" spans="5:5" ht="16.5">
      <c r="E16306" s="123"/>
    </row>
    <row r="16307" spans="5:5" ht="16.5">
      <c r="E16307" s="123"/>
    </row>
    <row r="16308" spans="5:5" ht="16.5">
      <c r="E16308" s="123"/>
    </row>
    <row r="16309" spans="5:5" ht="16.5">
      <c r="E16309" s="123"/>
    </row>
    <row r="16310" spans="5:5" ht="16.5">
      <c r="E16310" s="123"/>
    </row>
    <row r="16311" spans="5:5" ht="16.5">
      <c r="E16311" s="123"/>
    </row>
    <row r="16312" spans="5:5" ht="16.5">
      <c r="E16312" s="123"/>
    </row>
    <row r="16313" spans="5:5" ht="16.5">
      <c r="E16313" s="123"/>
    </row>
    <row r="16314" spans="5:5" ht="16.5">
      <c r="E16314" s="123"/>
    </row>
    <row r="16315" spans="5:5" ht="16.5">
      <c r="E16315" s="123"/>
    </row>
    <row r="16316" spans="5:5" ht="16.5">
      <c r="E16316" s="123"/>
    </row>
    <row r="16317" spans="5:5" ht="16.5">
      <c r="E16317" s="123"/>
    </row>
    <row r="16318" spans="5:5" ht="16.5">
      <c r="E16318" s="123"/>
    </row>
    <row r="16319" spans="5:5" ht="16.5">
      <c r="E16319" s="123"/>
    </row>
    <row r="16320" spans="5:5" ht="16.5">
      <c r="E16320" s="123"/>
    </row>
    <row r="16321" spans="5:5" ht="16.5">
      <c r="E16321" s="123"/>
    </row>
    <row r="16322" spans="5:5" ht="16.5">
      <c r="E16322" s="123"/>
    </row>
    <row r="16323" spans="5:5" ht="16.5">
      <c r="E16323" s="123"/>
    </row>
    <row r="16324" spans="5:5" ht="16.5">
      <c r="E16324" s="123"/>
    </row>
    <row r="16325" spans="5:5" ht="16.5">
      <c r="E16325" s="123"/>
    </row>
    <row r="16326" spans="5:5" ht="16.5">
      <c r="E16326" s="123"/>
    </row>
    <row r="16327" spans="5:5" ht="16.5">
      <c r="E16327" s="123"/>
    </row>
    <row r="16328" spans="5:5" ht="16.5">
      <c r="E16328" s="123"/>
    </row>
    <row r="16329" spans="5:5" ht="16.5">
      <c r="E16329" s="123"/>
    </row>
    <row r="16330" spans="5:5" ht="16.5">
      <c r="E16330" s="123"/>
    </row>
    <row r="16331" spans="5:5" ht="16.5">
      <c r="E16331" s="123"/>
    </row>
    <row r="16332" spans="5:5" ht="16.5">
      <c r="E16332" s="123"/>
    </row>
    <row r="16333" spans="5:5" ht="16.5">
      <c r="E16333" s="123"/>
    </row>
    <row r="16334" spans="5:5" ht="16.5">
      <c r="E16334" s="123"/>
    </row>
    <row r="16335" spans="5:5" ht="16.5">
      <c r="E16335" s="123"/>
    </row>
    <row r="16336" spans="5:5" ht="16.5">
      <c r="E16336" s="123"/>
    </row>
    <row r="16337" spans="5:5" ht="16.5">
      <c r="E16337" s="123"/>
    </row>
    <row r="16338" spans="5:5" ht="16.5">
      <c r="E16338" s="123"/>
    </row>
    <row r="16339" spans="5:5" ht="16.5">
      <c r="E16339" s="123"/>
    </row>
    <row r="16340" spans="5:5" ht="16.5">
      <c r="E16340" s="123"/>
    </row>
    <row r="16341" spans="5:5" ht="16.5">
      <c r="E16341" s="123"/>
    </row>
    <row r="16342" spans="5:5" ht="16.5">
      <c r="E16342" s="123"/>
    </row>
    <row r="16343" spans="5:5" ht="16.5">
      <c r="E16343" s="123"/>
    </row>
    <row r="16344" spans="5:5" ht="16.5">
      <c r="E16344" s="123"/>
    </row>
    <row r="16345" spans="5:5" ht="16.5">
      <c r="E16345" s="123"/>
    </row>
    <row r="16346" spans="5:5" ht="16.5">
      <c r="E16346" s="123"/>
    </row>
    <row r="16347" spans="5:5" ht="16.5">
      <c r="E16347" s="123"/>
    </row>
    <row r="16348" spans="5:5" ht="16.5">
      <c r="E16348" s="123"/>
    </row>
    <row r="16349" spans="5:5" ht="16.5">
      <c r="E16349" s="123"/>
    </row>
    <row r="16350" spans="5:5" ht="16.5">
      <c r="E16350" s="123"/>
    </row>
    <row r="16351" spans="5:5" ht="16.5">
      <c r="E16351" s="123"/>
    </row>
    <row r="16352" spans="5:5" ht="16.5">
      <c r="E16352" s="123"/>
    </row>
    <row r="16353" spans="5:5" ht="16.5">
      <c r="E16353" s="123"/>
    </row>
    <row r="16354" spans="5:5" ht="16.5">
      <c r="E16354" s="123"/>
    </row>
    <row r="16355" spans="5:5" ht="16.5">
      <c r="E16355" s="123"/>
    </row>
    <row r="16356" spans="5:5" ht="16.5">
      <c r="E16356" s="123"/>
    </row>
    <row r="16357" spans="5:5" ht="16.5">
      <c r="E16357" s="123"/>
    </row>
    <row r="16358" spans="5:5" ht="16.5">
      <c r="E16358" s="123"/>
    </row>
    <row r="16359" spans="5:5" ht="16.5">
      <c r="E16359" s="123"/>
    </row>
    <row r="16360" spans="5:5" ht="16.5">
      <c r="E16360" s="123"/>
    </row>
    <row r="16361" spans="5:5" ht="16.5">
      <c r="E16361" s="123"/>
    </row>
    <row r="16362" spans="5:5" ht="16.5">
      <c r="E16362" s="123"/>
    </row>
    <row r="16363" spans="5:5" ht="16.5">
      <c r="E16363" s="123"/>
    </row>
    <row r="16364" spans="5:5" ht="16.5">
      <c r="E16364" s="123"/>
    </row>
    <row r="16365" spans="5:5" ht="16.5">
      <c r="E16365" s="123"/>
    </row>
    <row r="16366" spans="5:5" ht="16.5">
      <c r="E16366" s="123"/>
    </row>
    <row r="16367" spans="5:5" ht="16.5">
      <c r="E16367" s="123"/>
    </row>
    <row r="16368" spans="5:5" ht="16.5">
      <c r="E16368" s="123"/>
    </row>
    <row r="16369" spans="5:5" ht="16.5">
      <c r="E16369" s="123"/>
    </row>
    <row r="16370" spans="5:5" ht="16.5">
      <c r="E16370" s="123"/>
    </row>
    <row r="16371" spans="5:5" ht="16.5">
      <c r="E16371" s="123"/>
    </row>
    <row r="16372" spans="5:5" ht="16.5">
      <c r="E16372" s="123"/>
    </row>
    <row r="16373" spans="5:5" ht="16.5">
      <c r="E16373" s="123"/>
    </row>
    <row r="16374" spans="5:5" ht="16.5">
      <c r="E16374" s="123"/>
    </row>
    <row r="16375" spans="5:5" ht="16.5">
      <c r="E16375" s="123"/>
    </row>
    <row r="16376" spans="5:5" ht="16.5">
      <c r="E16376" s="123"/>
    </row>
    <row r="16377" spans="5:5" ht="16.5">
      <c r="E16377" s="123"/>
    </row>
    <row r="16378" spans="5:5" ht="16.5">
      <c r="E16378" s="123"/>
    </row>
    <row r="16379" spans="5:5" ht="16.5">
      <c r="E16379" s="123"/>
    </row>
    <row r="16380" spans="5:5" ht="16.5">
      <c r="E16380" s="123"/>
    </row>
    <row r="16381" spans="5:5" ht="16.5">
      <c r="E16381" s="123"/>
    </row>
    <row r="16382" spans="5:5" ht="16.5">
      <c r="E16382" s="123"/>
    </row>
    <row r="16383" spans="5:5" ht="16.5">
      <c r="E16383" s="123"/>
    </row>
    <row r="16384" spans="5:5" ht="16.5">
      <c r="E16384" s="123"/>
    </row>
    <row r="16385" spans="5:5" ht="16.5">
      <c r="E16385" s="123"/>
    </row>
    <row r="16386" spans="5:5" ht="16.5">
      <c r="E16386" s="123"/>
    </row>
    <row r="16387" spans="5:5" ht="16.5">
      <c r="E16387" s="123"/>
    </row>
    <row r="16388" spans="5:5" ht="16.5">
      <c r="E16388" s="123"/>
    </row>
    <row r="16389" spans="5:5" ht="16.5">
      <c r="E16389" s="123"/>
    </row>
    <row r="16390" spans="5:5" ht="16.5">
      <c r="E16390" s="123"/>
    </row>
    <row r="16391" spans="5:5" ht="16.5">
      <c r="E16391" s="123"/>
    </row>
    <row r="16392" spans="5:5" ht="16.5">
      <c r="E16392" s="123"/>
    </row>
    <row r="16393" spans="5:5" ht="16.5">
      <c r="E16393" s="123"/>
    </row>
    <row r="16394" spans="5:5" ht="16.5">
      <c r="E16394" s="123"/>
    </row>
    <row r="16395" spans="5:5" ht="16.5">
      <c r="E16395" s="123"/>
    </row>
    <row r="16396" spans="5:5" ht="16.5">
      <c r="E16396" s="123"/>
    </row>
    <row r="16397" spans="5:5" ht="16.5">
      <c r="E16397" s="123"/>
    </row>
    <row r="16398" spans="5:5" ht="16.5">
      <c r="E16398" s="123"/>
    </row>
    <row r="16399" spans="5:5" ht="16.5">
      <c r="E16399" s="123"/>
    </row>
    <row r="16400" spans="5:5" ht="16.5">
      <c r="E16400" s="123"/>
    </row>
    <row r="16401" spans="5:5" ht="16.5">
      <c r="E16401" s="123"/>
    </row>
    <row r="16402" spans="5:5" ht="16.5">
      <c r="E16402" s="123"/>
    </row>
    <row r="16403" spans="5:5" ht="16.5">
      <c r="E16403" s="123"/>
    </row>
    <row r="16404" spans="5:5" ht="16.5">
      <c r="E16404" s="123"/>
    </row>
    <row r="16405" spans="5:5" ht="16.5">
      <c r="E16405" s="123"/>
    </row>
    <row r="16406" spans="5:5" ht="16.5">
      <c r="E16406" s="123"/>
    </row>
    <row r="16407" spans="5:5" ht="16.5">
      <c r="E16407" s="123"/>
    </row>
    <row r="16408" spans="5:5" ht="16.5">
      <c r="E16408" s="123"/>
    </row>
    <row r="16409" spans="5:5" ht="16.5">
      <c r="E16409" s="123"/>
    </row>
    <row r="16410" spans="5:5" ht="16.5">
      <c r="E16410" s="123"/>
    </row>
    <row r="16411" spans="5:5" ht="16.5">
      <c r="E16411" s="123"/>
    </row>
    <row r="16412" spans="5:5" ht="16.5">
      <c r="E16412" s="123"/>
    </row>
    <row r="16413" spans="5:5" ht="16.5">
      <c r="E16413" s="123"/>
    </row>
    <row r="16414" spans="5:5" ht="16.5">
      <c r="E16414" s="123"/>
    </row>
    <row r="16415" spans="5:5" ht="16.5">
      <c r="E16415" s="123"/>
    </row>
    <row r="16416" spans="5:5" ht="16.5">
      <c r="E16416" s="123"/>
    </row>
    <row r="16417" spans="5:5" ht="16.5">
      <c r="E16417" s="123"/>
    </row>
    <row r="16418" spans="5:5" ht="16.5">
      <c r="E16418" s="123"/>
    </row>
    <row r="16419" spans="5:5" ht="16.5">
      <c r="E16419" s="123"/>
    </row>
    <row r="16420" spans="5:5" ht="16.5">
      <c r="E16420" s="123"/>
    </row>
    <row r="16421" spans="5:5" ht="16.5">
      <c r="E16421" s="123"/>
    </row>
    <row r="16422" spans="5:5" ht="16.5">
      <c r="E16422" s="123"/>
    </row>
    <row r="16423" spans="5:5" ht="16.5">
      <c r="E16423" s="123"/>
    </row>
    <row r="16424" spans="5:5" ht="16.5">
      <c r="E16424" s="123"/>
    </row>
    <row r="16425" spans="5:5" ht="16.5">
      <c r="E16425" s="123"/>
    </row>
    <row r="16426" spans="5:5" ht="16.5">
      <c r="E16426" s="123"/>
    </row>
    <row r="16427" spans="5:5" ht="16.5">
      <c r="E16427" s="123"/>
    </row>
    <row r="16428" spans="5:5" ht="16.5">
      <c r="E16428" s="123"/>
    </row>
    <row r="16429" spans="5:5" ht="16.5">
      <c r="E16429" s="123"/>
    </row>
    <row r="16430" spans="5:5" ht="16.5">
      <c r="E16430" s="123"/>
    </row>
    <row r="16431" spans="5:5" ht="16.5">
      <c r="E16431" s="123"/>
    </row>
    <row r="16432" spans="5:5" ht="16.5">
      <c r="E16432" s="123"/>
    </row>
    <row r="16433" spans="5:5" ht="16.5">
      <c r="E16433" s="123"/>
    </row>
    <row r="16434" spans="5:5" ht="16.5">
      <c r="E16434" s="123"/>
    </row>
    <row r="16435" spans="5:5" ht="16.5">
      <c r="E16435" s="123"/>
    </row>
    <row r="16436" spans="5:5" ht="16.5">
      <c r="E16436" s="123"/>
    </row>
    <row r="16437" spans="5:5" ht="16.5">
      <c r="E16437" s="123"/>
    </row>
    <row r="16438" spans="5:5" ht="16.5">
      <c r="E16438" s="123"/>
    </row>
    <row r="16439" spans="5:5" ht="16.5">
      <c r="E16439" s="123"/>
    </row>
    <row r="16440" spans="5:5" ht="16.5">
      <c r="E16440" s="123"/>
    </row>
    <row r="16441" spans="5:5" ht="16.5">
      <c r="E16441" s="123"/>
    </row>
    <row r="16442" spans="5:5" ht="16.5">
      <c r="E16442" s="123"/>
    </row>
    <row r="16443" spans="5:5" ht="16.5">
      <c r="E16443" s="123"/>
    </row>
    <row r="16444" spans="5:5" ht="16.5">
      <c r="E16444" s="123"/>
    </row>
    <row r="16445" spans="5:5" ht="16.5">
      <c r="E16445" s="123"/>
    </row>
    <row r="16446" spans="5:5" ht="16.5">
      <c r="E16446" s="123"/>
    </row>
    <row r="16447" spans="5:5" ht="16.5">
      <c r="E16447" s="123"/>
    </row>
    <row r="16448" spans="5:5" ht="16.5">
      <c r="E16448" s="123"/>
    </row>
    <row r="16449" spans="5:5" ht="16.5">
      <c r="E16449" s="123"/>
    </row>
    <row r="16450" spans="5:5" ht="16.5">
      <c r="E16450" s="123"/>
    </row>
    <row r="16451" spans="5:5" ht="16.5">
      <c r="E16451" s="123"/>
    </row>
    <row r="16452" spans="5:5" ht="16.5">
      <c r="E16452" s="123"/>
    </row>
    <row r="16453" spans="5:5" ht="16.5">
      <c r="E16453" s="123"/>
    </row>
    <row r="16454" spans="5:5" ht="16.5">
      <c r="E16454" s="123"/>
    </row>
    <row r="16455" spans="5:5" ht="16.5">
      <c r="E16455" s="123"/>
    </row>
    <row r="16456" spans="5:5" ht="16.5">
      <c r="E16456" s="123"/>
    </row>
    <row r="16457" spans="5:5" ht="16.5">
      <c r="E16457" s="123"/>
    </row>
    <row r="16458" spans="5:5" ht="16.5">
      <c r="E16458" s="123"/>
    </row>
    <row r="16459" spans="5:5" ht="16.5">
      <c r="E16459" s="123"/>
    </row>
    <row r="16460" spans="5:5" ht="16.5">
      <c r="E16460" s="123"/>
    </row>
    <row r="16461" spans="5:5" ht="16.5">
      <c r="E16461" s="123"/>
    </row>
    <row r="16462" spans="5:5" ht="16.5">
      <c r="E16462" s="123"/>
    </row>
    <row r="16463" spans="5:5" ht="16.5">
      <c r="E16463" s="123"/>
    </row>
    <row r="16464" spans="5:5" ht="16.5">
      <c r="E16464" s="123"/>
    </row>
    <row r="16465" spans="5:5" ht="16.5">
      <c r="E16465" s="123"/>
    </row>
    <row r="16466" spans="5:5" ht="16.5">
      <c r="E16466" s="123"/>
    </row>
    <row r="16467" spans="5:5" ht="16.5">
      <c r="E16467" s="123"/>
    </row>
    <row r="16468" spans="5:5" ht="16.5">
      <c r="E16468" s="123"/>
    </row>
    <row r="16469" spans="5:5" ht="16.5">
      <c r="E16469" s="123"/>
    </row>
    <row r="16470" spans="5:5" ht="16.5">
      <c r="E16470" s="123"/>
    </row>
    <row r="16471" spans="5:5" ht="16.5">
      <c r="E16471" s="123"/>
    </row>
    <row r="16472" spans="5:5" ht="16.5">
      <c r="E16472" s="123"/>
    </row>
    <row r="16473" spans="5:5" ht="16.5">
      <c r="E16473" s="123"/>
    </row>
    <row r="16474" spans="5:5" ht="16.5">
      <c r="E16474" s="123"/>
    </row>
    <row r="16475" spans="5:5" ht="16.5">
      <c r="E16475" s="123"/>
    </row>
    <row r="16476" spans="5:5" ht="16.5">
      <c r="E16476" s="123"/>
    </row>
    <row r="16477" spans="5:5" ht="16.5">
      <c r="E16477" s="123"/>
    </row>
    <row r="16478" spans="5:5" ht="16.5">
      <c r="E16478" s="123"/>
    </row>
    <row r="16479" spans="5:5" ht="16.5">
      <c r="E16479" s="123"/>
    </row>
    <row r="16480" spans="5:5" ht="16.5">
      <c r="E16480" s="123"/>
    </row>
    <row r="16481" spans="5:5" ht="16.5">
      <c r="E16481" s="123"/>
    </row>
    <row r="16482" spans="5:5" ht="16.5">
      <c r="E16482" s="123"/>
    </row>
    <row r="16483" spans="5:5" ht="16.5">
      <c r="E16483" s="123"/>
    </row>
    <row r="16484" spans="5:5" ht="16.5">
      <c r="E16484" s="123"/>
    </row>
    <row r="16485" spans="5:5" ht="16.5">
      <c r="E16485" s="123"/>
    </row>
    <row r="16486" spans="5:5" ht="16.5">
      <c r="E16486" s="123"/>
    </row>
    <row r="16487" spans="5:5" ht="16.5">
      <c r="E16487" s="123"/>
    </row>
    <row r="16488" spans="5:5" ht="16.5">
      <c r="E16488" s="123"/>
    </row>
    <row r="16489" spans="5:5" ht="16.5">
      <c r="E16489" s="123"/>
    </row>
    <row r="16490" spans="5:5" ht="16.5">
      <c r="E16490" s="123"/>
    </row>
    <row r="16491" spans="5:5" ht="16.5">
      <c r="E16491" s="123"/>
    </row>
    <row r="16492" spans="5:5" ht="16.5">
      <c r="E16492" s="123"/>
    </row>
    <row r="16493" spans="5:5" ht="16.5">
      <c r="E16493" s="123"/>
    </row>
    <row r="16494" spans="5:5" ht="16.5">
      <c r="E16494" s="123"/>
    </row>
    <row r="16495" spans="5:5" ht="16.5">
      <c r="E16495" s="123"/>
    </row>
    <row r="16496" spans="5:5" ht="16.5">
      <c r="E16496" s="123"/>
    </row>
    <row r="16497" spans="5:5" ht="16.5">
      <c r="E16497" s="123"/>
    </row>
    <row r="16498" spans="5:5" ht="16.5">
      <c r="E16498" s="123"/>
    </row>
    <row r="16499" spans="5:5" ht="16.5">
      <c r="E16499" s="123"/>
    </row>
    <row r="16500" spans="5:5" ht="16.5">
      <c r="E16500" s="123"/>
    </row>
    <row r="16501" spans="5:5" ht="16.5">
      <c r="E16501" s="123"/>
    </row>
    <row r="16502" spans="5:5" ht="16.5">
      <c r="E16502" s="123"/>
    </row>
    <row r="16503" spans="5:5" ht="16.5">
      <c r="E16503" s="123"/>
    </row>
    <row r="16504" spans="5:5" ht="16.5">
      <c r="E16504" s="123"/>
    </row>
    <row r="16505" spans="5:5" ht="16.5">
      <c r="E16505" s="123"/>
    </row>
    <row r="16506" spans="5:5" ht="16.5">
      <c r="E16506" s="123"/>
    </row>
    <row r="16507" spans="5:5" ht="16.5">
      <c r="E16507" s="123"/>
    </row>
    <row r="16508" spans="5:5" ht="16.5">
      <c r="E16508" s="123"/>
    </row>
    <row r="16509" spans="5:5" ht="16.5">
      <c r="E16509" s="123"/>
    </row>
    <row r="16510" spans="5:5" ht="16.5">
      <c r="E16510" s="123"/>
    </row>
    <row r="16511" spans="5:5" ht="16.5">
      <c r="E16511" s="123"/>
    </row>
    <row r="16512" spans="5:5" ht="16.5">
      <c r="E16512" s="123"/>
    </row>
    <row r="16513" spans="5:5" ht="16.5">
      <c r="E16513" s="123"/>
    </row>
    <row r="16514" spans="5:5" ht="16.5">
      <c r="E16514" s="123"/>
    </row>
    <row r="16515" spans="5:5" ht="16.5">
      <c r="E16515" s="123"/>
    </row>
    <row r="16516" spans="5:5" ht="16.5">
      <c r="E16516" s="123"/>
    </row>
    <row r="16517" spans="5:5" ht="16.5">
      <c r="E16517" s="123"/>
    </row>
    <row r="16518" spans="5:5" ht="16.5">
      <c r="E16518" s="123"/>
    </row>
    <row r="16519" spans="5:5" ht="16.5">
      <c r="E16519" s="123"/>
    </row>
    <row r="16520" spans="5:5" ht="16.5">
      <c r="E16520" s="123"/>
    </row>
    <row r="16521" spans="5:5" ht="16.5">
      <c r="E16521" s="123"/>
    </row>
    <row r="16522" spans="5:5" ht="16.5">
      <c r="E16522" s="123"/>
    </row>
    <row r="16523" spans="5:5" ht="16.5">
      <c r="E16523" s="123"/>
    </row>
    <row r="16524" spans="5:5" ht="16.5">
      <c r="E16524" s="123"/>
    </row>
    <row r="16525" spans="5:5" ht="16.5">
      <c r="E16525" s="123"/>
    </row>
    <row r="16526" spans="5:5" ht="16.5">
      <c r="E16526" s="123"/>
    </row>
    <row r="16527" spans="5:5" ht="16.5">
      <c r="E16527" s="123"/>
    </row>
    <row r="16528" spans="5:5" ht="16.5">
      <c r="E16528" s="123"/>
    </row>
    <row r="16529" spans="5:5" ht="16.5">
      <c r="E16529" s="123"/>
    </row>
    <row r="16530" spans="5:5" ht="16.5">
      <c r="E16530" s="123"/>
    </row>
    <row r="16531" spans="5:5" ht="16.5">
      <c r="E16531" s="123"/>
    </row>
    <row r="16532" spans="5:5" ht="16.5">
      <c r="E16532" s="123"/>
    </row>
    <row r="16533" spans="5:5" ht="16.5">
      <c r="E16533" s="123"/>
    </row>
    <row r="16534" spans="5:5" ht="16.5">
      <c r="E16534" s="123"/>
    </row>
    <row r="16535" spans="5:5" ht="16.5">
      <c r="E16535" s="123"/>
    </row>
    <row r="16536" spans="5:5" ht="16.5">
      <c r="E16536" s="123"/>
    </row>
    <row r="16537" spans="5:5" ht="16.5">
      <c r="E16537" s="123"/>
    </row>
    <row r="16538" spans="5:5" ht="16.5">
      <c r="E16538" s="123"/>
    </row>
    <row r="16539" spans="5:5" ht="16.5">
      <c r="E16539" s="123"/>
    </row>
    <row r="16540" spans="5:5" ht="16.5">
      <c r="E16540" s="123"/>
    </row>
    <row r="16541" spans="5:5" ht="16.5">
      <c r="E16541" s="123"/>
    </row>
    <row r="16542" spans="5:5" ht="16.5">
      <c r="E16542" s="123"/>
    </row>
    <row r="16543" spans="5:5" ht="16.5">
      <c r="E16543" s="123"/>
    </row>
    <row r="16544" spans="5:5" ht="16.5">
      <c r="E16544" s="123"/>
    </row>
    <row r="16545" spans="5:5" ht="16.5">
      <c r="E16545" s="123"/>
    </row>
    <row r="16546" spans="5:5" ht="16.5">
      <c r="E16546" s="123"/>
    </row>
    <row r="16547" spans="5:5" ht="16.5">
      <c r="E16547" s="123"/>
    </row>
    <row r="16548" spans="5:5" ht="16.5">
      <c r="E16548" s="123"/>
    </row>
    <row r="16549" spans="5:5" ht="16.5">
      <c r="E16549" s="123"/>
    </row>
    <row r="16550" spans="5:5" ht="16.5">
      <c r="E16550" s="123"/>
    </row>
    <row r="16551" spans="5:5" ht="16.5">
      <c r="E16551" s="123"/>
    </row>
    <row r="16552" spans="5:5" ht="16.5">
      <c r="E16552" s="123"/>
    </row>
    <row r="16553" spans="5:5" ht="16.5">
      <c r="E16553" s="123"/>
    </row>
    <row r="16554" spans="5:5" ht="16.5">
      <c r="E16554" s="123"/>
    </row>
    <row r="16555" spans="5:5" ht="16.5">
      <c r="E16555" s="123"/>
    </row>
    <row r="16556" spans="5:5" ht="16.5">
      <c r="E16556" s="123"/>
    </row>
    <row r="16557" spans="5:5" ht="16.5">
      <c r="E16557" s="123"/>
    </row>
    <row r="16558" spans="5:5" ht="16.5">
      <c r="E16558" s="123"/>
    </row>
    <row r="16559" spans="5:5" ht="16.5">
      <c r="E16559" s="123"/>
    </row>
    <row r="16560" spans="5:5" ht="16.5">
      <c r="E16560" s="123"/>
    </row>
    <row r="16561" spans="5:5" ht="16.5">
      <c r="E16561" s="123"/>
    </row>
    <row r="16562" spans="5:5" ht="16.5">
      <c r="E16562" s="123"/>
    </row>
    <row r="16563" spans="5:5" ht="16.5">
      <c r="E16563" s="123"/>
    </row>
    <row r="16564" spans="5:5" ht="16.5">
      <c r="E16564" s="123"/>
    </row>
    <row r="16565" spans="5:5" ht="16.5">
      <c r="E16565" s="123"/>
    </row>
    <row r="16566" spans="5:5" ht="16.5">
      <c r="E16566" s="123"/>
    </row>
    <row r="16567" spans="5:5" ht="16.5">
      <c r="E16567" s="123"/>
    </row>
    <row r="16568" spans="5:5" ht="16.5">
      <c r="E16568" s="123"/>
    </row>
    <row r="16569" spans="5:5" ht="16.5">
      <c r="E16569" s="123"/>
    </row>
    <row r="16570" spans="5:5" ht="16.5">
      <c r="E16570" s="123"/>
    </row>
    <row r="16571" spans="5:5" ht="16.5">
      <c r="E16571" s="123"/>
    </row>
    <row r="16572" spans="5:5" ht="16.5">
      <c r="E16572" s="123"/>
    </row>
    <row r="16573" spans="5:5" ht="16.5">
      <c r="E16573" s="123"/>
    </row>
    <row r="16574" spans="5:5" ht="16.5">
      <c r="E16574" s="123"/>
    </row>
    <row r="16575" spans="5:5" ht="16.5">
      <c r="E16575" s="123"/>
    </row>
    <row r="16576" spans="5:5" ht="16.5">
      <c r="E16576" s="123"/>
    </row>
    <row r="16577" spans="5:5" ht="16.5">
      <c r="E16577" s="123"/>
    </row>
    <row r="16578" spans="5:5" ht="16.5">
      <c r="E16578" s="123"/>
    </row>
    <row r="16579" spans="5:5" ht="16.5">
      <c r="E16579" s="123"/>
    </row>
    <row r="16580" spans="5:5" ht="16.5">
      <c r="E16580" s="123"/>
    </row>
    <row r="16581" spans="5:5" ht="16.5">
      <c r="E16581" s="123"/>
    </row>
    <row r="16582" spans="5:5" ht="16.5">
      <c r="E16582" s="123"/>
    </row>
    <row r="16583" spans="5:5" ht="16.5">
      <c r="E16583" s="123"/>
    </row>
    <row r="16584" spans="5:5" ht="16.5">
      <c r="E16584" s="123"/>
    </row>
    <row r="16585" spans="5:5" ht="16.5">
      <c r="E16585" s="123"/>
    </row>
    <row r="16586" spans="5:5" ht="16.5">
      <c r="E16586" s="123"/>
    </row>
    <row r="16587" spans="5:5" ht="16.5">
      <c r="E16587" s="123"/>
    </row>
    <row r="16588" spans="5:5" ht="16.5">
      <c r="E16588" s="123"/>
    </row>
    <row r="16589" spans="5:5" ht="16.5">
      <c r="E16589" s="123"/>
    </row>
    <row r="16590" spans="5:5" ht="16.5">
      <c r="E16590" s="123"/>
    </row>
    <row r="16591" spans="5:5" ht="16.5">
      <c r="E16591" s="123"/>
    </row>
    <row r="16592" spans="5:5" ht="16.5">
      <c r="E16592" s="123"/>
    </row>
    <row r="16593" spans="5:5" ht="16.5">
      <c r="E16593" s="123"/>
    </row>
    <row r="16594" spans="5:5" ht="16.5">
      <c r="E16594" s="123"/>
    </row>
    <row r="16595" spans="5:5" ht="16.5">
      <c r="E16595" s="123"/>
    </row>
    <row r="16596" spans="5:5" ht="16.5">
      <c r="E16596" s="123"/>
    </row>
    <row r="16597" spans="5:5" ht="16.5">
      <c r="E16597" s="123"/>
    </row>
    <row r="16598" spans="5:5" ht="16.5">
      <c r="E16598" s="123"/>
    </row>
    <row r="16599" spans="5:5" ht="16.5">
      <c r="E16599" s="123"/>
    </row>
    <row r="16600" spans="5:5" ht="16.5">
      <c r="E16600" s="123"/>
    </row>
    <row r="16601" spans="5:5" ht="16.5">
      <c r="E16601" s="123"/>
    </row>
    <row r="16602" spans="5:5" ht="16.5">
      <c r="E16602" s="123"/>
    </row>
    <row r="16603" spans="5:5" ht="16.5">
      <c r="E16603" s="123"/>
    </row>
    <row r="16604" spans="5:5" ht="16.5">
      <c r="E16604" s="123"/>
    </row>
    <row r="16605" spans="5:5" ht="16.5">
      <c r="E16605" s="123"/>
    </row>
    <row r="16606" spans="5:5" ht="16.5">
      <c r="E16606" s="123"/>
    </row>
    <row r="16607" spans="5:5" ht="16.5">
      <c r="E16607" s="123"/>
    </row>
    <row r="16608" spans="5:5" ht="16.5">
      <c r="E16608" s="123"/>
    </row>
    <row r="16609" spans="5:5" ht="16.5">
      <c r="E16609" s="123"/>
    </row>
    <row r="16610" spans="5:5" ht="16.5">
      <c r="E16610" s="123"/>
    </row>
    <row r="16611" spans="5:5" ht="16.5">
      <c r="E16611" s="123"/>
    </row>
    <row r="16612" spans="5:5" ht="16.5">
      <c r="E16612" s="123"/>
    </row>
    <row r="16613" spans="5:5" ht="16.5">
      <c r="E16613" s="123"/>
    </row>
    <row r="16614" spans="5:5" ht="16.5">
      <c r="E16614" s="123"/>
    </row>
    <row r="16615" spans="5:5" ht="16.5">
      <c r="E16615" s="123"/>
    </row>
    <row r="16616" spans="5:5" ht="16.5">
      <c r="E16616" s="123"/>
    </row>
    <row r="16617" spans="5:5" ht="16.5">
      <c r="E16617" s="123"/>
    </row>
    <row r="16618" spans="5:5" ht="16.5">
      <c r="E16618" s="123"/>
    </row>
    <row r="16619" spans="5:5" ht="16.5">
      <c r="E16619" s="123"/>
    </row>
    <row r="16620" spans="5:5" ht="16.5">
      <c r="E16620" s="123"/>
    </row>
    <row r="16621" spans="5:5" ht="16.5">
      <c r="E16621" s="123"/>
    </row>
    <row r="16622" spans="5:5" ht="16.5">
      <c r="E16622" s="123"/>
    </row>
    <row r="16623" spans="5:5" ht="16.5">
      <c r="E16623" s="123"/>
    </row>
    <row r="16624" spans="5:5" ht="16.5">
      <c r="E16624" s="123"/>
    </row>
    <row r="16625" spans="5:5" ht="16.5">
      <c r="E16625" s="123"/>
    </row>
    <row r="16626" spans="5:5" ht="16.5">
      <c r="E16626" s="123"/>
    </row>
    <row r="16627" spans="5:5" ht="16.5">
      <c r="E16627" s="123"/>
    </row>
    <row r="16628" spans="5:5" ht="16.5">
      <c r="E16628" s="123"/>
    </row>
    <row r="16629" spans="5:5" ht="16.5">
      <c r="E16629" s="123"/>
    </row>
    <row r="16630" spans="5:5" ht="16.5">
      <c r="E16630" s="123"/>
    </row>
    <row r="16631" spans="5:5" ht="16.5">
      <c r="E16631" s="123"/>
    </row>
    <row r="16632" spans="5:5" ht="16.5">
      <c r="E16632" s="123"/>
    </row>
    <row r="16633" spans="5:5" ht="16.5">
      <c r="E16633" s="123"/>
    </row>
    <row r="16634" spans="5:5" ht="16.5">
      <c r="E16634" s="123"/>
    </row>
    <row r="16635" spans="5:5" ht="16.5">
      <c r="E16635" s="123"/>
    </row>
    <row r="16636" spans="5:5" ht="16.5">
      <c r="E16636" s="123"/>
    </row>
    <row r="16637" spans="5:5" ht="16.5">
      <c r="E16637" s="123"/>
    </row>
    <row r="16638" spans="5:5" ht="16.5">
      <c r="E16638" s="123"/>
    </row>
    <row r="16639" spans="5:5" ht="16.5">
      <c r="E16639" s="123"/>
    </row>
    <row r="16640" spans="5:5" ht="16.5">
      <c r="E16640" s="123"/>
    </row>
    <row r="16641" spans="5:5" ht="16.5">
      <c r="E16641" s="123"/>
    </row>
    <row r="16642" spans="5:5" ht="16.5">
      <c r="E16642" s="123"/>
    </row>
    <row r="16643" spans="5:5" ht="16.5">
      <c r="E16643" s="123"/>
    </row>
    <row r="16644" spans="5:5" ht="16.5">
      <c r="E16644" s="123"/>
    </row>
    <row r="16645" spans="5:5" ht="16.5">
      <c r="E16645" s="123"/>
    </row>
    <row r="16646" spans="5:5" ht="16.5">
      <c r="E16646" s="123"/>
    </row>
    <row r="16647" spans="5:5" ht="16.5">
      <c r="E16647" s="123"/>
    </row>
    <row r="16648" spans="5:5" ht="16.5">
      <c r="E16648" s="123"/>
    </row>
    <row r="16649" spans="5:5" ht="16.5">
      <c r="E16649" s="123"/>
    </row>
    <row r="16650" spans="5:5" ht="16.5">
      <c r="E16650" s="123"/>
    </row>
    <row r="16651" spans="5:5" ht="16.5">
      <c r="E16651" s="123"/>
    </row>
    <row r="16652" spans="5:5" ht="16.5">
      <c r="E16652" s="123"/>
    </row>
    <row r="16653" spans="5:5" ht="16.5">
      <c r="E16653" s="123"/>
    </row>
    <row r="16654" spans="5:5" ht="16.5">
      <c r="E16654" s="123"/>
    </row>
    <row r="16655" spans="5:5" ht="16.5">
      <c r="E16655" s="123"/>
    </row>
    <row r="16656" spans="5:5" ht="16.5">
      <c r="E16656" s="123"/>
    </row>
    <row r="16657" spans="5:5" ht="16.5">
      <c r="E16657" s="123"/>
    </row>
    <row r="16658" spans="5:5" ht="16.5">
      <c r="E16658" s="123"/>
    </row>
    <row r="16659" spans="5:5" ht="16.5">
      <c r="E16659" s="123"/>
    </row>
    <row r="16660" spans="5:5" ht="16.5">
      <c r="E16660" s="123"/>
    </row>
    <row r="16661" spans="5:5" ht="16.5">
      <c r="E16661" s="123"/>
    </row>
    <row r="16662" spans="5:5" ht="16.5">
      <c r="E16662" s="123"/>
    </row>
    <row r="16663" spans="5:5" ht="16.5">
      <c r="E16663" s="123"/>
    </row>
    <row r="16664" spans="5:5" ht="16.5">
      <c r="E16664" s="123"/>
    </row>
    <row r="16665" spans="5:5" ht="16.5">
      <c r="E16665" s="123"/>
    </row>
    <row r="16666" spans="5:5" ht="16.5">
      <c r="E16666" s="123"/>
    </row>
    <row r="16667" spans="5:5" ht="16.5">
      <c r="E16667" s="123"/>
    </row>
    <row r="16668" spans="5:5" ht="16.5">
      <c r="E16668" s="123"/>
    </row>
    <row r="16669" spans="5:5" ht="16.5">
      <c r="E16669" s="123"/>
    </row>
    <row r="16670" spans="5:5" ht="16.5">
      <c r="E16670" s="123"/>
    </row>
    <row r="16671" spans="5:5" ht="16.5">
      <c r="E16671" s="123"/>
    </row>
    <row r="16672" spans="5:5" ht="16.5">
      <c r="E16672" s="123"/>
    </row>
    <row r="16673" spans="5:5" ht="16.5">
      <c r="E16673" s="123"/>
    </row>
    <row r="16674" spans="5:5" ht="16.5">
      <c r="E16674" s="123"/>
    </row>
    <row r="16675" spans="5:5" ht="16.5">
      <c r="E16675" s="123"/>
    </row>
    <row r="16676" spans="5:5" ht="16.5">
      <c r="E16676" s="123"/>
    </row>
    <row r="16677" spans="5:5" ht="16.5">
      <c r="E16677" s="123"/>
    </row>
    <row r="16678" spans="5:5" ht="16.5">
      <c r="E16678" s="123"/>
    </row>
    <row r="16679" spans="5:5" ht="16.5">
      <c r="E16679" s="123"/>
    </row>
    <row r="16680" spans="5:5" ht="16.5">
      <c r="E16680" s="123"/>
    </row>
    <row r="16681" spans="5:5" ht="16.5">
      <c r="E16681" s="123"/>
    </row>
    <row r="16682" spans="5:5" ht="16.5">
      <c r="E16682" s="123"/>
    </row>
    <row r="16683" spans="5:5" ht="16.5">
      <c r="E16683" s="123"/>
    </row>
    <row r="16684" spans="5:5" ht="16.5">
      <c r="E16684" s="123"/>
    </row>
    <row r="16685" spans="5:5" ht="16.5">
      <c r="E16685" s="123"/>
    </row>
    <row r="16686" spans="5:5" ht="16.5">
      <c r="E16686" s="123"/>
    </row>
    <row r="16687" spans="5:5" ht="16.5">
      <c r="E16687" s="123"/>
    </row>
    <row r="16688" spans="5:5" ht="16.5">
      <c r="E16688" s="123"/>
    </row>
    <row r="16689" spans="5:5" ht="16.5">
      <c r="E16689" s="123"/>
    </row>
    <row r="16690" spans="5:5" ht="16.5">
      <c r="E16690" s="123"/>
    </row>
    <row r="16691" spans="5:5" ht="16.5">
      <c r="E16691" s="123"/>
    </row>
    <row r="16692" spans="5:5" ht="16.5">
      <c r="E16692" s="123"/>
    </row>
    <row r="16693" spans="5:5" ht="16.5">
      <c r="E16693" s="123"/>
    </row>
    <row r="16694" spans="5:5" ht="16.5">
      <c r="E16694" s="123"/>
    </row>
    <row r="16695" spans="5:5" ht="16.5">
      <c r="E16695" s="123"/>
    </row>
    <row r="16696" spans="5:5" ht="16.5">
      <c r="E16696" s="123"/>
    </row>
    <row r="16697" spans="5:5" ht="16.5">
      <c r="E16697" s="123"/>
    </row>
    <row r="16698" spans="5:5" ht="16.5">
      <c r="E16698" s="123"/>
    </row>
    <row r="16699" spans="5:5" ht="16.5">
      <c r="E16699" s="123"/>
    </row>
    <row r="16700" spans="5:5" ht="16.5">
      <c r="E16700" s="123"/>
    </row>
    <row r="16701" spans="5:5" ht="16.5">
      <c r="E16701" s="123"/>
    </row>
    <row r="16702" spans="5:5" ht="16.5">
      <c r="E16702" s="123"/>
    </row>
    <row r="16703" spans="5:5" ht="16.5">
      <c r="E16703" s="123"/>
    </row>
    <row r="16704" spans="5:5" ht="16.5">
      <c r="E16704" s="123"/>
    </row>
    <row r="16705" spans="5:5" ht="16.5">
      <c r="E16705" s="123"/>
    </row>
    <row r="16706" spans="5:5" ht="16.5">
      <c r="E16706" s="123"/>
    </row>
    <row r="16707" spans="5:5" ht="16.5">
      <c r="E16707" s="123"/>
    </row>
    <row r="16708" spans="5:5" ht="16.5">
      <c r="E16708" s="123"/>
    </row>
    <row r="16709" spans="5:5" ht="16.5">
      <c r="E16709" s="123"/>
    </row>
    <row r="16710" spans="5:5" ht="16.5">
      <c r="E16710" s="123"/>
    </row>
    <row r="16711" spans="5:5" ht="16.5">
      <c r="E16711" s="123"/>
    </row>
    <row r="16712" spans="5:5" ht="16.5">
      <c r="E16712" s="123"/>
    </row>
    <row r="16713" spans="5:5" ht="16.5">
      <c r="E16713" s="123"/>
    </row>
    <row r="16714" spans="5:5" ht="16.5">
      <c r="E16714" s="123"/>
    </row>
    <row r="16715" spans="5:5" ht="16.5">
      <c r="E16715" s="123"/>
    </row>
    <row r="16716" spans="5:5" ht="16.5">
      <c r="E16716" s="123"/>
    </row>
    <row r="16717" spans="5:5" ht="16.5">
      <c r="E16717" s="123"/>
    </row>
    <row r="16718" spans="5:5" ht="16.5">
      <c r="E16718" s="123"/>
    </row>
    <row r="16719" spans="5:5" ht="16.5">
      <c r="E16719" s="123"/>
    </row>
    <row r="16720" spans="5:5" ht="16.5">
      <c r="E16720" s="123"/>
    </row>
    <row r="16721" spans="5:5" ht="16.5">
      <c r="E16721" s="123"/>
    </row>
    <row r="16722" spans="5:5" ht="16.5">
      <c r="E16722" s="123"/>
    </row>
    <row r="16723" spans="5:5" ht="16.5">
      <c r="E16723" s="123"/>
    </row>
    <row r="16724" spans="5:5" ht="16.5">
      <c r="E16724" s="123"/>
    </row>
    <row r="16725" spans="5:5" ht="16.5">
      <c r="E16725" s="123"/>
    </row>
    <row r="16726" spans="5:5" ht="16.5">
      <c r="E16726" s="123"/>
    </row>
    <row r="16727" spans="5:5" ht="16.5">
      <c r="E16727" s="123"/>
    </row>
    <row r="16728" spans="5:5" ht="16.5">
      <c r="E16728" s="123"/>
    </row>
    <row r="16729" spans="5:5" ht="16.5">
      <c r="E16729" s="123"/>
    </row>
    <row r="16730" spans="5:5" ht="16.5">
      <c r="E16730" s="123"/>
    </row>
    <row r="16731" spans="5:5" ht="16.5">
      <c r="E16731" s="123"/>
    </row>
    <row r="16732" spans="5:5" ht="16.5">
      <c r="E16732" s="123"/>
    </row>
    <row r="16733" spans="5:5" ht="16.5">
      <c r="E16733" s="123"/>
    </row>
    <row r="16734" spans="5:5" ht="16.5">
      <c r="E16734" s="123"/>
    </row>
    <row r="16735" spans="5:5" ht="16.5">
      <c r="E16735" s="123"/>
    </row>
    <row r="16736" spans="5:5" ht="16.5">
      <c r="E16736" s="123"/>
    </row>
    <row r="16737" spans="5:5" ht="16.5">
      <c r="E16737" s="123"/>
    </row>
    <row r="16738" spans="5:5" ht="16.5">
      <c r="E16738" s="123"/>
    </row>
    <row r="16739" spans="5:5" ht="16.5">
      <c r="E16739" s="123"/>
    </row>
    <row r="16740" spans="5:5" ht="16.5">
      <c r="E16740" s="123"/>
    </row>
    <row r="16741" spans="5:5" ht="16.5">
      <c r="E16741" s="123"/>
    </row>
    <row r="16742" spans="5:5" ht="16.5">
      <c r="E16742" s="123"/>
    </row>
    <row r="16743" spans="5:5" ht="16.5">
      <c r="E16743" s="123"/>
    </row>
    <row r="16744" spans="5:5" ht="16.5">
      <c r="E16744" s="123"/>
    </row>
    <row r="16745" spans="5:5" ht="16.5">
      <c r="E16745" s="123"/>
    </row>
    <row r="16746" spans="5:5" ht="16.5">
      <c r="E16746" s="123"/>
    </row>
    <row r="16747" spans="5:5" ht="16.5">
      <c r="E16747" s="123"/>
    </row>
    <row r="16748" spans="5:5" ht="16.5">
      <c r="E16748" s="123"/>
    </row>
    <row r="16749" spans="5:5" ht="16.5">
      <c r="E16749" s="123"/>
    </row>
    <row r="16750" spans="5:5" ht="16.5">
      <c r="E16750" s="123"/>
    </row>
    <row r="16751" spans="5:5" ht="16.5">
      <c r="E16751" s="123"/>
    </row>
    <row r="16752" spans="5:5" ht="16.5">
      <c r="E16752" s="123"/>
    </row>
    <row r="16753" spans="5:5" ht="16.5">
      <c r="E16753" s="123"/>
    </row>
    <row r="16754" spans="5:5" ht="16.5">
      <c r="E16754" s="123"/>
    </row>
    <row r="16755" spans="5:5" ht="16.5">
      <c r="E16755" s="123"/>
    </row>
    <row r="16756" spans="5:5" ht="16.5">
      <c r="E16756" s="123"/>
    </row>
    <row r="16757" spans="5:5" ht="16.5">
      <c r="E16757" s="123"/>
    </row>
    <row r="16758" spans="5:5" ht="16.5">
      <c r="E16758" s="123"/>
    </row>
    <row r="16759" spans="5:5" ht="16.5">
      <c r="E16759" s="123"/>
    </row>
    <row r="16760" spans="5:5" ht="16.5">
      <c r="E16760" s="123"/>
    </row>
    <row r="16761" spans="5:5" ht="16.5">
      <c r="E16761" s="123"/>
    </row>
    <row r="16762" spans="5:5" ht="16.5">
      <c r="E16762" s="123"/>
    </row>
    <row r="16763" spans="5:5" ht="16.5">
      <c r="E16763" s="123"/>
    </row>
    <row r="16764" spans="5:5" ht="16.5">
      <c r="E16764" s="123"/>
    </row>
    <row r="16765" spans="5:5" ht="16.5">
      <c r="E16765" s="123"/>
    </row>
    <row r="16766" spans="5:5" ht="16.5">
      <c r="E16766" s="123"/>
    </row>
    <row r="16767" spans="5:5" ht="16.5">
      <c r="E16767" s="123"/>
    </row>
    <row r="16768" spans="5:5" ht="16.5">
      <c r="E16768" s="123"/>
    </row>
    <row r="16769" spans="5:5" ht="16.5">
      <c r="E16769" s="123"/>
    </row>
    <row r="16770" spans="5:5" ht="16.5">
      <c r="E16770" s="123"/>
    </row>
    <row r="16771" spans="5:5" ht="16.5">
      <c r="E16771" s="123"/>
    </row>
    <row r="16772" spans="5:5" ht="16.5">
      <c r="E16772" s="123"/>
    </row>
    <row r="16773" spans="5:5" ht="16.5">
      <c r="E16773" s="123"/>
    </row>
    <row r="16774" spans="5:5" ht="16.5">
      <c r="E16774" s="123"/>
    </row>
    <row r="16775" spans="5:5" ht="16.5">
      <c r="E16775" s="123"/>
    </row>
    <row r="16776" spans="5:5" ht="16.5">
      <c r="E16776" s="123"/>
    </row>
    <row r="16777" spans="5:5" ht="16.5">
      <c r="E16777" s="123"/>
    </row>
    <row r="16778" spans="5:5" ht="16.5">
      <c r="E16778" s="123"/>
    </row>
    <row r="16779" spans="5:5" ht="16.5">
      <c r="E16779" s="123"/>
    </row>
    <row r="16780" spans="5:5" ht="16.5">
      <c r="E16780" s="123"/>
    </row>
    <row r="16781" spans="5:5" ht="16.5">
      <c r="E16781" s="123"/>
    </row>
    <row r="16782" spans="5:5" ht="16.5">
      <c r="E16782" s="123"/>
    </row>
    <row r="16783" spans="5:5" ht="16.5">
      <c r="E16783" s="123"/>
    </row>
    <row r="16784" spans="5:5" ht="16.5">
      <c r="E16784" s="123"/>
    </row>
    <row r="16785" spans="5:5" ht="16.5">
      <c r="E16785" s="123"/>
    </row>
    <row r="16786" spans="5:5" ht="16.5">
      <c r="E16786" s="123"/>
    </row>
    <row r="16787" spans="5:5" ht="16.5">
      <c r="E16787" s="123"/>
    </row>
    <row r="16788" spans="5:5" ht="16.5">
      <c r="E16788" s="123"/>
    </row>
    <row r="16789" spans="5:5" ht="16.5">
      <c r="E16789" s="123"/>
    </row>
    <row r="16790" spans="5:5" ht="16.5">
      <c r="E16790" s="123"/>
    </row>
    <row r="16791" spans="5:5" ht="16.5">
      <c r="E16791" s="123"/>
    </row>
    <row r="16792" spans="5:5" ht="16.5">
      <c r="E16792" s="123"/>
    </row>
    <row r="16793" spans="5:5" ht="16.5">
      <c r="E16793" s="123"/>
    </row>
    <row r="16794" spans="5:5" ht="16.5">
      <c r="E16794" s="123"/>
    </row>
    <row r="16795" spans="5:5" ht="16.5">
      <c r="E16795" s="123"/>
    </row>
    <row r="16796" spans="5:5" ht="16.5">
      <c r="E16796" s="123"/>
    </row>
    <row r="16797" spans="5:5" ht="16.5">
      <c r="E16797" s="123"/>
    </row>
    <row r="16798" spans="5:5" ht="16.5">
      <c r="E16798" s="123"/>
    </row>
    <row r="16799" spans="5:5" ht="16.5">
      <c r="E16799" s="123"/>
    </row>
    <row r="16800" spans="5:5" ht="16.5">
      <c r="E16800" s="123"/>
    </row>
    <row r="16801" spans="5:5" ht="16.5">
      <c r="E16801" s="123"/>
    </row>
    <row r="16802" spans="5:5" ht="16.5">
      <c r="E16802" s="123"/>
    </row>
    <row r="16803" spans="5:5" ht="16.5">
      <c r="E16803" s="123"/>
    </row>
    <row r="16804" spans="5:5" ht="16.5">
      <c r="E16804" s="123"/>
    </row>
    <row r="16805" spans="5:5" ht="16.5">
      <c r="E16805" s="123"/>
    </row>
    <row r="16806" spans="5:5" ht="16.5">
      <c r="E16806" s="123"/>
    </row>
    <row r="16807" spans="5:5" ht="16.5">
      <c r="E16807" s="123"/>
    </row>
    <row r="16808" spans="5:5" ht="16.5">
      <c r="E16808" s="123"/>
    </row>
    <row r="16809" spans="5:5" ht="16.5">
      <c r="E16809" s="123"/>
    </row>
    <row r="16810" spans="5:5" ht="16.5">
      <c r="E16810" s="123"/>
    </row>
    <row r="16811" spans="5:5" ht="16.5">
      <c r="E16811" s="123"/>
    </row>
    <row r="16812" spans="5:5" ht="16.5">
      <c r="E16812" s="123"/>
    </row>
    <row r="16813" spans="5:5" ht="16.5">
      <c r="E16813" s="123"/>
    </row>
    <row r="16814" spans="5:5" ht="16.5">
      <c r="E16814" s="123"/>
    </row>
    <row r="16815" spans="5:5" ht="16.5">
      <c r="E16815" s="123"/>
    </row>
    <row r="16816" spans="5:5" ht="16.5">
      <c r="E16816" s="123"/>
    </row>
    <row r="16817" spans="5:5" ht="16.5">
      <c r="E16817" s="123"/>
    </row>
    <row r="16818" spans="5:5" ht="16.5">
      <c r="E16818" s="123"/>
    </row>
    <row r="16819" spans="5:5" ht="16.5">
      <c r="E16819" s="123"/>
    </row>
    <row r="16820" spans="5:5" ht="16.5">
      <c r="E16820" s="123"/>
    </row>
    <row r="16821" spans="5:5" ht="16.5">
      <c r="E16821" s="123"/>
    </row>
    <row r="16822" spans="5:5" ht="16.5">
      <c r="E16822" s="123"/>
    </row>
    <row r="16823" spans="5:5" ht="16.5">
      <c r="E16823" s="123"/>
    </row>
    <row r="16824" spans="5:5" ht="16.5">
      <c r="E16824" s="123"/>
    </row>
    <row r="16825" spans="5:5" ht="16.5">
      <c r="E16825" s="123"/>
    </row>
    <row r="16826" spans="5:5" ht="16.5">
      <c r="E16826" s="123"/>
    </row>
    <row r="16827" spans="5:5" ht="16.5">
      <c r="E16827" s="123"/>
    </row>
    <row r="16828" spans="5:5" ht="16.5">
      <c r="E16828" s="123"/>
    </row>
    <row r="16829" spans="5:5" ht="16.5">
      <c r="E16829" s="123"/>
    </row>
    <row r="16830" spans="5:5" ht="16.5">
      <c r="E16830" s="123"/>
    </row>
    <row r="16831" spans="5:5" ht="16.5">
      <c r="E16831" s="123"/>
    </row>
    <row r="16832" spans="5:5" ht="16.5">
      <c r="E16832" s="123"/>
    </row>
    <row r="16833" spans="5:5" ht="16.5">
      <c r="E16833" s="123"/>
    </row>
    <row r="16834" spans="5:5" ht="16.5">
      <c r="E16834" s="123"/>
    </row>
    <row r="16835" spans="5:5" ht="16.5">
      <c r="E16835" s="123"/>
    </row>
    <row r="16836" spans="5:5" ht="16.5">
      <c r="E16836" s="123"/>
    </row>
    <row r="16837" spans="5:5" ht="16.5">
      <c r="E16837" s="123"/>
    </row>
    <row r="16838" spans="5:5" ht="16.5">
      <c r="E16838" s="123"/>
    </row>
    <row r="16839" spans="5:5" ht="16.5">
      <c r="E16839" s="123"/>
    </row>
    <row r="16840" spans="5:5" ht="16.5">
      <c r="E16840" s="123"/>
    </row>
    <row r="16841" spans="5:5" ht="16.5">
      <c r="E16841" s="123"/>
    </row>
    <row r="16842" spans="5:5" ht="16.5">
      <c r="E16842" s="123"/>
    </row>
    <row r="16843" spans="5:5" ht="16.5">
      <c r="E16843" s="123"/>
    </row>
    <row r="16844" spans="5:5" ht="16.5">
      <c r="E16844" s="123"/>
    </row>
    <row r="16845" spans="5:5" ht="16.5">
      <c r="E16845" s="123"/>
    </row>
    <row r="16846" spans="5:5" ht="16.5">
      <c r="E16846" s="123"/>
    </row>
    <row r="16847" spans="5:5" ht="16.5">
      <c r="E16847" s="123"/>
    </row>
    <row r="16848" spans="5:5" ht="16.5">
      <c r="E16848" s="123"/>
    </row>
    <row r="16849" spans="5:5" ht="16.5">
      <c r="E16849" s="123"/>
    </row>
    <row r="16850" spans="5:5" ht="16.5">
      <c r="E16850" s="123"/>
    </row>
    <row r="16851" spans="5:5" ht="16.5">
      <c r="E16851" s="123"/>
    </row>
    <row r="16852" spans="5:5" ht="16.5">
      <c r="E16852" s="123"/>
    </row>
    <row r="16853" spans="5:5" ht="16.5">
      <c r="E16853" s="123"/>
    </row>
    <row r="16854" spans="5:5" ht="16.5">
      <c r="E16854" s="123"/>
    </row>
    <row r="16855" spans="5:5" ht="16.5">
      <c r="E16855" s="123"/>
    </row>
    <row r="16856" spans="5:5" ht="16.5">
      <c r="E16856" s="123"/>
    </row>
    <row r="16857" spans="5:5" ht="16.5">
      <c r="E16857" s="123"/>
    </row>
    <row r="16858" spans="5:5" ht="16.5">
      <c r="E16858" s="123"/>
    </row>
    <row r="16859" spans="5:5" ht="16.5">
      <c r="E16859" s="123"/>
    </row>
    <row r="16860" spans="5:5" ht="16.5">
      <c r="E16860" s="123"/>
    </row>
    <row r="16861" spans="5:5" ht="16.5">
      <c r="E16861" s="123"/>
    </row>
    <row r="16862" spans="5:5" ht="16.5">
      <c r="E16862" s="123"/>
    </row>
    <row r="16863" spans="5:5" ht="16.5">
      <c r="E16863" s="123"/>
    </row>
    <row r="16864" spans="5:5" ht="16.5">
      <c r="E16864" s="123"/>
    </row>
    <row r="16865" spans="5:5" ht="16.5">
      <c r="E16865" s="123"/>
    </row>
    <row r="16866" spans="5:5" ht="16.5">
      <c r="E16866" s="123"/>
    </row>
    <row r="16867" spans="5:5" ht="16.5">
      <c r="E16867" s="123"/>
    </row>
    <row r="16868" spans="5:5" ht="16.5">
      <c r="E16868" s="123"/>
    </row>
    <row r="16869" spans="5:5" ht="16.5">
      <c r="E16869" s="123"/>
    </row>
    <row r="16870" spans="5:5" ht="16.5">
      <c r="E16870" s="123"/>
    </row>
    <row r="16871" spans="5:5" ht="16.5">
      <c r="E16871" s="123"/>
    </row>
    <row r="16872" spans="5:5" ht="16.5">
      <c r="E16872" s="123"/>
    </row>
    <row r="16873" spans="5:5" ht="16.5">
      <c r="E16873" s="123"/>
    </row>
    <row r="16874" spans="5:5" ht="16.5">
      <c r="E16874" s="123"/>
    </row>
    <row r="16875" spans="5:5" ht="16.5">
      <c r="E16875" s="123"/>
    </row>
    <row r="16876" spans="5:5" ht="16.5">
      <c r="E16876" s="123"/>
    </row>
    <row r="16877" spans="5:5" ht="16.5">
      <c r="E16877" s="123"/>
    </row>
    <row r="16878" spans="5:5" ht="16.5">
      <c r="E16878" s="123"/>
    </row>
    <row r="16879" spans="5:5" ht="16.5">
      <c r="E16879" s="123"/>
    </row>
    <row r="16880" spans="5:5" ht="16.5">
      <c r="E16880" s="123"/>
    </row>
    <row r="16881" spans="5:5" ht="16.5">
      <c r="E16881" s="123"/>
    </row>
    <row r="16882" spans="5:5" ht="16.5">
      <c r="E16882" s="123"/>
    </row>
    <row r="16883" spans="5:5" ht="16.5">
      <c r="E16883" s="123"/>
    </row>
    <row r="16884" spans="5:5" ht="16.5">
      <c r="E16884" s="123"/>
    </row>
    <row r="16885" spans="5:5" ht="16.5">
      <c r="E16885" s="123"/>
    </row>
    <row r="16886" spans="5:5" ht="16.5">
      <c r="E16886" s="123"/>
    </row>
    <row r="16887" spans="5:5" ht="16.5">
      <c r="E16887" s="123"/>
    </row>
    <row r="16888" spans="5:5" ht="16.5">
      <c r="E16888" s="123"/>
    </row>
    <row r="16889" spans="5:5" ht="16.5">
      <c r="E16889" s="123"/>
    </row>
    <row r="16890" spans="5:5" ht="16.5">
      <c r="E16890" s="123"/>
    </row>
    <row r="16891" spans="5:5" ht="16.5">
      <c r="E16891" s="123"/>
    </row>
    <row r="16892" spans="5:5" ht="16.5">
      <c r="E16892" s="123"/>
    </row>
    <row r="16893" spans="5:5" ht="16.5">
      <c r="E16893" s="123"/>
    </row>
    <row r="16894" spans="5:5" ht="16.5">
      <c r="E16894" s="123"/>
    </row>
    <row r="16895" spans="5:5" ht="16.5">
      <c r="E16895" s="123"/>
    </row>
    <row r="16896" spans="5:5" ht="16.5">
      <c r="E16896" s="123"/>
    </row>
    <row r="16897" spans="5:5" ht="16.5">
      <c r="E16897" s="123"/>
    </row>
    <row r="16898" spans="5:5" ht="16.5">
      <c r="E16898" s="123"/>
    </row>
    <row r="16899" spans="5:5" ht="16.5">
      <c r="E16899" s="123"/>
    </row>
    <row r="16900" spans="5:5" ht="16.5">
      <c r="E16900" s="123"/>
    </row>
    <row r="16901" spans="5:5" ht="16.5">
      <c r="E16901" s="123"/>
    </row>
    <row r="16902" spans="5:5" ht="16.5">
      <c r="E16902" s="123"/>
    </row>
    <row r="16903" spans="5:5" ht="16.5">
      <c r="E16903" s="123"/>
    </row>
    <row r="16904" spans="5:5" ht="16.5">
      <c r="E16904" s="123"/>
    </row>
    <row r="16905" spans="5:5" ht="16.5">
      <c r="E16905" s="123"/>
    </row>
    <row r="16906" spans="5:5" ht="16.5">
      <c r="E16906" s="123"/>
    </row>
    <row r="16907" spans="5:5" ht="16.5">
      <c r="E16907" s="123"/>
    </row>
    <row r="16908" spans="5:5" ht="16.5">
      <c r="E16908" s="123"/>
    </row>
    <row r="16909" spans="5:5" ht="16.5">
      <c r="E16909" s="123"/>
    </row>
    <row r="16910" spans="5:5" ht="16.5">
      <c r="E16910" s="123"/>
    </row>
    <row r="16911" spans="5:5" ht="16.5">
      <c r="E16911" s="123"/>
    </row>
    <row r="16912" spans="5:5" ht="16.5">
      <c r="E16912" s="123"/>
    </row>
    <row r="16913" spans="5:5" ht="16.5">
      <c r="E16913" s="123"/>
    </row>
    <row r="16914" spans="5:5" ht="16.5">
      <c r="E16914" s="123"/>
    </row>
    <row r="16915" spans="5:5" ht="16.5">
      <c r="E16915" s="123"/>
    </row>
    <row r="16916" spans="5:5" ht="16.5">
      <c r="E16916" s="123"/>
    </row>
    <row r="16917" spans="5:5" ht="16.5">
      <c r="E16917" s="123"/>
    </row>
    <row r="16918" spans="5:5" ht="16.5">
      <c r="E16918" s="123"/>
    </row>
    <row r="16919" spans="5:5" ht="16.5">
      <c r="E16919" s="123"/>
    </row>
    <row r="16920" spans="5:5" ht="16.5">
      <c r="E16920" s="123"/>
    </row>
    <row r="16921" spans="5:5" ht="16.5">
      <c r="E16921" s="123"/>
    </row>
    <row r="16922" spans="5:5" ht="16.5">
      <c r="E16922" s="123"/>
    </row>
    <row r="16923" spans="5:5" ht="16.5">
      <c r="E16923" s="123"/>
    </row>
    <row r="16924" spans="5:5" ht="16.5">
      <c r="E16924" s="123"/>
    </row>
    <row r="16925" spans="5:5" ht="16.5">
      <c r="E16925" s="123"/>
    </row>
    <row r="16926" spans="5:5" ht="16.5">
      <c r="E16926" s="123"/>
    </row>
    <row r="16927" spans="5:5" ht="16.5">
      <c r="E16927" s="123"/>
    </row>
    <row r="16928" spans="5:5" ht="16.5">
      <c r="E16928" s="123"/>
    </row>
    <row r="16929" spans="5:5" ht="16.5">
      <c r="E16929" s="123"/>
    </row>
    <row r="16930" spans="5:5" ht="16.5">
      <c r="E16930" s="123"/>
    </row>
    <row r="16931" spans="5:5" ht="16.5">
      <c r="E16931" s="123"/>
    </row>
    <row r="16932" spans="5:5" ht="16.5">
      <c r="E16932" s="123"/>
    </row>
    <row r="16933" spans="5:5" ht="16.5">
      <c r="E16933" s="123"/>
    </row>
    <row r="16934" spans="5:5" ht="16.5">
      <c r="E16934" s="123"/>
    </row>
    <row r="16935" spans="5:5" ht="16.5">
      <c r="E16935" s="123"/>
    </row>
    <row r="16936" spans="5:5" ht="16.5">
      <c r="E16936" s="123"/>
    </row>
    <row r="16937" spans="5:5" ht="16.5">
      <c r="E16937" s="123"/>
    </row>
    <row r="16938" spans="5:5" ht="16.5">
      <c r="E16938" s="123"/>
    </row>
    <row r="16939" spans="5:5" ht="16.5">
      <c r="E16939" s="123"/>
    </row>
    <row r="16940" spans="5:5" ht="16.5">
      <c r="E16940" s="123"/>
    </row>
    <row r="16941" spans="5:5" ht="16.5">
      <c r="E16941" s="123"/>
    </row>
    <row r="16942" spans="5:5" ht="16.5">
      <c r="E16942" s="123"/>
    </row>
    <row r="16943" spans="5:5" ht="16.5">
      <c r="E16943" s="123"/>
    </row>
    <row r="16944" spans="5:5" ht="16.5">
      <c r="E16944" s="123"/>
    </row>
    <row r="16945" spans="5:5" ht="16.5">
      <c r="E16945" s="123"/>
    </row>
    <row r="16946" spans="5:5" ht="16.5">
      <c r="E16946" s="123"/>
    </row>
    <row r="16947" spans="5:5" ht="16.5">
      <c r="E16947" s="123"/>
    </row>
    <row r="16948" spans="5:5" ht="16.5">
      <c r="E16948" s="123"/>
    </row>
    <row r="16949" spans="5:5" ht="16.5">
      <c r="E16949" s="123"/>
    </row>
    <row r="16950" spans="5:5" ht="16.5">
      <c r="E16950" s="123"/>
    </row>
    <row r="16951" spans="5:5" ht="16.5">
      <c r="E16951" s="123"/>
    </row>
    <row r="16952" spans="5:5" ht="16.5">
      <c r="E16952" s="123"/>
    </row>
    <row r="16953" spans="5:5" ht="16.5">
      <c r="E16953" s="123"/>
    </row>
    <row r="16954" spans="5:5" ht="16.5">
      <c r="E16954" s="123"/>
    </row>
    <row r="16955" spans="5:5" ht="16.5">
      <c r="E16955" s="123"/>
    </row>
    <row r="16956" spans="5:5" ht="16.5">
      <c r="E16956" s="123"/>
    </row>
    <row r="16957" spans="5:5" ht="16.5">
      <c r="E16957" s="123"/>
    </row>
    <row r="16958" spans="5:5" ht="16.5">
      <c r="E16958" s="123"/>
    </row>
    <row r="16959" spans="5:5" ht="16.5">
      <c r="E16959" s="123"/>
    </row>
    <row r="16960" spans="5:5" ht="16.5">
      <c r="E16960" s="123"/>
    </row>
    <row r="16961" spans="5:5" ht="16.5">
      <c r="E16961" s="123"/>
    </row>
    <row r="16962" spans="5:5" ht="16.5">
      <c r="E16962" s="123"/>
    </row>
    <row r="16963" spans="5:5" ht="16.5">
      <c r="E16963" s="123"/>
    </row>
    <row r="16964" spans="5:5" ht="16.5">
      <c r="E16964" s="123"/>
    </row>
    <row r="16965" spans="5:5" ht="16.5">
      <c r="E16965" s="123"/>
    </row>
    <row r="16966" spans="5:5" ht="16.5">
      <c r="E16966" s="123"/>
    </row>
    <row r="16967" spans="5:5" ht="16.5">
      <c r="E16967" s="123"/>
    </row>
    <row r="16968" spans="5:5" ht="16.5">
      <c r="E16968" s="123"/>
    </row>
    <row r="16969" spans="5:5" ht="16.5">
      <c r="E16969" s="123"/>
    </row>
    <row r="16970" spans="5:5" ht="16.5">
      <c r="E16970" s="123"/>
    </row>
    <row r="16971" spans="5:5" ht="16.5">
      <c r="E16971" s="123"/>
    </row>
    <row r="16972" spans="5:5" ht="16.5">
      <c r="E16972" s="123"/>
    </row>
    <row r="16973" spans="5:5" ht="16.5">
      <c r="E16973" s="123"/>
    </row>
    <row r="16974" spans="5:5" ht="16.5">
      <c r="E16974" s="123"/>
    </row>
    <row r="16975" spans="5:5" ht="16.5">
      <c r="E16975" s="123"/>
    </row>
    <row r="16976" spans="5:5" ht="16.5">
      <c r="E16976" s="123"/>
    </row>
    <row r="16977" spans="5:5" ht="16.5">
      <c r="E16977" s="123"/>
    </row>
    <row r="16978" spans="5:5" ht="16.5">
      <c r="E16978" s="123"/>
    </row>
    <row r="16979" spans="5:5" ht="16.5">
      <c r="E16979" s="123"/>
    </row>
    <row r="16980" spans="5:5" ht="16.5">
      <c r="E16980" s="123"/>
    </row>
    <row r="16981" spans="5:5" ht="16.5">
      <c r="E16981" s="123"/>
    </row>
    <row r="16982" spans="5:5" ht="16.5">
      <c r="E16982" s="123"/>
    </row>
    <row r="16983" spans="5:5" ht="16.5">
      <c r="E16983" s="123"/>
    </row>
    <row r="16984" spans="5:5" ht="16.5">
      <c r="E16984" s="123"/>
    </row>
    <row r="16985" spans="5:5" ht="16.5">
      <c r="E16985" s="123"/>
    </row>
    <row r="16986" spans="5:5" ht="16.5">
      <c r="E16986" s="123"/>
    </row>
    <row r="16987" spans="5:5" ht="16.5">
      <c r="E16987" s="123"/>
    </row>
    <row r="16988" spans="5:5" ht="16.5">
      <c r="E16988" s="123"/>
    </row>
    <row r="16989" spans="5:5" ht="16.5">
      <c r="E16989" s="123"/>
    </row>
    <row r="16990" spans="5:5" ht="16.5">
      <c r="E16990" s="123"/>
    </row>
    <row r="16991" spans="5:5" ht="16.5">
      <c r="E16991" s="123"/>
    </row>
    <row r="16992" spans="5:5" ht="16.5">
      <c r="E16992" s="123"/>
    </row>
    <row r="16993" spans="5:5" ht="16.5">
      <c r="E16993" s="123"/>
    </row>
    <row r="16994" spans="5:5" ht="16.5">
      <c r="E16994" s="123"/>
    </row>
    <row r="16995" spans="5:5" ht="16.5">
      <c r="E16995" s="123"/>
    </row>
    <row r="16996" spans="5:5" ht="16.5">
      <c r="E16996" s="123"/>
    </row>
    <row r="16997" spans="5:5" ht="16.5">
      <c r="E16997" s="123"/>
    </row>
    <row r="16998" spans="5:5" ht="16.5">
      <c r="E16998" s="123"/>
    </row>
    <row r="16999" spans="5:5" ht="16.5">
      <c r="E16999" s="123"/>
    </row>
    <row r="17000" spans="5:5" ht="16.5">
      <c r="E17000" s="123"/>
    </row>
    <row r="17001" spans="5:5" ht="16.5">
      <c r="E17001" s="123"/>
    </row>
    <row r="17002" spans="5:5" ht="16.5">
      <c r="E17002" s="123"/>
    </row>
    <row r="17003" spans="5:5" ht="16.5">
      <c r="E17003" s="123"/>
    </row>
    <row r="17004" spans="5:5" ht="16.5">
      <c r="E17004" s="123"/>
    </row>
    <row r="17005" spans="5:5" ht="16.5">
      <c r="E17005" s="123"/>
    </row>
    <row r="17006" spans="5:5" ht="16.5">
      <c r="E17006" s="123"/>
    </row>
    <row r="17007" spans="5:5" ht="16.5">
      <c r="E17007" s="123"/>
    </row>
    <row r="17008" spans="5:5" ht="16.5">
      <c r="E17008" s="123"/>
    </row>
    <row r="17009" spans="5:5" ht="16.5">
      <c r="E17009" s="123"/>
    </row>
    <row r="17010" spans="5:5" ht="16.5">
      <c r="E17010" s="123"/>
    </row>
    <row r="17011" spans="5:5" ht="16.5">
      <c r="E17011" s="123"/>
    </row>
    <row r="17012" spans="5:5" ht="16.5">
      <c r="E17012" s="123"/>
    </row>
    <row r="17013" spans="5:5" ht="16.5">
      <c r="E17013" s="123"/>
    </row>
    <row r="17014" spans="5:5" ht="16.5">
      <c r="E17014" s="123"/>
    </row>
    <row r="17015" spans="5:5" ht="16.5">
      <c r="E17015" s="123"/>
    </row>
    <row r="17016" spans="5:5" ht="16.5">
      <c r="E17016" s="123"/>
    </row>
    <row r="17017" spans="5:5" ht="16.5">
      <c r="E17017" s="123"/>
    </row>
    <row r="17018" spans="5:5" ht="16.5">
      <c r="E17018" s="123"/>
    </row>
    <row r="17019" spans="5:5" ht="16.5">
      <c r="E17019" s="123"/>
    </row>
    <row r="17020" spans="5:5" ht="16.5">
      <c r="E17020" s="123"/>
    </row>
    <row r="17021" spans="5:5" ht="16.5">
      <c r="E17021" s="123"/>
    </row>
    <row r="17022" spans="5:5" ht="16.5">
      <c r="E17022" s="123"/>
    </row>
    <row r="17023" spans="5:5" ht="16.5">
      <c r="E17023" s="123"/>
    </row>
    <row r="17024" spans="5:5" ht="16.5">
      <c r="E17024" s="123"/>
    </row>
    <row r="17025" spans="5:5" ht="16.5">
      <c r="E17025" s="123"/>
    </row>
    <row r="17026" spans="5:5" ht="16.5">
      <c r="E17026" s="123"/>
    </row>
    <row r="17027" spans="5:5" ht="16.5">
      <c r="E17027" s="123"/>
    </row>
    <row r="17028" spans="5:5" ht="16.5">
      <c r="E17028" s="123"/>
    </row>
    <row r="17029" spans="5:5" ht="16.5">
      <c r="E17029" s="123"/>
    </row>
    <row r="17030" spans="5:5" ht="16.5">
      <c r="E17030" s="123"/>
    </row>
    <row r="17031" spans="5:5" ht="16.5">
      <c r="E17031" s="123"/>
    </row>
    <row r="17032" spans="5:5" ht="16.5">
      <c r="E17032" s="123"/>
    </row>
    <row r="17033" spans="5:5" ht="16.5">
      <c r="E17033" s="123"/>
    </row>
    <row r="17034" spans="5:5" ht="16.5">
      <c r="E17034" s="123"/>
    </row>
    <row r="17035" spans="5:5" ht="16.5">
      <c r="E17035" s="123"/>
    </row>
    <row r="17036" spans="5:5" ht="16.5">
      <c r="E17036" s="123"/>
    </row>
    <row r="17037" spans="5:5" ht="16.5">
      <c r="E17037" s="123"/>
    </row>
    <row r="17038" spans="5:5" ht="16.5">
      <c r="E17038" s="123"/>
    </row>
    <row r="17039" spans="5:5" ht="16.5">
      <c r="E17039" s="123"/>
    </row>
    <row r="17040" spans="5:5" ht="16.5">
      <c r="E17040" s="123"/>
    </row>
    <row r="17041" spans="5:5" ht="16.5">
      <c r="E17041" s="123"/>
    </row>
    <row r="17042" spans="5:5" ht="16.5">
      <c r="E17042" s="123"/>
    </row>
    <row r="17043" spans="5:5" ht="16.5">
      <c r="E17043" s="123"/>
    </row>
    <row r="17044" spans="5:5" ht="16.5">
      <c r="E17044" s="123"/>
    </row>
    <row r="17045" spans="5:5" ht="16.5">
      <c r="E17045" s="123"/>
    </row>
    <row r="17046" spans="5:5" ht="16.5">
      <c r="E17046" s="123"/>
    </row>
    <row r="17047" spans="5:5" ht="16.5">
      <c r="E17047" s="123"/>
    </row>
    <row r="17048" spans="5:5" ht="16.5">
      <c r="E17048" s="123"/>
    </row>
    <row r="17049" spans="5:5" ht="16.5">
      <c r="E17049" s="123"/>
    </row>
    <row r="17050" spans="5:5" ht="16.5">
      <c r="E17050" s="123"/>
    </row>
    <row r="17051" spans="5:5" ht="16.5">
      <c r="E17051" s="123"/>
    </row>
    <row r="17052" spans="5:5" ht="16.5">
      <c r="E17052" s="123"/>
    </row>
    <row r="17053" spans="5:5" ht="16.5">
      <c r="E17053" s="123"/>
    </row>
    <row r="17054" spans="5:5" ht="16.5">
      <c r="E17054" s="123"/>
    </row>
    <row r="17055" spans="5:5" ht="16.5">
      <c r="E17055" s="123"/>
    </row>
    <row r="17056" spans="5:5" ht="16.5">
      <c r="E17056" s="123"/>
    </row>
    <row r="17057" spans="5:5" ht="16.5">
      <c r="E17057" s="123"/>
    </row>
    <row r="17058" spans="5:5" ht="16.5">
      <c r="E17058" s="123"/>
    </row>
    <row r="17059" spans="5:5" ht="16.5">
      <c r="E17059" s="123"/>
    </row>
    <row r="17060" spans="5:5" ht="16.5">
      <c r="E17060" s="123"/>
    </row>
    <row r="17061" spans="5:5" ht="16.5">
      <c r="E17061" s="123"/>
    </row>
    <row r="17062" spans="5:5" ht="16.5">
      <c r="E17062" s="123"/>
    </row>
    <row r="17063" spans="5:5" ht="16.5">
      <c r="E17063" s="123"/>
    </row>
    <row r="17064" spans="5:5" ht="16.5">
      <c r="E17064" s="123"/>
    </row>
    <row r="17065" spans="5:5" ht="16.5">
      <c r="E17065" s="123"/>
    </row>
    <row r="17066" spans="5:5" ht="16.5">
      <c r="E17066" s="123"/>
    </row>
    <row r="17067" spans="5:5" ht="16.5">
      <c r="E17067" s="123"/>
    </row>
    <row r="17068" spans="5:5" ht="16.5">
      <c r="E17068" s="123"/>
    </row>
    <row r="17069" spans="5:5" ht="16.5">
      <c r="E17069" s="123"/>
    </row>
    <row r="17070" spans="5:5" ht="16.5">
      <c r="E17070" s="123"/>
    </row>
    <row r="17071" spans="5:5" ht="16.5">
      <c r="E17071" s="123"/>
    </row>
    <row r="17072" spans="5:5" ht="16.5">
      <c r="E17072" s="123"/>
    </row>
    <row r="17073" spans="5:5" ht="16.5">
      <c r="E17073" s="123"/>
    </row>
    <row r="17074" spans="5:5" ht="16.5">
      <c r="E17074" s="123"/>
    </row>
    <row r="17075" spans="5:5" ht="16.5">
      <c r="E17075" s="123"/>
    </row>
    <row r="17076" spans="5:5" ht="16.5">
      <c r="E17076" s="123"/>
    </row>
    <row r="17077" spans="5:5" ht="16.5">
      <c r="E17077" s="123"/>
    </row>
    <row r="17078" spans="5:5" ht="16.5">
      <c r="E17078" s="123"/>
    </row>
    <row r="17079" spans="5:5" ht="16.5">
      <c r="E17079" s="123"/>
    </row>
    <row r="17080" spans="5:5" ht="16.5">
      <c r="E17080" s="123"/>
    </row>
    <row r="17081" spans="5:5" ht="16.5">
      <c r="E17081" s="123"/>
    </row>
    <row r="17082" spans="5:5" ht="16.5">
      <c r="E17082" s="123"/>
    </row>
    <row r="17083" spans="5:5" ht="16.5">
      <c r="E17083" s="123"/>
    </row>
    <row r="17084" spans="5:5" ht="16.5">
      <c r="E17084" s="123"/>
    </row>
    <row r="17085" spans="5:5" ht="16.5">
      <c r="E17085" s="123"/>
    </row>
    <row r="17086" spans="5:5" ht="16.5">
      <c r="E17086" s="123"/>
    </row>
    <row r="17087" spans="5:5" ht="16.5">
      <c r="E17087" s="123"/>
    </row>
    <row r="17088" spans="5:5" ht="16.5">
      <c r="E17088" s="123"/>
    </row>
    <row r="17089" spans="5:5" ht="16.5">
      <c r="E17089" s="123"/>
    </row>
    <row r="17090" spans="5:5" ht="16.5">
      <c r="E17090" s="123"/>
    </row>
    <row r="17091" spans="5:5" ht="16.5">
      <c r="E17091" s="123"/>
    </row>
    <row r="17092" spans="5:5" ht="16.5">
      <c r="E17092" s="123"/>
    </row>
    <row r="17093" spans="5:5" ht="16.5">
      <c r="E17093" s="123"/>
    </row>
    <row r="17094" spans="5:5" ht="16.5">
      <c r="E17094" s="123"/>
    </row>
    <row r="17095" spans="5:5" ht="16.5">
      <c r="E17095" s="123"/>
    </row>
    <row r="17096" spans="5:5" ht="16.5">
      <c r="E17096" s="123"/>
    </row>
    <row r="17097" spans="5:5" ht="16.5">
      <c r="E17097" s="123"/>
    </row>
    <row r="17098" spans="5:5" ht="16.5">
      <c r="E17098" s="123"/>
    </row>
    <row r="17099" spans="5:5" ht="16.5">
      <c r="E17099" s="123"/>
    </row>
    <row r="17100" spans="5:5" ht="16.5">
      <c r="E17100" s="123"/>
    </row>
    <row r="17101" spans="5:5" ht="16.5">
      <c r="E17101" s="123"/>
    </row>
    <row r="17102" spans="5:5" ht="16.5">
      <c r="E17102" s="123"/>
    </row>
    <row r="17103" spans="5:5" ht="16.5">
      <c r="E17103" s="123"/>
    </row>
    <row r="17104" spans="5:5" ht="16.5">
      <c r="E17104" s="123"/>
    </row>
    <row r="17105" spans="5:5" ht="16.5">
      <c r="E17105" s="123"/>
    </row>
    <row r="17106" spans="5:5" ht="16.5">
      <c r="E17106" s="123"/>
    </row>
    <row r="17107" spans="5:5" ht="16.5">
      <c r="E17107" s="123"/>
    </row>
    <row r="17108" spans="5:5" ht="16.5">
      <c r="E17108" s="123"/>
    </row>
    <row r="17109" spans="5:5" ht="16.5">
      <c r="E17109" s="123"/>
    </row>
    <row r="17110" spans="5:5" ht="16.5">
      <c r="E17110" s="123"/>
    </row>
    <row r="17111" spans="5:5" ht="16.5">
      <c r="E17111" s="123"/>
    </row>
    <row r="17112" spans="5:5" ht="16.5">
      <c r="E17112" s="123"/>
    </row>
    <row r="17113" spans="5:5" ht="16.5">
      <c r="E17113" s="123"/>
    </row>
    <row r="17114" spans="5:5" ht="16.5">
      <c r="E17114" s="123"/>
    </row>
    <row r="17115" spans="5:5" ht="16.5">
      <c r="E17115" s="123"/>
    </row>
    <row r="17116" spans="5:5" ht="16.5">
      <c r="E17116" s="123"/>
    </row>
    <row r="17117" spans="5:5" ht="16.5">
      <c r="E17117" s="123"/>
    </row>
    <row r="17118" spans="5:5" ht="16.5">
      <c r="E17118" s="123"/>
    </row>
    <row r="17119" spans="5:5" ht="16.5">
      <c r="E17119" s="123"/>
    </row>
    <row r="17120" spans="5:5" ht="16.5">
      <c r="E17120" s="123"/>
    </row>
    <row r="17121" spans="5:5" ht="16.5">
      <c r="E17121" s="123"/>
    </row>
    <row r="17122" spans="5:5" ht="16.5">
      <c r="E17122" s="123"/>
    </row>
    <row r="17123" spans="5:5" ht="16.5">
      <c r="E17123" s="123"/>
    </row>
    <row r="17124" spans="5:5" ht="16.5">
      <c r="E17124" s="123"/>
    </row>
    <row r="17125" spans="5:5" ht="16.5">
      <c r="E17125" s="123"/>
    </row>
    <row r="17126" spans="5:5" ht="16.5">
      <c r="E17126" s="123"/>
    </row>
    <row r="17127" spans="5:5" ht="16.5">
      <c r="E17127" s="123"/>
    </row>
    <row r="17128" spans="5:5" ht="16.5">
      <c r="E17128" s="123"/>
    </row>
    <row r="17129" spans="5:5" ht="16.5">
      <c r="E17129" s="123"/>
    </row>
    <row r="17130" spans="5:5" ht="16.5">
      <c r="E17130" s="123"/>
    </row>
    <row r="17131" spans="5:5" ht="16.5">
      <c r="E17131" s="123"/>
    </row>
    <row r="17132" spans="5:5" ht="16.5">
      <c r="E17132" s="123"/>
    </row>
    <row r="17133" spans="5:5" ht="16.5">
      <c r="E17133" s="123"/>
    </row>
    <row r="17134" spans="5:5" ht="16.5">
      <c r="E17134" s="123"/>
    </row>
    <row r="17135" spans="5:5" ht="16.5">
      <c r="E17135" s="123"/>
    </row>
    <row r="17136" spans="5:5" ht="16.5">
      <c r="E17136" s="123"/>
    </row>
    <row r="17137" spans="5:5" ht="16.5">
      <c r="E17137" s="123"/>
    </row>
    <row r="17138" spans="5:5" ht="16.5">
      <c r="E17138" s="123"/>
    </row>
    <row r="17139" spans="5:5" ht="16.5">
      <c r="E17139" s="123"/>
    </row>
    <row r="17140" spans="5:5" ht="16.5">
      <c r="E17140" s="123"/>
    </row>
    <row r="17141" spans="5:5" ht="16.5">
      <c r="E17141" s="123"/>
    </row>
    <row r="17142" spans="5:5" ht="16.5">
      <c r="E17142" s="123"/>
    </row>
    <row r="17143" spans="5:5" ht="16.5">
      <c r="E17143" s="123"/>
    </row>
    <row r="17144" spans="5:5" ht="16.5">
      <c r="E17144" s="123"/>
    </row>
    <row r="17145" spans="5:5" ht="16.5">
      <c r="E17145" s="123"/>
    </row>
    <row r="17146" spans="5:5" ht="16.5">
      <c r="E17146" s="123"/>
    </row>
    <row r="17147" spans="5:5" ht="16.5">
      <c r="E17147" s="123"/>
    </row>
    <row r="17148" spans="5:5" ht="16.5">
      <c r="E17148" s="123"/>
    </row>
    <row r="17149" spans="5:5" ht="16.5">
      <c r="E17149" s="123"/>
    </row>
    <row r="17150" spans="5:5" ht="16.5">
      <c r="E17150" s="123"/>
    </row>
    <row r="17151" spans="5:5" ht="16.5">
      <c r="E17151" s="123"/>
    </row>
    <row r="17152" spans="5:5" ht="16.5">
      <c r="E17152" s="123"/>
    </row>
    <row r="17153" spans="5:5" ht="16.5">
      <c r="E17153" s="123"/>
    </row>
    <row r="17154" spans="5:5" ht="16.5">
      <c r="E17154" s="123"/>
    </row>
    <row r="17155" spans="5:5" ht="16.5">
      <c r="E17155" s="123"/>
    </row>
    <row r="17156" spans="5:5" ht="16.5">
      <c r="E17156" s="123"/>
    </row>
    <row r="17157" spans="5:5" ht="16.5">
      <c r="E17157" s="123"/>
    </row>
    <row r="17158" spans="5:5" ht="16.5">
      <c r="E17158" s="123"/>
    </row>
    <row r="17159" spans="5:5" ht="16.5">
      <c r="E17159" s="123"/>
    </row>
    <row r="17160" spans="5:5" ht="16.5">
      <c r="E17160" s="123"/>
    </row>
    <row r="17161" spans="5:5" ht="16.5">
      <c r="E17161" s="123"/>
    </row>
    <row r="17162" spans="5:5" ht="16.5">
      <c r="E17162" s="123"/>
    </row>
    <row r="17163" spans="5:5" ht="16.5">
      <c r="E17163" s="123"/>
    </row>
    <row r="17164" spans="5:5" ht="16.5">
      <c r="E17164" s="123"/>
    </row>
    <row r="17165" spans="5:5" ht="16.5">
      <c r="E17165" s="123"/>
    </row>
    <row r="17166" spans="5:5" ht="16.5">
      <c r="E17166" s="123"/>
    </row>
    <row r="17167" spans="5:5" ht="16.5">
      <c r="E17167" s="123"/>
    </row>
    <row r="17168" spans="5:5" ht="16.5">
      <c r="E17168" s="123"/>
    </row>
    <row r="17169" spans="5:5" ht="16.5">
      <c r="E17169" s="123"/>
    </row>
    <row r="17170" spans="5:5" ht="16.5">
      <c r="E17170" s="123"/>
    </row>
    <row r="17171" spans="5:5" ht="16.5">
      <c r="E17171" s="123"/>
    </row>
    <row r="17172" spans="5:5" ht="16.5">
      <c r="E17172" s="123"/>
    </row>
    <row r="17173" spans="5:5" ht="16.5">
      <c r="E17173" s="123"/>
    </row>
    <row r="17174" spans="5:5" ht="16.5">
      <c r="E17174" s="123"/>
    </row>
    <row r="17175" spans="5:5" ht="16.5">
      <c r="E17175" s="123"/>
    </row>
    <row r="17176" spans="5:5" ht="16.5">
      <c r="E17176" s="123"/>
    </row>
    <row r="17177" spans="5:5" ht="16.5">
      <c r="E17177" s="123"/>
    </row>
    <row r="17178" spans="5:5" ht="16.5">
      <c r="E17178" s="123"/>
    </row>
    <row r="17179" spans="5:5" ht="16.5">
      <c r="E17179" s="123"/>
    </row>
    <row r="17180" spans="5:5" ht="16.5">
      <c r="E17180" s="123"/>
    </row>
    <row r="17181" spans="5:5" ht="16.5">
      <c r="E17181" s="123"/>
    </row>
    <row r="17182" spans="5:5" ht="16.5">
      <c r="E17182" s="123"/>
    </row>
    <row r="17183" spans="5:5" ht="16.5">
      <c r="E17183" s="123"/>
    </row>
    <row r="17184" spans="5:5" ht="16.5">
      <c r="E17184" s="123"/>
    </row>
    <row r="17185" spans="5:5" ht="16.5">
      <c r="E17185" s="123"/>
    </row>
    <row r="17186" spans="5:5" ht="16.5">
      <c r="E17186" s="123"/>
    </row>
    <row r="17187" spans="5:5" ht="16.5">
      <c r="E17187" s="123"/>
    </row>
    <row r="17188" spans="5:5" ht="16.5">
      <c r="E17188" s="123"/>
    </row>
    <row r="17189" spans="5:5" ht="16.5">
      <c r="E17189" s="123"/>
    </row>
    <row r="17190" spans="5:5" ht="16.5">
      <c r="E17190" s="123"/>
    </row>
    <row r="17191" spans="5:5" ht="16.5">
      <c r="E17191" s="123"/>
    </row>
    <row r="17192" spans="5:5" ht="16.5">
      <c r="E17192" s="123"/>
    </row>
    <row r="17193" spans="5:5" ht="16.5">
      <c r="E17193" s="123"/>
    </row>
    <row r="17194" spans="5:5" ht="16.5">
      <c r="E17194" s="123"/>
    </row>
    <row r="17195" spans="5:5" ht="16.5">
      <c r="E17195" s="123"/>
    </row>
    <row r="17196" spans="5:5" ht="16.5">
      <c r="E17196" s="123"/>
    </row>
    <row r="17197" spans="5:5" ht="16.5">
      <c r="E17197" s="123"/>
    </row>
    <row r="17198" spans="5:5" ht="16.5">
      <c r="E17198" s="123"/>
    </row>
    <row r="17199" spans="5:5" ht="16.5">
      <c r="E17199" s="123"/>
    </row>
    <row r="17200" spans="5:5" ht="16.5">
      <c r="E17200" s="123"/>
    </row>
    <row r="17201" spans="5:5" ht="16.5">
      <c r="E17201" s="123"/>
    </row>
    <row r="17202" spans="5:5" ht="16.5">
      <c r="E17202" s="123"/>
    </row>
    <row r="17203" spans="5:5" ht="16.5">
      <c r="E17203" s="123"/>
    </row>
    <row r="17204" spans="5:5" ht="16.5">
      <c r="E17204" s="123"/>
    </row>
    <row r="17205" spans="5:5" ht="16.5">
      <c r="E17205" s="123"/>
    </row>
    <row r="17206" spans="5:5" ht="16.5">
      <c r="E17206" s="123"/>
    </row>
    <row r="17207" spans="5:5" ht="16.5">
      <c r="E17207" s="123"/>
    </row>
    <row r="17208" spans="5:5" ht="16.5">
      <c r="E17208" s="123"/>
    </row>
    <row r="17209" spans="5:5" ht="16.5">
      <c r="E17209" s="123"/>
    </row>
    <row r="17210" spans="5:5" ht="16.5">
      <c r="E17210" s="123"/>
    </row>
    <row r="17211" spans="5:5" ht="16.5">
      <c r="E17211" s="123"/>
    </row>
    <row r="17212" spans="5:5" ht="16.5">
      <c r="E17212" s="123"/>
    </row>
    <row r="17213" spans="5:5" ht="16.5">
      <c r="E17213" s="123"/>
    </row>
    <row r="17214" spans="5:5" ht="16.5">
      <c r="E17214" s="123"/>
    </row>
    <row r="17215" spans="5:5" ht="16.5">
      <c r="E17215" s="123"/>
    </row>
    <row r="17216" spans="5:5" ht="16.5">
      <c r="E17216" s="123"/>
    </row>
    <row r="17217" spans="5:5" ht="16.5">
      <c r="E17217" s="123"/>
    </row>
    <row r="17218" spans="5:5" ht="16.5">
      <c r="E17218" s="123"/>
    </row>
    <row r="17219" spans="5:5" ht="16.5">
      <c r="E17219" s="123"/>
    </row>
    <row r="17220" spans="5:5" ht="16.5">
      <c r="E17220" s="123"/>
    </row>
    <row r="17221" spans="5:5" ht="16.5">
      <c r="E17221" s="123"/>
    </row>
    <row r="17222" spans="5:5" ht="16.5">
      <c r="E17222" s="123"/>
    </row>
    <row r="17223" spans="5:5" ht="16.5">
      <c r="E17223" s="123"/>
    </row>
    <row r="17224" spans="5:5" ht="16.5">
      <c r="E17224" s="123"/>
    </row>
    <row r="17225" spans="5:5" ht="16.5">
      <c r="E17225" s="123"/>
    </row>
    <row r="17226" spans="5:5" ht="16.5">
      <c r="E17226" s="123"/>
    </row>
    <row r="17227" spans="5:5" ht="16.5">
      <c r="E17227" s="123"/>
    </row>
    <row r="17228" spans="5:5" ht="16.5">
      <c r="E17228" s="123"/>
    </row>
    <row r="17229" spans="5:5" ht="16.5">
      <c r="E17229" s="123"/>
    </row>
    <row r="17230" spans="5:5" ht="16.5">
      <c r="E17230" s="123"/>
    </row>
    <row r="17231" spans="5:5" ht="16.5">
      <c r="E17231" s="123"/>
    </row>
    <row r="17232" spans="5:5" ht="16.5">
      <c r="E17232" s="123"/>
    </row>
    <row r="17233" spans="5:5" ht="16.5">
      <c r="E17233" s="123"/>
    </row>
    <row r="17234" spans="5:5" ht="16.5">
      <c r="E17234" s="123"/>
    </row>
    <row r="17235" spans="5:5" ht="16.5">
      <c r="E17235" s="123"/>
    </row>
    <row r="17236" spans="5:5" ht="16.5">
      <c r="E17236" s="123"/>
    </row>
    <row r="17237" spans="5:5" ht="16.5">
      <c r="E17237" s="123"/>
    </row>
    <row r="17238" spans="5:5" ht="16.5">
      <c r="E17238" s="123"/>
    </row>
    <row r="17239" spans="5:5" ht="16.5">
      <c r="E17239" s="123"/>
    </row>
    <row r="17240" spans="5:5" ht="16.5">
      <c r="E17240" s="123"/>
    </row>
    <row r="17241" spans="5:5" ht="16.5">
      <c r="E17241" s="123"/>
    </row>
    <row r="17242" spans="5:5" ht="16.5">
      <c r="E17242" s="123"/>
    </row>
    <row r="17243" spans="5:5" ht="16.5">
      <c r="E17243" s="123"/>
    </row>
    <row r="17244" spans="5:5" ht="16.5">
      <c r="E17244" s="123"/>
    </row>
    <row r="17245" spans="5:5" ht="16.5">
      <c r="E17245" s="123"/>
    </row>
    <row r="17246" spans="5:5" ht="16.5">
      <c r="E17246" s="123"/>
    </row>
    <row r="17247" spans="5:5" ht="16.5">
      <c r="E17247" s="123"/>
    </row>
    <row r="17248" spans="5:5" ht="16.5">
      <c r="E17248" s="123"/>
    </row>
    <row r="17249" spans="5:5" ht="16.5">
      <c r="E17249" s="123"/>
    </row>
    <row r="17250" spans="5:5" ht="16.5">
      <c r="E17250" s="123"/>
    </row>
    <row r="17251" spans="5:5" ht="16.5">
      <c r="E17251" s="123"/>
    </row>
    <row r="17252" spans="5:5" ht="16.5">
      <c r="E17252" s="123"/>
    </row>
    <row r="17253" spans="5:5" ht="16.5">
      <c r="E17253" s="123"/>
    </row>
    <row r="17254" spans="5:5" ht="16.5">
      <c r="E17254" s="123"/>
    </row>
    <row r="17255" spans="5:5" ht="16.5">
      <c r="E17255" s="123"/>
    </row>
    <row r="17256" spans="5:5" ht="16.5">
      <c r="E17256" s="123"/>
    </row>
    <row r="17257" spans="5:5" ht="16.5">
      <c r="E17257" s="123"/>
    </row>
    <row r="17258" spans="5:5" ht="16.5">
      <c r="E17258" s="123"/>
    </row>
    <row r="17259" spans="5:5" ht="16.5">
      <c r="E17259" s="123"/>
    </row>
    <row r="17260" spans="5:5" ht="16.5">
      <c r="E17260" s="123"/>
    </row>
    <row r="17261" spans="5:5" ht="16.5">
      <c r="E17261" s="123"/>
    </row>
    <row r="17262" spans="5:5" ht="16.5">
      <c r="E17262" s="123"/>
    </row>
    <row r="17263" spans="5:5" ht="16.5">
      <c r="E17263" s="123"/>
    </row>
    <row r="17264" spans="5:5" ht="16.5">
      <c r="E17264" s="123"/>
    </row>
    <row r="17265" spans="5:5" ht="16.5">
      <c r="E17265" s="123"/>
    </row>
    <row r="17266" spans="5:5" ht="16.5">
      <c r="E17266" s="123"/>
    </row>
    <row r="17267" spans="5:5" ht="16.5">
      <c r="E17267" s="123"/>
    </row>
    <row r="17268" spans="5:5" ht="16.5">
      <c r="E17268" s="123"/>
    </row>
    <row r="17269" spans="5:5" ht="16.5">
      <c r="E17269" s="123"/>
    </row>
    <row r="17270" spans="5:5" ht="16.5">
      <c r="E17270" s="123"/>
    </row>
    <row r="17271" spans="5:5" ht="16.5">
      <c r="E17271" s="123"/>
    </row>
    <row r="17272" spans="5:5" ht="16.5">
      <c r="E17272" s="123"/>
    </row>
    <row r="17273" spans="5:5" ht="16.5">
      <c r="E17273" s="123"/>
    </row>
    <row r="17274" spans="5:5" ht="16.5">
      <c r="E17274" s="123"/>
    </row>
    <row r="17275" spans="5:5" ht="16.5">
      <c r="E17275" s="123"/>
    </row>
    <row r="17276" spans="5:5" ht="16.5">
      <c r="E17276" s="123"/>
    </row>
    <row r="17277" spans="5:5" ht="16.5">
      <c r="E17277" s="123"/>
    </row>
    <row r="17278" spans="5:5" ht="16.5">
      <c r="E17278" s="123"/>
    </row>
    <row r="17279" spans="5:5" ht="16.5">
      <c r="E17279" s="123"/>
    </row>
    <row r="17280" spans="5:5" ht="16.5">
      <c r="E17280" s="123"/>
    </row>
    <row r="17281" spans="5:5" ht="16.5">
      <c r="E17281" s="123"/>
    </row>
    <row r="17282" spans="5:5" ht="16.5">
      <c r="E17282" s="123"/>
    </row>
    <row r="17283" spans="5:5" ht="16.5">
      <c r="E17283" s="123"/>
    </row>
    <row r="17284" spans="5:5" ht="16.5">
      <c r="E17284" s="123"/>
    </row>
    <row r="17285" spans="5:5" ht="16.5">
      <c r="E17285" s="123"/>
    </row>
    <row r="17286" spans="5:5" ht="16.5">
      <c r="E17286" s="123"/>
    </row>
    <row r="17287" spans="5:5" ht="16.5">
      <c r="E17287" s="123"/>
    </row>
    <row r="17288" spans="5:5" ht="16.5">
      <c r="E17288" s="123"/>
    </row>
    <row r="17289" spans="5:5" ht="16.5">
      <c r="E17289" s="123"/>
    </row>
    <row r="17290" spans="5:5" ht="16.5">
      <c r="E17290" s="123"/>
    </row>
    <row r="17291" spans="5:5" ht="16.5">
      <c r="E17291" s="123"/>
    </row>
    <row r="17292" spans="5:5" ht="16.5">
      <c r="E17292" s="123"/>
    </row>
    <row r="17293" spans="5:5" ht="16.5">
      <c r="E17293" s="123"/>
    </row>
    <row r="17294" spans="5:5" ht="16.5">
      <c r="E17294" s="123"/>
    </row>
    <row r="17295" spans="5:5" ht="16.5">
      <c r="E17295" s="123"/>
    </row>
    <row r="17296" spans="5:5" ht="16.5">
      <c r="E17296" s="123"/>
    </row>
    <row r="17297" spans="5:5" ht="16.5">
      <c r="E17297" s="123"/>
    </row>
    <row r="17298" spans="5:5" ht="16.5">
      <c r="E17298" s="123"/>
    </row>
    <row r="17299" spans="5:5" ht="16.5">
      <c r="E17299" s="123"/>
    </row>
    <row r="17300" spans="5:5" ht="16.5">
      <c r="E17300" s="123"/>
    </row>
    <row r="17301" spans="5:5" ht="16.5">
      <c r="E17301" s="123"/>
    </row>
    <row r="17302" spans="5:5" ht="16.5">
      <c r="E17302" s="123"/>
    </row>
    <row r="17303" spans="5:5" ht="16.5">
      <c r="E17303" s="123"/>
    </row>
    <row r="17304" spans="5:5" ht="16.5">
      <c r="E17304" s="123"/>
    </row>
    <row r="17305" spans="5:5" ht="16.5">
      <c r="E17305" s="123"/>
    </row>
    <row r="17306" spans="5:5" ht="16.5">
      <c r="E17306" s="123"/>
    </row>
    <row r="17307" spans="5:5" ht="16.5">
      <c r="E17307" s="123"/>
    </row>
    <row r="17308" spans="5:5" ht="16.5">
      <c r="E17308" s="123"/>
    </row>
    <row r="17309" spans="5:5" ht="16.5">
      <c r="E17309" s="123"/>
    </row>
    <row r="17310" spans="5:5" ht="16.5">
      <c r="E17310" s="123"/>
    </row>
    <row r="17311" spans="5:5" ht="16.5">
      <c r="E17311" s="123"/>
    </row>
    <row r="17312" spans="5:5" ht="16.5">
      <c r="E17312" s="123"/>
    </row>
    <row r="17313" spans="5:5" ht="16.5">
      <c r="E17313" s="123"/>
    </row>
    <row r="17314" spans="5:5" ht="16.5">
      <c r="E17314" s="123"/>
    </row>
    <row r="17315" spans="5:5" ht="16.5">
      <c r="E17315" s="123"/>
    </row>
    <row r="17316" spans="5:5" ht="16.5">
      <c r="E17316" s="123"/>
    </row>
    <row r="17317" spans="5:5" ht="16.5">
      <c r="E17317" s="123"/>
    </row>
    <row r="17318" spans="5:5" ht="16.5">
      <c r="E17318" s="123"/>
    </row>
    <row r="17319" spans="5:5" ht="16.5">
      <c r="E17319" s="123"/>
    </row>
    <row r="17320" spans="5:5" ht="16.5">
      <c r="E17320" s="123"/>
    </row>
    <row r="17321" spans="5:5" ht="16.5">
      <c r="E17321" s="123"/>
    </row>
    <row r="17322" spans="5:5" ht="16.5">
      <c r="E17322" s="123"/>
    </row>
    <row r="17323" spans="5:5" ht="16.5">
      <c r="E17323" s="123"/>
    </row>
    <row r="17324" spans="5:5" ht="16.5">
      <c r="E17324" s="123"/>
    </row>
    <row r="17325" spans="5:5" ht="16.5">
      <c r="E17325" s="123"/>
    </row>
    <row r="17326" spans="5:5" ht="16.5">
      <c r="E17326" s="123"/>
    </row>
    <row r="17327" spans="5:5" ht="16.5">
      <c r="E17327" s="123"/>
    </row>
    <row r="17328" spans="5:5" ht="16.5">
      <c r="E17328" s="123"/>
    </row>
    <row r="17329" spans="5:5" ht="16.5">
      <c r="E17329" s="123"/>
    </row>
    <row r="17330" spans="5:5" ht="16.5">
      <c r="E17330" s="123"/>
    </row>
    <row r="17331" spans="5:5" ht="16.5">
      <c r="E17331" s="123"/>
    </row>
    <row r="17332" spans="5:5" ht="16.5">
      <c r="E17332" s="123"/>
    </row>
    <row r="17333" spans="5:5" ht="16.5">
      <c r="E17333" s="123"/>
    </row>
    <row r="17334" spans="5:5" ht="16.5">
      <c r="E17334" s="123"/>
    </row>
    <row r="17335" spans="5:5" ht="16.5">
      <c r="E17335" s="123"/>
    </row>
    <row r="17336" spans="5:5" ht="16.5">
      <c r="E17336" s="123"/>
    </row>
    <row r="17337" spans="5:5" ht="16.5">
      <c r="E17337" s="123"/>
    </row>
    <row r="17338" spans="5:5" ht="16.5">
      <c r="E17338" s="123"/>
    </row>
    <row r="17339" spans="5:5" ht="16.5">
      <c r="E17339" s="123"/>
    </row>
    <row r="17340" spans="5:5" ht="16.5">
      <c r="E17340" s="123"/>
    </row>
    <row r="17341" spans="5:5" ht="16.5">
      <c r="E17341" s="123"/>
    </row>
    <row r="17342" spans="5:5" ht="16.5">
      <c r="E17342" s="123"/>
    </row>
    <row r="17343" spans="5:5" ht="16.5">
      <c r="E17343" s="123"/>
    </row>
    <row r="17344" spans="5:5" ht="16.5">
      <c r="E17344" s="123"/>
    </row>
    <row r="17345" spans="5:5" ht="16.5">
      <c r="E17345" s="123"/>
    </row>
    <row r="17346" spans="5:5" ht="16.5">
      <c r="E17346" s="123"/>
    </row>
    <row r="17347" spans="5:5" ht="16.5">
      <c r="E17347" s="123"/>
    </row>
    <row r="17348" spans="5:5" ht="16.5">
      <c r="E17348" s="123"/>
    </row>
    <row r="17349" spans="5:5" ht="16.5">
      <c r="E17349" s="123"/>
    </row>
    <row r="17350" spans="5:5" ht="16.5">
      <c r="E17350" s="123"/>
    </row>
    <row r="17351" spans="5:5" ht="16.5">
      <c r="E17351" s="123"/>
    </row>
    <row r="17352" spans="5:5" ht="16.5">
      <c r="E17352" s="123"/>
    </row>
    <row r="17353" spans="5:5" ht="16.5">
      <c r="E17353" s="123"/>
    </row>
    <row r="17354" spans="5:5" ht="16.5">
      <c r="E17354" s="123"/>
    </row>
    <row r="17355" spans="5:5" ht="16.5">
      <c r="E17355" s="123"/>
    </row>
    <row r="17356" spans="5:5" ht="16.5">
      <c r="E17356" s="123"/>
    </row>
    <row r="17357" spans="5:5" ht="16.5">
      <c r="E17357" s="123"/>
    </row>
    <row r="17358" spans="5:5" ht="16.5">
      <c r="E17358" s="123"/>
    </row>
    <row r="17359" spans="5:5" ht="16.5">
      <c r="E17359" s="123"/>
    </row>
    <row r="17360" spans="5:5" ht="16.5">
      <c r="E17360" s="123"/>
    </row>
    <row r="17361" spans="5:5" ht="16.5">
      <c r="E17361" s="123"/>
    </row>
    <row r="17362" spans="5:5" ht="16.5">
      <c r="E17362" s="123"/>
    </row>
    <row r="17363" spans="5:5" ht="16.5">
      <c r="E17363" s="123"/>
    </row>
    <row r="17364" spans="5:5" ht="16.5">
      <c r="E17364" s="123"/>
    </row>
    <row r="17365" spans="5:5" ht="16.5">
      <c r="E17365" s="123"/>
    </row>
    <row r="17366" spans="5:5" ht="16.5">
      <c r="E17366" s="123"/>
    </row>
    <row r="17367" spans="5:5" ht="16.5">
      <c r="E17367" s="123"/>
    </row>
    <row r="17368" spans="5:5" ht="16.5">
      <c r="E17368" s="123"/>
    </row>
    <row r="17369" spans="5:5" ht="16.5">
      <c r="E17369" s="123"/>
    </row>
    <row r="17370" spans="5:5" ht="16.5">
      <c r="E17370" s="123"/>
    </row>
    <row r="17371" spans="5:5" ht="16.5">
      <c r="E17371" s="123"/>
    </row>
    <row r="17372" spans="5:5" ht="16.5">
      <c r="E17372" s="123"/>
    </row>
    <row r="17373" spans="5:5" ht="16.5">
      <c r="E17373" s="123"/>
    </row>
    <row r="17374" spans="5:5" ht="16.5">
      <c r="E17374" s="123"/>
    </row>
    <row r="17375" spans="5:5" ht="16.5">
      <c r="E17375" s="123"/>
    </row>
    <row r="17376" spans="5:5" ht="16.5">
      <c r="E17376" s="123"/>
    </row>
    <row r="17377" spans="5:5" ht="16.5">
      <c r="E17377" s="123"/>
    </row>
    <row r="17378" spans="5:5" ht="16.5">
      <c r="E17378" s="123"/>
    </row>
    <row r="17379" spans="5:5" ht="16.5">
      <c r="E17379" s="123"/>
    </row>
    <row r="17380" spans="5:5" ht="16.5">
      <c r="E17380" s="123"/>
    </row>
    <row r="17381" spans="5:5" ht="16.5">
      <c r="E17381" s="123"/>
    </row>
    <row r="17382" spans="5:5" ht="16.5">
      <c r="E17382" s="123"/>
    </row>
    <row r="17383" spans="5:5" ht="16.5">
      <c r="E17383" s="123"/>
    </row>
    <row r="17384" spans="5:5" ht="16.5">
      <c r="E17384" s="123"/>
    </row>
    <row r="17385" spans="5:5" ht="16.5">
      <c r="E17385" s="123"/>
    </row>
    <row r="17386" spans="5:5" ht="16.5">
      <c r="E17386" s="123"/>
    </row>
    <row r="17387" spans="5:5" ht="16.5">
      <c r="E17387" s="123"/>
    </row>
    <row r="17388" spans="5:5" ht="16.5">
      <c r="E17388" s="123"/>
    </row>
    <row r="17389" spans="5:5" ht="16.5">
      <c r="E17389" s="123"/>
    </row>
    <row r="17390" spans="5:5" ht="16.5">
      <c r="E17390" s="123"/>
    </row>
    <row r="17391" spans="5:5" ht="16.5">
      <c r="E17391" s="123"/>
    </row>
    <row r="17392" spans="5:5" ht="16.5">
      <c r="E17392" s="123"/>
    </row>
    <row r="17393" spans="5:5" ht="16.5">
      <c r="E17393" s="123"/>
    </row>
    <row r="17394" spans="5:5" ht="16.5">
      <c r="E17394" s="123"/>
    </row>
    <row r="17395" spans="5:5" ht="16.5">
      <c r="E17395" s="123"/>
    </row>
    <row r="17396" spans="5:5" ht="16.5">
      <c r="E17396" s="123"/>
    </row>
    <row r="17397" spans="5:5" ht="16.5">
      <c r="E17397" s="123"/>
    </row>
    <row r="17398" spans="5:5" ht="16.5">
      <c r="E17398" s="123"/>
    </row>
    <row r="17399" spans="5:5" ht="16.5">
      <c r="E17399" s="123"/>
    </row>
    <row r="17400" spans="5:5" ht="16.5">
      <c r="E17400" s="123"/>
    </row>
    <row r="17401" spans="5:5" ht="16.5">
      <c r="E17401" s="123"/>
    </row>
    <row r="17402" spans="5:5" ht="16.5">
      <c r="E17402" s="123"/>
    </row>
    <row r="17403" spans="5:5" ht="16.5">
      <c r="E17403" s="123"/>
    </row>
    <row r="17404" spans="5:5" ht="16.5">
      <c r="E17404" s="123"/>
    </row>
    <row r="17405" spans="5:5" ht="16.5">
      <c r="E17405" s="123"/>
    </row>
    <row r="17406" spans="5:5" ht="16.5">
      <c r="E17406" s="123"/>
    </row>
    <row r="17407" spans="5:5" ht="16.5">
      <c r="E17407" s="123"/>
    </row>
    <row r="17408" spans="5:5" ht="16.5">
      <c r="E17408" s="123"/>
    </row>
    <row r="17409" spans="5:5" ht="16.5">
      <c r="E17409" s="123"/>
    </row>
    <row r="17410" spans="5:5" ht="16.5">
      <c r="E17410" s="123"/>
    </row>
    <row r="17411" spans="5:5" ht="16.5">
      <c r="E17411" s="123"/>
    </row>
    <row r="17412" spans="5:5" ht="16.5">
      <c r="E17412" s="123"/>
    </row>
    <row r="17413" spans="5:5" ht="16.5">
      <c r="E17413" s="123"/>
    </row>
    <row r="17414" spans="5:5" ht="16.5">
      <c r="E17414" s="123"/>
    </row>
    <row r="17415" spans="5:5" ht="16.5">
      <c r="E17415" s="123"/>
    </row>
    <row r="17416" spans="5:5" ht="16.5">
      <c r="E17416" s="123"/>
    </row>
    <row r="17417" spans="5:5" ht="16.5">
      <c r="E17417" s="123"/>
    </row>
    <row r="17418" spans="5:5" ht="16.5">
      <c r="E17418" s="123"/>
    </row>
    <row r="17419" spans="5:5" ht="16.5">
      <c r="E17419" s="123"/>
    </row>
    <row r="17420" spans="5:5" ht="16.5">
      <c r="E17420" s="123"/>
    </row>
    <row r="17421" spans="5:5" ht="16.5">
      <c r="E17421" s="123"/>
    </row>
    <row r="17422" spans="5:5" ht="16.5">
      <c r="E17422" s="123"/>
    </row>
    <row r="17423" spans="5:5" ht="16.5">
      <c r="E17423" s="123"/>
    </row>
    <row r="17424" spans="5:5" ht="16.5">
      <c r="E17424" s="123"/>
    </row>
    <row r="17425" spans="5:5" ht="16.5">
      <c r="E17425" s="123"/>
    </row>
    <row r="17426" spans="5:5" ht="16.5">
      <c r="E17426" s="123"/>
    </row>
    <row r="17427" spans="5:5" ht="16.5">
      <c r="E17427" s="123"/>
    </row>
    <row r="17428" spans="5:5" ht="16.5">
      <c r="E17428" s="123"/>
    </row>
    <row r="17429" spans="5:5" ht="16.5">
      <c r="E17429" s="123"/>
    </row>
    <row r="17430" spans="5:5" ht="16.5">
      <c r="E17430" s="123"/>
    </row>
    <row r="17431" spans="5:5" ht="16.5">
      <c r="E17431" s="123"/>
    </row>
    <row r="17432" spans="5:5" ht="16.5">
      <c r="E17432" s="123"/>
    </row>
    <row r="17433" spans="5:5" ht="16.5">
      <c r="E17433" s="123"/>
    </row>
    <row r="17434" spans="5:5" ht="16.5">
      <c r="E17434" s="123"/>
    </row>
    <row r="17435" spans="5:5" ht="16.5">
      <c r="E17435" s="123"/>
    </row>
    <row r="17436" spans="5:5" ht="16.5">
      <c r="E17436" s="123"/>
    </row>
    <row r="17437" spans="5:5" ht="16.5">
      <c r="E17437" s="123"/>
    </row>
    <row r="17438" spans="5:5" ht="16.5">
      <c r="E17438" s="123"/>
    </row>
    <row r="17439" spans="5:5" ht="16.5">
      <c r="E17439" s="123"/>
    </row>
    <row r="17440" spans="5:5" ht="16.5">
      <c r="E17440" s="123"/>
    </row>
    <row r="17441" spans="5:5" ht="16.5">
      <c r="E17441" s="123"/>
    </row>
    <row r="17442" spans="5:5" ht="16.5">
      <c r="E17442" s="123"/>
    </row>
    <row r="17443" spans="5:5" ht="16.5">
      <c r="E17443" s="123"/>
    </row>
    <row r="17444" spans="5:5" ht="16.5">
      <c r="E17444" s="123"/>
    </row>
    <row r="17445" spans="5:5" ht="16.5">
      <c r="E17445" s="123"/>
    </row>
    <row r="17446" spans="5:5" ht="16.5">
      <c r="E17446" s="123"/>
    </row>
    <row r="17447" spans="5:5" ht="16.5">
      <c r="E17447" s="123"/>
    </row>
    <row r="17448" spans="5:5" ht="16.5">
      <c r="E17448" s="123"/>
    </row>
    <row r="17449" spans="5:5" ht="16.5">
      <c r="E17449" s="123"/>
    </row>
    <row r="17450" spans="5:5" ht="16.5">
      <c r="E17450" s="123"/>
    </row>
    <row r="17451" spans="5:5" ht="16.5">
      <c r="E17451" s="123"/>
    </row>
    <row r="17452" spans="5:5" ht="16.5">
      <c r="E17452" s="123"/>
    </row>
    <row r="17453" spans="5:5" ht="16.5">
      <c r="E17453" s="123"/>
    </row>
    <row r="17454" spans="5:5" ht="16.5">
      <c r="E17454" s="123"/>
    </row>
    <row r="17455" spans="5:5" ht="16.5">
      <c r="E17455" s="123"/>
    </row>
    <row r="17456" spans="5:5" ht="16.5">
      <c r="E17456" s="123"/>
    </row>
    <row r="17457" spans="5:5" ht="16.5">
      <c r="E17457" s="123"/>
    </row>
    <row r="17458" spans="5:5" ht="16.5">
      <c r="E17458" s="123"/>
    </row>
    <row r="17459" spans="5:5" ht="16.5">
      <c r="E17459" s="123"/>
    </row>
    <row r="17460" spans="5:5" ht="16.5">
      <c r="E17460" s="123"/>
    </row>
    <row r="17461" spans="5:5" ht="16.5">
      <c r="E17461" s="123"/>
    </row>
    <row r="17462" spans="5:5" ht="16.5">
      <c r="E17462" s="123"/>
    </row>
    <row r="17463" spans="5:5" ht="16.5">
      <c r="E17463" s="123"/>
    </row>
    <row r="17464" spans="5:5" ht="16.5">
      <c r="E17464" s="123"/>
    </row>
    <row r="17465" spans="5:5" ht="16.5">
      <c r="E17465" s="123"/>
    </row>
    <row r="17466" spans="5:5" ht="16.5">
      <c r="E17466" s="123"/>
    </row>
    <row r="17467" spans="5:5" ht="16.5">
      <c r="E17467" s="123"/>
    </row>
    <row r="17468" spans="5:5" ht="16.5">
      <c r="E17468" s="123"/>
    </row>
    <row r="17469" spans="5:5" ht="16.5">
      <c r="E17469" s="123"/>
    </row>
    <row r="17470" spans="5:5" ht="16.5">
      <c r="E17470" s="123"/>
    </row>
    <row r="17471" spans="5:5" ht="16.5">
      <c r="E17471" s="123"/>
    </row>
    <row r="17472" spans="5:5" ht="16.5">
      <c r="E17472" s="123"/>
    </row>
    <row r="17473" spans="5:5" ht="16.5">
      <c r="E17473" s="123"/>
    </row>
    <row r="17474" spans="5:5" ht="16.5">
      <c r="E17474" s="123"/>
    </row>
    <row r="17475" spans="5:5" ht="16.5">
      <c r="E17475" s="123"/>
    </row>
    <row r="17476" spans="5:5" ht="16.5">
      <c r="E17476" s="123"/>
    </row>
    <row r="17477" spans="5:5" ht="16.5">
      <c r="E17477" s="123"/>
    </row>
    <row r="17478" spans="5:5" ht="16.5">
      <c r="E17478" s="123"/>
    </row>
    <row r="17479" spans="5:5" ht="16.5">
      <c r="E17479" s="123"/>
    </row>
    <row r="17480" spans="5:5" ht="16.5">
      <c r="E17480" s="123"/>
    </row>
    <row r="17481" spans="5:5" ht="16.5">
      <c r="E17481" s="123"/>
    </row>
    <row r="17482" spans="5:5" ht="16.5">
      <c r="E17482" s="123"/>
    </row>
    <row r="17483" spans="5:5" ht="16.5">
      <c r="E17483" s="123"/>
    </row>
    <row r="17484" spans="5:5" ht="16.5">
      <c r="E17484" s="123"/>
    </row>
    <row r="17485" spans="5:5" ht="16.5">
      <c r="E17485" s="123"/>
    </row>
    <row r="17486" spans="5:5" ht="16.5">
      <c r="E17486" s="123"/>
    </row>
    <row r="17487" spans="5:5" ht="16.5">
      <c r="E17487" s="123"/>
    </row>
    <row r="17488" spans="5:5" ht="16.5">
      <c r="E17488" s="123"/>
    </row>
    <row r="17489" spans="5:5" ht="16.5">
      <c r="E17489" s="123"/>
    </row>
    <row r="17490" spans="5:5" ht="16.5">
      <c r="E17490" s="123"/>
    </row>
    <row r="17491" spans="5:5" ht="16.5">
      <c r="E17491" s="123"/>
    </row>
    <row r="17492" spans="5:5" ht="16.5">
      <c r="E17492" s="123"/>
    </row>
    <row r="17493" spans="5:5" ht="16.5">
      <c r="E17493" s="123"/>
    </row>
    <row r="17494" spans="5:5" ht="16.5">
      <c r="E17494" s="123"/>
    </row>
    <row r="17495" spans="5:5" ht="16.5">
      <c r="E17495" s="123"/>
    </row>
    <row r="17496" spans="5:5" ht="16.5">
      <c r="E17496" s="123"/>
    </row>
    <row r="17497" spans="5:5" ht="16.5">
      <c r="E17497" s="123"/>
    </row>
    <row r="17498" spans="5:5" ht="16.5">
      <c r="E17498" s="123"/>
    </row>
    <row r="17499" spans="5:5" ht="16.5">
      <c r="E17499" s="123"/>
    </row>
    <row r="17500" spans="5:5" ht="16.5">
      <c r="E17500" s="123"/>
    </row>
    <row r="17501" spans="5:5" ht="16.5">
      <c r="E17501" s="123"/>
    </row>
    <row r="17502" spans="5:5" ht="16.5">
      <c r="E17502" s="123"/>
    </row>
    <row r="17503" spans="5:5" ht="16.5">
      <c r="E17503" s="123"/>
    </row>
    <row r="17504" spans="5:5" ht="16.5">
      <c r="E17504" s="123"/>
    </row>
    <row r="17505" spans="5:5" ht="16.5">
      <c r="E17505" s="123"/>
    </row>
    <row r="17506" spans="5:5" ht="16.5">
      <c r="E17506" s="123"/>
    </row>
    <row r="17507" spans="5:5" ht="16.5">
      <c r="E17507" s="123"/>
    </row>
    <row r="17508" spans="5:5" ht="16.5">
      <c r="E17508" s="123"/>
    </row>
    <row r="17509" spans="5:5" ht="16.5">
      <c r="E17509" s="123"/>
    </row>
    <row r="17510" spans="5:5" ht="16.5">
      <c r="E17510" s="123"/>
    </row>
    <row r="17511" spans="5:5" ht="16.5">
      <c r="E17511" s="123"/>
    </row>
    <row r="17512" spans="5:5" ht="16.5">
      <c r="E17512" s="123"/>
    </row>
    <row r="17513" spans="5:5" ht="16.5">
      <c r="E17513" s="123"/>
    </row>
    <row r="17514" spans="5:5" ht="16.5">
      <c r="E17514" s="123"/>
    </row>
    <row r="17515" spans="5:5" ht="16.5">
      <c r="E17515" s="123"/>
    </row>
    <row r="17516" spans="5:5" ht="16.5">
      <c r="E17516" s="123"/>
    </row>
    <row r="17517" spans="5:5" ht="16.5">
      <c r="E17517" s="123"/>
    </row>
    <row r="17518" spans="5:5" ht="16.5">
      <c r="E17518" s="123"/>
    </row>
    <row r="17519" spans="5:5" ht="16.5">
      <c r="E17519" s="123"/>
    </row>
    <row r="17520" spans="5:5" ht="16.5">
      <c r="E17520" s="123"/>
    </row>
    <row r="17521" spans="5:5" ht="16.5">
      <c r="E17521" s="123"/>
    </row>
    <row r="17522" spans="5:5" ht="16.5">
      <c r="E17522" s="123"/>
    </row>
    <row r="17523" spans="5:5" ht="16.5">
      <c r="E17523" s="123"/>
    </row>
    <row r="17524" spans="5:5" ht="16.5">
      <c r="E17524" s="123"/>
    </row>
    <row r="17525" spans="5:5" ht="16.5">
      <c r="E17525" s="123"/>
    </row>
    <row r="17526" spans="5:5" ht="16.5">
      <c r="E17526" s="123"/>
    </row>
    <row r="17527" spans="5:5" ht="16.5">
      <c r="E17527" s="123"/>
    </row>
    <row r="17528" spans="5:5" ht="16.5">
      <c r="E17528" s="123"/>
    </row>
    <row r="17529" spans="5:5" ht="16.5">
      <c r="E17529" s="123"/>
    </row>
    <row r="17530" spans="5:5" ht="16.5">
      <c r="E17530" s="123"/>
    </row>
    <row r="17531" spans="5:5" ht="16.5">
      <c r="E17531" s="123"/>
    </row>
    <row r="17532" spans="5:5" ht="16.5">
      <c r="E17532" s="123"/>
    </row>
    <row r="17533" spans="5:5" ht="16.5">
      <c r="E17533" s="123"/>
    </row>
    <row r="17534" spans="5:5" ht="16.5">
      <c r="E17534" s="123"/>
    </row>
    <row r="17535" spans="5:5" ht="16.5">
      <c r="E17535" s="123"/>
    </row>
    <row r="17536" spans="5:5" ht="16.5">
      <c r="E17536" s="123"/>
    </row>
    <row r="17537" spans="5:5" ht="16.5">
      <c r="E17537" s="123"/>
    </row>
    <row r="17538" spans="5:5" ht="16.5">
      <c r="E17538" s="123"/>
    </row>
    <row r="17539" spans="5:5" ht="16.5">
      <c r="E17539" s="123"/>
    </row>
    <row r="17540" spans="5:5" ht="16.5">
      <c r="E17540" s="123"/>
    </row>
    <row r="17541" spans="5:5" ht="16.5">
      <c r="E17541" s="123"/>
    </row>
    <row r="17542" spans="5:5" ht="16.5">
      <c r="E17542" s="123"/>
    </row>
    <row r="17543" spans="5:5" ht="16.5">
      <c r="E17543" s="123"/>
    </row>
    <row r="17544" spans="5:5" ht="16.5">
      <c r="E17544" s="123"/>
    </row>
    <row r="17545" spans="5:5" ht="16.5">
      <c r="E17545" s="123"/>
    </row>
    <row r="17546" spans="5:5" ht="16.5">
      <c r="E17546" s="123"/>
    </row>
    <row r="17547" spans="5:5" ht="16.5">
      <c r="E17547" s="123"/>
    </row>
    <row r="17548" spans="5:5" ht="16.5">
      <c r="E17548" s="123"/>
    </row>
    <row r="17549" spans="5:5" ht="16.5">
      <c r="E17549" s="123"/>
    </row>
    <row r="17550" spans="5:5" ht="16.5">
      <c r="E17550" s="123"/>
    </row>
    <row r="17551" spans="5:5" ht="16.5">
      <c r="E17551" s="123"/>
    </row>
    <row r="17552" spans="5:5" ht="16.5">
      <c r="E17552" s="123"/>
    </row>
    <row r="17553" spans="5:5" ht="16.5">
      <c r="E17553" s="123"/>
    </row>
    <row r="17554" spans="5:5" ht="16.5">
      <c r="E17554" s="123"/>
    </row>
    <row r="17555" spans="5:5" ht="16.5">
      <c r="E17555" s="123"/>
    </row>
    <row r="17556" spans="5:5" ht="16.5">
      <c r="E17556" s="123"/>
    </row>
    <row r="17557" spans="5:5" ht="16.5">
      <c r="E17557" s="123"/>
    </row>
    <row r="17558" spans="5:5" ht="16.5">
      <c r="E17558" s="123"/>
    </row>
    <row r="17559" spans="5:5" ht="16.5">
      <c r="E17559" s="123"/>
    </row>
    <row r="17560" spans="5:5" ht="16.5">
      <c r="E17560" s="123"/>
    </row>
    <row r="17561" spans="5:5" ht="16.5">
      <c r="E17561" s="123"/>
    </row>
    <row r="17562" spans="5:5" ht="16.5">
      <c r="E17562" s="123"/>
    </row>
    <row r="17563" spans="5:5" ht="16.5">
      <c r="E17563" s="123"/>
    </row>
    <row r="17564" spans="5:5" ht="16.5">
      <c r="E17564" s="123"/>
    </row>
    <row r="17565" spans="5:5" ht="16.5">
      <c r="E17565" s="123"/>
    </row>
    <row r="17566" spans="5:5" ht="16.5">
      <c r="E17566" s="123"/>
    </row>
    <row r="17567" spans="5:5" ht="16.5">
      <c r="E17567" s="123"/>
    </row>
    <row r="17568" spans="5:5" ht="16.5">
      <c r="E17568" s="123"/>
    </row>
    <row r="17569" spans="5:5" ht="16.5">
      <c r="E17569" s="123"/>
    </row>
    <row r="17570" spans="5:5" ht="16.5">
      <c r="E17570" s="123"/>
    </row>
    <row r="17571" spans="5:5" ht="16.5">
      <c r="E17571" s="123"/>
    </row>
    <row r="17572" spans="5:5" ht="16.5">
      <c r="E17572" s="123"/>
    </row>
    <row r="17573" spans="5:5" ht="16.5">
      <c r="E17573" s="123"/>
    </row>
    <row r="17574" spans="5:5" ht="16.5">
      <c r="E17574" s="123"/>
    </row>
    <row r="17575" spans="5:5" ht="16.5">
      <c r="E17575" s="123"/>
    </row>
    <row r="17576" spans="5:5" ht="16.5">
      <c r="E17576" s="123"/>
    </row>
    <row r="17577" spans="5:5" ht="16.5">
      <c r="E17577" s="123"/>
    </row>
    <row r="17578" spans="5:5" ht="16.5">
      <c r="E17578" s="123"/>
    </row>
    <row r="17579" spans="5:5" ht="16.5">
      <c r="E17579" s="123"/>
    </row>
    <row r="17580" spans="5:5" ht="16.5">
      <c r="E17580" s="123"/>
    </row>
    <row r="17581" spans="5:5" ht="16.5">
      <c r="E17581" s="123"/>
    </row>
    <row r="17582" spans="5:5" ht="16.5">
      <c r="E17582" s="123"/>
    </row>
    <row r="17583" spans="5:5" ht="16.5">
      <c r="E17583" s="123"/>
    </row>
    <row r="17584" spans="5:5" ht="16.5">
      <c r="E17584" s="123"/>
    </row>
    <row r="17585" spans="5:5" ht="16.5">
      <c r="E17585" s="123"/>
    </row>
    <row r="17586" spans="5:5" ht="16.5">
      <c r="E17586" s="123"/>
    </row>
    <row r="17587" spans="5:5" ht="16.5">
      <c r="E17587" s="123"/>
    </row>
    <row r="17588" spans="5:5" ht="16.5">
      <c r="E17588" s="123"/>
    </row>
    <row r="17589" spans="5:5" ht="16.5">
      <c r="E17589" s="123"/>
    </row>
    <row r="17590" spans="5:5" ht="16.5">
      <c r="E17590" s="123"/>
    </row>
    <row r="17591" spans="5:5" ht="16.5">
      <c r="E17591" s="123"/>
    </row>
    <row r="17592" spans="5:5" ht="16.5">
      <c r="E17592" s="123"/>
    </row>
    <row r="17593" spans="5:5" ht="16.5">
      <c r="E17593" s="123"/>
    </row>
    <row r="17594" spans="5:5" ht="16.5">
      <c r="E17594" s="123"/>
    </row>
    <row r="17595" spans="5:5" ht="16.5">
      <c r="E17595" s="123"/>
    </row>
    <row r="17596" spans="5:5" ht="16.5">
      <c r="E17596" s="123"/>
    </row>
    <row r="17597" spans="5:5" ht="16.5">
      <c r="E17597" s="123"/>
    </row>
    <row r="17598" spans="5:5" ht="16.5">
      <c r="E17598" s="123"/>
    </row>
    <row r="17599" spans="5:5" ht="16.5">
      <c r="E17599" s="123"/>
    </row>
    <row r="17600" spans="5:5" ht="16.5">
      <c r="E17600" s="123"/>
    </row>
    <row r="17601" spans="5:5" ht="16.5">
      <c r="E17601" s="123"/>
    </row>
    <row r="17602" spans="5:5" ht="16.5">
      <c r="E17602" s="123"/>
    </row>
    <row r="17603" spans="5:5" ht="16.5">
      <c r="E17603" s="123"/>
    </row>
    <row r="17604" spans="5:5" ht="16.5">
      <c r="E17604" s="123"/>
    </row>
    <row r="17605" spans="5:5" ht="16.5">
      <c r="E17605" s="123"/>
    </row>
    <row r="17606" spans="5:5" ht="16.5">
      <c r="E17606" s="123"/>
    </row>
    <row r="17607" spans="5:5" ht="16.5">
      <c r="E17607" s="123"/>
    </row>
    <row r="17608" spans="5:5" ht="16.5">
      <c r="E17608" s="123"/>
    </row>
    <row r="17609" spans="5:5" ht="16.5">
      <c r="E17609" s="123"/>
    </row>
    <row r="17610" spans="5:5" ht="16.5">
      <c r="E17610" s="123"/>
    </row>
    <row r="17611" spans="5:5" ht="16.5">
      <c r="E17611" s="123"/>
    </row>
    <row r="17612" spans="5:5" ht="16.5">
      <c r="E17612" s="123"/>
    </row>
    <row r="17613" spans="5:5" ht="16.5">
      <c r="E17613" s="123"/>
    </row>
    <row r="17614" spans="5:5" ht="16.5">
      <c r="E17614" s="123"/>
    </row>
    <row r="17615" spans="5:5" ht="16.5">
      <c r="E17615" s="123"/>
    </row>
    <row r="17616" spans="5:5" ht="16.5">
      <c r="E17616" s="123"/>
    </row>
    <row r="17617" spans="5:5" ht="16.5">
      <c r="E17617" s="123"/>
    </row>
    <row r="17618" spans="5:5" ht="16.5">
      <c r="E17618" s="123"/>
    </row>
    <row r="17619" spans="5:5" ht="16.5">
      <c r="E17619" s="123"/>
    </row>
    <row r="17620" spans="5:5" ht="16.5">
      <c r="E17620" s="123"/>
    </row>
    <row r="17621" spans="5:5" ht="16.5">
      <c r="E17621" s="123"/>
    </row>
    <row r="17622" spans="5:5" ht="16.5">
      <c r="E17622" s="123"/>
    </row>
    <row r="17623" spans="5:5" ht="16.5">
      <c r="E17623" s="123"/>
    </row>
    <row r="17624" spans="5:5" ht="16.5">
      <c r="E17624" s="123"/>
    </row>
    <row r="17625" spans="5:5" ht="16.5">
      <c r="E17625" s="123"/>
    </row>
    <row r="17626" spans="5:5" ht="16.5">
      <c r="E17626" s="123"/>
    </row>
    <row r="17627" spans="5:5" ht="16.5">
      <c r="E17627" s="123"/>
    </row>
    <row r="17628" spans="5:5" ht="16.5">
      <c r="E17628" s="123"/>
    </row>
    <row r="17629" spans="5:5" ht="16.5">
      <c r="E17629" s="123"/>
    </row>
    <row r="17630" spans="5:5" ht="16.5">
      <c r="E17630" s="123"/>
    </row>
    <row r="17631" spans="5:5" ht="16.5">
      <c r="E17631" s="123"/>
    </row>
    <row r="17632" spans="5:5" ht="16.5">
      <c r="E17632" s="123"/>
    </row>
    <row r="17633" spans="5:5" ht="16.5">
      <c r="E17633" s="123"/>
    </row>
    <row r="17634" spans="5:5" ht="16.5">
      <c r="E17634" s="123"/>
    </row>
    <row r="17635" spans="5:5" ht="16.5">
      <c r="E17635" s="123"/>
    </row>
    <row r="17636" spans="5:5" ht="16.5">
      <c r="E17636" s="123"/>
    </row>
    <row r="17637" spans="5:5" ht="16.5">
      <c r="E17637" s="123"/>
    </row>
    <row r="17638" spans="5:5" ht="16.5">
      <c r="E17638" s="123"/>
    </row>
    <row r="17639" spans="5:5" ht="16.5">
      <c r="E17639" s="123"/>
    </row>
    <row r="17640" spans="5:5" ht="16.5">
      <c r="E17640" s="123"/>
    </row>
    <row r="17641" spans="5:5" ht="16.5">
      <c r="E17641" s="123"/>
    </row>
    <row r="17642" spans="5:5" ht="16.5">
      <c r="E17642" s="123"/>
    </row>
    <row r="17643" spans="5:5" ht="16.5">
      <c r="E17643" s="123"/>
    </row>
    <row r="17644" spans="5:5" ht="16.5">
      <c r="E17644" s="123"/>
    </row>
    <row r="17645" spans="5:5" ht="16.5">
      <c r="E17645" s="123"/>
    </row>
    <row r="17646" spans="5:5" ht="16.5">
      <c r="E17646" s="123"/>
    </row>
    <row r="17647" spans="5:5" ht="16.5">
      <c r="E17647" s="123"/>
    </row>
    <row r="17648" spans="5:5" ht="16.5">
      <c r="E17648" s="123"/>
    </row>
    <row r="17649" spans="5:5" ht="16.5">
      <c r="E17649" s="123"/>
    </row>
    <row r="17650" spans="5:5" ht="16.5">
      <c r="E17650" s="123"/>
    </row>
    <row r="17651" spans="5:5" ht="16.5">
      <c r="E17651" s="123"/>
    </row>
    <row r="17652" spans="5:5" ht="16.5">
      <c r="E17652" s="123"/>
    </row>
    <row r="17653" spans="5:5" ht="16.5">
      <c r="E17653" s="123"/>
    </row>
    <row r="17654" spans="5:5" ht="16.5">
      <c r="E17654" s="123"/>
    </row>
    <row r="17655" spans="5:5" ht="16.5">
      <c r="E17655" s="123"/>
    </row>
    <row r="17656" spans="5:5" ht="16.5">
      <c r="E17656" s="123"/>
    </row>
    <row r="17657" spans="5:5" ht="16.5">
      <c r="E17657" s="123"/>
    </row>
    <row r="17658" spans="5:5" ht="16.5">
      <c r="E17658" s="123"/>
    </row>
    <row r="17659" spans="5:5" ht="16.5">
      <c r="E17659" s="123"/>
    </row>
    <row r="17660" spans="5:5" ht="16.5">
      <c r="E17660" s="123"/>
    </row>
    <row r="17661" spans="5:5" ht="16.5">
      <c r="E17661" s="123"/>
    </row>
    <row r="17662" spans="5:5" ht="16.5">
      <c r="E17662" s="123"/>
    </row>
    <row r="17663" spans="5:5" ht="16.5">
      <c r="E17663" s="123"/>
    </row>
    <row r="17664" spans="5:5" ht="16.5">
      <c r="E17664" s="123"/>
    </row>
    <row r="17665" spans="5:5" ht="16.5">
      <c r="E17665" s="123"/>
    </row>
    <row r="17666" spans="5:5" ht="16.5">
      <c r="E17666" s="123"/>
    </row>
    <row r="17667" spans="5:5" ht="16.5">
      <c r="E17667" s="123"/>
    </row>
    <row r="17668" spans="5:5" ht="16.5">
      <c r="E17668" s="123"/>
    </row>
    <row r="17669" spans="5:5" ht="16.5">
      <c r="E17669" s="123"/>
    </row>
    <row r="17670" spans="5:5" ht="16.5">
      <c r="E17670" s="123"/>
    </row>
    <row r="17671" spans="5:5" ht="16.5">
      <c r="E17671" s="123"/>
    </row>
    <row r="17672" spans="5:5" ht="16.5">
      <c r="E17672" s="123"/>
    </row>
    <row r="17673" spans="5:5" ht="16.5">
      <c r="E17673" s="123"/>
    </row>
    <row r="17674" spans="5:5" ht="16.5">
      <c r="E17674" s="123"/>
    </row>
    <row r="17675" spans="5:5" ht="16.5">
      <c r="E17675" s="123"/>
    </row>
    <row r="17676" spans="5:5" ht="16.5">
      <c r="E17676" s="123"/>
    </row>
    <row r="17677" spans="5:5" ht="16.5">
      <c r="E17677" s="123"/>
    </row>
    <row r="17678" spans="5:5" ht="16.5">
      <c r="E17678" s="123"/>
    </row>
    <row r="17679" spans="5:5" ht="16.5">
      <c r="E17679" s="123"/>
    </row>
    <row r="17680" spans="5:5" ht="16.5">
      <c r="E17680" s="123"/>
    </row>
    <row r="17681" spans="5:5" ht="16.5">
      <c r="E17681" s="123"/>
    </row>
    <row r="17682" spans="5:5" ht="16.5">
      <c r="E17682" s="123"/>
    </row>
    <row r="17683" spans="5:5" ht="16.5">
      <c r="E17683" s="123"/>
    </row>
    <row r="17684" spans="5:5" ht="16.5">
      <c r="E17684" s="123"/>
    </row>
    <row r="17685" spans="5:5" ht="16.5">
      <c r="E17685" s="123"/>
    </row>
    <row r="17686" spans="5:5" ht="16.5">
      <c r="E17686" s="123"/>
    </row>
    <row r="17687" spans="5:5" ht="16.5">
      <c r="E17687" s="123"/>
    </row>
    <row r="17688" spans="5:5" ht="16.5">
      <c r="E17688" s="123"/>
    </row>
    <row r="17689" spans="5:5" ht="16.5">
      <c r="E17689" s="123"/>
    </row>
    <row r="17690" spans="5:5" ht="16.5">
      <c r="E17690" s="123"/>
    </row>
    <row r="17691" spans="5:5" ht="16.5">
      <c r="E17691" s="123"/>
    </row>
    <row r="17692" spans="5:5" ht="16.5">
      <c r="E17692" s="123"/>
    </row>
    <row r="17693" spans="5:5" ht="16.5">
      <c r="E17693" s="123"/>
    </row>
    <row r="17694" spans="5:5" ht="16.5">
      <c r="E17694" s="123"/>
    </row>
    <row r="17695" spans="5:5" ht="16.5">
      <c r="E17695" s="123"/>
    </row>
    <row r="17696" spans="5:5" ht="16.5">
      <c r="E17696" s="123"/>
    </row>
    <row r="17697" spans="5:5" ht="16.5">
      <c r="E17697" s="123"/>
    </row>
    <row r="17698" spans="5:5" ht="16.5">
      <c r="E17698" s="123"/>
    </row>
    <row r="17699" spans="5:5" ht="16.5">
      <c r="E17699" s="123"/>
    </row>
    <row r="17700" spans="5:5" ht="16.5">
      <c r="E17700" s="123"/>
    </row>
    <row r="17701" spans="5:5" ht="16.5">
      <c r="E17701" s="123"/>
    </row>
    <row r="17702" spans="5:5" ht="16.5">
      <c r="E17702" s="123"/>
    </row>
    <row r="17703" spans="5:5" ht="16.5">
      <c r="E17703" s="123"/>
    </row>
    <row r="17704" spans="5:5" ht="16.5">
      <c r="E17704" s="123"/>
    </row>
    <row r="17705" spans="5:5" ht="16.5">
      <c r="E17705" s="123"/>
    </row>
    <row r="17706" spans="5:5" ht="16.5">
      <c r="E17706" s="123"/>
    </row>
    <row r="17707" spans="5:5" ht="16.5">
      <c r="E17707" s="123"/>
    </row>
    <row r="17708" spans="5:5" ht="16.5">
      <c r="E17708" s="123"/>
    </row>
    <row r="17709" spans="5:5" ht="16.5">
      <c r="E17709" s="123"/>
    </row>
    <row r="17710" spans="5:5" ht="16.5">
      <c r="E17710" s="123"/>
    </row>
    <row r="17711" spans="5:5" ht="16.5">
      <c r="E17711" s="123"/>
    </row>
    <row r="17712" spans="5:5" ht="16.5">
      <c r="E17712" s="123"/>
    </row>
    <row r="17713" spans="5:5" ht="16.5">
      <c r="E17713" s="123"/>
    </row>
    <row r="17714" spans="5:5" ht="16.5">
      <c r="E17714" s="123"/>
    </row>
    <row r="17715" spans="5:5" ht="16.5">
      <c r="E17715" s="123"/>
    </row>
    <row r="17716" spans="5:5" ht="16.5">
      <c r="E17716" s="123"/>
    </row>
    <row r="17717" spans="5:5" ht="16.5">
      <c r="E17717" s="123"/>
    </row>
    <row r="17718" spans="5:5" ht="16.5">
      <c r="E17718" s="123"/>
    </row>
    <row r="17719" spans="5:5" ht="16.5">
      <c r="E17719" s="123"/>
    </row>
    <row r="17720" spans="5:5" ht="16.5">
      <c r="E17720" s="123"/>
    </row>
    <row r="17721" spans="5:5" ht="16.5">
      <c r="E17721" s="123"/>
    </row>
    <row r="17722" spans="5:5" ht="16.5">
      <c r="E17722" s="123"/>
    </row>
    <row r="17723" spans="5:5" ht="16.5">
      <c r="E17723" s="123"/>
    </row>
    <row r="17724" spans="5:5" ht="16.5">
      <c r="E17724" s="123"/>
    </row>
    <row r="17725" spans="5:5" ht="16.5">
      <c r="E17725" s="123"/>
    </row>
    <row r="17726" spans="5:5" ht="16.5">
      <c r="E17726" s="123"/>
    </row>
    <row r="17727" spans="5:5" ht="16.5">
      <c r="E17727" s="123"/>
    </row>
    <row r="17728" spans="5:5" ht="16.5">
      <c r="E17728" s="123"/>
    </row>
    <row r="17729" spans="5:5" ht="16.5">
      <c r="E17729" s="123"/>
    </row>
    <row r="17730" spans="5:5" ht="16.5">
      <c r="E17730" s="123"/>
    </row>
    <row r="17731" spans="5:5" ht="16.5">
      <c r="E17731" s="123"/>
    </row>
    <row r="17732" spans="5:5" ht="16.5">
      <c r="E17732" s="123"/>
    </row>
    <row r="17733" spans="5:5" ht="16.5">
      <c r="E17733" s="123"/>
    </row>
    <row r="17734" spans="5:5" ht="16.5">
      <c r="E17734" s="123"/>
    </row>
    <row r="17735" spans="5:5" ht="16.5">
      <c r="E17735" s="123"/>
    </row>
    <row r="17736" spans="5:5" ht="16.5">
      <c r="E17736" s="123"/>
    </row>
    <row r="17737" spans="5:5" ht="16.5">
      <c r="E17737" s="123"/>
    </row>
    <row r="17738" spans="5:5" ht="16.5">
      <c r="E17738" s="123"/>
    </row>
    <row r="17739" spans="5:5" ht="16.5">
      <c r="E17739" s="123"/>
    </row>
    <row r="17740" spans="5:5" ht="16.5">
      <c r="E17740" s="123"/>
    </row>
    <row r="17741" spans="5:5" ht="16.5">
      <c r="E17741" s="123"/>
    </row>
    <row r="17742" spans="5:5" ht="16.5">
      <c r="E17742" s="123"/>
    </row>
    <row r="17743" spans="5:5" ht="16.5">
      <c r="E17743" s="123"/>
    </row>
    <row r="17744" spans="5:5" ht="16.5">
      <c r="E17744" s="123"/>
    </row>
    <row r="17745" spans="5:5" ht="16.5">
      <c r="E17745" s="123"/>
    </row>
    <row r="17746" spans="5:5" ht="16.5">
      <c r="E17746" s="123"/>
    </row>
    <row r="17747" spans="5:5" ht="16.5">
      <c r="E17747" s="123"/>
    </row>
    <row r="17748" spans="5:5" ht="16.5">
      <c r="E17748" s="123"/>
    </row>
    <row r="17749" spans="5:5" ht="16.5">
      <c r="E17749" s="123"/>
    </row>
    <row r="17750" spans="5:5" ht="16.5">
      <c r="E17750" s="123"/>
    </row>
    <row r="17751" spans="5:5" ht="16.5">
      <c r="E17751" s="123"/>
    </row>
    <row r="17752" spans="5:5" ht="16.5">
      <c r="E17752" s="123"/>
    </row>
    <row r="17753" spans="5:5" ht="16.5">
      <c r="E17753" s="123"/>
    </row>
    <row r="17754" spans="5:5" ht="16.5">
      <c r="E17754" s="123"/>
    </row>
    <row r="17755" spans="5:5" ht="16.5">
      <c r="E17755" s="123"/>
    </row>
    <row r="17756" spans="5:5" ht="16.5">
      <c r="E17756" s="123"/>
    </row>
    <row r="17757" spans="5:5" ht="16.5">
      <c r="E17757" s="123"/>
    </row>
    <row r="17758" spans="5:5" ht="16.5">
      <c r="E17758" s="123"/>
    </row>
    <row r="17759" spans="5:5" ht="16.5">
      <c r="E17759" s="123"/>
    </row>
    <row r="17760" spans="5:5" ht="16.5">
      <c r="E17760" s="123"/>
    </row>
    <row r="17761" spans="5:5" ht="16.5">
      <c r="E17761" s="123"/>
    </row>
    <row r="17762" spans="5:5" ht="16.5">
      <c r="E17762" s="123"/>
    </row>
    <row r="17763" spans="5:5" ht="16.5">
      <c r="E17763" s="123"/>
    </row>
    <row r="17764" spans="5:5" ht="16.5">
      <c r="E17764" s="123"/>
    </row>
    <row r="17765" spans="5:5" ht="16.5">
      <c r="E17765" s="123"/>
    </row>
    <row r="17766" spans="5:5" ht="16.5">
      <c r="E17766" s="123"/>
    </row>
    <row r="17767" spans="5:5" ht="16.5">
      <c r="E17767" s="123"/>
    </row>
    <row r="17768" spans="5:5" ht="16.5">
      <c r="E17768" s="123"/>
    </row>
    <row r="17769" spans="5:5" ht="16.5">
      <c r="E17769" s="123"/>
    </row>
    <row r="17770" spans="5:5" ht="16.5">
      <c r="E17770" s="123"/>
    </row>
    <row r="17771" spans="5:5" ht="16.5">
      <c r="E17771" s="123"/>
    </row>
    <row r="17772" spans="5:5" ht="16.5">
      <c r="E17772" s="123"/>
    </row>
    <row r="17773" spans="5:5" ht="16.5">
      <c r="E17773" s="123"/>
    </row>
    <row r="17774" spans="5:5" ht="16.5">
      <c r="E17774" s="123"/>
    </row>
    <row r="17775" spans="5:5" ht="16.5">
      <c r="E17775" s="123"/>
    </row>
    <row r="17776" spans="5:5" ht="16.5">
      <c r="E17776" s="123"/>
    </row>
    <row r="17777" spans="5:5" ht="16.5">
      <c r="E17777" s="123"/>
    </row>
    <row r="17778" spans="5:5" ht="16.5">
      <c r="E17778" s="123"/>
    </row>
    <row r="17779" spans="5:5" ht="16.5">
      <c r="E17779" s="123"/>
    </row>
    <row r="17780" spans="5:5" ht="16.5">
      <c r="E17780" s="123"/>
    </row>
    <row r="17781" spans="5:5" ht="16.5">
      <c r="E17781" s="123"/>
    </row>
    <row r="17782" spans="5:5" ht="16.5">
      <c r="E17782" s="123"/>
    </row>
    <row r="17783" spans="5:5" ht="16.5">
      <c r="E17783" s="123"/>
    </row>
    <row r="17784" spans="5:5" ht="16.5">
      <c r="E17784" s="123"/>
    </row>
    <row r="17785" spans="5:5" ht="16.5">
      <c r="E17785" s="123"/>
    </row>
    <row r="17786" spans="5:5" ht="16.5">
      <c r="E17786" s="123"/>
    </row>
    <row r="17787" spans="5:5" ht="16.5">
      <c r="E17787" s="123"/>
    </row>
    <row r="17788" spans="5:5" ht="16.5">
      <c r="E17788" s="123"/>
    </row>
    <row r="17789" spans="5:5" ht="16.5">
      <c r="E17789" s="123"/>
    </row>
    <row r="17790" spans="5:5" ht="16.5">
      <c r="E17790" s="123"/>
    </row>
    <row r="17791" spans="5:5" ht="16.5">
      <c r="E17791" s="123"/>
    </row>
    <row r="17792" spans="5:5" ht="16.5">
      <c r="E17792" s="123"/>
    </row>
    <row r="17793" spans="5:5" ht="16.5">
      <c r="E17793" s="123"/>
    </row>
    <row r="17794" spans="5:5" ht="16.5">
      <c r="E17794" s="123"/>
    </row>
    <row r="17795" spans="5:5" ht="16.5">
      <c r="E17795" s="123"/>
    </row>
    <row r="17796" spans="5:5" ht="16.5">
      <c r="E17796" s="123"/>
    </row>
    <row r="17797" spans="5:5" ht="16.5">
      <c r="E17797" s="123"/>
    </row>
    <row r="17798" spans="5:5" ht="16.5">
      <c r="E17798" s="123"/>
    </row>
    <row r="17799" spans="5:5" ht="16.5">
      <c r="E17799" s="123"/>
    </row>
    <row r="17800" spans="5:5" ht="16.5">
      <c r="E17800" s="123"/>
    </row>
    <row r="17801" spans="5:5" ht="16.5">
      <c r="E17801" s="123"/>
    </row>
    <row r="17802" spans="5:5" ht="16.5">
      <c r="E17802" s="123"/>
    </row>
    <row r="17803" spans="5:5" ht="16.5">
      <c r="E17803" s="123"/>
    </row>
    <row r="17804" spans="5:5" ht="16.5">
      <c r="E17804" s="123"/>
    </row>
    <row r="17805" spans="5:5" ht="16.5">
      <c r="E17805" s="123"/>
    </row>
    <row r="17806" spans="5:5" ht="16.5">
      <c r="E17806" s="123"/>
    </row>
    <row r="17807" spans="5:5" ht="16.5">
      <c r="E17807" s="123"/>
    </row>
    <row r="17808" spans="5:5" ht="16.5">
      <c r="E17808" s="123"/>
    </row>
    <row r="17809" spans="5:5" ht="16.5">
      <c r="E17809" s="123"/>
    </row>
    <row r="17810" spans="5:5" ht="16.5">
      <c r="E17810" s="123"/>
    </row>
    <row r="17811" spans="5:5" ht="16.5">
      <c r="E17811" s="123"/>
    </row>
    <row r="17812" spans="5:5" ht="16.5">
      <c r="E17812" s="123"/>
    </row>
    <row r="17813" spans="5:5" ht="16.5">
      <c r="E17813" s="123"/>
    </row>
    <row r="17814" spans="5:5" ht="16.5">
      <c r="E17814" s="123"/>
    </row>
    <row r="17815" spans="5:5" ht="16.5">
      <c r="E17815" s="123"/>
    </row>
    <row r="17816" spans="5:5" ht="16.5">
      <c r="E17816" s="123"/>
    </row>
    <row r="17817" spans="5:5" ht="16.5">
      <c r="E17817" s="123"/>
    </row>
    <row r="17818" spans="5:5" ht="16.5">
      <c r="E17818" s="123"/>
    </row>
    <row r="17819" spans="5:5" ht="16.5">
      <c r="E17819" s="123"/>
    </row>
    <row r="17820" spans="5:5" ht="16.5">
      <c r="E17820" s="123"/>
    </row>
    <row r="17821" spans="5:5" ht="16.5">
      <c r="E17821" s="123"/>
    </row>
    <row r="17822" spans="5:5" ht="16.5">
      <c r="E17822" s="123"/>
    </row>
    <row r="17823" spans="5:5" ht="16.5">
      <c r="E17823" s="123"/>
    </row>
    <row r="17824" spans="5:5" ht="16.5">
      <c r="E17824" s="123"/>
    </row>
    <row r="17825" spans="5:5" ht="16.5">
      <c r="E17825" s="123"/>
    </row>
    <row r="17826" spans="5:5" ht="16.5">
      <c r="E17826" s="123"/>
    </row>
    <row r="17827" spans="5:5" ht="16.5">
      <c r="E17827" s="123"/>
    </row>
    <row r="17828" spans="5:5" ht="16.5">
      <c r="E17828" s="123"/>
    </row>
    <row r="17829" spans="5:5" ht="16.5">
      <c r="E17829" s="123"/>
    </row>
    <row r="17830" spans="5:5" ht="16.5">
      <c r="E17830" s="123"/>
    </row>
    <row r="17831" spans="5:5" ht="16.5">
      <c r="E17831" s="123"/>
    </row>
    <row r="17832" spans="5:5" ht="16.5">
      <c r="E17832" s="123"/>
    </row>
    <row r="17833" spans="5:5" ht="16.5">
      <c r="E17833" s="123"/>
    </row>
    <row r="17834" spans="5:5" ht="16.5">
      <c r="E17834" s="123"/>
    </row>
    <row r="17835" spans="5:5" ht="16.5">
      <c r="E17835" s="123"/>
    </row>
    <row r="17836" spans="5:5" ht="16.5">
      <c r="E17836" s="123"/>
    </row>
    <row r="17837" spans="5:5" ht="16.5">
      <c r="E17837" s="123"/>
    </row>
    <row r="17838" spans="5:5" ht="16.5">
      <c r="E17838" s="123"/>
    </row>
    <row r="17839" spans="5:5" ht="16.5">
      <c r="E17839" s="123"/>
    </row>
    <row r="17840" spans="5:5" ht="16.5">
      <c r="E17840" s="123"/>
    </row>
    <row r="17841" spans="5:5" ht="16.5">
      <c r="E17841" s="123"/>
    </row>
    <row r="17842" spans="5:5" ht="16.5">
      <c r="E17842" s="123"/>
    </row>
    <row r="17843" spans="5:5" ht="16.5">
      <c r="E17843" s="123"/>
    </row>
    <row r="17844" spans="5:5" ht="16.5">
      <c r="E17844" s="123"/>
    </row>
    <row r="17845" spans="5:5" ht="16.5">
      <c r="E17845" s="123"/>
    </row>
    <row r="17846" spans="5:5" ht="16.5">
      <c r="E17846" s="123"/>
    </row>
    <row r="17847" spans="5:5" ht="16.5">
      <c r="E17847" s="123"/>
    </row>
    <row r="17848" spans="5:5" ht="16.5">
      <c r="E17848" s="123"/>
    </row>
    <row r="17849" spans="5:5" ht="16.5">
      <c r="E17849" s="123"/>
    </row>
    <row r="17850" spans="5:5" ht="16.5">
      <c r="E17850" s="123"/>
    </row>
    <row r="17851" spans="5:5" ht="16.5">
      <c r="E17851" s="123"/>
    </row>
    <row r="17852" spans="5:5" ht="16.5">
      <c r="E17852" s="123"/>
    </row>
    <row r="17853" spans="5:5" ht="16.5">
      <c r="E17853" s="123"/>
    </row>
    <row r="17854" spans="5:5" ht="16.5">
      <c r="E17854" s="123"/>
    </row>
    <row r="17855" spans="5:5" ht="16.5">
      <c r="E17855" s="123"/>
    </row>
    <row r="17856" spans="5:5" ht="16.5">
      <c r="E17856" s="123"/>
    </row>
    <row r="17857" spans="5:5" ht="16.5">
      <c r="E17857" s="123"/>
    </row>
    <row r="17858" spans="5:5" ht="16.5">
      <c r="E17858" s="123"/>
    </row>
    <row r="17859" spans="5:5" ht="16.5">
      <c r="E17859" s="123"/>
    </row>
    <row r="17860" spans="5:5" ht="16.5">
      <c r="E17860" s="123"/>
    </row>
    <row r="17861" spans="5:5" ht="16.5">
      <c r="E17861" s="123"/>
    </row>
    <row r="17862" spans="5:5" ht="16.5">
      <c r="E17862" s="123"/>
    </row>
    <row r="17863" spans="5:5" ht="16.5">
      <c r="E17863" s="123"/>
    </row>
    <row r="17864" spans="5:5" ht="16.5">
      <c r="E17864" s="123"/>
    </row>
    <row r="17865" spans="5:5" ht="16.5">
      <c r="E17865" s="123"/>
    </row>
    <row r="17866" spans="5:5" ht="16.5">
      <c r="E17866" s="123"/>
    </row>
    <row r="17867" spans="5:5" ht="16.5">
      <c r="E17867" s="123"/>
    </row>
    <row r="17868" spans="5:5" ht="16.5">
      <c r="E17868" s="123"/>
    </row>
    <row r="17869" spans="5:5" ht="16.5">
      <c r="E17869" s="123"/>
    </row>
    <row r="17870" spans="5:5" ht="16.5">
      <c r="E17870" s="123"/>
    </row>
    <row r="17871" spans="5:5" ht="16.5">
      <c r="E17871" s="123"/>
    </row>
    <row r="17872" spans="5:5" ht="16.5">
      <c r="E17872" s="123"/>
    </row>
    <row r="17873" spans="5:5" ht="16.5">
      <c r="E17873" s="123"/>
    </row>
    <row r="17874" spans="5:5" ht="16.5">
      <c r="E17874" s="123"/>
    </row>
    <row r="17875" spans="5:5" ht="16.5">
      <c r="E17875" s="123"/>
    </row>
    <row r="17876" spans="5:5" ht="16.5">
      <c r="E17876" s="123"/>
    </row>
    <row r="17877" spans="5:5" ht="16.5">
      <c r="E17877" s="123"/>
    </row>
    <row r="17878" spans="5:5" ht="16.5">
      <c r="E17878" s="123"/>
    </row>
    <row r="17879" spans="5:5" ht="16.5">
      <c r="E17879" s="123"/>
    </row>
    <row r="17880" spans="5:5" ht="16.5">
      <c r="E17880" s="123"/>
    </row>
    <row r="17881" spans="5:5" ht="16.5">
      <c r="E17881" s="123"/>
    </row>
    <row r="17882" spans="5:5" ht="16.5">
      <c r="E17882" s="123"/>
    </row>
    <row r="17883" spans="5:5" ht="16.5">
      <c r="E17883" s="123"/>
    </row>
    <row r="17884" spans="5:5" ht="16.5">
      <c r="E17884" s="123"/>
    </row>
    <row r="17885" spans="5:5" ht="16.5">
      <c r="E17885" s="123"/>
    </row>
    <row r="17886" spans="5:5" ht="16.5">
      <c r="E17886" s="123"/>
    </row>
    <row r="17887" spans="5:5" ht="16.5">
      <c r="E17887" s="123"/>
    </row>
    <row r="17888" spans="5:5" ht="16.5">
      <c r="E17888" s="123"/>
    </row>
    <row r="17889" spans="5:5" ht="16.5">
      <c r="E17889" s="123"/>
    </row>
    <row r="17890" spans="5:5" ht="16.5">
      <c r="E17890" s="123"/>
    </row>
    <row r="17891" spans="5:5" ht="16.5">
      <c r="E17891" s="123"/>
    </row>
    <row r="17892" spans="5:5" ht="16.5">
      <c r="E17892" s="123"/>
    </row>
    <row r="17893" spans="5:5" ht="16.5">
      <c r="E17893" s="123"/>
    </row>
    <row r="17894" spans="5:5" ht="16.5">
      <c r="E17894" s="123"/>
    </row>
    <row r="17895" spans="5:5" ht="16.5">
      <c r="E17895" s="123"/>
    </row>
    <row r="17896" spans="5:5" ht="16.5">
      <c r="E17896" s="123"/>
    </row>
    <row r="17897" spans="5:5" ht="16.5">
      <c r="E17897" s="123"/>
    </row>
    <row r="17898" spans="5:5" ht="16.5">
      <c r="E17898" s="123"/>
    </row>
    <row r="17899" spans="5:5" ht="16.5">
      <c r="E17899" s="123"/>
    </row>
    <row r="17900" spans="5:5" ht="16.5">
      <c r="E17900" s="123"/>
    </row>
    <row r="17901" spans="5:5" ht="16.5">
      <c r="E17901" s="123"/>
    </row>
    <row r="17902" spans="5:5" ht="16.5">
      <c r="E17902" s="123"/>
    </row>
    <row r="17903" spans="5:5" ht="16.5">
      <c r="E17903" s="123"/>
    </row>
    <row r="17904" spans="5:5" ht="16.5">
      <c r="E17904" s="123"/>
    </row>
    <row r="17905" spans="5:5" ht="16.5">
      <c r="E17905" s="123"/>
    </row>
    <row r="17906" spans="5:5" ht="16.5">
      <c r="E17906" s="123"/>
    </row>
    <row r="17907" spans="5:5" ht="16.5">
      <c r="E17907" s="123"/>
    </row>
    <row r="17908" spans="5:5" ht="16.5">
      <c r="E17908" s="123"/>
    </row>
    <row r="17909" spans="5:5" ht="16.5">
      <c r="E17909" s="123"/>
    </row>
    <row r="17910" spans="5:5" ht="16.5">
      <c r="E17910" s="123"/>
    </row>
    <row r="17911" spans="5:5" ht="16.5">
      <c r="E17911" s="123"/>
    </row>
    <row r="17912" spans="5:5" ht="16.5">
      <c r="E17912" s="123"/>
    </row>
    <row r="17913" spans="5:5" ht="16.5">
      <c r="E17913" s="123"/>
    </row>
    <row r="17914" spans="5:5" ht="16.5">
      <c r="E17914" s="123"/>
    </row>
    <row r="17915" spans="5:5" ht="16.5">
      <c r="E17915" s="123"/>
    </row>
    <row r="17916" spans="5:5" ht="16.5">
      <c r="E17916" s="123"/>
    </row>
    <row r="17917" spans="5:5" ht="16.5">
      <c r="E17917" s="123"/>
    </row>
    <row r="17918" spans="5:5" ht="16.5">
      <c r="E17918" s="123"/>
    </row>
    <row r="17919" spans="5:5" ht="16.5">
      <c r="E17919" s="123"/>
    </row>
    <row r="17920" spans="5:5" ht="16.5">
      <c r="E17920" s="123"/>
    </row>
    <row r="17921" spans="5:5" ht="16.5">
      <c r="E17921" s="123"/>
    </row>
    <row r="17922" spans="5:5" ht="16.5">
      <c r="E17922" s="123"/>
    </row>
    <row r="17923" spans="5:5" ht="16.5">
      <c r="E17923" s="123"/>
    </row>
    <row r="17924" spans="5:5" ht="16.5">
      <c r="E17924" s="123"/>
    </row>
    <row r="17925" spans="5:5" ht="16.5">
      <c r="E17925" s="123"/>
    </row>
    <row r="17926" spans="5:5" ht="16.5">
      <c r="E17926" s="123"/>
    </row>
    <row r="17927" spans="5:5" ht="16.5">
      <c r="E17927" s="123"/>
    </row>
    <row r="17928" spans="5:5" ht="16.5">
      <c r="E17928" s="123"/>
    </row>
    <row r="17929" spans="5:5" ht="16.5">
      <c r="E17929" s="123"/>
    </row>
    <row r="17930" spans="5:5" ht="16.5">
      <c r="E17930" s="123"/>
    </row>
    <row r="17931" spans="5:5" ht="16.5">
      <c r="E17931" s="123"/>
    </row>
    <row r="17932" spans="5:5" ht="16.5">
      <c r="E17932" s="123"/>
    </row>
    <row r="17933" spans="5:5" ht="16.5">
      <c r="E17933" s="123"/>
    </row>
    <row r="17934" spans="5:5" ht="16.5">
      <c r="E17934" s="123"/>
    </row>
    <row r="17935" spans="5:5" ht="16.5">
      <c r="E17935" s="123"/>
    </row>
    <row r="17936" spans="5:5" ht="16.5">
      <c r="E17936" s="123"/>
    </row>
    <row r="17937" spans="5:5" ht="16.5">
      <c r="E17937" s="123"/>
    </row>
    <row r="17938" spans="5:5" ht="16.5">
      <c r="E17938" s="123"/>
    </row>
    <row r="17939" spans="5:5" ht="16.5">
      <c r="E17939" s="123"/>
    </row>
    <row r="17940" spans="5:5" ht="16.5">
      <c r="E17940" s="123"/>
    </row>
    <row r="17941" spans="5:5" ht="16.5">
      <c r="E17941" s="123"/>
    </row>
    <row r="17942" spans="5:5" ht="16.5">
      <c r="E17942" s="123"/>
    </row>
    <row r="17943" spans="5:5" ht="16.5">
      <c r="E17943" s="123"/>
    </row>
    <row r="17944" spans="5:5" ht="16.5">
      <c r="E17944" s="123"/>
    </row>
    <row r="17945" spans="5:5" ht="16.5">
      <c r="E17945" s="123"/>
    </row>
    <row r="17946" spans="5:5" ht="16.5">
      <c r="E17946" s="123"/>
    </row>
    <row r="17947" spans="5:5" ht="16.5">
      <c r="E17947" s="123"/>
    </row>
    <row r="17948" spans="5:5" ht="16.5">
      <c r="E17948" s="123"/>
    </row>
    <row r="17949" spans="5:5" ht="16.5">
      <c r="E17949" s="123"/>
    </row>
    <row r="17950" spans="5:5" ht="16.5">
      <c r="E17950" s="123"/>
    </row>
    <row r="17951" spans="5:5" ht="16.5">
      <c r="E17951" s="123"/>
    </row>
    <row r="17952" spans="5:5" ht="16.5">
      <c r="E17952" s="123"/>
    </row>
    <row r="17953" spans="5:5" ht="16.5">
      <c r="E17953" s="12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721D-39FC-4C13-9051-81E48DC905A8}">
  <sheetPr>
    <tabColor rgb="FFFFFF00"/>
  </sheetPr>
  <dimension ref="B2:Q17937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2" sqref="G22"/>
    </sheetView>
  </sheetViews>
  <sheetFormatPr defaultColWidth="9" defaultRowHeight="13.5"/>
  <cols>
    <col min="1" max="1" width="2.75" style="1" customWidth="1"/>
    <col min="2" max="2" width="4.875" style="120" customWidth="1"/>
    <col min="3" max="3" width="30.75" style="1" customWidth="1"/>
    <col min="4" max="16" width="14.25" style="1" customWidth="1"/>
    <col min="17" max="17" width="10.875" style="1" bestFit="1" customWidth="1"/>
    <col min="18" max="16384" width="9" style="1"/>
  </cols>
  <sheetData>
    <row r="2" spans="3:16">
      <c r="C2" s="106" t="s">
        <v>49</v>
      </c>
    </row>
    <row r="5" spans="3:16">
      <c r="C5" s="107"/>
      <c r="D5" s="108" t="s">
        <v>3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/>
    </row>
    <row r="6" spans="3:16">
      <c r="C6" s="111" t="s">
        <v>50</v>
      </c>
      <c r="D6" s="12">
        <v>46023</v>
      </c>
      <c r="E6" s="12">
        <f t="shared" ref="E6:O6" si="0">EDATE(D6,1)</f>
        <v>46054</v>
      </c>
      <c r="F6" s="12">
        <f t="shared" si="0"/>
        <v>46082</v>
      </c>
      <c r="G6" s="12">
        <f t="shared" si="0"/>
        <v>46113</v>
      </c>
      <c r="H6" s="12">
        <f t="shared" si="0"/>
        <v>46143</v>
      </c>
      <c r="I6" s="12">
        <f t="shared" si="0"/>
        <v>46174</v>
      </c>
      <c r="J6" s="12">
        <f t="shared" si="0"/>
        <v>46204</v>
      </c>
      <c r="K6" s="12">
        <f t="shared" si="0"/>
        <v>46235</v>
      </c>
      <c r="L6" s="12">
        <f t="shared" si="0"/>
        <v>46266</v>
      </c>
      <c r="M6" s="12">
        <f t="shared" si="0"/>
        <v>46296</v>
      </c>
      <c r="N6" s="12">
        <f t="shared" si="0"/>
        <v>46327</v>
      </c>
      <c r="O6" s="12">
        <f t="shared" si="0"/>
        <v>46357</v>
      </c>
      <c r="P6" s="12" t="s">
        <v>5</v>
      </c>
    </row>
    <row r="7" spans="3:16">
      <c r="C7" s="112" t="s">
        <v>51</v>
      </c>
      <c r="D7" s="113">
        <f t="shared" ref="D7:O7" si="1">SUM(D8:D15)</f>
        <v>23133256</v>
      </c>
      <c r="E7" s="113">
        <f t="shared" si="1"/>
        <v>22519935</v>
      </c>
      <c r="F7" s="113">
        <f t="shared" si="1"/>
        <v>32767797</v>
      </c>
      <c r="G7" s="113">
        <f t="shared" si="1"/>
        <v>34711093</v>
      </c>
      <c r="H7" s="113">
        <f t="shared" si="1"/>
        <v>32809480</v>
      </c>
      <c r="I7" s="113">
        <f t="shared" si="1"/>
        <v>29415771</v>
      </c>
      <c r="J7" s="113">
        <f t="shared" si="1"/>
        <v>26863269</v>
      </c>
      <c r="K7" s="113">
        <f t="shared" si="1"/>
        <v>29225664</v>
      </c>
      <c r="L7" s="113">
        <f t="shared" si="1"/>
        <v>33048052</v>
      </c>
      <c r="M7" s="113">
        <f t="shared" si="1"/>
        <v>30161558.263182972</v>
      </c>
      <c r="N7" s="113">
        <f t="shared" si="1"/>
        <v>29492978.734641287</v>
      </c>
      <c r="O7" s="113">
        <f t="shared" si="1"/>
        <v>22482819.216077611</v>
      </c>
      <c r="P7" s="113"/>
    </row>
    <row r="8" spans="3:16">
      <c r="C8" s="114" t="s">
        <v>13</v>
      </c>
      <c r="D8" s="115">
        <v>1033345</v>
      </c>
      <c r="E8" s="116">
        <f t="shared" ref="E8:O8" si="2">D35</f>
        <v>948685</v>
      </c>
      <c r="F8" s="116">
        <f t="shared" si="2"/>
        <v>913760</v>
      </c>
      <c r="G8" s="116">
        <f t="shared" si="2"/>
        <v>877361</v>
      </c>
      <c r="H8" s="116">
        <f t="shared" si="2"/>
        <v>852167</v>
      </c>
      <c r="I8" s="116">
        <f t="shared" si="2"/>
        <v>964877</v>
      </c>
      <c r="J8" s="116">
        <f t="shared" si="2"/>
        <v>939806</v>
      </c>
      <c r="K8" s="116">
        <f t="shared" si="2"/>
        <v>924098</v>
      </c>
      <c r="L8" s="116">
        <f t="shared" si="2"/>
        <v>1209354</v>
      </c>
      <c r="M8" s="116">
        <f t="shared" si="2"/>
        <v>1156003.6796363969</v>
      </c>
      <c r="N8" s="116">
        <f t="shared" si="2"/>
        <v>2320822.7635058076</v>
      </c>
      <c r="O8" s="116">
        <f t="shared" si="2"/>
        <v>2049669.7068331207</v>
      </c>
      <c r="P8" s="116"/>
    </row>
    <row r="9" spans="3:16">
      <c r="C9" s="117" t="s">
        <v>52</v>
      </c>
      <c r="D9" s="118">
        <v>0</v>
      </c>
      <c r="E9" s="119">
        <f t="shared" ref="E9:O9" si="3">D36</f>
        <v>0</v>
      </c>
      <c r="F9" s="119">
        <f t="shared" si="3"/>
        <v>0</v>
      </c>
      <c r="G9" s="119">
        <f t="shared" si="3"/>
        <v>0</v>
      </c>
      <c r="H9" s="119">
        <f t="shared" si="3"/>
        <v>0</v>
      </c>
      <c r="I9" s="119">
        <f t="shared" si="3"/>
        <v>0</v>
      </c>
      <c r="J9" s="119">
        <f t="shared" si="3"/>
        <v>0</v>
      </c>
      <c r="K9" s="119">
        <f t="shared" si="3"/>
        <v>0</v>
      </c>
      <c r="L9" s="119">
        <f t="shared" si="3"/>
        <v>0</v>
      </c>
      <c r="M9" s="119">
        <f t="shared" si="3"/>
        <v>0</v>
      </c>
      <c r="N9" s="119">
        <f t="shared" si="3"/>
        <v>0</v>
      </c>
      <c r="O9" s="119">
        <f t="shared" si="3"/>
        <v>0</v>
      </c>
      <c r="P9" s="119"/>
    </row>
    <row r="10" spans="3:16">
      <c r="C10" s="117" t="s">
        <v>53</v>
      </c>
      <c r="D10" s="118">
        <v>0</v>
      </c>
      <c r="E10" s="119">
        <f t="shared" ref="E10:O10" si="4">D37</f>
        <v>0</v>
      </c>
      <c r="F10" s="119">
        <f t="shared" si="4"/>
        <v>0</v>
      </c>
      <c r="G10" s="119">
        <f t="shared" si="4"/>
        <v>0</v>
      </c>
      <c r="H10" s="119">
        <f t="shared" si="4"/>
        <v>0</v>
      </c>
      <c r="I10" s="119">
        <f t="shared" si="4"/>
        <v>0</v>
      </c>
      <c r="J10" s="119">
        <f t="shared" si="4"/>
        <v>0</v>
      </c>
      <c r="K10" s="119">
        <f t="shared" si="4"/>
        <v>0</v>
      </c>
      <c r="L10" s="119">
        <f t="shared" si="4"/>
        <v>0</v>
      </c>
      <c r="M10" s="119">
        <f t="shared" si="4"/>
        <v>0</v>
      </c>
      <c r="N10" s="119">
        <f t="shared" si="4"/>
        <v>0</v>
      </c>
      <c r="O10" s="119">
        <f t="shared" si="4"/>
        <v>0</v>
      </c>
      <c r="P10" s="119"/>
    </row>
    <row r="11" spans="3:16">
      <c r="C11" s="117" t="s">
        <v>8</v>
      </c>
      <c r="D11" s="118">
        <v>0</v>
      </c>
      <c r="E11" s="119">
        <f t="shared" ref="E11:O11" si="5">D38</f>
        <v>0</v>
      </c>
      <c r="F11" s="119">
        <f t="shared" si="5"/>
        <v>0</v>
      </c>
      <c r="G11" s="119">
        <f t="shared" si="5"/>
        <v>0</v>
      </c>
      <c r="H11" s="119">
        <f t="shared" si="5"/>
        <v>0</v>
      </c>
      <c r="I11" s="119">
        <f t="shared" si="5"/>
        <v>0</v>
      </c>
      <c r="J11" s="119">
        <f t="shared" si="5"/>
        <v>0</v>
      </c>
      <c r="K11" s="119">
        <f t="shared" si="5"/>
        <v>5418377</v>
      </c>
      <c r="L11" s="119">
        <f t="shared" si="5"/>
        <v>10661845</v>
      </c>
      <c r="M11" s="119">
        <f t="shared" si="5"/>
        <v>10122175.987107247</v>
      </c>
      <c r="N11" s="119">
        <f t="shared" si="5"/>
        <v>10951567.187895749</v>
      </c>
      <c r="O11" s="119">
        <f t="shared" si="5"/>
        <v>8469286.4777256884</v>
      </c>
      <c r="P11" s="119"/>
    </row>
    <row r="12" spans="3:16">
      <c r="C12" s="117" t="s">
        <v>9</v>
      </c>
      <c r="D12" s="118">
        <v>3695</v>
      </c>
      <c r="E12" s="119">
        <f t="shared" ref="E12:O12" si="6">D39</f>
        <v>1104533</v>
      </c>
      <c r="F12" s="119">
        <f t="shared" si="6"/>
        <v>9653689</v>
      </c>
      <c r="G12" s="119">
        <f t="shared" si="6"/>
        <v>13080629</v>
      </c>
      <c r="H12" s="119">
        <f t="shared" si="6"/>
        <v>12720917</v>
      </c>
      <c r="I12" s="119">
        <f t="shared" si="6"/>
        <v>11615795</v>
      </c>
      <c r="J12" s="119">
        <f t="shared" si="6"/>
        <v>10471007</v>
      </c>
      <c r="K12" s="119">
        <f t="shared" si="6"/>
        <v>9149781</v>
      </c>
      <c r="L12" s="119">
        <f t="shared" si="6"/>
        <v>8347170</v>
      </c>
      <c r="M12" s="119">
        <f t="shared" si="6"/>
        <v>7391707.8236977495</v>
      </c>
      <c r="N12" s="119">
        <f t="shared" si="6"/>
        <v>6301457.7347528897</v>
      </c>
      <c r="O12" s="119">
        <f t="shared" si="6"/>
        <v>4220830.6680715</v>
      </c>
      <c r="P12" s="119"/>
    </row>
    <row r="13" spans="3:16">
      <c r="C13" s="117" t="s">
        <v>10</v>
      </c>
      <c r="D13" s="118">
        <v>13830447</v>
      </c>
      <c r="E13" s="119">
        <f t="shared" ref="E13:O13" si="7">D40</f>
        <v>13295303</v>
      </c>
      <c r="F13" s="119">
        <f t="shared" si="7"/>
        <v>15554309</v>
      </c>
      <c r="G13" s="119">
        <f t="shared" si="7"/>
        <v>14486756</v>
      </c>
      <c r="H13" s="119">
        <f t="shared" si="7"/>
        <v>13537200</v>
      </c>
      <c r="I13" s="119">
        <f t="shared" si="7"/>
        <v>12235705</v>
      </c>
      <c r="J13" s="119">
        <f t="shared" si="7"/>
        <v>11511318</v>
      </c>
      <c r="K13" s="119">
        <f t="shared" si="7"/>
        <v>10804448</v>
      </c>
      <c r="L13" s="119">
        <f t="shared" si="7"/>
        <v>10151260</v>
      </c>
      <c r="M13" s="119">
        <f t="shared" si="7"/>
        <v>9279683.2436285354</v>
      </c>
      <c r="N13" s="119">
        <f t="shared" si="7"/>
        <v>8289614.348315455</v>
      </c>
      <c r="O13" s="119">
        <f t="shared" si="7"/>
        <v>6552491.9279047651</v>
      </c>
      <c r="P13" s="119"/>
    </row>
    <row r="14" spans="3:16">
      <c r="C14" s="117" t="s">
        <v>11</v>
      </c>
      <c r="D14" s="118">
        <v>6766574</v>
      </c>
      <c r="E14" s="119">
        <f t="shared" ref="E14:O14" si="8">D41</f>
        <v>5847949</v>
      </c>
      <c r="F14" s="119">
        <f t="shared" si="8"/>
        <v>5452576</v>
      </c>
      <c r="G14" s="119">
        <f t="shared" si="8"/>
        <v>5228080</v>
      </c>
      <c r="H14" s="119">
        <f t="shared" si="8"/>
        <v>4801020</v>
      </c>
      <c r="I14" s="119">
        <f t="shared" si="8"/>
        <v>3886953</v>
      </c>
      <c r="J14" s="119">
        <f t="shared" si="8"/>
        <v>3319451</v>
      </c>
      <c r="K14" s="119">
        <f t="shared" si="8"/>
        <v>2468437</v>
      </c>
      <c r="L14" s="119">
        <f t="shared" si="8"/>
        <v>2270054</v>
      </c>
      <c r="M14" s="119">
        <f t="shared" si="8"/>
        <v>1859313.141520266</v>
      </c>
      <c r="N14" s="119">
        <f t="shared" si="8"/>
        <v>1340090.0347627129</v>
      </c>
      <c r="O14" s="119">
        <f t="shared" si="8"/>
        <v>1010612.0055407388</v>
      </c>
      <c r="P14" s="119"/>
    </row>
    <row r="15" spans="3:16">
      <c r="C15" s="117" t="s">
        <v>12</v>
      </c>
      <c r="D15" s="118">
        <v>1499195</v>
      </c>
      <c r="E15" s="119">
        <f t="shared" ref="E15:O15" si="9">D42</f>
        <v>1323465</v>
      </c>
      <c r="F15" s="119">
        <f t="shared" si="9"/>
        <v>1193463</v>
      </c>
      <c r="G15" s="119">
        <f t="shared" si="9"/>
        <v>1038267</v>
      </c>
      <c r="H15" s="119">
        <f t="shared" si="9"/>
        <v>898176</v>
      </c>
      <c r="I15" s="119">
        <f t="shared" si="9"/>
        <v>712441</v>
      </c>
      <c r="J15" s="119">
        <f t="shared" si="9"/>
        <v>621687</v>
      </c>
      <c r="K15" s="119">
        <f t="shared" si="9"/>
        <v>460523</v>
      </c>
      <c r="L15" s="119">
        <f t="shared" si="9"/>
        <v>408369</v>
      </c>
      <c r="M15" s="119">
        <f t="shared" si="9"/>
        <v>352674.38759277668</v>
      </c>
      <c r="N15" s="119">
        <f t="shared" si="9"/>
        <v>289426.66540867026</v>
      </c>
      <c r="O15" s="119">
        <f t="shared" si="9"/>
        <v>179928.43000179628</v>
      </c>
      <c r="P15" s="119"/>
    </row>
    <row r="16" spans="3:16">
      <c r="C16" s="112" t="s">
        <v>54</v>
      </c>
      <c r="D16" s="113">
        <f t="shared" ref="D16:O16" si="10">SUM(D17:D24)</f>
        <v>1922444</v>
      </c>
      <c r="E16" s="113">
        <f t="shared" si="10"/>
        <v>12107718</v>
      </c>
      <c r="F16" s="113">
        <f t="shared" si="10"/>
        <v>3949394</v>
      </c>
      <c r="G16" s="113">
        <f t="shared" si="10"/>
        <v>349494</v>
      </c>
      <c r="H16" s="113">
        <f t="shared" si="10"/>
        <v>166720</v>
      </c>
      <c r="I16" s="113">
        <f t="shared" si="10"/>
        <v>0</v>
      </c>
      <c r="J16" s="113">
        <f t="shared" si="10"/>
        <v>5491532</v>
      </c>
      <c r="K16" s="113">
        <f t="shared" si="10"/>
        <v>5867503</v>
      </c>
      <c r="L16" s="113">
        <f t="shared" si="10"/>
        <v>264374</v>
      </c>
      <c r="M16" s="113">
        <f t="shared" si="10"/>
        <v>2890740</v>
      </c>
      <c r="N16" s="113">
        <f t="shared" si="10"/>
        <v>0</v>
      </c>
      <c r="O16" s="113">
        <f t="shared" si="10"/>
        <v>0</v>
      </c>
      <c r="P16" s="113"/>
    </row>
    <row r="17" spans="2:17">
      <c r="B17" s="120" t="s">
        <v>55</v>
      </c>
      <c r="C17" s="114" t="s">
        <v>13</v>
      </c>
      <c r="D17" s="115">
        <v>0</v>
      </c>
      <c r="E17" s="115">
        <v>0</v>
      </c>
      <c r="F17" s="115">
        <v>0</v>
      </c>
      <c r="G17" s="115">
        <v>0</v>
      </c>
      <c r="H17" s="115">
        <v>166720</v>
      </c>
      <c r="I17" s="115">
        <v>0</v>
      </c>
      <c r="J17" s="115">
        <v>0</v>
      </c>
      <c r="K17" s="115">
        <v>314820</v>
      </c>
      <c r="L17" s="115">
        <v>0</v>
      </c>
      <c r="M17" s="115">
        <v>1221299</v>
      </c>
      <c r="N17" s="115">
        <v>0</v>
      </c>
      <c r="O17" s="115">
        <v>0</v>
      </c>
      <c r="P17" s="116"/>
    </row>
    <row r="18" spans="2:17">
      <c r="B18" s="120" t="s">
        <v>56</v>
      </c>
      <c r="C18" s="117" t="s">
        <v>52</v>
      </c>
      <c r="D18" s="118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18">
        <v>0</v>
      </c>
      <c r="L18" s="118">
        <v>0</v>
      </c>
      <c r="M18" s="118">
        <v>0</v>
      </c>
      <c r="N18" s="118">
        <v>0</v>
      </c>
      <c r="O18" s="118">
        <v>0</v>
      </c>
      <c r="P18" s="119"/>
    </row>
    <row r="19" spans="2:17">
      <c r="B19" s="120" t="s">
        <v>57</v>
      </c>
      <c r="C19" s="117" t="s">
        <v>53</v>
      </c>
      <c r="D19" s="118">
        <v>0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18">
        <v>0</v>
      </c>
      <c r="L19" s="118">
        <v>0</v>
      </c>
      <c r="M19" s="118">
        <v>0</v>
      </c>
      <c r="N19" s="118">
        <v>0</v>
      </c>
      <c r="O19" s="118">
        <v>0</v>
      </c>
      <c r="P19" s="119"/>
    </row>
    <row r="20" spans="2:17">
      <c r="B20" s="120" t="s">
        <v>58</v>
      </c>
      <c r="C20" s="117" t="s">
        <v>8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5491532</v>
      </c>
      <c r="K20" s="118">
        <v>5552683</v>
      </c>
      <c r="L20" s="118">
        <v>264374</v>
      </c>
      <c r="M20" s="118">
        <v>1669441</v>
      </c>
      <c r="N20" s="118">
        <v>0</v>
      </c>
      <c r="O20" s="118">
        <v>0</v>
      </c>
      <c r="P20" s="119"/>
      <c r="Q20" s="126"/>
    </row>
    <row r="21" spans="2:17">
      <c r="B21" s="120" t="s">
        <v>59</v>
      </c>
      <c r="C21" s="117" t="s">
        <v>9</v>
      </c>
      <c r="D21" s="118">
        <v>1104280</v>
      </c>
      <c r="E21" s="118">
        <v>8960472</v>
      </c>
      <c r="F21" s="118">
        <v>3949394</v>
      </c>
      <c r="G21" s="118">
        <v>349494</v>
      </c>
      <c r="H21" s="118">
        <v>0</v>
      </c>
      <c r="I21" s="118">
        <v>0</v>
      </c>
      <c r="J21" s="118">
        <v>0</v>
      </c>
      <c r="K21" s="118">
        <v>0</v>
      </c>
      <c r="L21" s="118">
        <v>0</v>
      </c>
      <c r="M21" s="118">
        <v>0</v>
      </c>
      <c r="N21" s="118">
        <v>0</v>
      </c>
      <c r="O21" s="118">
        <v>0</v>
      </c>
      <c r="P21" s="119"/>
    </row>
    <row r="22" spans="2:17">
      <c r="B22" s="120" t="s">
        <v>60</v>
      </c>
      <c r="C22" s="117" t="s">
        <v>10</v>
      </c>
      <c r="D22" s="118">
        <v>579730</v>
      </c>
      <c r="E22" s="118">
        <v>3147246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18">
        <v>0</v>
      </c>
      <c r="L22" s="118">
        <v>0</v>
      </c>
      <c r="M22" s="118">
        <v>0</v>
      </c>
      <c r="N22" s="118">
        <v>0</v>
      </c>
      <c r="O22" s="118">
        <v>0</v>
      </c>
      <c r="P22" s="119"/>
    </row>
    <row r="23" spans="2:17">
      <c r="B23" s="120" t="s">
        <v>61</v>
      </c>
      <c r="C23" s="117" t="s">
        <v>11</v>
      </c>
      <c r="D23" s="118">
        <v>80654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18">
        <v>0</v>
      </c>
      <c r="L23" s="118">
        <v>0</v>
      </c>
      <c r="M23" s="118">
        <v>0</v>
      </c>
      <c r="N23" s="118">
        <v>0</v>
      </c>
      <c r="O23" s="118">
        <v>0</v>
      </c>
      <c r="P23" s="119"/>
    </row>
    <row r="24" spans="2:17">
      <c r="B24" s="120" t="s">
        <v>12</v>
      </c>
      <c r="C24" s="117" t="s">
        <v>12</v>
      </c>
      <c r="D24" s="118">
        <v>157780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18">
        <v>0</v>
      </c>
      <c r="L24" s="118">
        <v>0</v>
      </c>
      <c r="M24" s="118">
        <v>0</v>
      </c>
      <c r="N24" s="118">
        <v>0</v>
      </c>
      <c r="O24" s="118">
        <v>0</v>
      </c>
      <c r="P24" s="119"/>
    </row>
    <row r="25" spans="2:17">
      <c r="C25" s="112" t="s">
        <v>62</v>
      </c>
      <c r="D25" s="113">
        <f t="shared" ref="D25:O25" si="11">SUM(D26:D33)</f>
        <v>-2535765</v>
      </c>
      <c r="E25" s="113">
        <f t="shared" si="11"/>
        <v>-1859856</v>
      </c>
      <c r="F25" s="113">
        <f t="shared" si="11"/>
        <v>-2006098</v>
      </c>
      <c r="G25" s="113">
        <f t="shared" si="11"/>
        <v>-2251107</v>
      </c>
      <c r="H25" s="113">
        <f t="shared" si="11"/>
        <v>-3560429</v>
      </c>
      <c r="I25" s="113">
        <f t="shared" si="11"/>
        <v>-2552502</v>
      </c>
      <c r="J25" s="113">
        <f t="shared" si="11"/>
        <v>-3129137</v>
      </c>
      <c r="K25" s="113">
        <f t="shared" si="11"/>
        <v>-2045115</v>
      </c>
      <c r="L25" s="113">
        <f t="shared" si="11"/>
        <v>-3150867.7368170284</v>
      </c>
      <c r="M25" s="113">
        <f t="shared" si="11"/>
        <v>-3559319.5285416874</v>
      </c>
      <c r="N25" s="113">
        <f t="shared" si="11"/>
        <v>-7010159.5185636748</v>
      </c>
      <c r="O25" s="113">
        <f t="shared" si="11"/>
        <v>-6494858.7299860409</v>
      </c>
      <c r="P25" s="113"/>
    </row>
    <row r="26" spans="2:17">
      <c r="C26" s="114" t="s">
        <v>13</v>
      </c>
      <c r="D26" s="116">
        <v>-84660</v>
      </c>
      <c r="E26" s="116">
        <v>-34925</v>
      </c>
      <c r="F26" s="116">
        <v>-36399</v>
      </c>
      <c r="G26" s="116">
        <v>-25194</v>
      </c>
      <c r="H26" s="116">
        <v>-54010</v>
      </c>
      <c r="I26" s="116">
        <v>-25071</v>
      </c>
      <c r="J26" s="116">
        <v>-15708</v>
      </c>
      <c r="K26" s="116">
        <v>-29564</v>
      </c>
      <c r="L26" s="116">
        <v>-53350.320363603103</v>
      </c>
      <c r="M26" s="116">
        <v>-56479.916130589401</v>
      </c>
      <c r="N26" s="116">
        <v>-271153.056672687</v>
      </c>
      <c r="O26" s="116">
        <v>-399223.89661282598</v>
      </c>
      <c r="P26" s="116"/>
    </row>
    <row r="27" spans="2:17">
      <c r="C27" s="117" t="s">
        <v>52</v>
      </c>
      <c r="D27" s="119">
        <v>0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/>
    </row>
    <row r="28" spans="2:17">
      <c r="C28" s="117" t="s">
        <v>53</v>
      </c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19">
        <v>0</v>
      </c>
      <c r="O28" s="119">
        <v>0</v>
      </c>
      <c r="P28" s="119"/>
    </row>
    <row r="29" spans="2:17">
      <c r="C29" s="117" t="s">
        <v>8</v>
      </c>
      <c r="D29" s="119">
        <v>0</v>
      </c>
      <c r="E29" s="119">
        <v>0</v>
      </c>
      <c r="F29" s="119">
        <v>0</v>
      </c>
      <c r="G29" s="119">
        <v>0</v>
      </c>
      <c r="H29" s="119">
        <v>0</v>
      </c>
      <c r="I29" s="119">
        <v>0</v>
      </c>
      <c r="J29" s="119">
        <v>-73155</v>
      </c>
      <c r="K29" s="119">
        <v>-309215</v>
      </c>
      <c r="L29" s="119">
        <v>-804043.012892753</v>
      </c>
      <c r="M29" s="119">
        <v>-840049.79921149905</v>
      </c>
      <c r="N29" s="119">
        <v>-2482280.7101700599</v>
      </c>
      <c r="O29" s="119">
        <v>-2905700.1181608802</v>
      </c>
      <c r="P29" s="119"/>
    </row>
    <row r="30" spans="2:17">
      <c r="C30" s="117" t="s">
        <v>9</v>
      </c>
      <c r="D30" s="119">
        <v>-3442</v>
      </c>
      <c r="E30" s="119">
        <v>-411316</v>
      </c>
      <c r="F30" s="119">
        <v>-522454</v>
      </c>
      <c r="G30" s="119">
        <v>-709206</v>
      </c>
      <c r="H30" s="119">
        <v>-1105122</v>
      </c>
      <c r="I30" s="119">
        <v>-1144788</v>
      </c>
      <c r="J30" s="119">
        <v>-1321226</v>
      </c>
      <c r="K30" s="119">
        <v>-802611</v>
      </c>
      <c r="L30" s="119">
        <v>-955462.17630225001</v>
      </c>
      <c r="M30" s="119">
        <v>-1090250.08894486</v>
      </c>
      <c r="N30" s="119">
        <v>-2080627.0666813899</v>
      </c>
      <c r="O30" s="119">
        <v>-1296753.8522276301</v>
      </c>
      <c r="P30" s="119"/>
    </row>
    <row r="31" spans="2:17">
      <c r="C31" s="117" t="s">
        <v>10</v>
      </c>
      <c r="D31" s="119">
        <v>-1114874</v>
      </c>
      <c r="E31" s="119">
        <v>-888240</v>
      </c>
      <c r="F31" s="119">
        <v>-1067553</v>
      </c>
      <c r="G31" s="119">
        <v>-949556</v>
      </c>
      <c r="H31" s="119">
        <v>-1301495</v>
      </c>
      <c r="I31" s="119">
        <v>-724387</v>
      </c>
      <c r="J31" s="119">
        <v>-706870</v>
      </c>
      <c r="K31" s="119">
        <v>-653188</v>
      </c>
      <c r="L31" s="119">
        <v>-871576.75637146505</v>
      </c>
      <c r="M31" s="119">
        <v>-990068.89531308005</v>
      </c>
      <c r="N31" s="119">
        <v>-1737122.4204106899</v>
      </c>
      <c r="O31" s="119">
        <v>-1564212.05660536</v>
      </c>
      <c r="P31" s="119"/>
    </row>
    <row r="32" spans="2:17">
      <c r="C32" s="117" t="s">
        <v>11</v>
      </c>
      <c r="D32" s="119">
        <v>-999279</v>
      </c>
      <c r="E32" s="119">
        <v>-395373</v>
      </c>
      <c r="F32" s="119">
        <v>-224496</v>
      </c>
      <c r="G32" s="119">
        <v>-427060</v>
      </c>
      <c r="H32" s="119">
        <v>-914067</v>
      </c>
      <c r="I32" s="119">
        <v>-567502</v>
      </c>
      <c r="J32" s="119">
        <v>-851014</v>
      </c>
      <c r="K32" s="119">
        <v>-198383</v>
      </c>
      <c r="L32" s="119">
        <v>-410740.85847973399</v>
      </c>
      <c r="M32" s="119">
        <v>-519223.106757553</v>
      </c>
      <c r="N32" s="119">
        <v>-329478.02922197402</v>
      </c>
      <c r="O32" s="119">
        <v>-228707.318852753</v>
      </c>
      <c r="P32" s="119"/>
    </row>
    <row r="33" spans="3:16">
      <c r="C33" s="117" t="s">
        <v>12</v>
      </c>
      <c r="D33" s="119">
        <v>-333510</v>
      </c>
      <c r="E33" s="119">
        <v>-130002</v>
      </c>
      <c r="F33" s="119">
        <v>-155196</v>
      </c>
      <c r="G33" s="119">
        <v>-140091</v>
      </c>
      <c r="H33" s="119">
        <v>-185735</v>
      </c>
      <c r="I33" s="119">
        <v>-90754</v>
      </c>
      <c r="J33" s="119">
        <v>-161164</v>
      </c>
      <c r="K33" s="119">
        <v>-52154</v>
      </c>
      <c r="L33" s="119">
        <v>-55694.6124072233</v>
      </c>
      <c r="M33" s="119">
        <v>-63247.722184106402</v>
      </c>
      <c r="N33" s="119">
        <v>-109498.235406874</v>
      </c>
      <c r="O33" s="119">
        <v>-100261.487526592</v>
      </c>
      <c r="P33" s="119"/>
    </row>
    <row r="34" spans="3:16">
      <c r="C34" s="112" t="s">
        <v>63</v>
      </c>
      <c r="D34" s="113">
        <f t="shared" ref="D34:O34" si="12">SUM(D35:D42)</f>
        <v>22519935</v>
      </c>
      <c r="E34" s="113">
        <f t="shared" si="12"/>
        <v>32767797</v>
      </c>
      <c r="F34" s="113">
        <f t="shared" si="12"/>
        <v>34711093</v>
      </c>
      <c r="G34" s="113">
        <f t="shared" si="12"/>
        <v>32809480</v>
      </c>
      <c r="H34" s="113">
        <f t="shared" si="12"/>
        <v>29415771</v>
      </c>
      <c r="I34" s="113">
        <f t="shared" si="12"/>
        <v>26863269</v>
      </c>
      <c r="J34" s="113">
        <f t="shared" si="12"/>
        <v>29225664</v>
      </c>
      <c r="K34" s="113">
        <f t="shared" si="12"/>
        <v>33048052</v>
      </c>
      <c r="L34" s="113">
        <f t="shared" si="12"/>
        <v>30161558.263182972</v>
      </c>
      <c r="M34" s="113">
        <f t="shared" si="12"/>
        <v>29492978.734641287</v>
      </c>
      <c r="N34" s="113">
        <f t="shared" si="12"/>
        <v>22482819.216077611</v>
      </c>
      <c r="O34" s="113">
        <f t="shared" si="12"/>
        <v>15987960.486091567</v>
      </c>
      <c r="P34" s="113"/>
    </row>
    <row r="35" spans="3:16">
      <c r="C35" s="114" t="s">
        <v>13</v>
      </c>
      <c r="D35" s="116">
        <f t="shared" ref="D35:O35" si="13">D8+D17+D26</f>
        <v>948685</v>
      </c>
      <c r="E35" s="116">
        <f t="shared" si="13"/>
        <v>913760</v>
      </c>
      <c r="F35" s="116">
        <f t="shared" si="13"/>
        <v>877361</v>
      </c>
      <c r="G35" s="116">
        <f t="shared" si="13"/>
        <v>852167</v>
      </c>
      <c r="H35" s="116">
        <f t="shared" si="13"/>
        <v>964877</v>
      </c>
      <c r="I35" s="116">
        <f t="shared" si="13"/>
        <v>939806</v>
      </c>
      <c r="J35" s="116">
        <f t="shared" si="13"/>
        <v>924098</v>
      </c>
      <c r="K35" s="116">
        <f t="shared" si="13"/>
        <v>1209354</v>
      </c>
      <c r="L35" s="116">
        <f t="shared" si="13"/>
        <v>1156003.6796363969</v>
      </c>
      <c r="M35" s="116">
        <f t="shared" si="13"/>
        <v>2320822.7635058076</v>
      </c>
      <c r="N35" s="116">
        <f t="shared" si="13"/>
        <v>2049669.7068331207</v>
      </c>
      <c r="O35" s="116">
        <f t="shared" si="13"/>
        <v>1650445.8102202946</v>
      </c>
      <c r="P35" s="116"/>
    </row>
    <row r="36" spans="3:16">
      <c r="C36" s="117" t="s">
        <v>52</v>
      </c>
      <c r="D36" s="119">
        <f t="shared" ref="D36:O36" si="14">D9+D18+D27</f>
        <v>0</v>
      </c>
      <c r="E36" s="119">
        <f t="shared" si="14"/>
        <v>0</v>
      </c>
      <c r="F36" s="119">
        <f t="shared" si="14"/>
        <v>0</v>
      </c>
      <c r="G36" s="119">
        <f t="shared" si="14"/>
        <v>0</v>
      </c>
      <c r="H36" s="119">
        <f t="shared" si="14"/>
        <v>0</v>
      </c>
      <c r="I36" s="119">
        <f t="shared" si="14"/>
        <v>0</v>
      </c>
      <c r="J36" s="119">
        <f t="shared" si="14"/>
        <v>0</v>
      </c>
      <c r="K36" s="119">
        <f t="shared" si="14"/>
        <v>0</v>
      </c>
      <c r="L36" s="119">
        <f t="shared" si="14"/>
        <v>0</v>
      </c>
      <c r="M36" s="119">
        <f t="shared" si="14"/>
        <v>0</v>
      </c>
      <c r="N36" s="119">
        <f t="shared" si="14"/>
        <v>0</v>
      </c>
      <c r="O36" s="119">
        <f t="shared" si="14"/>
        <v>0</v>
      </c>
      <c r="P36" s="119"/>
    </row>
    <row r="37" spans="3:16">
      <c r="C37" s="117" t="s">
        <v>53</v>
      </c>
      <c r="D37" s="119">
        <f t="shared" ref="D37:O37" si="15">D10+D19+D28</f>
        <v>0</v>
      </c>
      <c r="E37" s="119">
        <f t="shared" si="15"/>
        <v>0</v>
      </c>
      <c r="F37" s="119">
        <f t="shared" si="15"/>
        <v>0</v>
      </c>
      <c r="G37" s="119">
        <f t="shared" si="15"/>
        <v>0</v>
      </c>
      <c r="H37" s="119">
        <f t="shared" si="15"/>
        <v>0</v>
      </c>
      <c r="I37" s="119">
        <f t="shared" si="15"/>
        <v>0</v>
      </c>
      <c r="J37" s="119">
        <f t="shared" si="15"/>
        <v>0</v>
      </c>
      <c r="K37" s="119">
        <f t="shared" si="15"/>
        <v>0</v>
      </c>
      <c r="L37" s="119">
        <f t="shared" si="15"/>
        <v>0</v>
      </c>
      <c r="M37" s="119">
        <f t="shared" si="15"/>
        <v>0</v>
      </c>
      <c r="N37" s="119">
        <f t="shared" si="15"/>
        <v>0</v>
      </c>
      <c r="O37" s="119">
        <f t="shared" si="15"/>
        <v>0</v>
      </c>
      <c r="P37" s="119"/>
    </row>
    <row r="38" spans="3:16">
      <c r="C38" s="117" t="s">
        <v>8</v>
      </c>
      <c r="D38" s="119">
        <f t="shared" ref="D38:O38" si="16">D11+D20+D29</f>
        <v>0</v>
      </c>
      <c r="E38" s="119">
        <f t="shared" si="16"/>
        <v>0</v>
      </c>
      <c r="F38" s="119">
        <f t="shared" si="16"/>
        <v>0</v>
      </c>
      <c r="G38" s="119">
        <f t="shared" si="16"/>
        <v>0</v>
      </c>
      <c r="H38" s="119">
        <f t="shared" si="16"/>
        <v>0</v>
      </c>
      <c r="I38" s="119">
        <f t="shared" si="16"/>
        <v>0</v>
      </c>
      <c r="J38" s="119">
        <f t="shared" si="16"/>
        <v>5418377</v>
      </c>
      <c r="K38" s="119">
        <f t="shared" si="16"/>
        <v>10661845</v>
      </c>
      <c r="L38" s="119">
        <f t="shared" si="16"/>
        <v>10122175.987107247</v>
      </c>
      <c r="M38" s="119">
        <f t="shared" si="16"/>
        <v>10951567.187895749</v>
      </c>
      <c r="N38" s="119">
        <f t="shared" si="16"/>
        <v>8469286.4777256884</v>
      </c>
      <c r="O38" s="119">
        <f t="shared" si="16"/>
        <v>5563586.3595648082</v>
      </c>
      <c r="P38" s="119"/>
    </row>
    <row r="39" spans="3:16">
      <c r="C39" s="117" t="s">
        <v>9</v>
      </c>
      <c r="D39" s="119">
        <f t="shared" ref="D39:O39" si="17">D12+D21+D30</f>
        <v>1104533</v>
      </c>
      <c r="E39" s="119">
        <f t="shared" si="17"/>
        <v>9653689</v>
      </c>
      <c r="F39" s="119">
        <f t="shared" si="17"/>
        <v>13080629</v>
      </c>
      <c r="G39" s="119">
        <f t="shared" si="17"/>
        <v>12720917</v>
      </c>
      <c r="H39" s="119">
        <f t="shared" si="17"/>
        <v>11615795</v>
      </c>
      <c r="I39" s="119">
        <f t="shared" si="17"/>
        <v>10471007</v>
      </c>
      <c r="J39" s="119">
        <f t="shared" si="17"/>
        <v>9149781</v>
      </c>
      <c r="K39" s="119">
        <f t="shared" si="17"/>
        <v>8347170</v>
      </c>
      <c r="L39" s="119">
        <f t="shared" si="17"/>
        <v>7391707.8236977495</v>
      </c>
      <c r="M39" s="119">
        <f t="shared" si="17"/>
        <v>6301457.7347528897</v>
      </c>
      <c r="N39" s="119">
        <f t="shared" si="17"/>
        <v>4220830.6680715</v>
      </c>
      <c r="O39" s="119">
        <f t="shared" si="17"/>
        <v>2924076.8158438699</v>
      </c>
      <c r="P39" s="119"/>
    </row>
    <row r="40" spans="3:16">
      <c r="C40" s="117" t="s">
        <v>10</v>
      </c>
      <c r="D40" s="119">
        <f t="shared" ref="D40:O40" si="18">D13+D22+D31</f>
        <v>13295303</v>
      </c>
      <c r="E40" s="119">
        <f t="shared" si="18"/>
        <v>15554309</v>
      </c>
      <c r="F40" s="119">
        <f t="shared" si="18"/>
        <v>14486756</v>
      </c>
      <c r="G40" s="119">
        <f t="shared" si="18"/>
        <v>13537200</v>
      </c>
      <c r="H40" s="119">
        <f t="shared" si="18"/>
        <v>12235705</v>
      </c>
      <c r="I40" s="119">
        <f t="shared" si="18"/>
        <v>11511318</v>
      </c>
      <c r="J40" s="119">
        <f t="shared" si="18"/>
        <v>10804448</v>
      </c>
      <c r="K40" s="119">
        <f t="shared" si="18"/>
        <v>10151260</v>
      </c>
      <c r="L40" s="119">
        <f t="shared" si="18"/>
        <v>9279683.2436285354</v>
      </c>
      <c r="M40" s="119">
        <f t="shared" si="18"/>
        <v>8289614.348315455</v>
      </c>
      <c r="N40" s="119">
        <f t="shared" si="18"/>
        <v>6552491.9279047651</v>
      </c>
      <c r="O40" s="119">
        <f t="shared" si="18"/>
        <v>4988279.8712994047</v>
      </c>
      <c r="P40" s="119"/>
    </row>
    <row r="41" spans="3:16">
      <c r="C41" s="117" t="s">
        <v>11</v>
      </c>
      <c r="D41" s="119">
        <f t="shared" ref="D41:O41" si="19">D14+D23+D32</f>
        <v>5847949</v>
      </c>
      <c r="E41" s="119">
        <f t="shared" si="19"/>
        <v>5452576</v>
      </c>
      <c r="F41" s="119">
        <f t="shared" si="19"/>
        <v>5228080</v>
      </c>
      <c r="G41" s="119">
        <f t="shared" si="19"/>
        <v>4801020</v>
      </c>
      <c r="H41" s="119">
        <f t="shared" si="19"/>
        <v>3886953</v>
      </c>
      <c r="I41" s="119">
        <f t="shared" si="19"/>
        <v>3319451</v>
      </c>
      <c r="J41" s="119">
        <f t="shared" si="19"/>
        <v>2468437</v>
      </c>
      <c r="K41" s="119">
        <f t="shared" si="19"/>
        <v>2270054</v>
      </c>
      <c r="L41" s="119">
        <f t="shared" si="19"/>
        <v>1859313.141520266</v>
      </c>
      <c r="M41" s="119">
        <f t="shared" si="19"/>
        <v>1340090.0347627129</v>
      </c>
      <c r="N41" s="119">
        <f t="shared" si="19"/>
        <v>1010612.0055407388</v>
      </c>
      <c r="O41" s="119">
        <f t="shared" si="19"/>
        <v>781904.68668798578</v>
      </c>
      <c r="P41" s="119"/>
    </row>
    <row r="42" spans="3:16">
      <c r="C42" s="121" t="s">
        <v>12</v>
      </c>
      <c r="D42" s="122">
        <f t="shared" ref="D42:O42" si="20">D15+D24+D33</f>
        <v>1323465</v>
      </c>
      <c r="E42" s="122">
        <f t="shared" si="20"/>
        <v>1193463</v>
      </c>
      <c r="F42" s="122">
        <f t="shared" si="20"/>
        <v>1038267</v>
      </c>
      <c r="G42" s="122">
        <f t="shared" si="20"/>
        <v>898176</v>
      </c>
      <c r="H42" s="122">
        <f t="shared" si="20"/>
        <v>712441</v>
      </c>
      <c r="I42" s="122">
        <f t="shared" si="20"/>
        <v>621687</v>
      </c>
      <c r="J42" s="122">
        <f t="shared" si="20"/>
        <v>460523</v>
      </c>
      <c r="K42" s="122">
        <f t="shared" si="20"/>
        <v>408369</v>
      </c>
      <c r="L42" s="122">
        <f t="shared" si="20"/>
        <v>352674.38759277668</v>
      </c>
      <c r="M42" s="122">
        <f t="shared" si="20"/>
        <v>289426.66540867026</v>
      </c>
      <c r="N42" s="122">
        <f t="shared" si="20"/>
        <v>179928.43000179628</v>
      </c>
      <c r="O42" s="122">
        <f t="shared" si="20"/>
        <v>79666.942475204283</v>
      </c>
      <c r="P42" s="122"/>
    </row>
    <row r="43" spans="3:16" ht="16.5">
      <c r="E43" s="123"/>
    </row>
    <row r="44" spans="3:16" ht="16.5">
      <c r="C44" s="123"/>
      <c r="E44" s="123"/>
    </row>
    <row r="45" spans="3:16" ht="16.5">
      <c r="C45" s="123"/>
      <c r="E45" s="123"/>
    </row>
    <row r="46" spans="3:16" ht="16.5">
      <c r="C46" s="123"/>
      <c r="E46" s="123"/>
    </row>
    <row r="47" spans="3:16" ht="16.5">
      <c r="C47" s="123"/>
      <c r="E47" s="123"/>
    </row>
    <row r="48" spans="3:16" ht="16.5">
      <c r="C48" s="123"/>
      <c r="E48" s="123"/>
    </row>
    <row r="49" spans="3:5" ht="16.5">
      <c r="C49" s="123"/>
      <c r="E49" s="123"/>
    </row>
    <row r="50" spans="3:5" ht="16.5">
      <c r="C50" s="123"/>
      <c r="E50" s="123"/>
    </row>
    <row r="51" spans="3:5" ht="16.5">
      <c r="C51" s="123"/>
      <c r="E51" s="123"/>
    </row>
    <row r="52" spans="3:5" ht="16.5">
      <c r="C52" s="123"/>
      <c r="E52" s="123"/>
    </row>
    <row r="53" spans="3:5" ht="16.5">
      <c r="C53" s="123"/>
      <c r="E53" s="123"/>
    </row>
    <row r="54" spans="3:5" ht="16.5">
      <c r="C54" s="123"/>
      <c r="E54" s="123"/>
    </row>
    <row r="55" spans="3:5" ht="16.5">
      <c r="C55" s="123"/>
      <c r="E55" s="123"/>
    </row>
    <row r="56" spans="3:5" ht="16.5">
      <c r="C56" s="123"/>
      <c r="E56" s="123"/>
    </row>
    <row r="57" spans="3:5" ht="16.5">
      <c r="C57" s="123"/>
      <c r="E57" s="123"/>
    </row>
    <row r="58" spans="3:5" ht="16.5">
      <c r="C58" s="123"/>
      <c r="E58" s="123"/>
    </row>
    <row r="59" spans="3:5" ht="16.5">
      <c r="C59" s="123"/>
      <c r="E59" s="123"/>
    </row>
    <row r="60" spans="3:5" ht="16.5">
      <c r="C60" s="123"/>
      <c r="E60" s="123"/>
    </row>
    <row r="61" spans="3:5" ht="16.5">
      <c r="C61" s="123"/>
      <c r="E61" s="123"/>
    </row>
    <row r="62" spans="3:5" ht="16.5">
      <c r="C62" s="123"/>
      <c r="E62" s="123"/>
    </row>
    <row r="63" spans="3:5" ht="16.5">
      <c r="C63" s="123"/>
      <c r="E63" s="123"/>
    </row>
    <row r="64" spans="3:5" ht="16.5">
      <c r="C64" s="123"/>
      <c r="E64" s="123"/>
    </row>
    <row r="65" spans="3:5" ht="16.5">
      <c r="C65" s="123"/>
      <c r="E65" s="123"/>
    </row>
    <row r="66" spans="3:5" ht="16.5">
      <c r="C66" s="123"/>
      <c r="E66" s="123"/>
    </row>
    <row r="67" spans="3:5" ht="16.5">
      <c r="C67" s="123"/>
      <c r="E67" s="123"/>
    </row>
    <row r="68" spans="3:5" ht="16.5">
      <c r="C68" s="123"/>
      <c r="E68" s="123"/>
    </row>
    <row r="69" spans="3:5" ht="16.5">
      <c r="C69" s="123"/>
      <c r="E69" s="123"/>
    </row>
    <row r="70" spans="3:5" ht="16.5">
      <c r="C70" s="123"/>
      <c r="E70" s="123"/>
    </row>
    <row r="71" spans="3:5" ht="16.5">
      <c r="C71" s="123"/>
      <c r="E71" s="123"/>
    </row>
    <row r="72" spans="3:5" ht="16.5">
      <c r="C72" s="123"/>
      <c r="E72" s="123"/>
    </row>
    <row r="73" spans="3:5" ht="16.5">
      <c r="C73" s="123"/>
      <c r="E73" s="123"/>
    </row>
    <row r="74" spans="3:5" ht="16.5">
      <c r="C74" s="123"/>
      <c r="E74" s="123"/>
    </row>
    <row r="75" spans="3:5" ht="16.5">
      <c r="C75" s="123"/>
      <c r="E75" s="123"/>
    </row>
    <row r="76" spans="3:5" ht="16.5">
      <c r="C76" s="123"/>
      <c r="E76" s="123"/>
    </row>
    <row r="77" spans="3:5" ht="16.5">
      <c r="C77" s="123"/>
      <c r="E77" s="123"/>
    </row>
    <row r="78" spans="3:5" ht="16.5">
      <c r="C78" s="123"/>
      <c r="E78" s="123"/>
    </row>
    <row r="79" spans="3:5" ht="16.5">
      <c r="C79" s="123"/>
      <c r="E79" s="123"/>
    </row>
    <row r="80" spans="3:5" ht="16.5">
      <c r="C80" s="123"/>
      <c r="E80" s="123"/>
    </row>
    <row r="81" spans="3:5" ht="16.5">
      <c r="C81" s="123"/>
      <c r="E81" s="123"/>
    </row>
    <row r="82" spans="3:5" ht="16.5">
      <c r="C82" s="123"/>
      <c r="E82" s="123"/>
    </row>
    <row r="83" spans="3:5" ht="16.5">
      <c r="C83" s="123"/>
      <c r="E83" s="123"/>
    </row>
    <row r="84" spans="3:5" ht="16.5">
      <c r="C84" s="123"/>
      <c r="E84" s="123"/>
    </row>
    <row r="85" spans="3:5" ht="16.5">
      <c r="C85" s="123"/>
      <c r="E85" s="123"/>
    </row>
    <row r="86" spans="3:5" ht="16.5">
      <c r="C86" s="123"/>
      <c r="E86" s="123"/>
    </row>
    <row r="87" spans="3:5" ht="16.5">
      <c r="C87" s="123"/>
      <c r="E87" s="123"/>
    </row>
    <row r="88" spans="3:5" ht="16.5">
      <c r="C88" s="123"/>
      <c r="E88" s="123"/>
    </row>
    <row r="89" spans="3:5" ht="16.5">
      <c r="C89" s="123"/>
      <c r="E89" s="123"/>
    </row>
    <row r="90" spans="3:5" ht="16.5">
      <c r="C90" s="123"/>
      <c r="E90" s="123"/>
    </row>
    <row r="91" spans="3:5" ht="16.5">
      <c r="C91" s="123"/>
      <c r="E91" s="123"/>
    </row>
    <row r="92" spans="3:5" ht="16.5">
      <c r="C92" s="123"/>
      <c r="E92" s="123"/>
    </row>
    <row r="93" spans="3:5" ht="16.5">
      <c r="C93" s="123"/>
      <c r="E93" s="123"/>
    </row>
    <row r="94" spans="3:5" ht="16.5">
      <c r="C94" s="123"/>
      <c r="E94" s="123"/>
    </row>
    <row r="95" spans="3:5" ht="16.5">
      <c r="C95" s="123"/>
      <c r="E95" s="123"/>
    </row>
    <row r="96" spans="3:5" ht="16.5">
      <c r="C96" s="123"/>
      <c r="E96" s="123"/>
    </row>
    <row r="97" spans="3:5" ht="16.5">
      <c r="C97" s="123"/>
      <c r="E97" s="123"/>
    </row>
    <row r="98" spans="3:5" ht="16.5">
      <c r="C98" s="123"/>
      <c r="E98" s="123"/>
    </row>
    <row r="99" spans="3:5" ht="16.5">
      <c r="C99" s="123"/>
      <c r="E99" s="123"/>
    </row>
    <row r="100" spans="3:5" ht="16.5">
      <c r="C100" s="123"/>
      <c r="E100" s="123"/>
    </row>
    <row r="101" spans="3:5" ht="16.5">
      <c r="C101" s="123"/>
      <c r="E101" s="123"/>
    </row>
    <row r="102" spans="3:5" ht="16.5">
      <c r="C102" s="123"/>
      <c r="E102" s="123"/>
    </row>
    <row r="103" spans="3:5" ht="16.5">
      <c r="C103" s="123"/>
      <c r="E103" s="123"/>
    </row>
    <row r="104" spans="3:5" ht="16.5">
      <c r="C104" s="123"/>
      <c r="E104" s="123"/>
    </row>
    <row r="105" spans="3:5" ht="16.5">
      <c r="C105" s="123"/>
      <c r="E105" s="123"/>
    </row>
    <row r="106" spans="3:5" ht="16.5">
      <c r="C106" s="123"/>
      <c r="E106" s="123"/>
    </row>
    <row r="107" spans="3:5" ht="16.5">
      <c r="C107" s="123"/>
      <c r="E107" s="123"/>
    </row>
    <row r="108" spans="3:5" ht="16.5">
      <c r="C108" s="123"/>
      <c r="E108" s="123"/>
    </row>
    <row r="109" spans="3:5" ht="16.5">
      <c r="C109" s="123"/>
      <c r="E109" s="123"/>
    </row>
    <row r="110" spans="3:5" ht="16.5">
      <c r="C110" s="123"/>
      <c r="E110" s="123"/>
    </row>
    <row r="111" spans="3:5" ht="16.5">
      <c r="C111" s="123"/>
      <c r="E111" s="123"/>
    </row>
    <row r="112" spans="3:5" ht="16.5">
      <c r="C112" s="123"/>
      <c r="E112" s="123"/>
    </row>
    <row r="113" spans="3:5" ht="16.5">
      <c r="C113" s="123"/>
      <c r="E113" s="123"/>
    </row>
    <row r="114" spans="3:5" ht="16.5">
      <c r="C114" s="123"/>
      <c r="E114" s="123"/>
    </row>
    <row r="115" spans="3:5" ht="16.5">
      <c r="C115" s="123"/>
      <c r="E115" s="123"/>
    </row>
    <row r="116" spans="3:5" ht="16.5">
      <c r="C116" s="123"/>
      <c r="E116" s="123"/>
    </row>
    <row r="117" spans="3:5" ht="16.5">
      <c r="C117" s="123"/>
      <c r="E117" s="123"/>
    </row>
    <row r="118" spans="3:5" ht="16.5">
      <c r="C118" s="123"/>
      <c r="E118" s="123"/>
    </row>
    <row r="119" spans="3:5" ht="16.5">
      <c r="C119" s="123"/>
      <c r="E119" s="123"/>
    </row>
    <row r="120" spans="3:5" ht="16.5">
      <c r="C120" s="123"/>
      <c r="E120" s="123"/>
    </row>
    <row r="121" spans="3:5" ht="16.5">
      <c r="C121" s="123"/>
      <c r="E121" s="123"/>
    </row>
    <row r="122" spans="3:5" ht="16.5">
      <c r="C122" s="123"/>
      <c r="E122" s="123"/>
    </row>
    <row r="123" spans="3:5" ht="16.5">
      <c r="C123" s="123"/>
      <c r="E123" s="123"/>
    </row>
    <row r="124" spans="3:5" ht="16.5">
      <c r="C124" s="123"/>
      <c r="E124" s="123"/>
    </row>
    <row r="125" spans="3:5" ht="16.5">
      <c r="C125" s="123"/>
      <c r="E125" s="123"/>
    </row>
    <row r="126" spans="3:5" ht="16.5">
      <c r="C126" s="123"/>
      <c r="E126" s="123"/>
    </row>
    <row r="127" spans="3:5" ht="16.5">
      <c r="C127" s="123"/>
      <c r="E127" s="123"/>
    </row>
    <row r="128" spans="3:5" ht="16.5">
      <c r="C128" s="123"/>
      <c r="E128" s="123"/>
    </row>
    <row r="129" spans="3:5" ht="16.5">
      <c r="C129" s="123"/>
      <c r="E129" s="123"/>
    </row>
    <row r="130" spans="3:5" ht="16.5">
      <c r="C130" s="123"/>
      <c r="E130" s="123"/>
    </row>
    <row r="131" spans="3:5" ht="16.5">
      <c r="C131" s="123"/>
      <c r="E131" s="123"/>
    </row>
    <row r="132" spans="3:5" ht="16.5">
      <c r="C132" s="123"/>
      <c r="E132" s="123"/>
    </row>
    <row r="133" spans="3:5" ht="16.5">
      <c r="C133" s="123"/>
      <c r="E133" s="123"/>
    </row>
    <row r="134" spans="3:5" ht="16.5">
      <c r="C134" s="123"/>
      <c r="E134" s="123"/>
    </row>
    <row r="135" spans="3:5" ht="16.5">
      <c r="C135" s="123"/>
      <c r="E135" s="123"/>
    </row>
    <row r="136" spans="3:5" ht="16.5">
      <c r="C136" s="123"/>
      <c r="E136" s="123"/>
    </row>
    <row r="137" spans="3:5" ht="16.5">
      <c r="C137" s="123"/>
      <c r="E137" s="123"/>
    </row>
    <row r="138" spans="3:5" ht="16.5">
      <c r="C138" s="123"/>
      <c r="E138" s="123"/>
    </row>
    <row r="139" spans="3:5" ht="16.5">
      <c r="C139" s="123"/>
      <c r="E139" s="123"/>
    </row>
    <row r="140" spans="3:5" ht="16.5">
      <c r="C140" s="123"/>
      <c r="E140" s="123"/>
    </row>
    <row r="141" spans="3:5" ht="16.5">
      <c r="C141" s="123"/>
      <c r="E141" s="123"/>
    </row>
    <row r="142" spans="3:5" ht="16.5">
      <c r="C142" s="123"/>
      <c r="E142" s="123"/>
    </row>
    <row r="143" spans="3:5" ht="16.5">
      <c r="C143" s="123"/>
      <c r="E143" s="123"/>
    </row>
    <row r="144" spans="3:5" ht="16.5">
      <c r="C144" s="123"/>
      <c r="E144" s="123"/>
    </row>
    <row r="145" spans="3:5" ht="16.5">
      <c r="C145" s="123"/>
      <c r="E145" s="123"/>
    </row>
    <row r="146" spans="3:5" ht="16.5">
      <c r="C146" s="123"/>
      <c r="E146" s="123"/>
    </row>
    <row r="147" spans="3:5" ht="16.5">
      <c r="C147" s="123"/>
      <c r="E147" s="123"/>
    </row>
    <row r="148" spans="3:5" ht="16.5">
      <c r="C148" s="123"/>
      <c r="E148" s="123"/>
    </row>
    <row r="149" spans="3:5" ht="16.5">
      <c r="C149" s="123"/>
      <c r="E149" s="123"/>
    </row>
    <row r="150" spans="3:5" ht="16.5">
      <c r="C150" s="123"/>
      <c r="E150" s="123"/>
    </row>
    <row r="151" spans="3:5" ht="16.5">
      <c r="C151" s="123"/>
      <c r="E151" s="123"/>
    </row>
    <row r="152" spans="3:5" ht="16.5">
      <c r="C152" s="123"/>
      <c r="E152" s="123"/>
    </row>
    <row r="153" spans="3:5" ht="16.5">
      <c r="C153" s="123"/>
      <c r="E153" s="123"/>
    </row>
    <row r="154" spans="3:5" ht="16.5">
      <c r="C154" s="123"/>
      <c r="E154" s="123"/>
    </row>
    <row r="155" spans="3:5" ht="16.5">
      <c r="C155" s="123"/>
      <c r="E155" s="123"/>
    </row>
    <row r="156" spans="3:5" ht="16.5">
      <c r="C156" s="123"/>
      <c r="E156" s="123"/>
    </row>
    <row r="157" spans="3:5" ht="16.5">
      <c r="C157" s="123"/>
      <c r="E157" s="123"/>
    </row>
    <row r="158" spans="3:5" ht="16.5">
      <c r="C158" s="123"/>
      <c r="E158" s="123"/>
    </row>
    <row r="159" spans="3:5" ht="16.5">
      <c r="C159" s="123"/>
      <c r="E159" s="123"/>
    </row>
    <row r="160" spans="3:5" ht="16.5">
      <c r="C160" s="123"/>
      <c r="E160" s="123"/>
    </row>
    <row r="161" spans="3:5" ht="16.5">
      <c r="C161" s="123"/>
      <c r="E161" s="123"/>
    </row>
    <row r="162" spans="3:5" ht="16.5">
      <c r="C162" s="123"/>
      <c r="E162" s="123"/>
    </row>
    <row r="163" spans="3:5" ht="16.5">
      <c r="C163" s="123"/>
      <c r="E163" s="123"/>
    </row>
    <row r="164" spans="3:5" ht="16.5">
      <c r="C164" s="123"/>
      <c r="E164" s="123"/>
    </row>
    <row r="165" spans="3:5" ht="16.5">
      <c r="C165" s="123"/>
      <c r="E165" s="123"/>
    </row>
    <row r="166" spans="3:5" ht="16.5">
      <c r="C166" s="123"/>
      <c r="E166" s="123"/>
    </row>
    <row r="167" spans="3:5" ht="16.5">
      <c r="C167" s="123"/>
      <c r="E167" s="123"/>
    </row>
    <row r="168" spans="3:5" ht="16.5">
      <c r="C168" s="123"/>
      <c r="E168" s="123"/>
    </row>
    <row r="169" spans="3:5" ht="16.5">
      <c r="C169" s="123"/>
      <c r="E169" s="123"/>
    </row>
    <row r="170" spans="3:5" ht="16.5">
      <c r="C170" s="123"/>
      <c r="E170" s="123"/>
    </row>
    <row r="171" spans="3:5" ht="16.5">
      <c r="C171" s="123"/>
      <c r="E171" s="123"/>
    </row>
    <row r="172" spans="3:5" ht="16.5">
      <c r="C172" s="123"/>
      <c r="E172" s="123"/>
    </row>
    <row r="173" spans="3:5" ht="16.5">
      <c r="C173" s="123"/>
      <c r="E173" s="123"/>
    </row>
    <row r="174" spans="3:5" ht="16.5">
      <c r="C174" s="123"/>
      <c r="E174" s="123"/>
    </row>
    <row r="175" spans="3:5" ht="16.5">
      <c r="C175" s="123"/>
      <c r="E175" s="123"/>
    </row>
    <row r="176" spans="3:5" ht="16.5">
      <c r="C176" s="123"/>
      <c r="E176" s="123"/>
    </row>
    <row r="177" spans="3:5" ht="16.5">
      <c r="C177" s="123"/>
      <c r="E177" s="123"/>
    </row>
    <row r="178" spans="3:5" ht="16.5">
      <c r="C178" s="123"/>
      <c r="E178" s="123"/>
    </row>
    <row r="179" spans="3:5" ht="16.5">
      <c r="C179" s="123"/>
      <c r="E179" s="123"/>
    </row>
    <row r="180" spans="3:5" ht="16.5">
      <c r="C180" s="123"/>
      <c r="E180" s="123"/>
    </row>
    <row r="181" spans="3:5" ht="16.5">
      <c r="C181" s="123"/>
      <c r="E181" s="123"/>
    </row>
    <row r="182" spans="3:5" ht="16.5">
      <c r="C182" s="123"/>
      <c r="E182" s="123"/>
    </row>
    <row r="183" spans="3:5" ht="16.5">
      <c r="C183" s="123"/>
      <c r="E183" s="123"/>
    </row>
    <row r="184" spans="3:5" ht="16.5">
      <c r="C184" s="123"/>
      <c r="E184" s="123"/>
    </row>
    <row r="185" spans="3:5" ht="16.5">
      <c r="C185" s="123"/>
      <c r="E185" s="123"/>
    </row>
    <row r="186" spans="3:5" ht="16.5">
      <c r="C186" s="123"/>
      <c r="E186" s="123"/>
    </row>
    <row r="187" spans="3:5" ht="16.5">
      <c r="C187" s="123"/>
      <c r="E187" s="123"/>
    </row>
    <row r="188" spans="3:5" ht="16.5">
      <c r="C188" s="123"/>
      <c r="E188" s="123"/>
    </row>
    <row r="189" spans="3:5" ht="16.5">
      <c r="C189" s="123"/>
      <c r="E189" s="123"/>
    </row>
    <row r="190" spans="3:5" ht="16.5">
      <c r="C190" s="123"/>
      <c r="E190" s="123"/>
    </row>
    <row r="191" spans="3:5" ht="16.5">
      <c r="C191" s="123"/>
      <c r="E191" s="123"/>
    </row>
    <row r="192" spans="3:5" ht="16.5">
      <c r="C192" s="123"/>
      <c r="E192" s="123"/>
    </row>
    <row r="193" spans="3:5" ht="16.5">
      <c r="C193" s="123"/>
      <c r="E193" s="123"/>
    </row>
    <row r="194" spans="3:5" ht="16.5">
      <c r="C194" s="123"/>
      <c r="E194" s="123"/>
    </row>
    <row r="195" spans="3:5" ht="16.5">
      <c r="C195" s="123"/>
      <c r="E195" s="123"/>
    </row>
    <row r="196" spans="3:5" ht="16.5">
      <c r="C196" s="123"/>
      <c r="E196" s="123"/>
    </row>
    <row r="197" spans="3:5" ht="16.5">
      <c r="C197" s="123"/>
      <c r="E197" s="123"/>
    </row>
    <row r="198" spans="3:5" ht="16.5">
      <c r="C198" s="123"/>
      <c r="E198" s="123"/>
    </row>
    <row r="199" spans="3:5" ht="16.5">
      <c r="C199" s="123"/>
      <c r="E199" s="123"/>
    </row>
    <row r="200" spans="3:5" ht="16.5">
      <c r="C200" s="123"/>
      <c r="E200" s="123"/>
    </row>
    <row r="201" spans="3:5" ht="16.5">
      <c r="C201" s="123"/>
      <c r="E201" s="123"/>
    </row>
    <row r="202" spans="3:5" ht="16.5">
      <c r="C202" s="123"/>
      <c r="E202" s="123"/>
    </row>
    <row r="203" spans="3:5" ht="16.5">
      <c r="C203" s="123"/>
      <c r="E203" s="123"/>
    </row>
    <row r="204" spans="3:5" ht="16.5">
      <c r="C204" s="123"/>
      <c r="E204" s="123"/>
    </row>
    <row r="205" spans="3:5" ht="16.5">
      <c r="C205" s="123"/>
      <c r="E205" s="123"/>
    </row>
    <row r="206" spans="3:5" ht="16.5">
      <c r="C206" s="123"/>
      <c r="E206" s="123"/>
    </row>
    <row r="207" spans="3:5" ht="16.5">
      <c r="C207" s="123"/>
      <c r="E207" s="123"/>
    </row>
    <row r="208" spans="3:5" ht="16.5">
      <c r="C208" s="123"/>
      <c r="E208" s="123"/>
    </row>
    <row r="209" spans="3:5" ht="16.5">
      <c r="C209" s="123"/>
      <c r="E209" s="123"/>
    </row>
    <row r="210" spans="3:5" ht="16.5">
      <c r="C210" s="123"/>
      <c r="E210" s="123"/>
    </row>
    <row r="211" spans="3:5" ht="16.5">
      <c r="C211" s="123"/>
      <c r="E211" s="123"/>
    </row>
    <row r="212" spans="3:5" ht="16.5">
      <c r="C212" s="123"/>
      <c r="E212" s="123"/>
    </row>
    <row r="213" spans="3:5" ht="16.5">
      <c r="C213" s="123"/>
      <c r="E213" s="123"/>
    </row>
    <row r="214" spans="3:5" ht="16.5">
      <c r="C214" s="123"/>
      <c r="E214" s="123"/>
    </row>
    <row r="215" spans="3:5" ht="16.5">
      <c r="C215" s="123"/>
      <c r="E215" s="123"/>
    </row>
    <row r="216" spans="3:5" ht="16.5">
      <c r="C216" s="123"/>
      <c r="E216" s="123"/>
    </row>
    <row r="217" spans="3:5" ht="16.5">
      <c r="C217" s="123"/>
      <c r="E217" s="123"/>
    </row>
    <row r="218" spans="3:5" ht="16.5">
      <c r="C218" s="123"/>
      <c r="E218" s="123"/>
    </row>
    <row r="219" spans="3:5" ht="16.5">
      <c r="C219" s="123"/>
      <c r="E219" s="123"/>
    </row>
    <row r="220" spans="3:5" ht="16.5">
      <c r="C220" s="123"/>
      <c r="E220" s="123"/>
    </row>
    <row r="221" spans="3:5" ht="16.5">
      <c r="C221" s="123"/>
      <c r="E221" s="123"/>
    </row>
    <row r="222" spans="3:5" ht="16.5">
      <c r="C222" s="123"/>
      <c r="E222" s="123"/>
    </row>
    <row r="223" spans="3:5" ht="16.5">
      <c r="C223" s="123"/>
      <c r="E223" s="123"/>
    </row>
    <row r="224" spans="3:5" ht="16.5">
      <c r="C224" s="123"/>
      <c r="E224" s="123"/>
    </row>
    <row r="225" spans="3:5" ht="16.5">
      <c r="C225" s="123"/>
      <c r="E225" s="123"/>
    </row>
    <row r="226" spans="3:5" ht="16.5">
      <c r="C226" s="123"/>
      <c r="E226" s="123"/>
    </row>
    <row r="227" spans="3:5" ht="16.5">
      <c r="C227" s="123"/>
      <c r="E227" s="123"/>
    </row>
    <row r="228" spans="3:5" ht="16.5">
      <c r="C228" s="123"/>
      <c r="E228" s="123"/>
    </row>
    <row r="229" spans="3:5" ht="16.5">
      <c r="C229" s="123"/>
      <c r="E229" s="123"/>
    </row>
    <row r="230" spans="3:5" ht="16.5">
      <c r="C230" s="123"/>
      <c r="E230" s="123"/>
    </row>
    <row r="231" spans="3:5" ht="16.5">
      <c r="C231" s="123"/>
      <c r="E231" s="123"/>
    </row>
    <row r="232" spans="3:5" ht="16.5">
      <c r="C232" s="123"/>
      <c r="E232" s="123"/>
    </row>
    <row r="233" spans="3:5" ht="16.5">
      <c r="C233" s="123"/>
      <c r="E233" s="123"/>
    </row>
    <row r="234" spans="3:5" ht="16.5">
      <c r="C234" s="123"/>
      <c r="E234" s="123"/>
    </row>
    <row r="235" spans="3:5" ht="16.5">
      <c r="C235" s="123"/>
      <c r="E235" s="123"/>
    </row>
    <row r="236" spans="3:5" ht="16.5">
      <c r="C236" s="123"/>
      <c r="E236" s="123"/>
    </row>
    <row r="237" spans="3:5" ht="16.5">
      <c r="C237" s="123"/>
      <c r="E237" s="123"/>
    </row>
    <row r="238" spans="3:5" ht="16.5">
      <c r="C238" s="123"/>
      <c r="E238" s="123"/>
    </row>
    <row r="239" spans="3:5" ht="16.5">
      <c r="C239" s="123"/>
      <c r="E239" s="123"/>
    </row>
    <row r="240" spans="3:5" ht="16.5">
      <c r="C240" s="123"/>
      <c r="E240" s="123"/>
    </row>
    <row r="241" spans="3:5" ht="16.5">
      <c r="C241" s="123"/>
      <c r="E241" s="123"/>
    </row>
    <row r="242" spans="3:5" ht="16.5">
      <c r="C242" s="123"/>
      <c r="E242" s="123"/>
    </row>
    <row r="243" spans="3:5" ht="16.5">
      <c r="C243" s="123"/>
      <c r="E243" s="123"/>
    </row>
    <row r="244" spans="3:5" ht="16.5">
      <c r="C244" s="123"/>
      <c r="E244" s="123"/>
    </row>
    <row r="245" spans="3:5" ht="16.5">
      <c r="C245" s="123"/>
      <c r="E245" s="123"/>
    </row>
    <row r="246" spans="3:5" ht="16.5">
      <c r="C246" s="123"/>
      <c r="E246" s="123"/>
    </row>
    <row r="247" spans="3:5" ht="16.5">
      <c r="C247" s="123"/>
      <c r="E247" s="123"/>
    </row>
    <row r="248" spans="3:5" ht="16.5">
      <c r="C248" s="123"/>
      <c r="E248" s="123"/>
    </row>
    <row r="249" spans="3:5" ht="16.5">
      <c r="C249" s="123"/>
      <c r="E249" s="123"/>
    </row>
    <row r="250" spans="3:5" ht="16.5">
      <c r="C250" s="123"/>
      <c r="E250" s="123"/>
    </row>
    <row r="251" spans="3:5" ht="16.5">
      <c r="C251" s="123"/>
      <c r="E251" s="123"/>
    </row>
    <row r="252" spans="3:5" ht="16.5">
      <c r="C252" s="123"/>
      <c r="E252" s="123"/>
    </row>
    <row r="253" spans="3:5" ht="16.5">
      <c r="C253" s="123"/>
      <c r="E253" s="123"/>
    </row>
    <row r="254" spans="3:5" ht="16.5">
      <c r="C254" s="123"/>
      <c r="E254" s="123"/>
    </row>
    <row r="255" spans="3:5" ht="16.5">
      <c r="C255" s="123"/>
      <c r="E255" s="123"/>
    </row>
    <row r="256" spans="3:5" ht="16.5">
      <c r="C256" s="123"/>
      <c r="E256" s="123"/>
    </row>
    <row r="257" spans="3:5" ht="16.5">
      <c r="C257" s="123"/>
      <c r="E257" s="123"/>
    </row>
    <row r="258" spans="3:5" ht="16.5">
      <c r="C258" s="123"/>
      <c r="E258" s="123"/>
    </row>
    <row r="259" spans="3:5" ht="16.5">
      <c r="C259" s="123"/>
      <c r="E259" s="123"/>
    </row>
    <row r="260" spans="3:5" ht="16.5">
      <c r="C260" s="123"/>
      <c r="E260" s="123"/>
    </row>
    <row r="261" spans="3:5" ht="16.5">
      <c r="C261" s="123"/>
      <c r="E261" s="123"/>
    </row>
    <row r="262" spans="3:5" ht="16.5">
      <c r="C262" s="123"/>
      <c r="E262" s="123"/>
    </row>
    <row r="263" spans="3:5" ht="16.5">
      <c r="C263" s="123"/>
      <c r="E263" s="123"/>
    </row>
    <row r="264" spans="3:5" ht="16.5">
      <c r="C264" s="123"/>
      <c r="E264" s="123"/>
    </row>
    <row r="265" spans="3:5" ht="16.5">
      <c r="C265" s="123"/>
      <c r="E265" s="123"/>
    </row>
    <row r="266" spans="3:5" ht="16.5">
      <c r="C266" s="123"/>
      <c r="E266" s="123"/>
    </row>
    <row r="267" spans="3:5" ht="16.5">
      <c r="C267" s="123"/>
      <c r="E267" s="123"/>
    </row>
    <row r="268" spans="3:5" ht="16.5">
      <c r="C268" s="123"/>
      <c r="E268" s="123"/>
    </row>
    <row r="269" spans="3:5" ht="16.5">
      <c r="C269" s="123"/>
      <c r="E269" s="123"/>
    </row>
    <row r="270" spans="3:5" ht="16.5">
      <c r="C270" s="123"/>
      <c r="E270" s="123"/>
    </row>
    <row r="271" spans="3:5" ht="16.5">
      <c r="C271" s="123"/>
      <c r="E271" s="123"/>
    </row>
    <row r="272" spans="3:5" ht="16.5">
      <c r="C272" s="123"/>
      <c r="E272" s="123"/>
    </row>
    <row r="273" spans="3:5" ht="16.5">
      <c r="C273" s="123"/>
      <c r="E273" s="123"/>
    </row>
    <row r="274" spans="3:5" ht="16.5">
      <c r="C274" s="123"/>
      <c r="E274" s="123"/>
    </row>
    <row r="275" spans="3:5" ht="16.5">
      <c r="C275" s="123"/>
      <c r="E275" s="123"/>
    </row>
    <row r="276" spans="3:5" ht="16.5">
      <c r="C276" s="123"/>
      <c r="E276" s="123"/>
    </row>
    <row r="277" spans="3:5" ht="16.5">
      <c r="C277" s="123"/>
      <c r="E277" s="123"/>
    </row>
    <row r="278" spans="3:5" ht="16.5">
      <c r="C278" s="123"/>
      <c r="E278" s="123"/>
    </row>
    <row r="279" spans="3:5" ht="16.5">
      <c r="C279" s="123"/>
      <c r="E279" s="123"/>
    </row>
    <row r="280" spans="3:5" ht="16.5">
      <c r="C280" s="123"/>
      <c r="E280" s="123"/>
    </row>
    <row r="281" spans="3:5" ht="16.5">
      <c r="C281" s="123"/>
      <c r="E281" s="123"/>
    </row>
    <row r="282" spans="3:5" ht="16.5">
      <c r="C282" s="123"/>
      <c r="E282" s="123"/>
    </row>
    <row r="283" spans="3:5" ht="16.5">
      <c r="C283" s="123"/>
      <c r="E283" s="123"/>
    </row>
    <row r="284" spans="3:5" ht="16.5">
      <c r="C284" s="123"/>
      <c r="E284" s="123"/>
    </row>
    <row r="285" spans="3:5" ht="16.5">
      <c r="C285" s="123"/>
      <c r="E285" s="123"/>
    </row>
    <row r="286" spans="3:5" ht="16.5">
      <c r="C286" s="123"/>
      <c r="E286" s="123"/>
    </row>
    <row r="287" spans="3:5" ht="16.5">
      <c r="C287" s="123"/>
      <c r="E287" s="123"/>
    </row>
    <row r="288" spans="3:5" ht="16.5">
      <c r="C288" s="123"/>
      <c r="E288" s="123"/>
    </row>
    <row r="289" spans="3:5" ht="16.5">
      <c r="C289" s="123"/>
      <c r="E289" s="123"/>
    </row>
    <row r="290" spans="3:5" ht="16.5">
      <c r="C290" s="123"/>
      <c r="E290" s="123"/>
    </row>
    <row r="291" spans="3:5" ht="16.5">
      <c r="C291" s="123"/>
      <c r="E291" s="123"/>
    </row>
    <row r="292" spans="3:5" ht="16.5">
      <c r="C292" s="123"/>
      <c r="E292" s="123"/>
    </row>
    <row r="293" spans="3:5" ht="16.5">
      <c r="C293" s="123"/>
      <c r="E293" s="123"/>
    </row>
    <row r="294" spans="3:5" ht="16.5">
      <c r="C294" s="123"/>
      <c r="E294" s="123"/>
    </row>
    <row r="295" spans="3:5" ht="16.5">
      <c r="C295" s="123"/>
      <c r="E295" s="123"/>
    </row>
    <row r="296" spans="3:5" ht="16.5">
      <c r="C296" s="123"/>
      <c r="E296" s="123"/>
    </row>
    <row r="297" spans="3:5" ht="16.5">
      <c r="C297" s="123"/>
      <c r="E297" s="123"/>
    </row>
    <row r="298" spans="3:5" ht="16.5">
      <c r="C298" s="123"/>
      <c r="E298" s="123"/>
    </row>
    <row r="299" spans="3:5" ht="16.5">
      <c r="C299" s="123"/>
      <c r="E299" s="123"/>
    </row>
    <row r="300" spans="3:5" ht="16.5">
      <c r="C300" s="123"/>
      <c r="E300" s="123"/>
    </row>
    <row r="301" spans="3:5" ht="16.5">
      <c r="C301" s="123"/>
      <c r="E301" s="123"/>
    </row>
    <row r="302" spans="3:5" ht="16.5">
      <c r="C302" s="123"/>
      <c r="E302" s="123"/>
    </row>
    <row r="303" spans="3:5" ht="16.5">
      <c r="C303" s="123"/>
      <c r="E303" s="123"/>
    </row>
    <row r="304" spans="3:5" ht="16.5">
      <c r="C304" s="123"/>
      <c r="E304" s="123"/>
    </row>
    <row r="305" spans="3:5" ht="16.5">
      <c r="C305" s="123"/>
      <c r="E305" s="123"/>
    </row>
    <row r="306" spans="3:5" ht="16.5">
      <c r="C306" s="123"/>
      <c r="E306" s="123"/>
    </row>
    <row r="307" spans="3:5" ht="16.5">
      <c r="C307" s="123"/>
      <c r="E307" s="123"/>
    </row>
    <row r="308" spans="3:5" ht="16.5">
      <c r="C308" s="123"/>
      <c r="E308" s="123"/>
    </row>
    <row r="309" spans="3:5" ht="16.5">
      <c r="C309" s="123"/>
      <c r="E309" s="123"/>
    </row>
    <row r="310" spans="3:5" ht="16.5">
      <c r="C310" s="123"/>
      <c r="E310" s="123"/>
    </row>
    <row r="311" spans="3:5" ht="16.5">
      <c r="C311" s="123"/>
      <c r="E311" s="123"/>
    </row>
    <row r="312" spans="3:5" ht="16.5">
      <c r="C312" s="123"/>
      <c r="E312" s="123"/>
    </row>
    <row r="313" spans="3:5" ht="16.5">
      <c r="C313" s="123"/>
      <c r="E313" s="123"/>
    </row>
    <row r="314" spans="3:5" ht="16.5">
      <c r="C314" s="123"/>
      <c r="E314" s="123"/>
    </row>
    <row r="315" spans="3:5" ht="16.5">
      <c r="C315" s="123"/>
      <c r="E315" s="123"/>
    </row>
    <row r="316" spans="3:5" ht="16.5">
      <c r="C316" s="123"/>
      <c r="E316" s="123"/>
    </row>
    <row r="317" spans="3:5" ht="16.5">
      <c r="C317" s="123"/>
      <c r="E317" s="123"/>
    </row>
    <row r="318" spans="3:5" ht="16.5">
      <c r="C318" s="123"/>
      <c r="E318" s="123"/>
    </row>
    <row r="319" spans="3:5" ht="16.5">
      <c r="C319" s="123"/>
      <c r="E319" s="123"/>
    </row>
    <row r="320" spans="3:5" ht="16.5">
      <c r="C320" s="123"/>
      <c r="E320" s="123"/>
    </row>
    <row r="321" spans="3:5" ht="16.5">
      <c r="C321" s="123"/>
      <c r="E321" s="123"/>
    </row>
    <row r="322" spans="3:5" ht="16.5">
      <c r="C322" s="123"/>
      <c r="E322" s="123"/>
    </row>
    <row r="323" spans="3:5" ht="16.5">
      <c r="C323" s="123"/>
      <c r="E323" s="123"/>
    </row>
    <row r="324" spans="3:5" ht="16.5">
      <c r="C324" s="123"/>
      <c r="E324" s="123"/>
    </row>
    <row r="325" spans="3:5" ht="16.5">
      <c r="C325" s="123"/>
      <c r="E325" s="123"/>
    </row>
    <row r="326" spans="3:5" ht="16.5">
      <c r="C326" s="123"/>
      <c r="E326" s="123"/>
    </row>
    <row r="327" spans="3:5" ht="16.5">
      <c r="C327" s="123"/>
      <c r="E327" s="123"/>
    </row>
    <row r="328" spans="3:5" ht="16.5">
      <c r="C328" s="123"/>
      <c r="E328" s="123"/>
    </row>
    <row r="329" spans="3:5" ht="16.5">
      <c r="C329" s="123"/>
      <c r="E329" s="123"/>
    </row>
    <row r="330" spans="3:5" ht="16.5">
      <c r="C330" s="123"/>
      <c r="E330" s="123"/>
    </row>
    <row r="331" spans="3:5" ht="16.5">
      <c r="C331" s="123"/>
      <c r="E331" s="123"/>
    </row>
    <row r="332" spans="3:5" ht="16.5">
      <c r="C332" s="123"/>
      <c r="E332" s="123"/>
    </row>
    <row r="333" spans="3:5" ht="16.5">
      <c r="C333" s="123"/>
      <c r="E333" s="123"/>
    </row>
    <row r="334" spans="3:5" ht="16.5">
      <c r="C334" s="123"/>
      <c r="E334" s="123"/>
    </row>
    <row r="335" spans="3:5" ht="16.5">
      <c r="C335" s="123"/>
      <c r="E335" s="123"/>
    </row>
    <row r="336" spans="3:5" ht="16.5">
      <c r="C336" s="123"/>
      <c r="E336" s="123"/>
    </row>
    <row r="337" spans="3:5" ht="16.5">
      <c r="C337" s="123"/>
      <c r="E337" s="123"/>
    </row>
    <row r="338" spans="3:5" ht="16.5">
      <c r="C338" s="123"/>
      <c r="E338" s="123"/>
    </row>
    <row r="339" spans="3:5" ht="16.5">
      <c r="C339" s="123"/>
      <c r="E339" s="123"/>
    </row>
    <row r="340" spans="3:5" ht="16.5">
      <c r="C340" s="123"/>
      <c r="E340" s="123"/>
    </row>
    <row r="341" spans="3:5" ht="16.5">
      <c r="C341" s="123"/>
      <c r="E341" s="123"/>
    </row>
    <row r="342" spans="3:5" ht="16.5">
      <c r="C342" s="123"/>
      <c r="E342" s="123"/>
    </row>
    <row r="343" spans="3:5" ht="16.5">
      <c r="C343" s="123"/>
      <c r="E343" s="123"/>
    </row>
    <row r="344" spans="3:5" ht="16.5">
      <c r="C344" s="123"/>
      <c r="E344" s="123"/>
    </row>
    <row r="345" spans="3:5" ht="16.5">
      <c r="C345" s="123"/>
      <c r="E345" s="123"/>
    </row>
    <row r="346" spans="3:5" ht="16.5">
      <c r="C346" s="123"/>
      <c r="E346" s="123"/>
    </row>
    <row r="347" spans="3:5" ht="16.5">
      <c r="C347" s="123"/>
      <c r="E347" s="123"/>
    </row>
    <row r="348" spans="3:5" ht="16.5">
      <c r="C348" s="123"/>
      <c r="E348" s="123"/>
    </row>
    <row r="349" spans="3:5" ht="16.5">
      <c r="C349" s="123"/>
      <c r="E349" s="123"/>
    </row>
    <row r="350" spans="3:5" ht="16.5">
      <c r="C350" s="123"/>
      <c r="E350" s="123"/>
    </row>
    <row r="351" spans="3:5" ht="16.5">
      <c r="C351" s="123"/>
      <c r="E351" s="123"/>
    </row>
    <row r="352" spans="3:5" ht="16.5">
      <c r="C352" s="123"/>
      <c r="E352" s="123"/>
    </row>
    <row r="353" spans="3:5" ht="16.5">
      <c r="C353" s="123"/>
      <c r="E353" s="123"/>
    </row>
    <row r="354" spans="3:5" ht="16.5">
      <c r="C354" s="123"/>
      <c r="E354" s="123"/>
    </row>
    <row r="355" spans="3:5" ht="16.5">
      <c r="C355" s="123"/>
      <c r="E355" s="123"/>
    </row>
    <row r="356" spans="3:5" ht="16.5">
      <c r="C356" s="123"/>
      <c r="E356" s="123"/>
    </row>
    <row r="357" spans="3:5" ht="16.5">
      <c r="C357" s="123"/>
      <c r="E357" s="123"/>
    </row>
    <row r="358" spans="3:5" ht="16.5">
      <c r="C358" s="123"/>
      <c r="E358" s="123"/>
    </row>
    <row r="359" spans="3:5" ht="16.5">
      <c r="C359" s="123"/>
      <c r="E359" s="123"/>
    </row>
    <row r="360" spans="3:5" ht="16.5">
      <c r="C360" s="123"/>
      <c r="E360" s="123"/>
    </row>
    <row r="361" spans="3:5" ht="16.5">
      <c r="C361" s="123"/>
      <c r="E361" s="123"/>
    </row>
    <row r="362" spans="3:5" ht="16.5">
      <c r="C362" s="123"/>
      <c r="E362" s="123"/>
    </row>
    <row r="363" spans="3:5" ht="16.5">
      <c r="C363" s="123"/>
      <c r="E363" s="123"/>
    </row>
    <row r="364" spans="3:5" ht="16.5">
      <c r="C364" s="123"/>
      <c r="E364" s="123"/>
    </row>
    <row r="365" spans="3:5" ht="16.5">
      <c r="C365" s="123"/>
      <c r="E365" s="123"/>
    </row>
    <row r="366" spans="3:5" ht="16.5">
      <c r="C366" s="123"/>
      <c r="E366" s="123"/>
    </row>
    <row r="367" spans="3:5" ht="16.5">
      <c r="C367" s="123"/>
      <c r="E367" s="123"/>
    </row>
    <row r="368" spans="3:5" ht="16.5">
      <c r="C368" s="123"/>
      <c r="E368" s="123"/>
    </row>
    <row r="369" spans="3:5" ht="16.5">
      <c r="C369" s="123"/>
      <c r="E369" s="123"/>
    </row>
    <row r="370" spans="3:5" ht="16.5">
      <c r="C370" s="123"/>
      <c r="E370" s="123"/>
    </row>
    <row r="371" spans="3:5" ht="16.5">
      <c r="C371" s="123"/>
      <c r="E371" s="123"/>
    </row>
    <row r="372" spans="3:5" ht="16.5">
      <c r="C372" s="123"/>
      <c r="E372" s="123"/>
    </row>
    <row r="373" spans="3:5" ht="16.5">
      <c r="C373" s="123"/>
      <c r="E373" s="123"/>
    </row>
    <row r="374" spans="3:5" ht="16.5">
      <c r="C374" s="123"/>
      <c r="E374" s="123"/>
    </row>
    <row r="375" spans="3:5" ht="16.5">
      <c r="C375" s="123"/>
      <c r="E375" s="123"/>
    </row>
    <row r="376" spans="3:5" ht="16.5">
      <c r="C376" s="123"/>
      <c r="E376" s="123"/>
    </row>
    <row r="377" spans="3:5" ht="16.5">
      <c r="C377" s="123"/>
      <c r="E377" s="123"/>
    </row>
    <row r="378" spans="3:5" ht="16.5">
      <c r="C378" s="123"/>
      <c r="E378" s="123"/>
    </row>
    <row r="379" spans="3:5" ht="16.5">
      <c r="C379" s="123"/>
      <c r="E379" s="123"/>
    </row>
    <row r="380" spans="3:5" ht="16.5">
      <c r="C380" s="123"/>
      <c r="E380" s="123"/>
    </row>
    <row r="381" spans="3:5" ht="16.5">
      <c r="C381" s="123"/>
      <c r="E381" s="123"/>
    </row>
    <row r="382" spans="3:5" ht="16.5">
      <c r="C382" s="123"/>
      <c r="E382" s="123"/>
    </row>
    <row r="383" spans="3:5" ht="16.5">
      <c r="C383" s="123"/>
      <c r="E383" s="123"/>
    </row>
    <row r="384" spans="3:5" ht="16.5">
      <c r="C384" s="123"/>
      <c r="E384" s="123"/>
    </row>
    <row r="385" spans="3:5" ht="16.5">
      <c r="C385" s="123"/>
      <c r="E385" s="123"/>
    </row>
    <row r="386" spans="3:5" ht="16.5">
      <c r="C386" s="123"/>
      <c r="E386" s="123"/>
    </row>
    <row r="387" spans="3:5" ht="16.5">
      <c r="C387" s="123"/>
      <c r="E387" s="123"/>
    </row>
    <row r="388" spans="3:5" ht="16.5">
      <c r="C388" s="123"/>
      <c r="E388" s="123"/>
    </row>
    <row r="389" spans="3:5" ht="16.5">
      <c r="C389" s="123"/>
      <c r="E389" s="123"/>
    </row>
    <row r="390" spans="3:5" ht="16.5">
      <c r="C390" s="123"/>
      <c r="E390" s="123"/>
    </row>
    <row r="391" spans="3:5" ht="16.5">
      <c r="C391" s="123"/>
      <c r="E391" s="123"/>
    </row>
    <row r="392" spans="3:5" ht="16.5">
      <c r="C392" s="123"/>
      <c r="E392" s="123"/>
    </row>
    <row r="393" spans="3:5" ht="16.5">
      <c r="C393" s="123"/>
      <c r="E393" s="123"/>
    </row>
    <row r="394" spans="3:5" ht="16.5">
      <c r="C394" s="123"/>
      <c r="E394" s="123"/>
    </row>
    <row r="395" spans="3:5" ht="16.5">
      <c r="C395" s="123"/>
      <c r="E395" s="123"/>
    </row>
    <row r="396" spans="3:5" ht="16.5">
      <c r="C396" s="123"/>
      <c r="E396" s="123"/>
    </row>
    <row r="397" spans="3:5" ht="16.5">
      <c r="C397" s="123"/>
      <c r="E397" s="123"/>
    </row>
    <row r="398" spans="3:5" ht="16.5">
      <c r="C398" s="123"/>
      <c r="E398" s="123"/>
    </row>
    <row r="399" spans="3:5" ht="16.5">
      <c r="C399" s="123"/>
      <c r="E399" s="123"/>
    </row>
    <row r="400" spans="3:5" ht="16.5">
      <c r="C400" s="123"/>
      <c r="E400" s="123"/>
    </row>
    <row r="401" spans="3:5" ht="16.5">
      <c r="C401" s="123"/>
      <c r="E401" s="123"/>
    </row>
    <row r="402" spans="3:5" ht="16.5">
      <c r="C402" s="123"/>
      <c r="E402" s="123"/>
    </row>
    <row r="403" spans="3:5" ht="16.5">
      <c r="C403" s="123"/>
      <c r="E403" s="123"/>
    </row>
    <row r="404" spans="3:5" ht="16.5">
      <c r="C404" s="123"/>
      <c r="E404" s="123"/>
    </row>
    <row r="405" spans="3:5" ht="16.5">
      <c r="C405" s="123"/>
      <c r="E405" s="123"/>
    </row>
    <row r="406" spans="3:5" ht="16.5">
      <c r="C406" s="123"/>
      <c r="E406" s="123"/>
    </row>
    <row r="407" spans="3:5" ht="16.5">
      <c r="C407" s="123"/>
      <c r="E407" s="123"/>
    </row>
    <row r="408" spans="3:5" ht="16.5">
      <c r="C408" s="123"/>
      <c r="E408" s="123"/>
    </row>
    <row r="409" spans="3:5" ht="16.5">
      <c r="C409" s="123"/>
      <c r="E409" s="123"/>
    </row>
    <row r="410" spans="3:5" ht="16.5">
      <c r="C410" s="123"/>
      <c r="E410" s="123"/>
    </row>
    <row r="411" spans="3:5" ht="16.5">
      <c r="C411" s="123"/>
      <c r="E411" s="123"/>
    </row>
    <row r="412" spans="3:5" ht="16.5">
      <c r="C412" s="123"/>
      <c r="E412" s="123"/>
    </row>
    <row r="413" spans="3:5" ht="16.5">
      <c r="C413" s="123"/>
      <c r="E413" s="123"/>
    </row>
    <row r="414" spans="3:5" ht="16.5">
      <c r="C414" s="123"/>
      <c r="E414" s="123"/>
    </row>
    <row r="415" spans="3:5" ht="16.5">
      <c r="C415" s="123"/>
      <c r="E415" s="123"/>
    </row>
    <row r="416" spans="3:5" ht="16.5">
      <c r="C416" s="123"/>
      <c r="E416" s="123"/>
    </row>
    <row r="417" spans="3:5" ht="16.5">
      <c r="C417" s="123"/>
      <c r="E417" s="123"/>
    </row>
    <row r="418" spans="3:5" ht="16.5">
      <c r="C418" s="123"/>
      <c r="E418" s="123"/>
    </row>
    <row r="419" spans="3:5" ht="16.5">
      <c r="C419" s="123"/>
      <c r="E419" s="123"/>
    </row>
    <row r="420" spans="3:5" ht="16.5">
      <c r="C420" s="123"/>
      <c r="E420" s="123"/>
    </row>
    <row r="421" spans="3:5" ht="16.5">
      <c r="C421" s="123"/>
      <c r="E421" s="123"/>
    </row>
    <row r="422" spans="3:5" ht="16.5">
      <c r="C422" s="123"/>
      <c r="E422" s="123"/>
    </row>
    <row r="423" spans="3:5" ht="16.5">
      <c r="C423" s="123"/>
      <c r="E423" s="123"/>
    </row>
    <row r="424" spans="3:5" ht="16.5">
      <c r="C424" s="123"/>
      <c r="E424" s="123"/>
    </row>
    <row r="425" spans="3:5" ht="16.5">
      <c r="C425" s="123"/>
      <c r="E425" s="123"/>
    </row>
    <row r="426" spans="3:5" ht="16.5">
      <c r="C426" s="123"/>
      <c r="E426" s="123"/>
    </row>
    <row r="427" spans="3:5" ht="16.5">
      <c r="C427" s="123"/>
      <c r="E427" s="123"/>
    </row>
    <row r="428" spans="3:5" ht="16.5">
      <c r="C428" s="123"/>
      <c r="E428" s="123"/>
    </row>
    <row r="429" spans="3:5" ht="16.5">
      <c r="C429" s="123"/>
      <c r="E429" s="123"/>
    </row>
    <row r="430" spans="3:5" ht="16.5">
      <c r="C430" s="123"/>
      <c r="E430" s="123"/>
    </row>
    <row r="431" spans="3:5" ht="16.5">
      <c r="C431" s="123"/>
      <c r="E431" s="123"/>
    </row>
    <row r="432" spans="3:5" ht="16.5">
      <c r="C432" s="123"/>
      <c r="E432" s="123"/>
    </row>
    <row r="433" spans="3:5" ht="16.5">
      <c r="C433" s="123"/>
      <c r="E433" s="123"/>
    </row>
    <row r="434" spans="3:5" ht="16.5">
      <c r="C434" s="123"/>
      <c r="E434" s="123"/>
    </row>
    <row r="435" spans="3:5" ht="16.5">
      <c r="C435" s="123"/>
      <c r="E435" s="123"/>
    </row>
    <row r="436" spans="3:5" ht="16.5">
      <c r="C436" s="123"/>
      <c r="E436" s="123"/>
    </row>
    <row r="437" spans="3:5" ht="16.5">
      <c r="C437" s="123"/>
      <c r="E437" s="123"/>
    </row>
    <row r="438" spans="3:5" ht="16.5">
      <c r="C438" s="123"/>
      <c r="E438" s="123"/>
    </row>
    <row r="439" spans="3:5" ht="16.5">
      <c r="C439" s="123"/>
      <c r="E439" s="123"/>
    </row>
    <row r="440" spans="3:5" ht="16.5">
      <c r="C440" s="123"/>
      <c r="E440" s="123"/>
    </row>
    <row r="441" spans="3:5" ht="16.5">
      <c r="C441" s="123"/>
      <c r="E441" s="123"/>
    </row>
    <row r="442" spans="3:5" ht="16.5">
      <c r="C442" s="123"/>
      <c r="E442" s="123"/>
    </row>
    <row r="443" spans="3:5" ht="16.5">
      <c r="C443" s="123"/>
      <c r="E443" s="123"/>
    </row>
    <row r="444" spans="3:5" ht="16.5">
      <c r="C444" s="123"/>
      <c r="E444" s="123"/>
    </row>
    <row r="445" spans="3:5" ht="16.5">
      <c r="C445" s="123"/>
      <c r="E445" s="123"/>
    </row>
    <row r="446" spans="3:5" ht="16.5">
      <c r="C446" s="123"/>
      <c r="E446" s="123"/>
    </row>
    <row r="447" spans="3:5" ht="16.5">
      <c r="C447" s="123"/>
      <c r="E447" s="123"/>
    </row>
    <row r="448" spans="3:5" ht="16.5">
      <c r="C448" s="123"/>
      <c r="E448" s="123"/>
    </row>
    <row r="449" spans="3:5" ht="16.5">
      <c r="C449" s="123"/>
      <c r="E449" s="123"/>
    </row>
    <row r="450" spans="3:5" ht="16.5">
      <c r="C450" s="123"/>
      <c r="E450" s="123"/>
    </row>
    <row r="451" spans="3:5" ht="16.5">
      <c r="C451" s="123"/>
      <c r="E451" s="123"/>
    </row>
    <row r="452" spans="3:5" ht="16.5">
      <c r="C452" s="123"/>
      <c r="E452" s="123"/>
    </row>
    <row r="453" spans="3:5" ht="16.5">
      <c r="C453" s="123"/>
      <c r="E453" s="123"/>
    </row>
    <row r="454" spans="3:5" ht="16.5">
      <c r="C454" s="123"/>
      <c r="E454" s="123"/>
    </row>
    <row r="455" spans="3:5" ht="16.5">
      <c r="C455" s="123"/>
      <c r="E455" s="123"/>
    </row>
    <row r="456" spans="3:5" ht="16.5">
      <c r="C456" s="123"/>
      <c r="E456" s="123"/>
    </row>
    <row r="457" spans="3:5" ht="16.5">
      <c r="C457" s="123"/>
      <c r="E457" s="123"/>
    </row>
    <row r="458" spans="3:5" ht="16.5">
      <c r="C458" s="123"/>
      <c r="E458" s="123"/>
    </row>
    <row r="459" spans="3:5" ht="16.5">
      <c r="C459" s="123"/>
      <c r="E459" s="123"/>
    </row>
    <row r="460" spans="3:5" ht="16.5">
      <c r="C460" s="123"/>
      <c r="E460" s="123"/>
    </row>
    <row r="461" spans="3:5" ht="16.5">
      <c r="C461" s="123"/>
      <c r="E461" s="123"/>
    </row>
    <row r="462" spans="3:5" ht="16.5">
      <c r="C462" s="123"/>
      <c r="E462" s="123"/>
    </row>
    <row r="463" spans="3:5" ht="16.5">
      <c r="C463" s="123"/>
      <c r="E463" s="123"/>
    </row>
    <row r="464" spans="3:5" ht="16.5">
      <c r="C464" s="123"/>
      <c r="E464" s="123"/>
    </row>
    <row r="465" spans="3:5" ht="16.5">
      <c r="C465" s="123"/>
      <c r="E465" s="123"/>
    </row>
    <row r="466" spans="3:5" ht="16.5">
      <c r="C466" s="123"/>
      <c r="E466" s="123"/>
    </row>
    <row r="467" spans="3:5" ht="16.5">
      <c r="C467" s="123"/>
      <c r="E467" s="123"/>
    </row>
    <row r="468" spans="3:5" ht="16.5">
      <c r="C468" s="123"/>
      <c r="E468" s="123"/>
    </row>
    <row r="469" spans="3:5" ht="16.5">
      <c r="C469" s="123"/>
      <c r="E469" s="123"/>
    </row>
    <row r="470" spans="3:5" ht="16.5">
      <c r="C470" s="123"/>
      <c r="E470" s="123"/>
    </row>
    <row r="471" spans="3:5" ht="16.5">
      <c r="C471" s="123"/>
      <c r="E471" s="123"/>
    </row>
    <row r="472" spans="3:5" ht="16.5">
      <c r="C472" s="123"/>
      <c r="E472" s="123"/>
    </row>
    <row r="473" spans="3:5" ht="16.5">
      <c r="C473" s="123"/>
      <c r="E473" s="123"/>
    </row>
    <row r="474" spans="3:5" ht="16.5">
      <c r="C474" s="123"/>
      <c r="E474" s="123"/>
    </row>
    <row r="475" spans="3:5" ht="16.5">
      <c r="C475" s="123"/>
      <c r="E475" s="123"/>
    </row>
    <row r="476" spans="3:5" ht="16.5">
      <c r="C476" s="123"/>
      <c r="E476" s="123"/>
    </row>
    <row r="477" spans="3:5" ht="16.5">
      <c r="C477" s="123"/>
      <c r="E477" s="123"/>
    </row>
    <row r="478" spans="3:5" ht="16.5">
      <c r="C478" s="123"/>
      <c r="E478" s="123"/>
    </row>
    <row r="479" spans="3:5" ht="16.5">
      <c r="C479" s="123"/>
      <c r="E479" s="123"/>
    </row>
    <row r="480" spans="3:5" ht="16.5">
      <c r="C480" s="123"/>
      <c r="E480" s="123"/>
    </row>
    <row r="481" spans="3:5" ht="16.5">
      <c r="C481" s="123"/>
      <c r="E481" s="123"/>
    </row>
    <row r="482" spans="3:5" ht="16.5">
      <c r="C482" s="123"/>
      <c r="E482" s="123"/>
    </row>
    <row r="483" spans="3:5" ht="16.5">
      <c r="C483" s="123"/>
      <c r="E483" s="123"/>
    </row>
    <row r="484" spans="3:5" ht="16.5">
      <c r="C484" s="123"/>
      <c r="E484" s="123"/>
    </row>
    <row r="485" spans="3:5" ht="16.5">
      <c r="C485" s="123"/>
      <c r="E485" s="123"/>
    </row>
    <row r="486" spans="3:5" ht="16.5">
      <c r="C486" s="123"/>
      <c r="E486" s="123"/>
    </row>
    <row r="487" spans="3:5" ht="16.5">
      <c r="C487" s="123"/>
      <c r="E487" s="123"/>
    </row>
    <row r="488" spans="3:5" ht="16.5">
      <c r="C488" s="123"/>
      <c r="E488" s="123"/>
    </row>
    <row r="489" spans="3:5" ht="16.5">
      <c r="C489" s="123"/>
      <c r="E489" s="123"/>
    </row>
    <row r="490" spans="3:5" ht="16.5">
      <c r="C490" s="123"/>
      <c r="E490" s="123"/>
    </row>
    <row r="491" spans="3:5" ht="16.5">
      <c r="C491" s="123"/>
      <c r="E491" s="123"/>
    </row>
    <row r="492" spans="3:5" ht="16.5">
      <c r="C492" s="123"/>
      <c r="E492" s="123"/>
    </row>
    <row r="493" spans="3:5" ht="16.5">
      <c r="C493" s="123"/>
      <c r="E493" s="123"/>
    </row>
    <row r="494" spans="3:5" ht="16.5">
      <c r="C494" s="123"/>
      <c r="E494" s="123"/>
    </row>
    <row r="495" spans="3:5" ht="16.5">
      <c r="C495" s="123"/>
      <c r="E495" s="123"/>
    </row>
    <row r="496" spans="3:5" ht="16.5">
      <c r="C496" s="123"/>
      <c r="E496" s="123"/>
    </row>
    <row r="497" spans="3:5" ht="16.5">
      <c r="C497" s="123"/>
      <c r="E497" s="123"/>
    </row>
    <row r="498" spans="3:5" ht="16.5">
      <c r="C498" s="123"/>
      <c r="E498" s="123"/>
    </row>
    <row r="499" spans="3:5" ht="16.5">
      <c r="C499" s="123"/>
      <c r="E499" s="123"/>
    </row>
    <row r="500" spans="3:5" ht="16.5">
      <c r="C500" s="123"/>
      <c r="E500" s="123"/>
    </row>
    <row r="501" spans="3:5" ht="16.5">
      <c r="C501" s="123"/>
      <c r="E501" s="123"/>
    </row>
    <row r="502" spans="3:5" ht="16.5">
      <c r="C502" s="123"/>
      <c r="E502" s="123"/>
    </row>
    <row r="503" spans="3:5" ht="16.5">
      <c r="C503" s="123"/>
      <c r="E503" s="123"/>
    </row>
    <row r="504" spans="3:5" ht="16.5">
      <c r="C504" s="123"/>
      <c r="E504" s="123"/>
    </row>
    <row r="505" spans="3:5" ht="16.5">
      <c r="C505" s="123"/>
      <c r="E505" s="123"/>
    </row>
    <row r="506" spans="3:5" ht="16.5">
      <c r="C506" s="123"/>
      <c r="E506" s="123"/>
    </row>
    <row r="507" spans="3:5" ht="16.5">
      <c r="C507" s="123"/>
      <c r="E507" s="123"/>
    </row>
    <row r="508" spans="3:5" ht="16.5">
      <c r="C508" s="123"/>
      <c r="E508" s="123"/>
    </row>
    <row r="509" spans="3:5" ht="16.5">
      <c r="C509" s="123"/>
      <c r="E509" s="123"/>
    </row>
    <row r="510" spans="3:5" ht="16.5">
      <c r="C510" s="123"/>
      <c r="E510" s="123"/>
    </row>
    <row r="511" spans="3:5" ht="16.5">
      <c r="C511" s="123"/>
      <c r="E511" s="123"/>
    </row>
    <row r="512" spans="3:5" ht="16.5">
      <c r="C512" s="123"/>
      <c r="E512" s="123"/>
    </row>
    <row r="513" spans="3:5" ht="16.5">
      <c r="C513" s="123"/>
      <c r="E513" s="123"/>
    </row>
    <row r="514" spans="3:5" ht="16.5">
      <c r="C514" s="123"/>
      <c r="E514" s="123"/>
    </row>
    <row r="515" spans="3:5" ht="16.5">
      <c r="C515" s="123"/>
      <c r="E515" s="123"/>
    </row>
    <row r="516" spans="3:5" ht="16.5">
      <c r="C516" s="123"/>
      <c r="E516" s="123"/>
    </row>
    <row r="517" spans="3:5" ht="16.5">
      <c r="C517" s="123"/>
      <c r="E517" s="123"/>
    </row>
    <row r="518" spans="3:5" ht="16.5">
      <c r="C518" s="123"/>
      <c r="E518" s="123"/>
    </row>
    <row r="519" spans="3:5" ht="16.5">
      <c r="C519" s="123"/>
      <c r="E519" s="123"/>
    </row>
    <row r="520" spans="3:5" ht="16.5">
      <c r="C520" s="123"/>
      <c r="E520" s="123"/>
    </row>
    <row r="521" spans="3:5" ht="16.5">
      <c r="C521" s="123"/>
      <c r="E521" s="123"/>
    </row>
    <row r="522" spans="3:5" ht="16.5">
      <c r="C522" s="123"/>
      <c r="E522" s="123"/>
    </row>
    <row r="523" spans="3:5" ht="16.5">
      <c r="C523" s="123"/>
      <c r="E523" s="123"/>
    </row>
    <row r="524" spans="3:5" ht="16.5">
      <c r="C524" s="123"/>
      <c r="E524" s="123"/>
    </row>
    <row r="525" spans="3:5" ht="16.5">
      <c r="C525" s="123"/>
      <c r="E525" s="123"/>
    </row>
    <row r="526" spans="3:5" ht="16.5">
      <c r="C526" s="123"/>
      <c r="E526" s="123"/>
    </row>
    <row r="527" spans="3:5" ht="16.5">
      <c r="C527" s="123"/>
      <c r="E527" s="123"/>
    </row>
    <row r="528" spans="3:5" ht="16.5">
      <c r="C528" s="123"/>
      <c r="E528" s="123"/>
    </row>
    <row r="529" spans="3:5" ht="16.5">
      <c r="C529" s="123"/>
      <c r="E529" s="123"/>
    </row>
    <row r="530" spans="3:5" ht="16.5">
      <c r="C530" s="123"/>
      <c r="E530" s="123"/>
    </row>
    <row r="531" spans="3:5" ht="16.5">
      <c r="C531" s="123"/>
      <c r="E531" s="123"/>
    </row>
    <row r="532" spans="3:5" ht="16.5">
      <c r="C532" s="123"/>
      <c r="E532" s="123"/>
    </row>
    <row r="533" spans="3:5" ht="16.5">
      <c r="C533" s="123"/>
      <c r="E533" s="123"/>
    </row>
    <row r="534" spans="3:5" ht="16.5">
      <c r="C534" s="123"/>
      <c r="E534" s="123"/>
    </row>
    <row r="535" spans="3:5" ht="16.5">
      <c r="C535" s="123"/>
      <c r="E535" s="123"/>
    </row>
    <row r="536" spans="3:5" ht="16.5">
      <c r="C536" s="123"/>
      <c r="E536" s="123"/>
    </row>
    <row r="537" spans="3:5" ht="16.5">
      <c r="C537" s="123"/>
      <c r="E537" s="123"/>
    </row>
    <row r="538" spans="3:5" ht="16.5">
      <c r="C538" s="123"/>
      <c r="E538" s="123"/>
    </row>
    <row r="539" spans="3:5" ht="16.5">
      <c r="C539" s="123"/>
      <c r="E539" s="123"/>
    </row>
    <row r="540" spans="3:5" ht="16.5">
      <c r="C540" s="123"/>
      <c r="E540" s="123"/>
    </row>
    <row r="541" spans="3:5" ht="16.5">
      <c r="C541" s="123"/>
      <c r="E541" s="123"/>
    </row>
    <row r="542" spans="3:5" ht="16.5">
      <c r="C542" s="123"/>
      <c r="E542" s="123"/>
    </row>
    <row r="543" spans="3:5" ht="16.5">
      <c r="C543" s="123"/>
      <c r="E543" s="123"/>
    </row>
    <row r="544" spans="3:5" ht="16.5">
      <c r="C544" s="123"/>
      <c r="E544" s="123"/>
    </row>
    <row r="545" spans="3:5" ht="16.5">
      <c r="C545" s="123"/>
      <c r="E545" s="123"/>
    </row>
    <row r="546" spans="3:5" ht="16.5">
      <c r="C546" s="123"/>
      <c r="E546" s="123"/>
    </row>
    <row r="547" spans="3:5" ht="16.5">
      <c r="C547" s="123"/>
      <c r="E547" s="123"/>
    </row>
    <row r="548" spans="3:5" ht="16.5">
      <c r="C548" s="123"/>
      <c r="E548" s="123"/>
    </row>
    <row r="549" spans="3:5" ht="16.5">
      <c r="C549" s="123"/>
      <c r="E549" s="123"/>
    </row>
    <row r="550" spans="3:5" ht="16.5">
      <c r="C550" s="123"/>
      <c r="E550" s="123"/>
    </row>
    <row r="551" spans="3:5" ht="16.5">
      <c r="C551" s="123"/>
      <c r="E551" s="123"/>
    </row>
    <row r="552" spans="3:5" ht="16.5">
      <c r="C552" s="123"/>
      <c r="E552" s="123"/>
    </row>
    <row r="553" spans="3:5" ht="16.5">
      <c r="C553" s="123"/>
      <c r="E553" s="123"/>
    </row>
    <row r="554" spans="3:5" ht="16.5">
      <c r="C554" s="123"/>
      <c r="E554" s="123"/>
    </row>
    <row r="555" spans="3:5" ht="16.5">
      <c r="C555" s="123"/>
      <c r="E555" s="123"/>
    </row>
    <row r="556" spans="3:5" ht="16.5">
      <c r="C556" s="123"/>
      <c r="E556" s="123"/>
    </row>
    <row r="557" spans="3:5" ht="16.5">
      <c r="C557" s="123"/>
      <c r="E557" s="123"/>
    </row>
    <row r="558" spans="3:5" ht="16.5">
      <c r="C558" s="123"/>
      <c r="E558" s="123"/>
    </row>
    <row r="559" spans="3:5" ht="16.5">
      <c r="C559" s="123"/>
      <c r="E559" s="123"/>
    </row>
    <row r="560" spans="3:5" ht="16.5">
      <c r="C560" s="123"/>
      <c r="E560" s="123"/>
    </row>
    <row r="561" spans="3:5" ht="16.5">
      <c r="C561" s="123"/>
      <c r="E561" s="123"/>
    </row>
    <row r="562" spans="3:5" ht="16.5">
      <c r="C562" s="123"/>
      <c r="E562" s="123"/>
    </row>
    <row r="563" spans="3:5" ht="16.5">
      <c r="C563" s="123"/>
      <c r="E563" s="123"/>
    </row>
    <row r="564" spans="3:5" ht="16.5">
      <c r="C564" s="123"/>
      <c r="E564" s="123"/>
    </row>
    <row r="565" spans="3:5" ht="16.5">
      <c r="C565" s="123"/>
      <c r="E565" s="123"/>
    </row>
    <row r="566" spans="3:5" ht="16.5">
      <c r="C566" s="123"/>
      <c r="E566" s="123"/>
    </row>
    <row r="567" spans="3:5" ht="16.5">
      <c r="C567" s="123"/>
      <c r="E567" s="123"/>
    </row>
    <row r="568" spans="3:5" ht="16.5">
      <c r="C568" s="123"/>
      <c r="E568" s="123"/>
    </row>
    <row r="569" spans="3:5" ht="16.5">
      <c r="C569" s="123"/>
      <c r="E569" s="123"/>
    </row>
    <row r="570" spans="3:5" ht="16.5">
      <c r="C570" s="123"/>
      <c r="E570" s="123"/>
    </row>
    <row r="571" spans="3:5" ht="16.5">
      <c r="C571" s="123"/>
      <c r="E571" s="123"/>
    </row>
    <row r="572" spans="3:5" ht="16.5">
      <c r="C572" s="123"/>
      <c r="E572" s="123"/>
    </row>
    <row r="573" spans="3:5" ht="16.5">
      <c r="C573" s="123"/>
      <c r="E573" s="123"/>
    </row>
    <row r="574" spans="3:5" ht="16.5">
      <c r="C574" s="123"/>
      <c r="E574" s="123"/>
    </row>
    <row r="575" spans="3:5" ht="16.5">
      <c r="C575" s="123"/>
      <c r="E575" s="123"/>
    </row>
    <row r="576" spans="3:5" ht="16.5">
      <c r="C576" s="123"/>
      <c r="E576" s="123"/>
    </row>
    <row r="577" spans="3:5" ht="16.5">
      <c r="C577" s="123"/>
      <c r="E577" s="123"/>
    </row>
    <row r="578" spans="3:5" ht="16.5">
      <c r="C578" s="123"/>
      <c r="E578" s="123"/>
    </row>
    <row r="579" spans="3:5" ht="16.5">
      <c r="C579" s="123"/>
      <c r="E579" s="123"/>
    </row>
    <row r="580" spans="3:5" ht="16.5">
      <c r="C580" s="123"/>
      <c r="E580" s="123"/>
    </row>
    <row r="581" spans="3:5" ht="16.5">
      <c r="C581" s="123"/>
      <c r="E581" s="123"/>
    </row>
    <row r="582" spans="3:5" ht="16.5">
      <c r="C582" s="123"/>
      <c r="E582" s="123"/>
    </row>
    <row r="583" spans="3:5" ht="16.5">
      <c r="C583" s="123"/>
      <c r="E583" s="123"/>
    </row>
    <row r="584" spans="3:5" ht="16.5">
      <c r="C584" s="123"/>
      <c r="E584" s="123"/>
    </row>
    <row r="585" spans="3:5" ht="16.5">
      <c r="C585" s="123"/>
      <c r="E585" s="123"/>
    </row>
    <row r="586" spans="3:5" ht="16.5">
      <c r="C586" s="123"/>
      <c r="E586" s="123"/>
    </row>
    <row r="587" spans="3:5" ht="16.5">
      <c r="C587" s="123"/>
      <c r="E587" s="123"/>
    </row>
    <row r="588" spans="3:5" ht="16.5">
      <c r="C588" s="123"/>
      <c r="E588" s="123"/>
    </row>
    <row r="589" spans="3:5" ht="16.5">
      <c r="C589" s="123"/>
      <c r="E589" s="123"/>
    </row>
    <row r="590" spans="3:5" ht="16.5">
      <c r="C590" s="123"/>
      <c r="E590" s="123"/>
    </row>
    <row r="591" spans="3:5" ht="16.5">
      <c r="C591" s="123"/>
      <c r="E591" s="123"/>
    </row>
    <row r="592" spans="3:5" ht="16.5">
      <c r="C592" s="123"/>
      <c r="E592" s="123"/>
    </row>
    <row r="593" spans="3:5" ht="16.5">
      <c r="C593" s="123"/>
      <c r="E593" s="123"/>
    </row>
    <row r="594" spans="3:5" ht="16.5">
      <c r="C594" s="123"/>
      <c r="E594" s="123"/>
    </row>
    <row r="595" spans="3:5" ht="16.5">
      <c r="C595" s="123"/>
      <c r="E595" s="123"/>
    </row>
    <row r="596" spans="3:5" ht="16.5">
      <c r="C596" s="123"/>
      <c r="E596" s="123"/>
    </row>
    <row r="597" spans="3:5" ht="16.5">
      <c r="C597" s="123"/>
      <c r="E597" s="123"/>
    </row>
    <row r="598" spans="3:5" ht="16.5">
      <c r="C598" s="123"/>
      <c r="E598" s="123"/>
    </row>
    <row r="599" spans="3:5" ht="16.5">
      <c r="C599" s="123"/>
      <c r="E599" s="123"/>
    </row>
    <row r="600" spans="3:5" ht="16.5">
      <c r="C600" s="123"/>
      <c r="E600" s="123"/>
    </row>
    <row r="601" spans="3:5" ht="16.5">
      <c r="C601" s="123"/>
      <c r="E601" s="123"/>
    </row>
    <row r="602" spans="3:5" ht="16.5">
      <c r="C602" s="123"/>
      <c r="E602" s="123"/>
    </row>
    <row r="603" spans="3:5" ht="16.5">
      <c r="C603" s="123"/>
      <c r="E603" s="123"/>
    </row>
    <row r="604" spans="3:5" ht="16.5">
      <c r="C604" s="123"/>
      <c r="E604" s="123"/>
    </row>
    <row r="605" spans="3:5" ht="16.5">
      <c r="C605" s="123"/>
      <c r="E605" s="123"/>
    </row>
    <row r="606" spans="3:5" ht="16.5">
      <c r="C606" s="123"/>
      <c r="E606" s="123"/>
    </row>
    <row r="607" spans="3:5" ht="16.5">
      <c r="C607" s="123"/>
      <c r="E607" s="123"/>
    </row>
    <row r="608" spans="3:5" ht="16.5">
      <c r="C608" s="123"/>
      <c r="E608" s="123"/>
    </row>
    <row r="609" spans="3:5" ht="16.5">
      <c r="C609" s="123"/>
      <c r="E609" s="123"/>
    </row>
    <row r="610" spans="3:5" ht="16.5">
      <c r="C610" s="123"/>
      <c r="E610" s="123"/>
    </row>
    <row r="611" spans="3:5" ht="16.5">
      <c r="C611" s="123"/>
      <c r="E611" s="123"/>
    </row>
    <row r="612" spans="3:5" ht="16.5">
      <c r="C612" s="123"/>
      <c r="E612" s="123"/>
    </row>
    <row r="613" spans="3:5" ht="16.5">
      <c r="C613" s="123"/>
      <c r="E613" s="123"/>
    </row>
    <row r="614" spans="3:5" ht="16.5">
      <c r="C614" s="123"/>
      <c r="E614" s="123"/>
    </row>
    <row r="615" spans="3:5" ht="16.5">
      <c r="C615" s="123"/>
      <c r="E615" s="123"/>
    </row>
    <row r="616" spans="3:5" ht="16.5">
      <c r="C616" s="123"/>
      <c r="E616" s="123"/>
    </row>
    <row r="617" spans="3:5" ht="16.5">
      <c r="C617" s="123"/>
      <c r="E617" s="123"/>
    </row>
    <row r="618" spans="3:5" ht="16.5">
      <c r="C618" s="123"/>
      <c r="E618" s="123"/>
    </row>
    <row r="619" spans="3:5" ht="16.5">
      <c r="C619" s="123"/>
      <c r="E619" s="123"/>
    </row>
    <row r="620" spans="3:5" ht="16.5">
      <c r="C620" s="123"/>
      <c r="E620" s="123"/>
    </row>
    <row r="621" spans="3:5" ht="16.5">
      <c r="C621" s="123"/>
      <c r="E621" s="123"/>
    </row>
    <row r="622" spans="3:5" ht="16.5">
      <c r="C622" s="123"/>
      <c r="E622" s="123"/>
    </row>
    <row r="623" spans="3:5" ht="16.5">
      <c r="C623" s="123"/>
      <c r="E623" s="123"/>
    </row>
    <row r="624" spans="3:5" ht="16.5">
      <c r="C624" s="123"/>
      <c r="E624" s="123"/>
    </row>
    <row r="625" spans="3:5" ht="16.5">
      <c r="C625" s="123"/>
      <c r="E625" s="123"/>
    </row>
    <row r="626" spans="3:5" ht="16.5">
      <c r="C626" s="123"/>
      <c r="E626" s="123"/>
    </row>
    <row r="627" spans="3:5" ht="16.5">
      <c r="C627" s="123"/>
      <c r="E627" s="123"/>
    </row>
    <row r="628" spans="3:5" ht="16.5">
      <c r="C628" s="123"/>
      <c r="E628" s="123"/>
    </row>
    <row r="629" spans="3:5" ht="16.5">
      <c r="C629" s="123"/>
      <c r="E629" s="123"/>
    </row>
    <row r="630" spans="3:5" ht="16.5">
      <c r="C630" s="123"/>
      <c r="E630" s="123"/>
    </row>
    <row r="631" spans="3:5" ht="16.5">
      <c r="C631" s="123"/>
      <c r="E631" s="123"/>
    </row>
    <row r="632" spans="3:5" ht="16.5">
      <c r="C632" s="123"/>
      <c r="E632" s="123"/>
    </row>
    <row r="633" spans="3:5" ht="16.5">
      <c r="C633" s="123"/>
      <c r="E633" s="123"/>
    </row>
    <row r="634" spans="3:5" ht="16.5">
      <c r="C634" s="123"/>
      <c r="E634" s="123"/>
    </row>
    <row r="635" spans="3:5" ht="16.5">
      <c r="C635" s="123"/>
      <c r="E635" s="123"/>
    </row>
    <row r="636" spans="3:5" ht="16.5">
      <c r="C636" s="123"/>
      <c r="E636" s="123"/>
    </row>
    <row r="637" spans="3:5" ht="16.5">
      <c r="C637" s="123"/>
      <c r="E637" s="123"/>
    </row>
    <row r="638" spans="3:5" ht="16.5">
      <c r="C638" s="123"/>
      <c r="E638" s="123"/>
    </row>
    <row r="639" spans="3:5" ht="16.5">
      <c r="C639" s="123"/>
      <c r="E639" s="123"/>
    </row>
    <row r="640" spans="3:5" ht="16.5">
      <c r="C640" s="123"/>
      <c r="E640" s="123"/>
    </row>
    <row r="641" spans="3:5" ht="16.5">
      <c r="C641" s="123"/>
      <c r="E641" s="123"/>
    </row>
    <row r="642" spans="3:5" ht="16.5">
      <c r="C642" s="123"/>
      <c r="E642" s="123"/>
    </row>
    <row r="643" spans="3:5" ht="16.5">
      <c r="C643" s="123"/>
      <c r="E643" s="123"/>
    </row>
    <row r="644" spans="3:5" ht="16.5">
      <c r="C644" s="123"/>
      <c r="E644" s="123"/>
    </row>
    <row r="645" spans="3:5" ht="16.5">
      <c r="C645" s="123"/>
      <c r="E645" s="123"/>
    </row>
    <row r="646" spans="3:5" ht="16.5">
      <c r="C646" s="123"/>
      <c r="E646" s="123"/>
    </row>
    <row r="647" spans="3:5" ht="16.5">
      <c r="C647" s="123"/>
      <c r="E647" s="123"/>
    </row>
    <row r="648" spans="3:5" ht="16.5">
      <c r="C648" s="123"/>
      <c r="E648" s="123"/>
    </row>
    <row r="649" spans="3:5" ht="16.5">
      <c r="C649" s="123"/>
      <c r="E649" s="123"/>
    </row>
    <row r="650" spans="3:5" ht="16.5">
      <c r="C650" s="123"/>
      <c r="E650" s="123"/>
    </row>
    <row r="651" spans="3:5" ht="16.5">
      <c r="C651" s="123"/>
      <c r="E651" s="123"/>
    </row>
    <row r="652" spans="3:5" ht="16.5">
      <c r="C652" s="123"/>
      <c r="E652" s="123"/>
    </row>
    <row r="653" spans="3:5" ht="16.5">
      <c r="C653" s="123"/>
      <c r="E653" s="123"/>
    </row>
    <row r="654" spans="3:5" ht="16.5">
      <c r="C654" s="123"/>
      <c r="E654" s="123"/>
    </row>
    <row r="655" spans="3:5" ht="16.5">
      <c r="C655" s="123"/>
      <c r="E655" s="123"/>
    </row>
    <row r="656" spans="3:5" ht="16.5">
      <c r="C656" s="123"/>
      <c r="E656" s="123"/>
    </row>
    <row r="657" spans="3:5" ht="16.5">
      <c r="C657" s="123"/>
      <c r="E657" s="123"/>
    </row>
    <row r="658" spans="3:5" ht="16.5">
      <c r="C658" s="123"/>
      <c r="E658" s="123"/>
    </row>
    <row r="659" spans="3:5" ht="16.5">
      <c r="C659" s="123"/>
      <c r="E659" s="123"/>
    </row>
    <row r="660" spans="3:5" ht="16.5">
      <c r="C660" s="123"/>
      <c r="E660" s="123"/>
    </row>
    <row r="661" spans="3:5" ht="16.5">
      <c r="C661" s="123"/>
      <c r="E661" s="123"/>
    </row>
    <row r="662" spans="3:5" ht="16.5">
      <c r="C662" s="123"/>
      <c r="E662" s="123"/>
    </row>
    <row r="663" spans="3:5" ht="16.5">
      <c r="C663" s="123"/>
      <c r="E663" s="123"/>
    </row>
    <row r="664" spans="3:5" ht="16.5">
      <c r="C664" s="123"/>
      <c r="E664" s="123"/>
    </row>
    <row r="665" spans="3:5" ht="16.5">
      <c r="C665" s="123"/>
      <c r="E665" s="123"/>
    </row>
    <row r="666" spans="3:5" ht="16.5">
      <c r="C666" s="123"/>
      <c r="E666" s="123"/>
    </row>
    <row r="667" spans="3:5" ht="16.5">
      <c r="C667" s="123"/>
      <c r="E667" s="123"/>
    </row>
    <row r="668" spans="3:5" ht="16.5">
      <c r="C668" s="123"/>
      <c r="E668" s="123"/>
    </row>
    <row r="669" spans="3:5" ht="16.5">
      <c r="C669" s="123"/>
      <c r="E669" s="123"/>
    </row>
    <row r="670" spans="3:5" ht="16.5">
      <c r="C670" s="123"/>
      <c r="E670" s="123"/>
    </row>
    <row r="671" spans="3:5" ht="16.5">
      <c r="C671" s="123"/>
      <c r="E671" s="123"/>
    </row>
    <row r="672" spans="3:5" ht="16.5">
      <c r="C672" s="123"/>
      <c r="E672" s="123"/>
    </row>
    <row r="673" spans="3:5" ht="16.5">
      <c r="C673" s="123"/>
      <c r="E673" s="123"/>
    </row>
    <row r="674" spans="3:5" ht="16.5">
      <c r="C674" s="123"/>
      <c r="E674" s="123"/>
    </row>
    <row r="675" spans="3:5" ht="16.5">
      <c r="C675" s="123"/>
      <c r="E675" s="123"/>
    </row>
    <row r="676" spans="3:5" ht="16.5">
      <c r="C676" s="123"/>
      <c r="E676" s="123"/>
    </row>
    <row r="677" spans="3:5" ht="16.5">
      <c r="C677" s="123"/>
      <c r="E677" s="123"/>
    </row>
    <row r="678" spans="3:5" ht="16.5">
      <c r="C678" s="123"/>
      <c r="E678" s="123"/>
    </row>
    <row r="679" spans="3:5" ht="16.5">
      <c r="C679" s="123"/>
      <c r="E679" s="123"/>
    </row>
    <row r="680" spans="3:5" ht="16.5">
      <c r="C680" s="123"/>
      <c r="E680" s="123"/>
    </row>
    <row r="681" spans="3:5" ht="16.5">
      <c r="C681" s="123"/>
      <c r="E681" s="123"/>
    </row>
    <row r="682" spans="3:5" ht="16.5">
      <c r="C682" s="123"/>
      <c r="E682" s="123"/>
    </row>
    <row r="683" spans="3:5" ht="16.5">
      <c r="C683" s="123"/>
      <c r="E683" s="123"/>
    </row>
    <row r="684" spans="3:5" ht="16.5">
      <c r="C684" s="123"/>
      <c r="E684" s="123"/>
    </row>
    <row r="685" spans="3:5" ht="16.5">
      <c r="C685" s="123"/>
      <c r="E685" s="123"/>
    </row>
    <row r="686" spans="3:5" ht="16.5">
      <c r="C686" s="123"/>
      <c r="E686" s="123"/>
    </row>
    <row r="687" spans="3:5" ht="16.5">
      <c r="C687" s="123"/>
      <c r="E687" s="123"/>
    </row>
    <row r="688" spans="3:5" ht="16.5">
      <c r="C688" s="123"/>
      <c r="E688" s="123"/>
    </row>
    <row r="689" spans="3:5" ht="16.5">
      <c r="C689" s="123"/>
      <c r="E689" s="123"/>
    </row>
    <row r="690" spans="3:5" ht="16.5">
      <c r="C690" s="123"/>
      <c r="E690" s="123"/>
    </row>
    <row r="691" spans="3:5" ht="16.5">
      <c r="C691" s="123"/>
      <c r="E691" s="123"/>
    </row>
    <row r="692" spans="3:5" ht="16.5">
      <c r="C692" s="123"/>
      <c r="E692" s="123"/>
    </row>
    <row r="693" spans="3:5" ht="16.5">
      <c r="C693" s="123"/>
      <c r="E693" s="123"/>
    </row>
    <row r="694" spans="3:5" ht="16.5">
      <c r="C694" s="123"/>
      <c r="E694" s="123"/>
    </row>
    <row r="695" spans="3:5" ht="16.5">
      <c r="C695" s="123"/>
      <c r="E695" s="123"/>
    </row>
    <row r="696" spans="3:5" ht="16.5">
      <c r="C696" s="123"/>
      <c r="E696" s="123"/>
    </row>
    <row r="697" spans="3:5" ht="16.5">
      <c r="C697" s="123"/>
      <c r="E697" s="123"/>
    </row>
    <row r="698" spans="3:5" ht="16.5">
      <c r="C698" s="123"/>
      <c r="E698" s="123"/>
    </row>
    <row r="699" spans="3:5" ht="16.5">
      <c r="C699" s="123"/>
      <c r="E699" s="123"/>
    </row>
    <row r="700" spans="3:5" ht="16.5">
      <c r="C700" s="123"/>
      <c r="E700" s="123"/>
    </row>
    <row r="701" spans="3:5" ht="16.5">
      <c r="C701" s="123"/>
      <c r="E701" s="123"/>
    </row>
    <row r="702" spans="3:5" ht="16.5">
      <c r="C702" s="123"/>
      <c r="E702" s="123"/>
    </row>
    <row r="703" spans="3:5" ht="16.5">
      <c r="C703" s="123"/>
      <c r="E703" s="123"/>
    </row>
    <row r="704" spans="3:5" ht="16.5">
      <c r="C704" s="123"/>
      <c r="E704" s="123"/>
    </row>
    <row r="705" spans="3:5" ht="16.5">
      <c r="C705" s="123"/>
      <c r="E705" s="123"/>
    </row>
    <row r="706" spans="3:5" ht="16.5">
      <c r="C706" s="123"/>
      <c r="E706" s="123"/>
    </row>
    <row r="707" spans="3:5" ht="16.5">
      <c r="C707" s="123"/>
      <c r="E707" s="123"/>
    </row>
    <row r="708" spans="3:5" ht="16.5">
      <c r="C708" s="123"/>
      <c r="E708" s="123"/>
    </row>
    <row r="709" spans="3:5" ht="16.5">
      <c r="C709" s="123"/>
      <c r="E709" s="123"/>
    </row>
    <row r="710" spans="3:5" ht="16.5">
      <c r="C710" s="123"/>
      <c r="E710" s="123"/>
    </row>
    <row r="711" spans="3:5" ht="16.5">
      <c r="C711" s="123"/>
      <c r="E711" s="123"/>
    </row>
    <row r="712" spans="3:5" ht="16.5">
      <c r="C712" s="123"/>
      <c r="E712" s="123"/>
    </row>
    <row r="713" spans="3:5" ht="16.5">
      <c r="C713" s="123"/>
      <c r="E713" s="123"/>
    </row>
    <row r="714" spans="3:5" ht="16.5">
      <c r="C714" s="123"/>
      <c r="E714" s="123"/>
    </row>
    <row r="715" spans="3:5" ht="16.5">
      <c r="C715" s="123"/>
      <c r="E715" s="123"/>
    </row>
    <row r="716" spans="3:5" ht="16.5">
      <c r="C716" s="123"/>
      <c r="E716" s="123"/>
    </row>
    <row r="717" spans="3:5" ht="16.5">
      <c r="C717" s="123"/>
      <c r="E717" s="123"/>
    </row>
    <row r="718" spans="3:5" ht="16.5">
      <c r="C718" s="123"/>
      <c r="E718" s="123"/>
    </row>
    <row r="719" spans="3:5" ht="16.5">
      <c r="C719" s="123"/>
      <c r="E719" s="123"/>
    </row>
    <row r="720" spans="3:5" ht="16.5">
      <c r="C720" s="123"/>
      <c r="E720" s="123"/>
    </row>
    <row r="721" spans="3:5" ht="16.5">
      <c r="C721" s="123"/>
      <c r="E721" s="123"/>
    </row>
    <row r="722" spans="3:5" ht="16.5">
      <c r="C722" s="123"/>
      <c r="E722" s="123"/>
    </row>
    <row r="723" spans="3:5" ht="16.5">
      <c r="C723" s="123"/>
      <c r="E723" s="123"/>
    </row>
    <row r="724" spans="3:5" ht="16.5">
      <c r="C724" s="123"/>
      <c r="E724" s="123"/>
    </row>
    <row r="725" spans="3:5" ht="16.5">
      <c r="C725" s="123"/>
      <c r="E725" s="123"/>
    </row>
    <row r="726" spans="3:5" ht="16.5">
      <c r="C726" s="123"/>
      <c r="E726" s="123"/>
    </row>
    <row r="727" spans="3:5" ht="16.5">
      <c r="C727" s="123"/>
      <c r="E727" s="123"/>
    </row>
    <row r="728" spans="3:5" ht="16.5">
      <c r="C728" s="123"/>
      <c r="E728" s="123"/>
    </row>
    <row r="729" spans="3:5" ht="16.5">
      <c r="C729" s="123"/>
      <c r="E729" s="123"/>
    </row>
    <row r="730" spans="3:5" ht="16.5">
      <c r="C730" s="123"/>
      <c r="E730" s="123"/>
    </row>
    <row r="731" spans="3:5" ht="16.5">
      <c r="C731" s="123"/>
      <c r="E731" s="123"/>
    </row>
    <row r="732" spans="3:5" ht="16.5">
      <c r="C732" s="123"/>
      <c r="E732" s="123"/>
    </row>
    <row r="733" spans="3:5" ht="16.5">
      <c r="C733" s="123"/>
      <c r="E733" s="123"/>
    </row>
    <row r="734" spans="3:5" ht="16.5">
      <c r="C734" s="123"/>
      <c r="E734" s="123"/>
    </row>
    <row r="735" spans="3:5" ht="16.5">
      <c r="C735" s="123"/>
      <c r="E735" s="123"/>
    </row>
    <row r="736" spans="3:5" ht="16.5">
      <c r="C736" s="123"/>
      <c r="E736" s="123"/>
    </row>
    <row r="737" spans="3:5" ht="16.5">
      <c r="C737" s="123"/>
      <c r="E737" s="123"/>
    </row>
    <row r="738" spans="3:5" ht="16.5">
      <c r="C738" s="123"/>
      <c r="E738" s="123"/>
    </row>
    <row r="739" spans="3:5" ht="16.5">
      <c r="C739" s="123"/>
      <c r="E739" s="123"/>
    </row>
    <row r="740" spans="3:5" ht="16.5">
      <c r="C740" s="123"/>
      <c r="E740" s="123"/>
    </row>
    <row r="741" spans="3:5" ht="16.5">
      <c r="C741" s="123"/>
      <c r="E741" s="123"/>
    </row>
    <row r="742" spans="3:5" ht="16.5">
      <c r="C742" s="123"/>
      <c r="E742" s="123"/>
    </row>
    <row r="743" spans="3:5" ht="16.5">
      <c r="C743" s="123"/>
      <c r="E743" s="123"/>
    </row>
    <row r="744" spans="3:5" ht="16.5">
      <c r="C744" s="123"/>
      <c r="E744" s="123"/>
    </row>
    <row r="745" spans="3:5" ht="16.5">
      <c r="C745" s="123"/>
      <c r="E745" s="123"/>
    </row>
    <row r="746" spans="3:5" ht="16.5">
      <c r="C746" s="123"/>
      <c r="E746" s="123"/>
    </row>
    <row r="747" spans="3:5" ht="16.5">
      <c r="C747" s="123"/>
      <c r="E747" s="123"/>
    </row>
    <row r="748" spans="3:5" ht="16.5">
      <c r="C748" s="123"/>
      <c r="E748" s="123"/>
    </row>
    <row r="749" spans="3:5" ht="16.5">
      <c r="C749" s="123"/>
      <c r="E749" s="123"/>
    </row>
    <row r="750" spans="3:5" ht="16.5">
      <c r="C750" s="123"/>
      <c r="E750" s="123"/>
    </row>
    <row r="751" spans="3:5" ht="16.5">
      <c r="C751" s="123"/>
      <c r="E751" s="123"/>
    </row>
    <row r="752" spans="3:5" ht="16.5">
      <c r="C752" s="123"/>
      <c r="E752" s="123"/>
    </row>
    <row r="753" spans="3:5" ht="16.5">
      <c r="C753" s="123"/>
      <c r="E753" s="123"/>
    </row>
    <row r="754" spans="3:5" ht="16.5">
      <c r="C754" s="123"/>
      <c r="E754" s="123"/>
    </row>
    <row r="755" spans="3:5" ht="16.5">
      <c r="C755" s="123"/>
      <c r="E755" s="123"/>
    </row>
    <row r="756" spans="3:5" ht="16.5">
      <c r="C756" s="123"/>
      <c r="E756" s="123"/>
    </row>
    <row r="757" spans="3:5" ht="16.5">
      <c r="C757" s="123"/>
      <c r="E757" s="123"/>
    </row>
    <row r="758" spans="3:5" ht="16.5">
      <c r="C758" s="123"/>
      <c r="E758" s="123"/>
    </row>
    <row r="759" spans="3:5" ht="16.5">
      <c r="C759" s="123"/>
      <c r="E759" s="123"/>
    </row>
    <row r="760" spans="3:5" ht="16.5">
      <c r="C760" s="123"/>
      <c r="E760" s="123"/>
    </row>
    <row r="761" spans="3:5" ht="16.5">
      <c r="C761" s="123"/>
      <c r="E761" s="123"/>
    </row>
    <row r="762" spans="3:5" ht="16.5">
      <c r="C762" s="123"/>
      <c r="E762" s="123"/>
    </row>
    <row r="763" spans="3:5" ht="16.5">
      <c r="C763" s="123"/>
      <c r="E763" s="123"/>
    </row>
    <row r="764" spans="3:5" ht="16.5">
      <c r="C764" s="123"/>
      <c r="E764" s="123"/>
    </row>
    <row r="765" spans="3:5" ht="16.5">
      <c r="C765" s="123"/>
      <c r="E765" s="123"/>
    </row>
    <row r="766" spans="3:5" ht="16.5">
      <c r="C766" s="123"/>
      <c r="E766" s="123"/>
    </row>
    <row r="767" spans="3:5" ht="16.5">
      <c r="C767" s="123"/>
      <c r="E767" s="123"/>
    </row>
    <row r="768" spans="3:5" ht="16.5">
      <c r="C768" s="123"/>
      <c r="E768" s="123"/>
    </row>
    <row r="769" spans="3:5" ht="16.5">
      <c r="C769" s="123"/>
      <c r="E769" s="123"/>
    </row>
    <row r="770" spans="3:5" ht="16.5">
      <c r="C770" s="123"/>
      <c r="E770" s="123"/>
    </row>
    <row r="771" spans="3:5" ht="16.5">
      <c r="C771" s="123"/>
      <c r="E771" s="123"/>
    </row>
    <row r="772" spans="3:5" ht="16.5">
      <c r="C772" s="123"/>
      <c r="E772" s="123"/>
    </row>
    <row r="773" spans="3:5" ht="16.5">
      <c r="C773" s="123"/>
      <c r="E773" s="123"/>
    </row>
    <row r="774" spans="3:5" ht="16.5">
      <c r="C774" s="123"/>
      <c r="E774" s="123"/>
    </row>
    <row r="775" spans="3:5" ht="16.5">
      <c r="C775" s="123"/>
      <c r="E775" s="123"/>
    </row>
    <row r="776" spans="3:5" ht="16.5">
      <c r="C776" s="123"/>
      <c r="E776" s="123"/>
    </row>
    <row r="777" spans="3:5" ht="16.5">
      <c r="C777" s="123"/>
      <c r="E777" s="123"/>
    </row>
    <row r="778" spans="3:5" ht="16.5">
      <c r="C778" s="123"/>
      <c r="E778" s="123"/>
    </row>
    <row r="779" spans="3:5" ht="16.5">
      <c r="C779" s="123"/>
      <c r="E779" s="123"/>
    </row>
    <row r="780" spans="3:5" ht="16.5">
      <c r="C780" s="123"/>
      <c r="E780" s="123"/>
    </row>
    <row r="781" spans="3:5" ht="16.5">
      <c r="C781" s="123"/>
      <c r="E781" s="123"/>
    </row>
    <row r="782" spans="3:5" ht="16.5">
      <c r="C782" s="123"/>
      <c r="E782" s="123"/>
    </row>
    <row r="783" spans="3:5" ht="16.5">
      <c r="C783" s="123"/>
      <c r="E783" s="123"/>
    </row>
    <row r="784" spans="3:5" ht="16.5">
      <c r="C784" s="123"/>
      <c r="E784" s="123"/>
    </row>
    <row r="785" spans="3:5" ht="16.5">
      <c r="C785" s="123"/>
      <c r="E785" s="123"/>
    </row>
    <row r="786" spans="3:5" ht="16.5">
      <c r="C786" s="123"/>
      <c r="E786" s="123"/>
    </row>
    <row r="787" spans="3:5" ht="16.5">
      <c r="C787" s="123"/>
      <c r="E787" s="123"/>
    </row>
    <row r="788" spans="3:5" ht="16.5">
      <c r="C788" s="123"/>
      <c r="E788" s="123"/>
    </row>
    <row r="789" spans="3:5" ht="16.5">
      <c r="C789" s="123"/>
      <c r="E789" s="123"/>
    </row>
    <row r="790" spans="3:5" ht="16.5">
      <c r="C790" s="123"/>
      <c r="E790" s="123"/>
    </row>
    <row r="791" spans="3:5" ht="16.5">
      <c r="C791" s="123"/>
      <c r="E791" s="123"/>
    </row>
    <row r="792" spans="3:5" ht="16.5">
      <c r="C792" s="123"/>
      <c r="E792" s="123"/>
    </row>
    <row r="793" spans="3:5" ht="16.5">
      <c r="C793" s="123"/>
      <c r="E793" s="123"/>
    </row>
    <row r="794" spans="3:5" ht="16.5">
      <c r="C794" s="123"/>
      <c r="E794" s="123"/>
    </row>
    <row r="795" spans="3:5" ht="16.5">
      <c r="C795" s="123"/>
      <c r="E795" s="123"/>
    </row>
    <row r="796" spans="3:5" ht="16.5">
      <c r="C796" s="123"/>
      <c r="E796" s="123"/>
    </row>
    <row r="797" spans="3:5" ht="16.5">
      <c r="C797" s="123"/>
      <c r="E797" s="123"/>
    </row>
    <row r="798" spans="3:5" ht="16.5">
      <c r="C798" s="123"/>
      <c r="E798" s="123"/>
    </row>
    <row r="799" spans="3:5" ht="16.5">
      <c r="C799" s="123"/>
      <c r="E799" s="123"/>
    </row>
    <row r="800" spans="3:5" ht="16.5">
      <c r="C800" s="123"/>
      <c r="E800" s="123"/>
    </row>
    <row r="801" spans="3:5" ht="16.5">
      <c r="C801" s="123"/>
      <c r="E801" s="123"/>
    </row>
    <row r="802" spans="3:5" ht="16.5">
      <c r="C802" s="123"/>
      <c r="E802" s="123"/>
    </row>
    <row r="803" spans="3:5" ht="16.5">
      <c r="C803" s="123"/>
      <c r="E803" s="123"/>
    </row>
    <row r="804" spans="3:5" ht="16.5">
      <c r="C804" s="123"/>
      <c r="E804" s="123"/>
    </row>
    <row r="805" spans="3:5" ht="16.5">
      <c r="C805" s="123"/>
      <c r="E805" s="123"/>
    </row>
    <row r="806" spans="3:5" ht="16.5">
      <c r="C806" s="123"/>
      <c r="E806" s="123"/>
    </row>
    <row r="807" spans="3:5" ht="16.5">
      <c r="C807" s="123"/>
      <c r="E807" s="123"/>
    </row>
    <row r="808" spans="3:5" ht="16.5">
      <c r="C808" s="123"/>
      <c r="E808" s="123"/>
    </row>
    <row r="809" spans="3:5" ht="16.5">
      <c r="C809" s="123"/>
      <c r="E809" s="123"/>
    </row>
    <row r="810" spans="3:5" ht="16.5">
      <c r="C810" s="123"/>
      <c r="E810" s="123"/>
    </row>
    <row r="811" spans="3:5" ht="16.5">
      <c r="C811" s="123"/>
      <c r="E811" s="123"/>
    </row>
    <row r="812" spans="3:5" ht="16.5">
      <c r="C812" s="123"/>
      <c r="E812" s="123"/>
    </row>
    <row r="813" spans="3:5" ht="16.5">
      <c r="C813" s="123"/>
      <c r="E813" s="123"/>
    </row>
    <row r="814" spans="3:5" ht="16.5">
      <c r="C814" s="123"/>
      <c r="E814" s="123"/>
    </row>
    <row r="815" spans="3:5" ht="16.5">
      <c r="C815" s="123"/>
      <c r="E815" s="123"/>
    </row>
    <row r="816" spans="3:5" ht="16.5">
      <c r="C816" s="123"/>
      <c r="E816" s="123"/>
    </row>
    <row r="817" spans="3:5" ht="16.5">
      <c r="C817" s="123"/>
      <c r="E817" s="123"/>
    </row>
    <row r="818" spans="3:5" ht="16.5">
      <c r="C818" s="123"/>
      <c r="E818" s="123"/>
    </row>
    <row r="819" spans="3:5" ht="16.5">
      <c r="C819" s="123"/>
      <c r="E819" s="123"/>
    </row>
    <row r="820" spans="3:5" ht="16.5">
      <c r="C820" s="123"/>
      <c r="E820" s="123"/>
    </row>
    <row r="821" spans="3:5" ht="16.5">
      <c r="C821" s="123"/>
      <c r="E821" s="123"/>
    </row>
    <row r="822" spans="3:5" ht="16.5">
      <c r="C822" s="123"/>
      <c r="E822" s="123"/>
    </row>
    <row r="823" spans="3:5" ht="16.5">
      <c r="C823" s="123"/>
      <c r="E823" s="123"/>
    </row>
    <row r="824" spans="3:5" ht="16.5">
      <c r="C824" s="123"/>
      <c r="E824" s="123"/>
    </row>
    <row r="825" spans="3:5" ht="16.5">
      <c r="C825" s="123"/>
      <c r="E825" s="123"/>
    </row>
    <row r="826" spans="3:5" ht="16.5">
      <c r="C826" s="123"/>
      <c r="E826" s="123"/>
    </row>
    <row r="827" spans="3:5" ht="16.5">
      <c r="C827" s="123"/>
      <c r="E827" s="123"/>
    </row>
    <row r="828" spans="3:5" ht="16.5">
      <c r="C828" s="123"/>
      <c r="E828" s="123"/>
    </row>
    <row r="829" spans="3:5" ht="16.5">
      <c r="C829" s="123"/>
      <c r="E829" s="123"/>
    </row>
    <row r="830" spans="3:5" ht="16.5">
      <c r="C830" s="123"/>
      <c r="E830" s="123"/>
    </row>
    <row r="831" spans="3:5" ht="16.5">
      <c r="C831" s="123"/>
      <c r="E831" s="123"/>
    </row>
    <row r="832" spans="3:5" ht="16.5">
      <c r="C832" s="123"/>
      <c r="E832" s="123"/>
    </row>
    <row r="833" spans="3:5" ht="16.5">
      <c r="C833" s="123"/>
      <c r="E833" s="123"/>
    </row>
    <row r="834" spans="3:5" ht="16.5">
      <c r="C834" s="123"/>
      <c r="E834" s="123"/>
    </row>
    <row r="835" spans="3:5" ht="16.5">
      <c r="C835" s="123"/>
      <c r="E835" s="123"/>
    </row>
    <row r="836" spans="3:5" ht="16.5">
      <c r="C836" s="123"/>
      <c r="E836" s="123"/>
    </row>
    <row r="837" spans="3:5" ht="16.5">
      <c r="C837" s="123"/>
      <c r="E837" s="123"/>
    </row>
    <row r="838" spans="3:5" ht="16.5">
      <c r="C838" s="123"/>
      <c r="E838" s="123"/>
    </row>
    <row r="839" spans="3:5" ht="16.5">
      <c r="C839" s="123"/>
      <c r="E839" s="123"/>
    </row>
    <row r="840" spans="3:5" ht="16.5">
      <c r="C840" s="123"/>
      <c r="E840" s="123"/>
    </row>
    <row r="841" spans="3:5" ht="16.5">
      <c r="C841" s="123"/>
      <c r="E841" s="123"/>
    </row>
    <row r="842" spans="3:5" ht="16.5">
      <c r="C842" s="123"/>
      <c r="E842" s="123"/>
    </row>
    <row r="843" spans="3:5" ht="16.5">
      <c r="C843" s="123"/>
      <c r="E843" s="123"/>
    </row>
    <row r="844" spans="3:5" ht="16.5">
      <c r="C844" s="123"/>
      <c r="E844" s="123"/>
    </row>
    <row r="845" spans="3:5" ht="16.5">
      <c r="C845" s="123"/>
      <c r="E845" s="123"/>
    </row>
    <row r="846" spans="3:5" ht="16.5">
      <c r="C846" s="123"/>
      <c r="E846" s="123"/>
    </row>
    <row r="847" spans="3:5" ht="16.5">
      <c r="C847" s="123"/>
      <c r="E847" s="123"/>
    </row>
    <row r="848" spans="3:5" ht="16.5">
      <c r="C848" s="123"/>
      <c r="E848" s="123"/>
    </row>
    <row r="849" spans="3:5" ht="16.5">
      <c r="C849" s="123"/>
      <c r="E849" s="123"/>
    </row>
    <row r="850" spans="3:5" ht="16.5">
      <c r="C850" s="123"/>
      <c r="E850" s="123"/>
    </row>
    <row r="851" spans="3:5" ht="16.5">
      <c r="C851" s="123"/>
      <c r="E851" s="123"/>
    </row>
    <row r="852" spans="3:5" ht="16.5">
      <c r="C852" s="123"/>
      <c r="E852" s="123"/>
    </row>
    <row r="853" spans="3:5" ht="16.5">
      <c r="C853" s="123"/>
      <c r="E853" s="123"/>
    </row>
    <row r="854" spans="3:5" ht="16.5">
      <c r="C854" s="123"/>
      <c r="E854" s="123"/>
    </row>
    <row r="855" spans="3:5" ht="16.5">
      <c r="C855" s="123"/>
      <c r="E855" s="123"/>
    </row>
    <row r="856" spans="3:5" ht="16.5">
      <c r="C856" s="123"/>
      <c r="E856" s="123"/>
    </row>
    <row r="857" spans="3:5" ht="16.5">
      <c r="C857" s="123"/>
      <c r="E857" s="123"/>
    </row>
    <row r="858" spans="3:5" ht="16.5">
      <c r="C858" s="123"/>
      <c r="E858" s="123"/>
    </row>
    <row r="859" spans="3:5" ht="16.5">
      <c r="C859" s="123"/>
      <c r="E859" s="123"/>
    </row>
    <row r="860" spans="3:5" ht="16.5">
      <c r="C860" s="123"/>
      <c r="E860" s="123"/>
    </row>
    <row r="861" spans="3:5" ht="16.5">
      <c r="C861" s="123"/>
      <c r="E861" s="123"/>
    </row>
    <row r="862" spans="3:5" ht="16.5">
      <c r="C862" s="123"/>
      <c r="E862" s="123"/>
    </row>
    <row r="863" spans="3:5" ht="16.5">
      <c r="C863" s="123"/>
      <c r="E863" s="123"/>
    </row>
    <row r="864" spans="3:5" ht="16.5">
      <c r="C864" s="123"/>
      <c r="E864" s="123"/>
    </row>
    <row r="865" spans="3:5" ht="16.5">
      <c r="C865" s="123"/>
      <c r="E865" s="123"/>
    </row>
    <row r="866" spans="3:5" ht="16.5">
      <c r="C866" s="123"/>
      <c r="E866" s="123"/>
    </row>
    <row r="867" spans="3:5" ht="16.5">
      <c r="C867" s="123"/>
      <c r="E867" s="123"/>
    </row>
    <row r="868" spans="3:5" ht="16.5">
      <c r="C868" s="123"/>
      <c r="E868" s="123"/>
    </row>
    <row r="869" spans="3:5" ht="16.5">
      <c r="C869" s="123"/>
      <c r="E869" s="123"/>
    </row>
    <row r="870" spans="3:5" ht="16.5">
      <c r="C870" s="123"/>
      <c r="E870" s="123"/>
    </row>
    <row r="871" spans="3:5" ht="16.5">
      <c r="C871" s="123"/>
      <c r="E871" s="123"/>
    </row>
    <row r="872" spans="3:5" ht="16.5">
      <c r="C872" s="123"/>
      <c r="E872" s="123"/>
    </row>
    <row r="873" spans="3:5" ht="16.5">
      <c r="C873" s="123"/>
      <c r="E873" s="123"/>
    </row>
    <row r="874" spans="3:5" ht="16.5">
      <c r="C874" s="123"/>
      <c r="E874" s="123"/>
    </row>
    <row r="875" spans="3:5" ht="16.5">
      <c r="C875" s="123"/>
      <c r="E875" s="123"/>
    </row>
    <row r="876" spans="3:5" ht="16.5">
      <c r="C876" s="123"/>
      <c r="E876" s="123"/>
    </row>
    <row r="877" spans="3:5" ht="16.5">
      <c r="C877" s="123"/>
      <c r="E877" s="123"/>
    </row>
    <row r="878" spans="3:5" ht="16.5">
      <c r="C878" s="123"/>
      <c r="E878" s="123"/>
    </row>
    <row r="879" spans="3:5" ht="16.5">
      <c r="C879" s="123"/>
      <c r="E879" s="123"/>
    </row>
    <row r="880" spans="3:5" ht="16.5">
      <c r="C880" s="123"/>
      <c r="E880" s="123"/>
    </row>
    <row r="881" spans="3:5" ht="16.5">
      <c r="C881" s="123"/>
      <c r="E881" s="123"/>
    </row>
    <row r="882" spans="3:5" ht="16.5">
      <c r="C882" s="123"/>
      <c r="E882" s="123"/>
    </row>
    <row r="883" spans="3:5" ht="16.5">
      <c r="C883" s="123"/>
      <c r="E883" s="123"/>
    </row>
    <row r="884" spans="3:5" ht="16.5">
      <c r="C884" s="123"/>
      <c r="E884" s="123"/>
    </row>
    <row r="885" spans="3:5" ht="16.5">
      <c r="C885" s="123"/>
      <c r="E885" s="123"/>
    </row>
    <row r="886" spans="3:5" ht="16.5">
      <c r="C886" s="123"/>
      <c r="E886" s="123"/>
    </row>
    <row r="887" spans="3:5" ht="16.5">
      <c r="C887" s="123"/>
      <c r="E887" s="123"/>
    </row>
    <row r="888" spans="3:5" ht="16.5">
      <c r="C888" s="123"/>
      <c r="E888" s="123"/>
    </row>
    <row r="889" spans="3:5" ht="16.5">
      <c r="C889" s="123"/>
      <c r="E889" s="123"/>
    </row>
    <row r="890" spans="3:5" ht="16.5">
      <c r="C890" s="123"/>
      <c r="E890" s="123"/>
    </row>
    <row r="891" spans="3:5" ht="16.5">
      <c r="C891" s="123"/>
      <c r="E891" s="123"/>
    </row>
    <row r="892" spans="3:5" ht="16.5">
      <c r="C892" s="123"/>
      <c r="E892" s="123"/>
    </row>
    <row r="893" spans="3:5" ht="16.5">
      <c r="C893" s="123"/>
      <c r="E893" s="123"/>
    </row>
    <row r="894" spans="3:5" ht="16.5">
      <c r="C894" s="123"/>
      <c r="E894" s="123"/>
    </row>
    <row r="895" spans="3:5" ht="16.5">
      <c r="C895" s="123"/>
      <c r="E895" s="123"/>
    </row>
    <row r="896" spans="3:5" ht="16.5">
      <c r="C896" s="123"/>
      <c r="E896" s="123"/>
    </row>
    <row r="897" spans="3:5" ht="16.5">
      <c r="C897" s="123"/>
      <c r="E897" s="123"/>
    </row>
    <row r="898" spans="3:5" ht="16.5">
      <c r="C898" s="123"/>
      <c r="E898" s="123"/>
    </row>
    <row r="899" spans="3:5" ht="16.5">
      <c r="C899" s="123"/>
      <c r="E899" s="123"/>
    </row>
    <row r="900" spans="3:5" ht="16.5">
      <c r="C900" s="123"/>
      <c r="E900" s="123"/>
    </row>
    <row r="901" spans="3:5" ht="16.5">
      <c r="C901" s="123"/>
      <c r="E901" s="123"/>
    </row>
    <row r="902" spans="3:5" ht="16.5">
      <c r="C902" s="123"/>
      <c r="E902" s="123"/>
    </row>
    <row r="903" spans="3:5" ht="16.5">
      <c r="C903" s="123"/>
      <c r="E903" s="123"/>
    </row>
    <row r="904" spans="3:5" ht="16.5">
      <c r="C904" s="123"/>
      <c r="E904" s="123"/>
    </row>
    <row r="905" spans="3:5" ht="16.5">
      <c r="C905" s="123"/>
      <c r="E905" s="123"/>
    </row>
    <row r="906" spans="3:5" ht="16.5">
      <c r="C906" s="123"/>
      <c r="E906" s="123"/>
    </row>
    <row r="907" spans="3:5" ht="16.5">
      <c r="C907" s="123"/>
      <c r="E907" s="123"/>
    </row>
    <row r="908" spans="3:5" ht="16.5">
      <c r="C908" s="123"/>
      <c r="E908" s="123"/>
    </row>
    <row r="909" spans="3:5" ht="16.5">
      <c r="C909" s="123"/>
      <c r="E909" s="123"/>
    </row>
    <row r="910" spans="3:5" ht="16.5">
      <c r="C910" s="123"/>
      <c r="E910" s="123"/>
    </row>
    <row r="911" spans="3:5" ht="16.5">
      <c r="C911" s="123"/>
      <c r="E911" s="123"/>
    </row>
    <row r="912" spans="3:5" ht="16.5">
      <c r="C912" s="123"/>
      <c r="E912" s="123"/>
    </row>
    <row r="913" spans="3:5" ht="16.5">
      <c r="C913" s="123"/>
      <c r="E913" s="123"/>
    </row>
    <row r="914" spans="3:5" ht="16.5">
      <c r="C914" s="123"/>
      <c r="E914" s="123"/>
    </row>
    <row r="915" spans="3:5" ht="16.5">
      <c r="C915" s="123"/>
      <c r="E915" s="123"/>
    </row>
    <row r="916" spans="3:5" ht="16.5">
      <c r="C916" s="123"/>
      <c r="E916" s="123"/>
    </row>
    <row r="917" spans="3:5" ht="16.5">
      <c r="C917" s="123"/>
      <c r="E917" s="123"/>
    </row>
    <row r="918" spans="3:5" ht="16.5">
      <c r="C918" s="123"/>
      <c r="E918" s="123"/>
    </row>
    <row r="919" spans="3:5" ht="16.5">
      <c r="C919" s="123"/>
      <c r="E919" s="123"/>
    </row>
    <row r="920" spans="3:5" ht="16.5">
      <c r="C920" s="123"/>
      <c r="E920" s="123"/>
    </row>
    <row r="921" spans="3:5" ht="16.5">
      <c r="C921" s="123"/>
      <c r="E921" s="123"/>
    </row>
    <row r="922" spans="3:5" ht="16.5">
      <c r="C922" s="123"/>
      <c r="E922" s="123"/>
    </row>
    <row r="923" spans="3:5" ht="16.5">
      <c r="C923" s="123"/>
      <c r="E923" s="123"/>
    </row>
    <row r="924" spans="3:5" ht="16.5">
      <c r="C924" s="123"/>
      <c r="E924" s="123"/>
    </row>
    <row r="925" spans="3:5" ht="16.5">
      <c r="C925" s="123"/>
      <c r="E925" s="123"/>
    </row>
    <row r="926" spans="3:5" ht="16.5">
      <c r="C926" s="123"/>
      <c r="E926" s="123"/>
    </row>
    <row r="927" spans="3:5" ht="16.5">
      <c r="C927" s="123"/>
      <c r="E927" s="123"/>
    </row>
    <row r="928" spans="3:5" ht="16.5">
      <c r="C928" s="123"/>
      <c r="E928" s="123"/>
    </row>
    <row r="929" spans="3:5" ht="16.5">
      <c r="C929" s="123"/>
      <c r="E929" s="123"/>
    </row>
    <row r="930" spans="3:5" ht="16.5">
      <c r="C930" s="123"/>
      <c r="E930" s="123"/>
    </row>
    <row r="931" spans="3:5" ht="16.5">
      <c r="C931" s="123"/>
      <c r="E931" s="123"/>
    </row>
    <row r="932" spans="3:5" ht="16.5">
      <c r="C932" s="123"/>
      <c r="E932" s="123"/>
    </row>
    <row r="933" spans="3:5" ht="16.5">
      <c r="C933" s="123"/>
      <c r="E933" s="123"/>
    </row>
    <row r="934" spans="3:5" ht="16.5">
      <c r="C934" s="123"/>
      <c r="E934" s="123"/>
    </row>
    <row r="935" spans="3:5" ht="16.5">
      <c r="C935" s="123"/>
      <c r="E935" s="123"/>
    </row>
    <row r="936" spans="3:5" ht="16.5">
      <c r="C936" s="123"/>
      <c r="E936" s="123"/>
    </row>
    <row r="937" spans="3:5" ht="16.5">
      <c r="C937" s="123"/>
      <c r="E937" s="123"/>
    </row>
    <row r="938" spans="3:5" ht="16.5">
      <c r="C938" s="123"/>
      <c r="E938" s="123"/>
    </row>
    <row r="939" spans="3:5" ht="16.5">
      <c r="C939" s="123"/>
      <c r="E939" s="123"/>
    </row>
    <row r="940" spans="3:5" ht="16.5">
      <c r="C940" s="123"/>
      <c r="E940" s="123"/>
    </row>
    <row r="941" spans="3:5" ht="16.5">
      <c r="C941" s="123"/>
      <c r="E941" s="123"/>
    </row>
    <row r="942" spans="3:5" ht="16.5">
      <c r="C942" s="123"/>
      <c r="E942" s="123"/>
    </row>
    <row r="943" spans="3:5" ht="16.5">
      <c r="C943" s="123"/>
      <c r="E943" s="123"/>
    </row>
    <row r="944" spans="3:5" ht="16.5">
      <c r="C944" s="123"/>
      <c r="E944" s="123"/>
    </row>
    <row r="945" spans="3:5" ht="16.5">
      <c r="C945" s="123"/>
      <c r="E945" s="123"/>
    </row>
    <row r="946" spans="3:5" ht="16.5">
      <c r="C946" s="123"/>
      <c r="E946" s="123"/>
    </row>
    <row r="947" spans="3:5" ht="16.5">
      <c r="C947" s="123"/>
      <c r="E947" s="123"/>
    </row>
    <row r="948" spans="3:5" ht="16.5">
      <c r="C948" s="123"/>
      <c r="E948" s="123"/>
    </row>
    <row r="949" spans="3:5" ht="16.5">
      <c r="C949" s="123"/>
      <c r="E949" s="123"/>
    </row>
    <row r="950" spans="3:5" ht="16.5">
      <c r="C950" s="123"/>
      <c r="E950" s="123"/>
    </row>
    <row r="951" spans="3:5" ht="16.5">
      <c r="C951" s="123"/>
      <c r="E951" s="123"/>
    </row>
    <row r="952" spans="3:5" ht="16.5">
      <c r="C952" s="123"/>
      <c r="E952" s="123"/>
    </row>
    <row r="953" spans="3:5" ht="16.5">
      <c r="C953" s="123"/>
      <c r="E953" s="123"/>
    </row>
    <row r="954" spans="3:5" ht="16.5">
      <c r="C954" s="123"/>
      <c r="E954" s="123"/>
    </row>
    <row r="955" spans="3:5" ht="16.5">
      <c r="C955" s="123"/>
      <c r="E955" s="123"/>
    </row>
    <row r="956" spans="3:5" ht="16.5">
      <c r="C956" s="123"/>
      <c r="E956" s="123"/>
    </row>
    <row r="957" spans="3:5" ht="16.5">
      <c r="C957" s="123"/>
      <c r="E957" s="123"/>
    </row>
    <row r="958" spans="3:5" ht="16.5">
      <c r="C958" s="123"/>
      <c r="E958" s="123"/>
    </row>
    <row r="959" spans="3:5" ht="16.5">
      <c r="C959" s="123"/>
      <c r="E959" s="123"/>
    </row>
    <row r="960" spans="3:5" ht="16.5">
      <c r="C960" s="123"/>
      <c r="E960" s="123"/>
    </row>
    <row r="961" spans="3:5" ht="16.5">
      <c r="C961" s="123"/>
      <c r="E961" s="123"/>
    </row>
    <row r="962" spans="3:5" ht="16.5">
      <c r="C962" s="123"/>
      <c r="E962" s="123"/>
    </row>
    <row r="963" spans="3:5" ht="16.5">
      <c r="C963" s="123"/>
      <c r="E963" s="123"/>
    </row>
    <row r="964" spans="3:5" ht="16.5">
      <c r="C964" s="123"/>
      <c r="E964" s="123"/>
    </row>
    <row r="965" spans="3:5" ht="16.5">
      <c r="C965" s="123"/>
      <c r="E965" s="123"/>
    </row>
    <row r="966" spans="3:5" ht="16.5">
      <c r="C966" s="123"/>
      <c r="E966" s="123"/>
    </row>
    <row r="967" spans="3:5" ht="16.5">
      <c r="C967" s="123"/>
      <c r="E967" s="123"/>
    </row>
    <row r="968" spans="3:5" ht="16.5">
      <c r="C968" s="123"/>
      <c r="E968" s="123"/>
    </row>
    <row r="969" spans="3:5" ht="16.5">
      <c r="C969" s="123"/>
      <c r="E969" s="123"/>
    </row>
    <row r="970" spans="3:5" ht="16.5">
      <c r="C970" s="123"/>
      <c r="E970" s="123"/>
    </row>
    <row r="971" spans="3:5" ht="16.5">
      <c r="C971" s="123"/>
      <c r="E971" s="123"/>
    </row>
    <row r="972" spans="3:5" ht="16.5">
      <c r="C972" s="123"/>
      <c r="E972" s="123"/>
    </row>
    <row r="973" spans="3:5" ht="16.5">
      <c r="C973" s="123"/>
      <c r="E973" s="123"/>
    </row>
    <row r="974" spans="3:5" ht="16.5">
      <c r="C974" s="123"/>
      <c r="E974" s="123"/>
    </row>
    <row r="975" spans="3:5" ht="16.5">
      <c r="C975" s="123"/>
      <c r="E975" s="123"/>
    </row>
    <row r="976" spans="3:5" ht="16.5">
      <c r="C976" s="123"/>
      <c r="E976" s="123"/>
    </row>
    <row r="977" spans="3:5" ht="16.5">
      <c r="C977" s="123"/>
      <c r="E977" s="123"/>
    </row>
    <row r="978" spans="3:5" ht="16.5">
      <c r="C978" s="123"/>
      <c r="E978" s="123"/>
    </row>
    <row r="979" spans="3:5" ht="16.5">
      <c r="C979" s="123"/>
      <c r="E979" s="123"/>
    </row>
    <row r="980" spans="3:5" ht="16.5">
      <c r="C980" s="123"/>
      <c r="E980" s="123"/>
    </row>
    <row r="981" spans="3:5" ht="16.5">
      <c r="C981" s="123"/>
      <c r="E981" s="123"/>
    </row>
    <row r="982" spans="3:5" ht="16.5">
      <c r="C982" s="123"/>
      <c r="E982" s="123"/>
    </row>
    <row r="983" spans="3:5" ht="16.5">
      <c r="C983" s="123"/>
      <c r="E983" s="123"/>
    </row>
    <row r="984" spans="3:5" ht="16.5">
      <c r="C984" s="123"/>
      <c r="E984" s="123"/>
    </row>
    <row r="985" spans="3:5" ht="16.5">
      <c r="C985" s="123"/>
      <c r="E985" s="123"/>
    </row>
    <row r="986" spans="3:5" ht="16.5">
      <c r="C986" s="123"/>
      <c r="E986" s="123"/>
    </row>
    <row r="987" spans="3:5" ht="16.5">
      <c r="C987" s="123"/>
      <c r="E987" s="123"/>
    </row>
    <row r="988" spans="3:5" ht="16.5">
      <c r="C988" s="123"/>
      <c r="E988" s="123"/>
    </row>
    <row r="989" spans="3:5" ht="16.5">
      <c r="C989" s="123"/>
      <c r="E989" s="123"/>
    </row>
    <row r="990" spans="3:5" ht="16.5">
      <c r="C990" s="123"/>
      <c r="E990" s="123"/>
    </row>
    <row r="991" spans="3:5" ht="16.5">
      <c r="C991" s="123"/>
      <c r="E991" s="123"/>
    </row>
    <row r="992" spans="3:5" ht="16.5">
      <c r="C992" s="123"/>
      <c r="E992" s="123"/>
    </row>
    <row r="993" spans="3:5" ht="16.5">
      <c r="C993" s="123"/>
      <c r="E993" s="123"/>
    </row>
    <row r="994" spans="3:5" ht="16.5">
      <c r="C994" s="123"/>
      <c r="E994" s="123"/>
    </row>
    <row r="995" spans="3:5" ht="16.5">
      <c r="C995" s="123"/>
      <c r="E995" s="123"/>
    </row>
    <row r="996" spans="3:5" ht="16.5">
      <c r="C996" s="123"/>
      <c r="E996" s="123"/>
    </row>
    <row r="997" spans="3:5" ht="16.5">
      <c r="C997" s="123"/>
      <c r="E997" s="123"/>
    </row>
    <row r="998" spans="3:5" ht="16.5">
      <c r="C998" s="123"/>
      <c r="E998" s="123"/>
    </row>
    <row r="999" spans="3:5" ht="16.5">
      <c r="C999" s="123"/>
      <c r="E999" s="123"/>
    </row>
    <row r="1000" spans="3:5" ht="16.5">
      <c r="C1000" s="123"/>
      <c r="E1000" s="123"/>
    </row>
    <row r="1001" spans="3:5" ht="16.5">
      <c r="C1001" s="123"/>
      <c r="E1001" s="123"/>
    </row>
    <row r="1002" spans="3:5" ht="16.5">
      <c r="C1002" s="123"/>
      <c r="E1002" s="123"/>
    </row>
    <row r="1003" spans="3:5" ht="16.5">
      <c r="C1003" s="123"/>
      <c r="E1003" s="123"/>
    </row>
    <row r="1004" spans="3:5" ht="16.5">
      <c r="C1004" s="123"/>
      <c r="E1004" s="123"/>
    </row>
    <row r="1005" spans="3:5" ht="16.5">
      <c r="C1005" s="123"/>
      <c r="E1005" s="123"/>
    </row>
    <row r="1006" spans="3:5" ht="16.5">
      <c r="C1006" s="123"/>
      <c r="E1006" s="123"/>
    </row>
    <row r="1007" spans="3:5" ht="16.5">
      <c r="C1007" s="123"/>
      <c r="E1007" s="123"/>
    </row>
    <row r="1008" spans="3:5" ht="16.5">
      <c r="C1008" s="123"/>
      <c r="E1008" s="123"/>
    </row>
    <row r="1009" spans="3:5" ht="16.5">
      <c r="C1009" s="123"/>
      <c r="E1009" s="123"/>
    </row>
    <row r="1010" spans="3:5" ht="16.5">
      <c r="C1010" s="123"/>
      <c r="E1010" s="123"/>
    </row>
    <row r="1011" spans="3:5" ht="16.5">
      <c r="C1011" s="123"/>
      <c r="E1011" s="123"/>
    </row>
    <row r="1012" spans="3:5" ht="16.5">
      <c r="C1012" s="123"/>
      <c r="E1012" s="123"/>
    </row>
    <row r="1013" spans="3:5" ht="16.5">
      <c r="C1013" s="123"/>
      <c r="E1013" s="123"/>
    </row>
    <row r="1014" spans="3:5" ht="16.5">
      <c r="C1014" s="123"/>
      <c r="E1014" s="123"/>
    </row>
    <row r="1015" spans="3:5" ht="16.5">
      <c r="C1015" s="123"/>
      <c r="E1015" s="123"/>
    </row>
    <row r="1016" spans="3:5" ht="16.5">
      <c r="C1016" s="123"/>
      <c r="E1016" s="123"/>
    </row>
    <row r="1017" spans="3:5" ht="16.5">
      <c r="C1017" s="123"/>
      <c r="E1017" s="123"/>
    </row>
    <row r="1018" spans="3:5" ht="16.5">
      <c r="C1018" s="123"/>
      <c r="E1018" s="123"/>
    </row>
    <row r="1019" spans="3:5" ht="16.5">
      <c r="C1019" s="123"/>
      <c r="E1019" s="123"/>
    </row>
    <row r="1020" spans="3:5" ht="16.5">
      <c r="C1020" s="123"/>
      <c r="E1020" s="123"/>
    </row>
    <row r="1021" spans="3:5" ht="16.5">
      <c r="C1021" s="123"/>
      <c r="E1021" s="123"/>
    </row>
    <row r="1022" spans="3:5" ht="16.5">
      <c r="C1022" s="123"/>
      <c r="E1022" s="123"/>
    </row>
    <row r="1023" spans="3:5" ht="16.5">
      <c r="C1023" s="123"/>
      <c r="E1023" s="123"/>
    </row>
    <row r="1024" spans="3:5" ht="16.5">
      <c r="C1024" s="123"/>
      <c r="E1024" s="123"/>
    </row>
    <row r="1025" spans="3:5" ht="16.5">
      <c r="C1025" s="123"/>
      <c r="E1025" s="123"/>
    </row>
    <row r="1026" spans="3:5" ht="16.5">
      <c r="C1026" s="123"/>
      <c r="E1026" s="123"/>
    </row>
    <row r="1027" spans="3:5" ht="16.5">
      <c r="C1027" s="123"/>
      <c r="E1027" s="123"/>
    </row>
    <row r="1028" spans="3:5" ht="16.5">
      <c r="C1028" s="123"/>
      <c r="E1028" s="123"/>
    </row>
    <row r="1029" spans="3:5" ht="16.5">
      <c r="C1029" s="123"/>
      <c r="E1029" s="123"/>
    </row>
    <row r="1030" spans="3:5" ht="16.5">
      <c r="C1030" s="123"/>
      <c r="E1030" s="123"/>
    </row>
    <row r="1031" spans="3:5" ht="16.5">
      <c r="C1031" s="123"/>
      <c r="E1031" s="123"/>
    </row>
    <row r="1032" spans="3:5" ht="16.5">
      <c r="C1032" s="123"/>
      <c r="E1032" s="123"/>
    </row>
    <row r="1033" spans="3:5" ht="16.5">
      <c r="C1033" s="123"/>
      <c r="E1033" s="123"/>
    </row>
    <row r="1034" spans="3:5" ht="16.5">
      <c r="C1034" s="123"/>
      <c r="E1034" s="123"/>
    </row>
    <row r="1035" spans="3:5" ht="16.5">
      <c r="C1035" s="123"/>
      <c r="E1035" s="123"/>
    </row>
    <row r="1036" spans="3:5" ht="16.5">
      <c r="C1036" s="123"/>
      <c r="E1036" s="123"/>
    </row>
    <row r="1037" spans="3:5" ht="16.5">
      <c r="C1037" s="123"/>
      <c r="E1037" s="123"/>
    </row>
    <row r="1038" spans="3:5" ht="16.5">
      <c r="C1038" s="123"/>
      <c r="E1038" s="123"/>
    </row>
    <row r="1039" spans="3:5" ht="16.5">
      <c r="C1039" s="123"/>
      <c r="E1039" s="123"/>
    </row>
    <row r="1040" spans="3:5" ht="16.5">
      <c r="C1040" s="123"/>
      <c r="E1040" s="123"/>
    </row>
    <row r="1041" spans="3:5" ht="16.5">
      <c r="C1041" s="123"/>
      <c r="E1041" s="123"/>
    </row>
    <row r="1042" spans="3:5" ht="16.5">
      <c r="C1042" s="123"/>
      <c r="E1042" s="123"/>
    </row>
    <row r="1043" spans="3:5" ht="16.5">
      <c r="C1043" s="123"/>
      <c r="E1043" s="123"/>
    </row>
    <row r="1044" spans="3:5" ht="16.5">
      <c r="C1044" s="123"/>
      <c r="E1044" s="123"/>
    </row>
    <row r="1045" spans="3:5" ht="16.5">
      <c r="C1045" s="123"/>
      <c r="E1045" s="123"/>
    </row>
    <row r="1046" spans="3:5" ht="16.5">
      <c r="C1046" s="123"/>
      <c r="E1046" s="123"/>
    </row>
    <row r="1047" spans="3:5" ht="16.5">
      <c r="C1047" s="123"/>
      <c r="E1047" s="123"/>
    </row>
    <row r="1048" spans="3:5" ht="16.5">
      <c r="C1048" s="123"/>
      <c r="E1048" s="123"/>
    </row>
    <row r="1049" spans="3:5" ht="16.5">
      <c r="C1049" s="123"/>
      <c r="E1049" s="123"/>
    </row>
    <row r="1050" spans="3:5" ht="16.5">
      <c r="C1050" s="123"/>
      <c r="E1050" s="123"/>
    </row>
    <row r="1051" spans="3:5" ht="16.5">
      <c r="C1051" s="123"/>
      <c r="E1051" s="123"/>
    </row>
    <row r="1052" spans="3:5" ht="16.5">
      <c r="C1052" s="123"/>
      <c r="E1052" s="123"/>
    </row>
    <row r="1053" spans="3:5" ht="16.5">
      <c r="C1053" s="123"/>
      <c r="E1053" s="123"/>
    </row>
    <row r="1054" spans="3:5" ht="16.5">
      <c r="C1054" s="123"/>
      <c r="E1054" s="123"/>
    </row>
    <row r="1055" spans="3:5" ht="16.5">
      <c r="C1055" s="123"/>
      <c r="E1055" s="123"/>
    </row>
    <row r="1056" spans="3:5" ht="16.5">
      <c r="C1056" s="123"/>
      <c r="E1056" s="123"/>
    </row>
    <row r="1057" spans="3:5" ht="16.5">
      <c r="C1057" s="123"/>
      <c r="E1057" s="123"/>
    </row>
    <row r="1058" spans="3:5" ht="16.5">
      <c r="C1058" s="123"/>
      <c r="E1058" s="123"/>
    </row>
    <row r="1059" spans="3:5" ht="16.5">
      <c r="C1059" s="123"/>
      <c r="E1059" s="123"/>
    </row>
    <row r="1060" spans="3:5" ht="16.5">
      <c r="C1060" s="123"/>
      <c r="E1060" s="123"/>
    </row>
    <row r="1061" spans="3:5" ht="16.5">
      <c r="C1061" s="123"/>
      <c r="E1061" s="123"/>
    </row>
    <row r="1062" spans="3:5" ht="16.5">
      <c r="C1062" s="123"/>
      <c r="E1062" s="123"/>
    </row>
    <row r="1063" spans="3:5" ht="16.5">
      <c r="C1063" s="123"/>
      <c r="E1063" s="123"/>
    </row>
    <row r="1064" spans="3:5" ht="16.5">
      <c r="C1064" s="123"/>
      <c r="E1064" s="123"/>
    </row>
    <row r="1065" spans="3:5" ht="16.5">
      <c r="C1065" s="123"/>
      <c r="E1065" s="123"/>
    </row>
    <row r="1066" spans="3:5" ht="16.5">
      <c r="C1066" s="123"/>
      <c r="E1066" s="123"/>
    </row>
    <row r="1067" spans="3:5" ht="16.5">
      <c r="C1067" s="123"/>
      <c r="E1067" s="123"/>
    </row>
    <row r="1068" spans="3:5" ht="16.5">
      <c r="C1068" s="123"/>
      <c r="E1068" s="123"/>
    </row>
    <row r="1069" spans="3:5" ht="16.5">
      <c r="C1069" s="123"/>
      <c r="E1069" s="123"/>
    </row>
    <row r="1070" spans="3:5" ht="16.5">
      <c r="C1070" s="123"/>
      <c r="E1070" s="123"/>
    </row>
    <row r="1071" spans="3:5" ht="16.5">
      <c r="C1071" s="123"/>
      <c r="E1071" s="123"/>
    </row>
    <row r="1072" spans="3:5" ht="16.5">
      <c r="C1072" s="123"/>
      <c r="E1072" s="123"/>
    </row>
    <row r="1073" spans="3:5" ht="16.5">
      <c r="C1073" s="123"/>
      <c r="E1073" s="123"/>
    </row>
    <row r="1074" spans="3:5" ht="16.5">
      <c r="C1074" s="123"/>
      <c r="E1074" s="123"/>
    </row>
    <row r="1075" spans="3:5" ht="16.5">
      <c r="C1075" s="123"/>
      <c r="E1075" s="123"/>
    </row>
    <row r="1076" spans="3:5" ht="16.5">
      <c r="C1076" s="123"/>
      <c r="E1076" s="123"/>
    </row>
    <row r="1077" spans="3:5" ht="16.5">
      <c r="C1077" s="123"/>
      <c r="E1077" s="123"/>
    </row>
    <row r="1078" spans="3:5" ht="16.5">
      <c r="C1078" s="123"/>
      <c r="E1078" s="123"/>
    </row>
    <row r="1079" spans="3:5" ht="16.5">
      <c r="C1079" s="123"/>
      <c r="E1079" s="123"/>
    </row>
    <row r="1080" spans="3:5" ht="16.5">
      <c r="C1080" s="123"/>
      <c r="E1080" s="123"/>
    </row>
    <row r="1081" spans="3:5" ht="16.5">
      <c r="C1081" s="123"/>
      <c r="E1081" s="123"/>
    </row>
    <row r="1082" spans="3:5" ht="16.5">
      <c r="C1082" s="123"/>
      <c r="E1082" s="123"/>
    </row>
    <row r="1083" spans="3:5" ht="16.5">
      <c r="C1083" s="123"/>
      <c r="E1083" s="123"/>
    </row>
    <row r="1084" spans="3:5" ht="16.5">
      <c r="C1084" s="123"/>
      <c r="E1084" s="123"/>
    </row>
    <row r="1085" spans="3:5" ht="16.5">
      <c r="C1085" s="123"/>
      <c r="E1085" s="123"/>
    </row>
    <row r="1086" spans="3:5" ht="16.5">
      <c r="C1086" s="123"/>
      <c r="E1086" s="123"/>
    </row>
    <row r="1087" spans="3:5" ht="16.5">
      <c r="C1087" s="123"/>
      <c r="E1087" s="123"/>
    </row>
    <row r="1088" spans="3:5" ht="16.5">
      <c r="C1088" s="123"/>
      <c r="E1088" s="123"/>
    </row>
    <row r="1089" spans="3:5" ht="16.5">
      <c r="C1089" s="123"/>
      <c r="E1089" s="123"/>
    </row>
    <row r="1090" spans="3:5" ht="16.5">
      <c r="C1090" s="123"/>
      <c r="E1090" s="123"/>
    </row>
    <row r="1091" spans="3:5" ht="16.5">
      <c r="C1091" s="123"/>
      <c r="E1091" s="123"/>
    </row>
    <row r="1092" spans="3:5" ht="16.5">
      <c r="C1092" s="123"/>
      <c r="E1092" s="123"/>
    </row>
    <row r="1093" spans="3:5" ht="16.5">
      <c r="C1093" s="123"/>
      <c r="E1093" s="123"/>
    </row>
    <row r="1094" spans="3:5" ht="16.5">
      <c r="C1094" s="123"/>
      <c r="E1094" s="123"/>
    </row>
    <row r="1095" spans="3:5" ht="16.5">
      <c r="C1095" s="123"/>
      <c r="E1095" s="123"/>
    </row>
    <row r="1096" spans="3:5" ht="16.5">
      <c r="C1096" s="123"/>
      <c r="E1096" s="123"/>
    </row>
    <row r="1097" spans="3:5" ht="16.5">
      <c r="C1097" s="123"/>
      <c r="E1097" s="123"/>
    </row>
    <row r="1098" spans="3:5" ht="16.5">
      <c r="C1098" s="123"/>
      <c r="E1098" s="123"/>
    </row>
    <row r="1099" spans="3:5" ht="16.5">
      <c r="C1099" s="123"/>
      <c r="E1099" s="123"/>
    </row>
    <row r="1100" spans="3:5" ht="16.5">
      <c r="C1100" s="123"/>
      <c r="E1100" s="123"/>
    </row>
    <row r="1101" spans="3:5" ht="16.5">
      <c r="C1101" s="123"/>
      <c r="E1101" s="123"/>
    </row>
    <row r="1102" spans="3:5" ht="16.5">
      <c r="C1102" s="123"/>
      <c r="E1102" s="123"/>
    </row>
    <row r="1103" spans="3:5" ht="16.5">
      <c r="C1103" s="123"/>
      <c r="E1103" s="123"/>
    </row>
    <row r="1104" spans="3:5" ht="16.5">
      <c r="C1104" s="123"/>
      <c r="E1104" s="123"/>
    </row>
    <row r="1105" spans="3:5" ht="16.5">
      <c r="C1105" s="123"/>
      <c r="E1105" s="123"/>
    </row>
    <row r="1106" spans="3:5" ht="16.5">
      <c r="C1106" s="123"/>
      <c r="E1106" s="123"/>
    </row>
    <row r="1107" spans="3:5" ht="16.5">
      <c r="C1107" s="123"/>
      <c r="E1107" s="123"/>
    </row>
    <row r="1108" spans="3:5" ht="16.5">
      <c r="C1108" s="123"/>
      <c r="E1108" s="123"/>
    </row>
    <row r="1109" spans="3:5" ht="16.5">
      <c r="C1109" s="123"/>
      <c r="E1109" s="123"/>
    </row>
    <row r="1110" spans="3:5" ht="16.5">
      <c r="C1110" s="123"/>
      <c r="E1110" s="123"/>
    </row>
    <row r="1111" spans="3:5" ht="16.5">
      <c r="C1111" s="123"/>
      <c r="E1111" s="123"/>
    </row>
    <row r="1112" spans="3:5" ht="16.5">
      <c r="C1112" s="123"/>
      <c r="E1112" s="123"/>
    </row>
    <row r="1113" spans="3:5" ht="16.5">
      <c r="C1113" s="123"/>
      <c r="E1113" s="123"/>
    </row>
    <row r="1114" spans="3:5" ht="16.5">
      <c r="C1114" s="123"/>
      <c r="E1114" s="123"/>
    </row>
    <row r="1115" spans="3:5" ht="16.5">
      <c r="C1115" s="123"/>
      <c r="E1115" s="123"/>
    </row>
    <row r="1116" spans="3:5" ht="16.5">
      <c r="C1116" s="123"/>
      <c r="E1116" s="123"/>
    </row>
    <row r="1117" spans="3:5" ht="16.5">
      <c r="C1117" s="123"/>
      <c r="E1117" s="123"/>
    </row>
    <row r="1118" spans="3:5" ht="16.5">
      <c r="C1118" s="123"/>
      <c r="E1118" s="123"/>
    </row>
    <row r="1119" spans="3:5" ht="16.5">
      <c r="C1119" s="123"/>
      <c r="E1119" s="123"/>
    </row>
    <row r="1120" spans="3:5" ht="16.5">
      <c r="C1120" s="123"/>
      <c r="E1120" s="123"/>
    </row>
    <row r="1121" spans="3:5" ht="16.5">
      <c r="C1121" s="123"/>
      <c r="E1121" s="123"/>
    </row>
    <row r="1122" spans="3:5" ht="16.5">
      <c r="C1122" s="123"/>
      <c r="E1122" s="123"/>
    </row>
    <row r="1123" spans="3:5" ht="16.5">
      <c r="C1123" s="123"/>
      <c r="E1123" s="123"/>
    </row>
    <row r="1124" spans="3:5" ht="16.5">
      <c r="C1124" s="123"/>
      <c r="E1124" s="123"/>
    </row>
    <row r="1125" spans="3:5" ht="16.5">
      <c r="C1125" s="123"/>
      <c r="E1125" s="123"/>
    </row>
    <row r="1126" spans="3:5" ht="16.5">
      <c r="C1126" s="123"/>
      <c r="E1126" s="123"/>
    </row>
    <row r="1127" spans="3:5" ht="16.5">
      <c r="C1127" s="123"/>
      <c r="E1127" s="123"/>
    </row>
    <row r="1128" spans="3:5" ht="16.5">
      <c r="C1128" s="123"/>
      <c r="E1128" s="123"/>
    </row>
    <row r="1129" spans="3:5" ht="16.5">
      <c r="C1129" s="123"/>
      <c r="E1129" s="123"/>
    </row>
    <row r="1130" spans="3:5" ht="16.5">
      <c r="C1130" s="123"/>
      <c r="E1130" s="123"/>
    </row>
    <row r="1131" spans="3:5" ht="16.5">
      <c r="C1131" s="123"/>
      <c r="E1131" s="123"/>
    </row>
    <row r="1132" spans="3:5" ht="16.5">
      <c r="C1132" s="123"/>
      <c r="E1132" s="123"/>
    </row>
    <row r="1133" spans="3:5" ht="16.5">
      <c r="C1133" s="123"/>
      <c r="E1133" s="123"/>
    </row>
    <row r="1134" spans="3:5" ht="16.5">
      <c r="C1134" s="123"/>
      <c r="E1134" s="123"/>
    </row>
    <row r="1135" spans="3:5" ht="16.5">
      <c r="C1135" s="123"/>
      <c r="E1135" s="123"/>
    </row>
    <row r="1136" spans="3:5" ht="16.5">
      <c r="C1136" s="123"/>
      <c r="E1136" s="123"/>
    </row>
    <row r="1137" spans="3:5" ht="16.5">
      <c r="C1137" s="123"/>
      <c r="E1137" s="123"/>
    </row>
    <row r="1138" spans="3:5" ht="16.5">
      <c r="C1138" s="123"/>
      <c r="E1138" s="123"/>
    </row>
    <row r="1139" spans="3:5" ht="16.5">
      <c r="C1139" s="123"/>
      <c r="E1139" s="123"/>
    </row>
    <row r="1140" spans="3:5" ht="16.5">
      <c r="C1140" s="123"/>
      <c r="E1140" s="123"/>
    </row>
    <row r="1141" spans="3:5" ht="16.5">
      <c r="C1141" s="123"/>
      <c r="E1141" s="123"/>
    </row>
    <row r="1142" spans="3:5" ht="16.5">
      <c r="C1142" s="123"/>
      <c r="E1142" s="123"/>
    </row>
    <row r="1143" spans="3:5" ht="16.5">
      <c r="C1143" s="123"/>
      <c r="E1143" s="123"/>
    </row>
    <row r="1144" spans="3:5" ht="16.5">
      <c r="C1144" s="123"/>
      <c r="E1144" s="123"/>
    </row>
    <row r="1145" spans="3:5" ht="16.5">
      <c r="C1145" s="123"/>
      <c r="E1145" s="123"/>
    </row>
    <row r="1146" spans="3:5" ht="16.5">
      <c r="C1146" s="123"/>
      <c r="E1146" s="123"/>
    </row>
    <row r="1147" spans="3:5" ht="16.5">
      <c r="C1147" s="123"/>
      <c r="E1147" s="123"/>
    </row>
    <row r="1148" spans="3:5" ht="16.5">
      <c r="C1148" s="123"/>
      <c r="E1148" s="123"/>
    </row>
    <row r="1149" spans="3:5" ht="16.5">
      <c r="C1149" s="123"/>
      <c r="E1149" s="123"/>
    </row>
    <row r="1150" spans="3:5" ht="16.5">
      <c r="C1150" s="123"/>
      <c r="E1150" s="123"/>
    </row>
    <row r="1151" spans="3:5" ht="16.5">
      <c r="C1151" s="123"/>
      <c r="E1151" s="123"/>
    </row>
    <row r="1152" spans="3:5" ht="16.5">
      <c r="C1152" s="123"/>
      <c r="E1152" s="123"/>
    </row>
    <row r="1153" spans="3:5" ht="16.5">
      <c r="C1153" s="123"/>
      <c r="E1153" s="123"/>
    </row>
    <row r="1154" spans="3:5" ht="16.5">
      <c r="C1154" s="123"/>
      <c r="E1154" s="123"/>
    </row>
    <row r="1155" spans="3:5" ht="16.5">
      <c r="C1155" s="123"/>
      <c r="E1155" s="123"/>
    </row>
    <row r="1156" spans="3:5" ht="16.5">
      <c r="C1156" s="123"/>
      <c r="E1156" s="123"/>
    </row>
    <row r="1157" spans="3:5" ht="16.5">
      <c r="C1157" s="123"/>
      <c r="E1157" s="123"/>
    </row>
    <row r="1158" spans="3:5" ht="16.5">
      <c r="C1158" s="123"/>
      <c r="E1158" s="123"/>
    </row>
    <row r="1159" spans="3:5" ht="16.5">
      <c r="C1159" s="123"/>
      <c r="E1159" s="123"/>
    </row>
    <row r="1160" spans="3:5" ht="16.5">
      <c r="C1160" s="123"/>
      <c r="E1160" s="123"/>
    </row>
    <row r="1161" spans="3:5" ht="16.5">
      <c r="C1161" s="123"/>
      <c r="E1161" s="123"/>
    </row>
    <row r="1162" spans="3:5" ht="16.5">
      <c r="C1162" s="123"/>
      <c r="E1162" s="123"/>
    </row>
    <row r="1163" spans="3:5" ht="16.5">
      <c r="C1163" s="123"/>
      <c r="E1163" s="123"/>
    </row>
    <row r="1164" spans="3:5" ht="16.5">
      <c r="C1164" s="123"/>
      <c r="E1164" s="123"/>
    </row>
    <row r="1165" spans="3:5" ht="16.5">
      <c r="C1165" s="123"/>
      <c r="E1165" s="123"/>
    </row>
    <row r="1166" spans="3:5" ht="16.5">
      <c r="C1166" s="123"/>
      <c r="E1166" s="123"/>
    </row>
    <row r="1167" spans="3:5" ht="16.5">
      <c r="C1167" s="123"/>
      <c r="E1167" s="123"/>
    </row>
    <row r="1168" spans="3:5" ht="16.5">
      <c r="C1168" s="123"/>
      <c r="E1168" s="123"/>
    </row>
    <row r="1169" spans="3:5" ht="16.5">
      <c r="C1169" s="123"/>
      <c r="E1169" s="123"/>
    </row>
    <row r="1170" spans="3:5" ht="16.5">
      <c r="C1170" s="123"/>
      <c r="E1170" s="123"/>
    </row>
    <row r="1171" spans="3:5" ht="16.5">
      <c r="C1171" s="123"/>
      <c r="E1171" s="123"/>
    </row>
    <row r="1172" spans="3:5" ht="16.5">
      <c r="C1172" s="123"/>
      <c r="E1172" s="123"/>
    </row>
    <row r="1173" spans="3:5" ht="16.5">
      <c r="C1173" s="123"/>
      <c r="E1173" s="123"/>
    </row>
    <row r="1174" spans="3:5" ht="16.5">
      <c r="C1174" s="123"/>
      <c r="E1174" s="123"/>
    </row>
    <row r="1175" spans="3:5" ht="16.5">
      <c r="C1175" s="123"/>
      <c r="E1175" s="123"/>
    </row>
    <row r="1176" spans="3:5" ht="16.5">
      <c r="C1176" s="123"/>
      <c r="E1176" s="123"/>
    </row>
    <row r="1177" spans="3:5" ht="16.5">
      <c r="C1177" s="123"/>
      <c r="E1177" s="123"/>
    </row>
    <row r="1178" spans="3:5" ht="16.5">
      <c r="C1178" s="123"/>
      <c r="E1178" s="123"/>
    </row>
    <row r="1179" spans="3:5" ht="16.5">
      <c r="C1179" s="123"/>
      <c r="E1179" s="123"/>
    </row>
    <row r="1180" spans="3:5" ht="16.5">
      <c r="C1180" s="123"/>
      <c r="E1180" s="123"/>
    </row>
    <row r="1181" spans="3:5" ht="16.5">
      <c r="C1181" s="123"/>
      <c r="E1181" s="123"/>
    </row>
    <row r="1182" spans="3:5" ht="16.5">
      <c r="C1182" s="123"/>
      <c r="E1182" s="123"/>
    </row>
    <row r="1183" spans="3:5" ht="16.5">
      <c r="C1183" s="123"/>
      <c r="E1183" s="123"/>
    </row>
    <row r="1184" spans="3:5" ht="16.5">
      <c r="C1184" s="123"/>
      <c r="E1184" s="123"/>
    </row>
    <row r="1185" spans="3:5" ht="16.5">
      <c r="C1185" s="123"/>
      <c r="E1185" s="123"/>
    </row>
    <row r="1186" spans="3:5" ht="16.5">
      <c r="C1186" s="123"/>
      <c r="E1186" s="123"/>
    </row>
    <row r="1187" spans="3:5" ht="16.5">
      <c r="C1187" s="123"/>
      <c r="E1187" s="123"/>
    </row>
    <row r="1188" spans="3:5" ht="16.5">
      <c r="C1188" s="123"/>
      <c r="E1188" s="123"/>
    </row>
    <row r="1189" spans="3:5" ht="16.5">
      <c r="C1189" s="123"/>
      <c r="E1189" s="123"/>
    </row>
    <row r="1190" spans="3:5" ht="16.5">
      <c r="C1190" s="123"/>
      <c r="E1190" s="123"/>
    </row>
    <row r="1191" spans="3:5" ht="16.5">
      <c r="C1191" s="123"/>
      <c r="E1191" s="123"/>
    </row>
    <row r="1192" spans="3:5" ht="16.5">
      <c r="C1192" s="123"/>
      <c r="E1192" s="123"/>
    </row>
    <row r="1193" spans="3:5" ht="16.5">
      <c r="C1193" s="123"/>
      <c r="E1193" s="123"/>
    </row>
    <row r="1194" spans="3:5" ht="16.5">
      <c r="C1194" s="123"/>
      <c r="E1194" s="123"/>
    </row>
    <row r="1195" spans="3:5" ht="16.5">
      <c r="C1195" s="123"/>
      <c r="E1195" s="123"/>
    </row>
    <row r="1196" spans="3:5" ht="16.5">
      <c r="C1196" s="123"/>
      <c r="E1196" s="123"/>
    </row>
    <row r="1197" spans="3:5" ht="16.5">
      <c r="C1197" s="123"/>
      <c r="E1197" s="123"/>
    </row>
    <row r="1198" spans="3:5" ht="16.5">
      <c r="C1198" s="123"/>
      <c r="E1198" s="123"/>
    </row>
    <row r="1199" spans="3:5" ht="16.5">
      <c r="C1199" s="123"/>
      <c r="E1199" s="123"/>
    </row>
    <row r="1200" spans="3:5" ht="16.5">
      <c r="C1200" s="123"/>
      <c r="E1200" s="123"/>
    </row>
    <row r="1201" spans="3:5" ht="16.5">
      <c r="C1201" s="123"/>
      <c r="E1201" s="123"/>
    </row>
    <row r="1202" spans="3:5" ht="16.5">
      <c r="C1202" s="123"/>
      <c r="E1202" s="123"/>
    </row>
    <row r="1203" spans="3:5" ht="16.5">
      <c r="C1203" s="123"/>
      <c r="E1203" s="123"/>
    </row>
    <row r="1204" spans="3:5" ht="16.5">
      <c r="C1204" s="123"/>
      <c r="E1204" s="123"/>
    </row>
    <row r="1205" spans="3:5" ht="16.5">
      <c r="C1205" s="123"/>
      <c r="E1205" s="123"/>
    </row>
    <row r="1206" spans="3:5" ht="16.5">
      <c r="C1206" s="123"/>
      <c r="E1206" s="123"/>
    </row>
    <row r="1207" spans="3:5" ht="16.5">
      <c r="C1207" s="123"/>
      <c r="E1207" s="123"/>
    </row>
    <row r="1208" spans="3:5" ht="16.5">
      <c r="C1208" s="123"/>
      <c r="E1208" s="123"/>
    </row>
    <row r="1209" spans="3:5" ht="16.5">
      <c r="C1209" s="123"/>
      <c r="E1209" s="123"/>
    </row>
    <row r="1210" spans="3:5" ht="16.5">
      <c r="C1210" s="123"/>
      <c r="E1210" s="123"/>
    </row>
    <row r="1211" spans="3:5" ht="16.5">
      <c r="C1211" s="123"/>
      <c r="E1211" s="123"/>
    </row>
    <row r="1212" spans="3:5" ht="16.5">
      <c r="C1212" s="123"/>
      <c r="E1212" s="123"/>
    </row>
    <row r="1213" spans="3:5" ht="16.5">
      <c r="C1213" s="123"/>
      <c r="E1213" s="123"/>
    </row>
    <row r="1214" spans="3:5" ht="16.5">
      <c r="C1214" s="123"/>
      <c r="E1214" s="123"/>
    </row>
    <row r="1215" spans="3:5" ht="16.5">
      <c r="C1215" s="123"/>
      <c r="E1215" s="123"/>
    </row>
    <row r="1216" spans="3:5" ht="16.5">
      <c r="C1216" s="123"/>
      <c r="E1216" s="123"/>
    </row>
    <row r="1217" spans="3:5" ht="16.5">
      <c r="C1217" s="123"/>
      <c r="E1217" s="123"/>
    </row>
    <row r="1218" spans="3:5" ht="16.5">
      <c r="C1218" s="123"/>
      <c r="E1218" s="123"/>
    </row>
    <row r="1219" spans="3:5" ht="16.5">
      <c r="C1219" s="123"/>
      <c r="E1219" s="123"/>
    </row>
    <row r="1220" spans="3:5" ht="16.5">
      <c r="C1220" s="123"/>
      <c r="E1220" s="123"/>
    </row>
    <row r="1221" spans="3:5" ht="16.5">
      <c r="C1221" s="123"/>
      <c r="E1221" s="123"/>
    </row>
    <row r="1222" spans="3:5" ht="16.5">
      <c r="C1222" s="123"/>
      <c r="E1222" s="123"/>
    </row>
    <row r="1223" spans="3:5" ht="16.5">
      <c r="C1223" s="123"/>
      <c r="E1223" s="123"/>
    </row>
    <row r="1224" spans="3:5" ht="16.5">
      <c r="C1224" s="123"/>
      <c r="E1224" s="123"/>
    </row>
    <row r="1225" spans="3:5" ht="16.5">
      <c r="C1225" s="123"/>
      <c r="E1225" s="123"/>
    </row>
    <row r="1226" spans="3:5" ht="16.5">
      <c r="C1226" s="123"/>
      <c r="E1226" s="123"/>
    </row>
    <row r="1227" spans="3:5" ht="16.5">
      <c r="C1227" s="123"/>
      <c r="E1227" s="123"/>
    </row>
    <row r="1228" spans="3:5" ht="16.5">
      <c r="C1228" s="123"/>
      <c r="E1228" s="123"/>
    </row>
    <row r="1229" spans="3:5" ht="16.5">
      <c r="C1229" s="123"/>
      <c r="E1229" s="123"/>
    </row>
    <row r="1230" spans="3:5" ht="16.5">
      <c r="C1230" s="123"/>
      <c r="E1230" s="123"/>
    </row>
    <row r="1231" spans="3:5" ht="16.5">
      <c r="C1231" s="123"/>
      <c r="E1231" s="123"/>
    </row>
    <row r="1232" spans="3:5" ht="16.5">
      <c r="C1232" s="123"/>
      <c r="E1232" s="123"/>
    </row>
    <row r="1233" spans="3:5" ht="16.5">
      <c r="C1233" s="123"/>
      <c r="E1233" s="123"/>
    </row>
    <row r="1234" spans="3:5" ht="16.5">
      <c r="C1234" s="123"/>
      <c r="E1234" s="123"/>
    </row>
    <row r="1235" spans="3:5" ht="16.5">
      <c r="C1235" s="123"/>
      <c r="E1235" s="123"/>
    </row>
    <row r="1236" spans="3:5" ht="16.5">
      <c r="C1236" s="123"/>
      <c r="E1236" s="123"/>
    </row>
    <row r="1237" spans="3:5" ht="16.5">
      <c r="C1237" s="123"/>
      <c r="E1237" s="123"/>
    </row>
    <row r="1238" spans="3:5" ht="16.5">
      <c r="C1238" s="123"/>
      <c r="E1238" s="123"/>
    </row>
    <row r="1239" spans="3:5" ht="16.5">
      <c r="C1239" s="123"/>
      <c r="E1239" s="123"/>
    </row>
    <row r="1240" spans="3:5" ht="16.5">
      <c r="C1240" s="123"/>
      <c r="E1240" s="123"/>
    </row>
    <row r="1241" spans="3:5" ht="16.5">
      <c r="C1241" s="123"/>
      <c r="E1241" s="123"/>
    </row>
    <row r="1242" spans="3:5" ht="16.5">
      <c r="C1242" s="123"/>
      <c r="E1242" s="123"/>
    </row>
    <row r="1243" spans="3:5" ht="16.5">
      <c r="C1243" s="123"/>
      <c r="E1243" s="123"/>
    </row>
    <row r="1244" spans="3:5" ht="16.5">
      <c r="C1244" s="123"/>
      <c r="E1244" s="123"/>
    </row>
    <row r="1245" spans="3:5" ht="16.5">
      <c r="C1245" s="123"/>
      <c r="E1245" s="123"/>
    </row>
    <row r="1246" spans="3:5" ht="16.5">
      <c r="C1246" s="123"/>
      <c r="E1246" s="123"/>
    </row>
    <row r="1247" spans="3:5" ht="16.5">
      <c r="C1247" s="123"/>
      <c r="E1247" s="123"/>
    </row>
    <row r="1248" spans="3:5" ht="16.5">
      <c r="C1248" s="123"/>
      <c r="E1248" s="123"/>
    </row>
    <row r="1249" spans="3:5" ht="16.5">
      <c r="C1249" s="123"/>
      <c r="E1249" s="123"/>
    </row>
    <row r="1250" spans="3:5" ht="16.5">
      <c r="C1250" s="123"/>
      <c r="E1250" s="123"/>
    </row>
    <row r="1251" spans="3:5" ht="16.5">
      <c r="C1251" s="123"/>
      <c r="E1251" s="123"/>
    </row>
    <row r="1252" spans="3:5" ht="16.5">
      <c r="C1252" s="123"/>
      <c r="E1252" s="123"/>
    </row>
    <row r="1253" spans="3:5" ht="16.5">
      <c r="C1253" s="123"/>
      <c r="E1253" s="123"/>
    </row>
    <row r="1254" spans="3:5" ht="16.5">
      <c r="C1254" s="123"/>
      <c r="E1254" s="123"/>
    </row>
    <row r="1255" spans="3:5" ht="16.5">
      <c r="C1255" s="123"/>
      <c r="E1255" s="123"/>
    </row>
    <row r="1256" spans="3:5" ht="16.5">
      <c r="C1256" s="123"/>
      <c r="E1256" s="123"/>
    </row>
    <row r="1257" spans="3:5" ht="16.5">
      <c r="C1257" s="123"/>
      <c r="E1257" s="123"/>
    </row>
    <row r="1258" spans="3:5" ht="16.5">
      <c r="C1258" s="123"/>
      <c r="E1258" s="123"/>
    </row>
    <row r="1259" spans="3:5" ht="16.5">
      <c r="C1259" s="123"/>
      <c r="E1259" s="123"/>
    </row>
    <row r="1260" spans="3:5" ht="16.5">
      <c r="C1260" s="123"/>
      <c r="E1260" s="123"/>
    </row>
    <row r="1261" spans="3:5" ht="16.5">
      <c r="C1261" s="123"/>
      <c r="E1261" s="123"/>
    </row>
    <row r="1262" spans="3:5" ht="16.5">
      <c r="C1262" s="123"/>
      <c r="E1262" s="123"/>
    </row>
    <row r="1263" spans="3:5" ht="16.5">
      <c r="C1263" s="123"/>
      <c r="E1263" s="123"/>
    </row>
    <row r="1264" spans="3:5" ht="16.5">
      <c r="C1264" s="123"/>
      <c r="E1264" s="123"/>
    </row>
    <row r="1265" spans="3:5" ht="16.5">
      <c r="C1265" s="123"/>
      <c r="E1265" s="123"/>
    </row>
    <row r="1266" spans="3:5" ht="16.5">
      <c r="C1266" s="123"/>
      <c r="E1266" s="123"/>
    </row>
    <row r="1267" spans="3:5" ht="16.5">
      <c r="C1267" s="123"/>
      <c r="E1267" s="123"/>
    </row>
    <row r="1268" spans="3:5" ht="16.5">
      <c r="C1268" s="123"/>
      <c r="E1268" s="123"/>
    </row>
    <row r="1269" spans="3:5" ht="16.5">
      <c r="C1269" s="123"/>
      <c r="E1269" s="123"/>
    </row>
    <row r="1270" spans="3:5" ht="16.5">
      <c r="C1270" s="123"/>
      <c r="E1270" s="123"/>
    </row>
    <row r="1271" spans="3:5" ht="16.5">
      <c r="C1271" s="123"/>
      <c r="E1271" s="123"/>
    </row>
    <row r="1272" spans="3:5" ht="16.5">
      <c r="C1272" s="123"/>
      <c r="E1272" s="123"/>
    </row>
    <row r="1273" spans="3:5" ht="16.5">
      <c r="C1273" s="123"/>
      <c r="E1273" s="123"/>
    </row>
    <row r="1274" spans="3:5" ht="16.5">
      <c r="C1274" s="123"/>
      <c r="E1274" s="123"/>
    </row>
    <row r="1275" spans="3:5" ht="16.5">
      <c r="C1275" s="123"/>
      <c r="E1275" s="123"/>
    </row>
    <row r="1276" spans="3:5" ht="16.5">
      <c r="C1276" s="123"/>
      <c r="E1276" s="123"/>
    </row>
    <row r="1277" spans="3:5" ht="16.5">
      <c r="C1277" s="123"/>
      <c r="E1277" s="123"/>
    </row>
    <row r="1278" spans="3:5" ht="16.5">
      <c r="C1278" s="123"/>
      <c r="E1278" s="123"/>
    </row>
    <row r="1279" spans="3:5" ht="16.5">
      <c r="C1279" s="123"/>
      <c r="E1279" s="123"/>
    </row>
    <row r="1280" spans="3:5" ht="16.5">
      <c r="C1280" s="123"/>
      <c r="E1280" s="123"/>
    </row>
    <row r="1281" spans="3:5" ht="16.5">
      <c r="C1281" s="123"/>
      <c r="E1281" s="123"/>
    </row>
    <row r="1282" spans="3:5" ht="16.5">
      <c r="C1282" s="123"/>
      <c r="E1282" s="123"/>
    </row>
    <row r="1283" spans="3:5" ht="16.5">
      <c r="C1283" s="123"/>
      <c r="E1283" s="123"/>
    </row>
    <row r="1284" spans="3:5" ht="16.5">
      <c r="C1284" s="123"/>
      <c r="E1284" s="123"/>
    </row>
    <row r="1285" spans="3:5" ht="16.5">
      <c r="C1285" s="123"/>
      <c r="E1285" s="123"/>
    </row>
    <row r="1286" spans="3:5" ht="16.5">
      <c r="C1286" s="123"/>
      <c r="E1286" s="123"/>
    </row>
    <row r="1287" spans="3:5" ht="16.5">
      <c r="C1287" s="123"/>
      <c r="E1287" s="123"/>
    </row>
    <row r="1288" spans="3:5" ht="16.5">
      <c r="C1288" s="123"/>
      <c r="E1288" s="123"/>
    </row>
    <row r="1289" spans="3:5" ht="16.5">
      <c r="C1289" s="123"/>
      <c r="E1289" s="123"/>
    </row>
    <row r="1290" spans="3:5" ht="16.5">
      <c r="C1290" s="123"/>
      <c r="E1290" s="123"/>
    </row>
    <row r="1291" spans="3:5" ht="16.5">
      <c r="C1291" s="123"/>
      <c r="E1291" s="123"/>
    </row>
    <row r="1292" spans="3:5" ht="16.5">
      <c r="C1292" s="123"/>
      <c r="E1292" s="123"/>
    </row>
    <row r="1293" spans="3:5" ht="16.5">
      <c r="C1293" s="123"/>
      <c r="E1293" s="123"/>
    </row>
    <row r="1294" spans="3:5" ht="16.5">
      <c r="C1294" s="123"/>
      <c r="E1294" s="123"/>
    </row>
    <row r="1295" spans="3:5" ht="16.5">
      <c r="C1295" s="123"/>
      <c r="E1295" s="123"/>
    </row>
    <row r="1296" spans="3:5" ht="16.5">
      <c r="C1296" s="123"/>
      <c r="E1296" s="123"/>
    </row>
    <row r="1297" spans="3:5" ht="16.5">
      <c r="C1297" s="123"/>
      <c r="E1297" s="123"/>
    </row>
    <row r="1298" spans="3:5" ht="16.5">
      <c r="C1298" s="123"/>
      <c r="E1298" s="123"/>
    </row>
    <row r="1299" spans="3:5" ht="16.5">
      <c r="C1299" s="123"/>
      <c r="E1299" s="123"/>
    </row>
    <row r="1300" spans="3:5" ht="16.5">
      <c r="C1300" s="123"/>
      <c r="E1300" s="123"/>
    </row>
    <row r="1301" spans="3:5" ht="16.5">
      <c r="C1301" s="123"/>
      <c r="E1301" s="123"/>
    </row>
    <row r="1302" spans="3:5" ht="16.5">
      <c r="C1302" s="123"/>
      <c r="E1302" s="123"/>
    </row>
    <row r="1303" spans="3:5" ht="16.5">
      <c r="C1303" s="123"/>
      <c r="E1303" s="123"/>
    </row>
    <row r="1304" spans="3:5" ht="16.5">
      <c r="C1304" s="123"/>
      <c r="E1304" s="123"/>
    </row>
    <row r="1305" spans="3:5" ht="16.5">
      <c r="C1305" s="123"/>
      <c r="E1305" s="123"/>
    </row>
    <row r="1306" spans="3:5" ht="16.5">
      <c r="C1306" s="123"/>
      <c r="E1306" s="123"/>
    </row>
    <row r="1307" spans="3:5" ht="16.5">
      <c r="C1307" s="123"/>
      <c r="E1307" s="123"/>
    </row>
    <row r="1308" spans="3:5" ht="16.5">
      <c r="C1308" s="123"/>
      <c r="E1308" s="123"/>
    </row>
    <row r="1309" spans="3:5" ht="16.5">
      <c r="C1309" s="123"/>
      <c r="E1309" s="123"/>
    </row>
    <row r="1310" spans="3:5" ht="16.5">
      <c r="C1310" s="123"/>
      <c r="E1310" s="123"/>
    </row>
    <row r="1311" spans="3:5" ht="16.5">
      <c r="C1311" s="123"/>
      <c r="E1311" s="123"/>
    </row>
    <row r="1312" spans="3:5" ht="16.5">
      <c r="C1312" s="123"/>
      <c r="E1312" s="123"/>
    </row>
    <row r="1313" spans="3:5" ht="16.5">
      <c r="C1313" s="123"/>
      <c r="E1313" s="123"/>
    </row>
    <row r="1314" spans="3:5" ht="16.5">
      <c r="C1314" s="123"/>
      <c r="E1314" s="123"/>
    </row>
    <row r="1315" spans="3:5" ht="16.5">
      <c r="C1315" s="123"/>
      <c r="E1315" s="123"/>
    </row>
    <row r="1316" spans="3:5" ht="16.5">
      <c r="C1316" s="123"/>
      <c r="E1316" s="123"/>
    </row>
    <row r="1317" spans="3:5" ht="16.5">
      <c r="C1317" s="123"/>
      <c r="E1317" s="123"/>
    </row>
    <row r="1318" spans="3:5" ht="16.5">
      <c r="C1318" s="123"/>
      <c r="E1318" s="123"/>
    </row>
    <row r="1319" spans="3:5" ht="16.5">
      <c r="C1319" s="123"/>
      <c r="E1319" s="123"/>
    </row>
    <row r="1320" spans="3:5" ht="16.5">
      <c r="C1320" s="123"/>
      <c r="E1320" s="123"/>
    </row>
    <row r="1321" spans="3:5" ht="16.5">
      <c r="C1321" s="123"/>
      <c r="E1321" s="123"/>
    </row>
    <row r="1322" spans="3:5" ht="16.5">
      <c r="C1322" s="123"/>
      <c r="E1322" s="123"/>
    </row>
    <row r="1323" spans="3:5" ht="16.5">
      <c r="C1323" s="123"/>
      <c r="E1323" s="123"/>
    </row>
    <row r="1324" spans="3:5" ht="16.5">
      <c r="C1324" s="123"/>
      <c r="E1324" s="123"/>
    </row>
    <row r="1325" spans="3:5" ht="16.5">
      <c r="C1325" s="123"/>
      <c r="E1325" s="123"/>
    </row>
    <row r="1326" spans="3:5" ht="16.5">
      <c r="C1326" s="123"/>
      <c r="E1326" s="123"/>
    </row>
    <row r="1327" spans="3:5" ht="16.5">
      <c r="C1327" s="123"/>
      <c r="E1327" s="123"/>
    </row>
    <row r="1328" spans="3:5" ht="16.5">
      <c r="C1328" s="123"/>
      <c r="E1328" s="123"/>
    </row>
    <row r="1329" spans="3:5" ht="16.5">
      <c r="C1329" s="123"/>
      <c r="E1329" s="123"/>
    </row>
    <row r="1330" spans="3:5" ht="16.5">
      <c r="C1330" s="123"/>
      <c r="E1330" s="123"/>
    </row>
    <row r="1331" spans="3:5" ht="16.5">
      <c r="C1331" s="123"/>
      <c r="E1331" s="123"/>
    </row>
    <row r="1332" spans="3:5" ht="16.5">
      <c r="C1332" s="123"/>
      <c r="E1332" s="123"/>
    </row>
    <row r="1333" spans="3:5" ht="16.5">
      <c r="C1333" s="123"/>
      <c r="E1333" s="123"/>
    </row>
    <row r="1334" spans="3:5" ht="16.5">
      <c r="C1334" s="123"/>
      <c r="E1334" s="123"/>
    </row>
    <row r="1335" spans="3:5" ht="16.5">
      <c r="C1335" s="123"/>
      <c r="E1335" s="123"/>
    </row>
    <row r="1336" spans="3:5" ht="16.5">
      <c r="C1336" s="123"/>
      <c r="E1336" s="123"/>
    </row>
    <row r="1337" spans="3:5" ht="16.5">
      <c r="C1337" s="123"/>
      <c r="E1337" s="123"/>
    </row>
    <row r="1338" spans="3:5" ht="16.5">
      <c r="C1338" s="123"/>
      <c r="E1338" s="123"/>
    </row>
    <row r="1339" spans="3:5" ht="16.5">
      <c r="C1339" s="123"/>
      <c r="E1339" s="123"/>
    </row>
    <row r="1340" spans="3:5" ht="16.5">
      <c r="C1340" s="123"/>
      <c r="E1340" s="123"/>
    </row>
    <row r="1341" spans="3:5" ht="16.5">
      <c r="C1341" s="123"/>
      <c r="E1341" s="123"/>
    </row>
    <row r="1342" spans="3:5" ht="16.5">
      <c r="C1342" s="123"/>
      <c r="E1342" s="123"/>
    </row>
    <row r="1343" spans="3:5" ht="16.5">
      <c r="C1343" s="123"/>
      <c r="E1343" s="123"/>
    </row>
    <row r="1344" spans="3:5" ht="16.5">
      <c r="C1344" s="123"/>
      <c r="E1344" s="123"/>
    </row>
    <row r="1345" spans="3:5" ht="16.5">
      <c r="C1345" s="123"/>
      <c r="E1345" s="123"/>
    </row>
    <row r="1346" spans="3:5" ht="16.5">
      <c r="C1346" s="123"/>
      <c r="E1346" s="123"/>
    </row>
    <row r="1347" spans="3:5" ht="16.5">
      <c r="C1347" s="123"/>
      <c r="E1347" s="123"/>
    </row>
    <row r="1348" spans="3:5" ht="16.5">
      <c r="C1348" s="123"/>
      <c r="E1348" s="123"/>
    </row>
    <row r="1349" spans="3:5" ht="16.5">
      <c r="C1349" s="123"/>
      <c r="E1349" s="123"/>
    </row>
    <row r="1350" spans="3:5" ht="16.5">
      <c r="C1350" s="123"/>
      <c r="E1350" s="123"/>
    </row>
    <row r="1351" spans="3:5" ht="16.5">
      <c r="C1351" s="123"/>
      <c r="E1351" s="123"/>
    </row>
    <row r="1352" spans="3:5" ht="16.5">
      <c r="C1352" s="123"/>
      <c r="E1352" s="123"/>
    </row>
    <row r="1353" spans="3:5" ht="16.5">
      <c r="C1353" s="123"/>
      <c r="E1353" s="123"/>
    </row>
    <row r="1354" spans="3:5" ht="16.5">
      <c r="C1354" s="123"/>
      <c r="E1354" s="123"/>
    </row>
    <row r="1355" spans="3:5" ht="16.5">
      <c r="C1355" s="123"/>
      <c r="E1355" s="123"/>
    </row>
    <row r="1356" spans="3:5" ht="16.5">
      <c r="C1356" s="123"/>
      <c r="E1356" s="123"/>
    </row>
    <row r="1357" spans="3:5" ht="16.5">
      <c r="C1357" s="123"/>
      <c r="E1357" s="123"/>
    </row>
    <row r="1358" spans="3:5" ht="16.5">
      <c r="C1358" s="123"/>
      <c r="E1358" s="123"/>
    </row>
    <row r="1359" spans="3:5" ht="16.5">
      <c r="C1359" s="123"/>
      <c r="E1359" s="123"/>
    </row>
    <row r="1360" spans="3:5" ht="16.5">
      <c r="C1360" s="123"/>
      <c r="E1360" s="123"/>
    </row>
    <row r="1361" spans="3:5" ht="16.5">
      <c r="C1361" s="123"/>
      <c r="E1361" s="123"/>
    </row>
    <row r="1362" spans="3:5" ht="16.5">
      <c r="C1362" s="123"/>
      <c r="E1362" s="123"/>
    </row>
    <row r="1363" spans="3:5" ht="16.5">
      <c r="C1363" s="123"/>
      <c r="E1363" s="123"/>
    </row>
    <row r="1364" spans="3:5" ht="16.5">
      <c r="C1364" s="123"/>
      <c r="E1364" s="123"/>
    </row>
    <row r="1365" spans="3:5" ht="16.5">
      <c r="C1365" s="123"/>
      <c r="E1365" s="123"/>
    </row>
    <row r="1366" spans="3:5" ht="16.5">
      <c r="C1366" s="123"/>
      <c r="E1366" s="123"/>
    </row>
    <row r="1367" spans="3:5" ht="16.5">
      <c r="C1367" s="123"/>
      <c r="E1367" s="123"/>
    </row>
    <row r="1368" spans="3:5" ht="16.5">
      <c r="C1368" s="123"/>
      <c r="E1368" s="123"/>
    </row>
    <row r="1369" spans="3:5" ht="16.5">
      <c r="C1369" s="123"/>
      <c r="E1369" s="123"/>
    </row>
    <row r="1370" spans="3:5" ht="16.5">
      <c r="C1370" s="123"/>
      <c r="E1370" s="123"/>
    </row>
    <row r="1371" spans="3:5" ht="16.5">
      <c r="C1371" s="123"/>
      <c r="E1371" s="123"/>
    </row>
    <row r="1372" spans="3:5" ht="16.5">
      <c r="C1372" s="123"/>
      <c r="E1372" s="123"/>
    </row>
    <row r="1373" spans="3:5" ht="16.5">
      <c r="C1373" s="123"/>
      <c r="E1373" s="123"/>
    </row>
    <row r="1374" spans="3:5" ht="16.5">
      <c r="C1374" s="123"/>
      <c r="E1374" s="123"/>
    </row>
    <row r="1375" spans="3:5" ht="16.5">
      <c r="C1375" s="123"/>
      <c r="E1375" s="123"/>
    </row>
    <row r="1376" spans="3:5" ht="16.5">
      <c r="C1376" s="123"/>
      <c r="E1376" s="123"/>
    </row>
    <row r="1377" spans="3:5" ht="16.5">
      <c r="C1377" s="123"/>
      <c r="E1377" s="123"/>
    </row>
    <row r="1378" spans="3:5" ht="16.5">
      <c r="C1378" s="123"/>
      <c r="E1378" s="123"/>
    </row>
    <row r="1379" spans="3:5" ht="16.5">
      <c r="C1379" s="123"/>
      <c r="E1379" s="123"/>
    </row>
    <row r="1380" spans="3:5" ht="16.5">
      <c r="C1380" s="123"/>
      <c r="E1380" s="123"/>
    </row>
    <row r="1381" spans="3:5" ht="16.5">
      <c r="C1381" s="123"/>
      <c r="E1381" s="123"/>
    </row>
    <row r="1382" spans="3:5" ht="16.5">
      <c r="C1382" s="123"/>
      <c r="E1382" s="123"/>
    </row>
    <row r="1383" spans="3:5" ht="16.5">
      <c r="C1383" s="123"/>
      <c r="E1383" s="123"/>
    </row>
    <row r="1384" spans="3:5" ht="16.5">
      <c r="C1384" s="123"/>
      <c r="E1384" s="123"/>
    </row>
    <row r="1385" spans="3:5" ht="16.5">
      <c r="C1385" s="123"/>
      <c r="E1385" s="123"/>
    </row>
    <row r="1386" spans="3:5" ht="16.5">
      <c r="C1386" s="123"/>
      <c r="E1386" s="123"/>
    </row>
    <row r="1387" spans="3:5" ht="16.5">
      <c r="C1387" s="123"/>
      <c r="E1387" s="123"/>
    </row>
    <row r="1388" spans="3:5" ht="16.5">
      <c r="C1388" s="123"/>
      <c r="E1388" s="123"/>
    </row>
    <row r="1389" spans="3:5" ht="16.5">
      <c r="C1389" s="123"/>
      <c r="E1389" s="123"/>
    </row>
    <row r="1390" spans="3:5" ht="16.5">
      <c r="C1390" s="123"/>
      <c r="E1390" s="123"/>
    </row>
    <row r="1391" spans="3:5" ht="16.5">
      <c r="C1391" s="123"/>
      <c r="E1391" s="123"/>
    </row>
    <row r="1392" spans="3:5" ht="16.5">
      <c r="C1392" s="123"/>
      <c r="E1392" s="123"/>
    </row>
    <row r="1393" spans="3:5" ht="16.5">
      <c r="C1393" s="123"/>
      <c r="E1393" s="123"/>
    </row>
    <row r="1394" spans="3:5" ht="16.5">
      <c r="C1394" s="123"/>
      <c r="E1394" s="123"/>
    </row>
    <row r="1395" spans="3:5" ht="16.5">
      <c r="C1395" s="123"/>
      <c r="E1395" s="123"/>
    </row>
    <row r="1396" spans="3:5" ht="16.5">
      <c r="C1396" s="123"/>
      <c r="E1396" s="123"/>
    </row>
    <row r="1397" spans="3:5" ht="16.5">
      <c r="C1397" s="123"/>
      <c r="E1397" s="123"/>
    </row>
    <row r="1398" spans="3:5" ht="16.5">
      <c r="C1398" s="123"/>
      <c r="E1398" s="123"/>
    </row>
    <row r="1399" spans="3:5" ht="16.5">
      <c r="C1399" s="123"/>
      <c r="E1399" s="123"/>
    </row>
    <row r="1400" spans="3:5" ht="16.5">
      <c r="C1400" s="123"/>
      <c r="E1400" s="123"/>
    </row>
    <row r="1401" spans="3:5" ht="16.5">
      <c r="C1401" s="123"/>
      <c r="E1401" s="123"/>
    </row>
    <row r="1402" spans="3:5" ht="16.5">
      <c r="C1402" s="123"/>
      <c r="E1402" s="123"/>
    </row>
    <row r="1403" spans="3:5" ht="16.5">
      <c r="C1403" s="123"/>
      <c r="E1403" s="123"/>
    </row>
    <row r="1404" spans="3:5" ht="16.5">
      <c r="C1404" s="123"/>
      <c r="E1404" s="123"/>
    </row>
    <row r="1405" spans="3:5" ht="16.5">
      <c r="C1405" s="123"/>
      <c r="E1405" s="123"/>
    </row>
    <row r="1406" spans="3:5" ht="16.5">
      <c r="C1406" s="123"/>
      <c r="E1406" s="123"/>
    </row>
    <row r="1407" spans="3:5" ht="16.5">
      <c r="C1407" s="123"/>
      <c r="E1407" s="123"/>
    </row>
    <row r="1408" spans="3:5" ht="16.5">
      <c r="C1408" s="123"/>
      <c r="E1408" s="123"/>
    </row>
    <row r="1409" spans="3:5" ht="16.5">
      <c r="C1409" s="123"/>
      <c r="E1409" s="123"/>
    </row>
    <row r="1410" spans="3:5" ht="16.5">
      <c r="C1410" s="123"/>
      <c r="E1410" s="123"/>
    </row>
    <row r="1411" spans="3:5" ht="16.5">
      <c r="C1411" s="123"/>
      <c r="E1411" s="123"/>
    </row>
    <row r="1412" spans="3:5" ht="16.5">
      <c r="C1412" s="123"/>
      <c r="E1412" s="123"/>
    </row>
    <row r="1413" spans="3:5" ht="16.5">
      <c r="C1413" s="123"/>
      <c r="E1413" s="123"/>
    </row>
    <row r="1414" spans="3:5" ht="16.5">
      <c r="C1414" s="123"/>
      <c r="E1414" s="123"/>
    </row>
    <row r="1415" spans="3:5" ht="16.5">
      <c r="C1415" s="123"/>
      <c r="E1415" s="123"/>
    </row>
    <row r="1416" spans="3:5" ht="16.5">
      <c r="C1416" s="123"/>
      <c r="E1416" s="123"/>
    </row>
    <row r="1417" spans="3:5" ht="16.5">
      <c r="C1417" s="123"/>
      <c r="E1417" s="123"/>
    </row>
    <row r="1418" spans="3:5" ht="16.5">
      <c r="C1418" s="123"/>
      <c r="E1418" s="123"/>
    </row>
    <row r="1419" spans="3:5" ht="16.5">
      <c r="C1419" s="123"/>
      <c r="E1419" s="123"/>
    </row>
    <row r="1420" spans="3:5" ht="16.5">
      <c r="C1420" s="123"/>
      <c r="E1420" s="123"/>
    </row>
    <row r="1421" spans="3:5" ht="16.5">
      <c r="C1421" s="123"/>
      <c r="E1421" s="123"/>
    </row>
    <row r="1422" spans="3:5" ht="16.5">
      <c r="C1422" s="123"/>
      <c r="E1422" s="123"/>
    </row>
    <row r="1423" spans="3:5" ht="16.5">
      <c r="C1423" s="123"/>
      <c r="E1423" s="123"/>
    </row>
    <row r="1424" spans="3:5" ht="16.5">
      <c r="C1424" s="123"/>
      <c r="E1424" s="123"/>
    </row>
    <row r="1425" spans="3:5" ht="16.5">
      <c r="C1425" s="123"/>
      <c r="E1425" s="123"/>
    </row>
    <row r="1426" spans="3:5" ht="16.5">
      <c r="C1426" s="123"/>
      <c r="E1426" s="123"/>
    </row>
    <row r="1427" spans="3:5" ht="16.5">
      <c r="C1427" s="123"/>
      <c r="E1427" s="123"/>
    </row>
    <row r="1428" spans="3:5" ht="16.5">
      <c r="C1428" s="123"/>
      <c r="E1428" s="123"/>
    </row>
    <row r="1429" spans="3:5" ht="16.5">
      <c r="C1429" s="123"/>
      <c r="E1429" s="123"/>
    </row>
    <row r="1430" spans="3:5" ht="16.5">
      <c r="C1430" s="123"/>
      <c r="E1430" s="123"/>
    </row>
    <row r="1431" spans="3:5" ht="16.5">
      <c r="C1431" s="123"/>
      <c r="E1431" s="123"/>
    </row>
    <row r="1432" spans="3:5" ht="16.5">
      <c r="C1432" s="123"/>
      <c r="E1432" s="123"/>
    </row>
    <row r="1433" spans="3:5" ht="16.5">
      <c r="C1433" s="123"/>
      <c r="E1433" s="123"/>
    </row>
    <row r="1434" spans="3:5" ht="16.5">
      <c r="C1434" s="123"/>
      <c r="E1434" s="123"/>
    </row>
    <row r="1435" spans="3:5" ht="16.5">
      <c r="C1435" s="123"/>
      <c r="E1435" s="123"/>
    </row>
    <row r="1436" spans="3:5" ht="16.5">
      <c r="C1436" s="123"/>
      <c r="E1436" s="123"/>
    </row>
    <row r="1437" spans="3:5" ht="16.5">
      <c r="C1437" s="123"/>
      <c r="E1437" s="123"/>
    </row>
    <row r="1438" spans="3:5" ht="16.5">
      <c r="C1438" s="123"/>
      <c r="E1438" s="123"/>
    </row>
    <row r="1439" spans="3:5" ht="16.5">
      <c r="C1439" s="123"/>
      <c r="E1439" s="123"/>
    </row>
    <row r="1440" spans="3:5" ht="16.5">
      <c r="C1440" s="123"/>
      <c r="E1440" s="123"/>
    </row>
    <row r="1441" spans="3:5" ht="16.5">
      <c r="C1441" s="123"/>
      <c r="E1441" s="123"/>
    </row>
    <row r="1442" spans="3:5" ht="16.5">
      <c r="C1442" s="123"/>
      <c r="E1442" s="123"/>
    </row>
    <row r="1443" spans="3:5" ht="16.5">
      <c r="C1443" s="123"/>
      <c r="E1443" s="123"/>
    </row>
    <row r="1444" spans="3:5" ht="16.5">
      <c r="C1444" s="123"/>
      <c r="E1444" s="123"/>
    </row>
    <row r="1445" spans="3:5" ht="16.5">
      <c r="C1445" s="123"/>
      <c r="E1445" s="123"/>
    </row>
    <row r="1446" spans="3:5" ht="16.5">
      <c r="C1446" s="123"/>
      <c r="E1446" s="123"/>
    </row>
    <row r="1447" spans="3:5" ht="16.5">
      <c r="C1447" s="123"/>
      <c r="E1447" s="123"/>
    </row>
    <row r="1448" spans="3:5" ht="16.5">
      <c r="C1448" s="123"/>
      <c r="E1448" s="123"/>
    </row>
    <row r="1449" spans="3:5" ht="16.5">
      <c r="C1449" s="123"/>
      <c r="E1449" s="123"/>
    </row>
    <row r="1450" spans="3:5" ht="16.5">
      <c r="C1450" s="123"/>
      <c r="E1450" s="123"/>
    </row>
    <row r="1451" spans="3:5" ht="16.5">
      <c r="C1451" s="123"/>
      <c r="E1451" s="123"/>
    </row>
    <row r="1452" spans="3:5" ht="16.5">
      <c r="C1452" s="123"/>
      <c r="E1452" s="123"/>
    </row>
    <row r="1453" spans="3:5" ht="16.5">
      <c r="C1453" s="123"/>
      <c r="E1453" s="123"/>
    </row>
    <row r="1454" spans="3:5" ht="16.5">
      <c r="C1454" s="123"/>
      <c r="E1454" s="123"/>
    </row>
    <row r="1455" spans="3:5" ht="16.5">
      <c r="C1455" s="123"/>
      <c r="E1455" s="123"/>
    </row>
    <row r="1456" spans="3:5" ht="16.5">
      <c r="C1456" s="123"/>
      <c r="E1456" s="123"/>
    </row>
    <row r="1457" spans="3:5" ht="16.5">
      <c r="C1457" s="123"/>
      <c r="E1457" s="123"/>
    </row>
    <row r="1458" spans="3:5" ht="16.5">
      <c r="C1458" s="123"/>
      <c r="E1458" s="123"/>
    </row>
    <row r="1459" spans="3:5" ht="16.5">
      <c r="C1459" s="123"/>
      <c r="E1459" s="123"/>
    </row>
    <row r="1460" spans="3:5" ht="16.5">
      <c r="C1460" s="123"/>
      <c r="E1460" s="123"/>
    </row>
    <row r="1461" spans="3:5" ht="16.5">
      <c r="C1461" s="123"/>
      <c r="E1461" s="123"/>
    </row>
    <row r="1462" spans="3:5" ht="16.5">
      <c r="C1462" s="123"/>
      <c r="E1462" s="123"/>
    </row>
    <row r="1463" spans="3:5" ht="16.5">
      <c r="C1463" s="123"/>
      <c r="E1463" s="123"/>
    </row>
    <row r="1464" spans="3:5" ht="16.5">
      <c r="C1464" s="123"/>
      <c r="E1464" s="123"/>
    </row>
    <row r="1465" spans="3:5" ht="16.5">
      <c r="C1465" s="123"/>
      <c r="E1465" s="123"/>
    </row>
    <row r="1466" spans="3:5" ht="16.5">
      <c r="C1466" s="123"/>
      <c r="E1466" s="123"/>
    </row>
    <row r="1467" spans="3:5" ht="16.5">
      <c r="C1467" s="123"/>
      <c r="E1467" s="123"/>
    </row>
    <row r="1468" spans="3:5" ht="16.5">
      <c r="C1468" s="123"/>
      <c r="E1468" s="123"/>
    </row>
    <row r="1469" spans="3:5" ht="16.5">
      <c r="C1469" s="123"/>
      <c r="E1469" s="123"/>
    </row>
    <row r="1470" spans="3:5" ht="16.5">
      <c r="C1470" s="123"/>
      <c r="E1470" s="123"/>
    </row>
    <row r="1471" spans="3:5" ht="16.5">
      <c r="C1471" s="123"/>
      <c r="E1471" s="123"/>
    </row>
    <row r="1472" spans="3:5" ht="16.5">
      <c r="C1472" s="123"/>
      <c r="E1472" s="123"/>
    </row>
    <row r="1473" spans="3:5" ht="16.5">
      <c r="C1473" s="123"/>
      <c r="E1473" s="123"/>
    </row>
    <row r="1474" spans="3:5" ht="16.5">
      <c r="C1474" s="123"/>
      <c r="E1474" s="123"/>
    </row>
    <row r="1475" spans="3:5" ht="16.5">
      <c r="C1475" s="123"/>
      <c r="E1475" s="123"/>
    </row>
    <row r="1476" spans="3:5" ht="16.5">
      <c r="C1476" s="123"/>
      <c r="E1476" s="123"/>
    </row>
    <row r="1477" spans="3:5" ht="16.5">
      <c r="C1477" s="123"/>
      <c r="E1477" s="123"/>
    </row>
    <row r="1478" spans="3:5" ht="16.5">
      <c r="C1478" s="123"/>
      <c r="E1478" s="123"/>
    </row>
    <row r="1479" spans="3:5" ht="16.5">
      <c r="C1479" s="123"/>
      <c r="E1479" s="123"/>
    </row>
    <row r="1480" spans="3:5" ht="16.5">
      <c r="C1480" s="123"/>
      <c r="E1480" s="123"/>
    </row>
    <row r="1481" spans="3:5" ht="16.5">
      <c r="C1481" s="123"/>
      <c r="E1481" s="123"/>
    </row>
    <row r="1482" spans="3:5" ht="16.5">
      <c r="C1482" s="123"/>
      <c r="E1482" s="123"/>
    </row>
    <row r="1483" spans="3:5" ht="16.5">
      <c r="C1483" s="123"/>
      <c r="E1483" s="123"/>
    </row>
    <row r="1484" spans="3:5" ht="16.5">
      <c r="C1484" s="123"/>
      <c r="E1484" s="123"/>
    </row>
    <row r="1485" spans="3:5" ht="16.5">
      <c r="C1485" s="123"/>
      <c r="E1485" s="123"/>
    </row>
    <row r="1486" spans="3:5" ht="16.5">
      <c r="C1486" s="123"/>
      <c r="E1486" s="123"/>
    </row>
    <row r="1487" spans="3:5" ht="16.5">
      <c r="C1487" s="123"/>
      <c r="E1487" s="123"/>
    </row>
    <row r="1488" spans="3:5" ht="16.5">
      <c r="C1488" s="123"/>
      <c r="E1488" s="123"/>
    </row>
    <row r="1489" spans="3:5" ht="16.5">
      <c r="C1489" s="123"/>
      <c r="E1489" s="123"/>
    </row>
    <row r="1490" spans="3:5" ht="16.5">
      <c r="C1490" s="123"/>
      <c r="E1490" s="123"/>
    </row>
    <row r="1491" spans="3:5" ht="16.5">
      <c r="C1491" s="123"/>
      <c r="E1491" s="123"/>
    </row>
    <row r="1492" spans="3:5" ht="16.5">
      <c r="C1492" s="123"/>
      <c r="E1492" s="123"/>
    </row>
    <row r="1493" spans="3:5" ht="16.5">
      <c r="C1493" s="123"/>
      <c r="E1493" s="123"/>
    </row>
    <row r="1494" spans="3:5" ht="16.5">
      <c r="C1494" s="123"/>
      <c r="E1494" s="123"/>
    </row>
    <row r="1495" spans="3:5" ht="16.5">
      <c r="C1495" s="123"/>
      <c r="E1495" s="123"/>
    </row>
    <row r="1496" spans="3:5" ht="16.5">
      <c r="C1496" s="123"/>
      <c r="E1496" s="123"/>
    </row>
    <row r="1497" spans="3:5" ht="16.5">
      <c r="C1497" s="123"/>
      <c r="E1497" s="123"/>
    </row>
    <row r="1498" spans="3:5" ht="16.5">
      <c r="C1498" s="123"/>
      <c r="E1498" s="123"/>
    </row>
    <row r="1499" spans="3:5" ht="16.5">
      <c r="C1499" s="123"/>
      <c r="E1499" s="123"/>
    </row>
    <row r="1500" spans="3:5" ht="16.5">
      <c r="C1500" s="123"/>
      <c r="E1500" s="123"/>
    </row>
    <row r="1501" spans="3:5" ht="16.5">
      <c r="C1501" s="123"/>
      <c r="E1501" s="123"/>
    </row>
    <row r="1502" spans="3:5" ht="16.5">
      <c r="C1502" s="123"/>
      <c r="E1502" s="123"/>
    </row>
    <row r="1503" spans="3:5" ht="16.5">
      <c r="C1503" s="123"/>
      <c r="E1503" s="123"/>
    </row>
    <row r="1504" spans="3:5" ht="16.5">
      <c r="C1504" s="123"/>
      <c r="E1504" s="123"/>
    </row>
    <row r="1505" spans="3:5" ht="16.5">
      <c r="C1505" s="123"/>
      <c r="E1505" s="123"/>
    </row>
    <row r="1506" spans="3:5" ht="16.5">
      <c r="C1506" s="123"/>
      <c r="E1506" s="123"/>
    </row>
    <row r="1507" spans="3:5" ht="16.5">
      <c r="C1507" s="123"/>
      <c r="E1507" s="123"/>
    </row>
    <row r="1508" spans="3:5" ht="16.5">
      <c r="C1508" s="123"/>
      <c r="E1508" s="123"/>
    </row>
    <row r="1509" spans="3:5" ht="16.5">
      <c r="C1509" s="123"/>
      <c r="E1509" s="123"/>
    </row>
    <row r="1510" spans="3:5" ht="16.5">
      <c r="C1510" s="123"/>
      <c r="E1510" s="123"/>
    </row>
    <row r="1511" spans="3:5" ht="16.5">
      <c r="C1511" s="123"/>
      <c r="E1511" s="123"/>
    </row>
    <row r="1512" spans="3:5" ht="16.5">
      <c r="C1512" s="123"/>
      <c r="E1512" s="123"/>
    </row>
    <row r="1513" spans="3:5" ht="16.5">
      <c r="C1513" s="123"/>
      <c r="E1513" s="123"/>
    </row>
    <row r="1514" spans="3:5" ht="16.5">
      <c r="C1514" s="123"/>
      <c r="E1514" s="123"/>
    </row>
    <row r="1515" spans="3:5" ht="16.5">
      <c r="C1515" s="123"/>
      <c r="E1515" s="123"/>
    </row>
    <row r="1516" spans="3:5" ht="16.5">
      <c r="C1516" s="123"/>
      <c r="E1516" s="123"/>
    </row>
    <row r="1517" spans="3:5" ht="16.5">
      <c r="C1517" s="123"/>
      <c r="E1517" s="123"/>
    </row>
    <row r="1518" spans="3:5" ht="16.5">
      <c r="C1518" s="123"/>
      <c r="E1518" s="123"/>
    </row>
    <row r="1519" spans="3:5" ht="16.5">
      <c r="C1519" s="123"/>
      <c r="E1519" s="123"/>
    </row>
    <row r="1520" spans="3:5" ht="16.5">
      <c r="C1520" s="123"/>
      <c r="E1520" s="123"/>
    </row>
    <row r="1521" spans="3:5" ht="16.5">
      <c r="C1521" s="123"/>
      <c r="E1521" s="123"/>
    </row>
    <row r="1522" spans="3:5" ht="16.5">
      <c r="C1522" s="123"/>
      <c r="E1522" s="123"/>
    </row>
    <row r="1523" spans="3:5" ht="16.5">
      <c r="C1523" s="123"/>
      <c r="E1523" s="123"/>
    </row>
    <row r="1524" spans="3:5" ht="16.5">
      <c r="C1524" s="123"/>
      <c r="E1524" s="123"/>
    </row>
    <row r="1525" spans="3:5" ht="16.5">
      <c r="C1525" s="123"/>
      <c r="E1525" s="123"/>
    </row>
    <row r="1526" spans="3:5" ht="16.5">
      <c r="C1526" s="123"/>
      <c r="E1526" s="123"/>
    </row>
    <row r="1527" spans="3:5" ht="16.5">
      <c r="C1527" s="123"/>
      <c r="E1527" s="123"/>
    </row>
    <row r="1528" spans="3:5" ht="16.5">
      <c r="C1528" s="123"/>
      <c r="E1528" s="123"/>
    </row>
    <row r="1529" spans="3:5" ht="16.5">
      <c r="C1529" s="123"/>
      <c r="E1529" s="123"/>
    </row>
    <row r="1530" spans="3:5" ht="16.5">
      <c r="C1530" s="123"/>
      <c r="E1530" s="123"/>
    </row>
    <row r="1531" spans="3:5" ht="16.5">
      <c r="C1531" s="123"/>
      <c r="E1531" s="123"/>
    </row>
    <row r="1532" spans="3:5" ht="16.5">
      <c r="C1532" s="123"/>
      <c r="E1532" s="123"/>
    </row>
    <row r="1533" spans="3:5" ht="16.5">
      <c r="C1533" s="123"/>
      <c r="E1533" s="123"/>
    </row>
    <row r="1534" spans="3:5" ht="16.5">
      <c r="C1534" s="123"/>
      <c r="E1534" s="123"/>
    </row>
    <row r="1535" spans="3:5" ht="16.5">
      <c r="C1535" s="123"/>
      <c r="E1535" s="123"/>
    </row>
    <row r="1536" spans="3:5" ht="16.5">
      <c r="C1536" s="123"/>
      <c r="E1536" s="123"/>
    </row>
    <row r="1537" spans="3:5" ht="16.5">
      <c r="C1537" s="123"/>
      <c r="E1537" s="123"/>
    </row>
    <row r="1538" spans="3:5" ht="16.5">
      <c r="C1538" s="123"/>
      <c r="E1538" s="123"/>
    </row>
    <row r="1539" spans="3:5" ht="16.5">
      <c r="C1539" s="123"/>
      <c r="E1539" s="123"/>
    </row>
    <row r="1540" spans="3:5" ht="16.5">
      <c r="C1540" s="123"/>
      <c r="E1540" s="123"/>
    </row>
    <row r="1541" spans="3:5" ht="16.5">
      <c r="C1541" s="123"/>
      <c r="E1541" s="123"/>
    </row>
    <row r="1542" spans="3:5" ht="16.5">
      <c r="C1542" s="123"/>
      <c r="E1542" s="123"/>
    </row>
    <row r="1543" spans="3:5" ht="16.5">
      <c r="C1543" s="123"/>
      <c r="E1543" s="123"/>
    </row>
    <row r="1544" spans="3:5" ht="16.5">
      <c r="C1544" s="123"/>
      <c r="E1544" s="123"/>
    </row>
    <row r="1545" spans="3:5" ht="16.5">
      <c r="C1545" s="123"/>
      <c r="E1545" s="123"/>
    </row>
    <row r="1546" spans="3:5" ht="16.5">
      <c r="C1546" s="123"/>
      <c r="E1546" s="123"/>
    </row>
    <row r="1547" spans="3:5" ht="16.5">
      <c r="C1547" s="123"/>
      <c r="E1547" s="123"/>
    </row>
    <row r="1548" spans="3:5" ht="16.5">
      <c r="C1548" s="123"/>
      <c r="E1548" s="123"/>
    </row>
    <row r="1549" spans="3:5" ht="16.5">
      <c r="C1549" s="123"/>
      <c r="E1549" s="123"/>
    </row>
    <row r="1550" spans="3:5" ht="16.5">
      <c r="C1550" s="123"/>
      <c r="E1550" s="123"/>
    </row>
    <row r="1551" spans="3:5" ht="16.5">
      <c r="C1551" s="123"/>
      <c r="E1551" s="123"/>
    </row>
    <row r="1552" spans="3:5" ht="16.5">
      <c r="C1552" s="123"/>
      <c r="E1552" s="123"/>
    </row>
    <row r="1553" spans="3:5" ht="16.5">
      <c r="C1553" s="123"/>
      <c r="E1553" s="123"/>
    </row>
    <row r="1554" spans="3:5" ht="16.5">
      <c r="C1554" s="123"/>
      <c r="E1554" s="123"/>
    </row>
    <row r="1555" spans="3:5" ht="16.5">
      <c r="C1555" s="123"/>
      <c r="E1555" s="123"/>
    </row>
    <row r="1556" spans="3:5" ht="16.5">
      <c r="C1556" s="123"/>
      <c r="E1556" s="123"/>
    </row>
    <row r="1557" spans="3:5" ht="16.5">
      <c r="C1557" s="123"/>
      <c r="E1557" s="123"/>
    </row>
    <row r="1558" spans="3:5" ht="16.5">
      <c r="C1558" s="123"/>
      <c r="E1558" s="123"/>
    </row>
    <row r="1559" spans="3:5" ht="16.5">
      <c r="C1559" s="123"/>
      <c r="E1559" s="123"/>
    </row>
    <row r="1560" spans="3:5" ht="16.5">
      <c r="C1560" s="123"/>
      <c r="E1560" s="123"/>
    </row>
    <row r="1561" spans="3:5" ht="16.5">
      <c r="C1561" s="123"/>
      <c r="E1561" s="123"/>
    </row>
    <row r="1562" spans="3:5" ht="16.5">
      <c r="C1562" s="123"/>
      <c r="E1562" s="123"/>
    </row>
    <row r="1563" spans="3:5" ht="16.5">
      <c r="C1563" s="123"/>
      <c r="E1563" s="123"/>
    </row>
    <row r="1564" spans="3:5" ht="16.5">
      <c r="C1564" s="123"/>
      <c r="E1564" s="123"/>
    </row>
    <row r="1565" spans="3:5" ht="16.5">
      <c r="C1565" s="123"/>
      <c r="E1565" s="123"/>
    </row>
    <row r="1566" spans="3:5" ht="16.5">
      <c r="C1566" s="123"/>
      <c r="E1566" s="123"/>
    </row>
    <row r="1567" spans="3:5" ht="16.5">
      <c r="C1567" s="123"/>
      <c r="E1567" s="123"/>
    </row>
    <row r="1568" spans="3:5" ht="16.5">
      <c r="C1568" s="123"/>
      <c r="E1568" s="123"/>
    </row>
    <row r="1569" spans="3:5" ht="16.5">
      <c r="C1569" s="123"/>
      <c r="E1569" s="123"/>
    </row>
    <row r="1570" spans="3:5" ht="16.5">
      <c r="C1570" s="123"/>
      <c r="E1570" s="123"/>
    </row>
    <row r="1571" spans="3:5" ht="16.5">
      <c r="C1571" s="123"/>
      <c r="E1571" s="123"/>
    </row>
    <row r="1572" spans="3:5" ht="16.5">
      <c r="C1572" s="123"/>
      <c r="E1572" s="123"/>
    </row>
    <row r="1573" spans="3:5" ht="16.5">
      <c r="C1573" s="123"/>
      <c r="E1573" s="123"/>
    </row>
    <row r="1574" spans="3:5" ht="16.5">
      <c r="C1574" s="123"/>
      <c r="E1574" s="123"/>
    </row>
    <row r="1575" spans="3:5" ht="16.5">
      <c r="C1575" s="123"/>
      <c r="E1575" s="123"/>
    </row>
    <row r="1576" spans="3:5" ht="16.5">
      <c r="C1576" s="123"/>
      <c r="E1576" s="123"/>
    </row>
    <row r="1577" spans="3:5" ht="16.5">
      <c r="C1577" s="123"/>
      <c r="E1577" s="123"/>
    </row>
    <row r="1578" spans="3:5" ht="16.5">
      <c r="C1578" s="123"/>
      <c r="E1578" s="123"/>
    </row>
    <row r="1579" spans="3:5" ht="16.5">
      <c r="C1579" s="123"/>
      <c r="E1579" s="123"/>
    </row>
    <row r="1580" spans="3:5" ht="16.5">
      <c r="C1580" s="123"/>
      <c r="E1580" s="123"/>
    </row>
    <row r="1581" spans="3:5" ht="16.5">
      <c r="C1581" s="123"/>
      <c r="E1581" s="123"/>
    </row>
    <row r="1582" spans="3:5" ht="16.5">
      <c r="C1582" s="123"/>
      <c r="E1582" s="123"/>
    </row>
    <row r="1583" spans="3:5" ht="16.5">
      <c r="C1583" s="123"/>
      <c r="E1583" s="123"/>
    </row>
    <row r="1584" spans="3:5" ht="16.5">
      <c r="C1584" s="123"/>
      <c r="E1584" s="123"/>
    </row>
    <row r="1585" spans="3:5" ht="16.5">
      <c r="C1585" s="123"/>
      <c r="E1585" s="123"/>
    </row>
    <row r="1586" spans="3:5" ht="16.5">
      <c r="C1586" s="123"/>
      <c r="E1586" s="123"/>
    </row>
    <row r="1587" spans="3:5" ht="16.5">
      <c r="C1587" s="123"/>
      <c r="E1587" s="123"/>
    </row>
    <row r="1588" spans="3:5" ht="16.5">
      <c r="C1588" s="123"/>
      <c r="E1588" s="123"/>
    </row>
    <row r="1589" spans="3:5" ht="16.5">
      <c r="C1589" s="123"/>
      <c r="E1589" s="123"/>
    </row>
    <row r="1590" spans="3:5" ht="16.5">
      <c r="C1590" s="123"/>
      <c r="E1590" s="123"/>
    </row>
    <row r="1591" spans="3:5" ht="16.5">
      <c r="C1591" s="123"/>
      <c r="E1591" s="123"/>
    </row>
    <row r="1592" spans="3:5" ht="16.5">
      <c r="C1592" s="123"/>
      <c r="E1592" s="123"/>
    </row>
    <row r="1593" spans="3:5" ht="16.5">
      <c r="C1593" s="123"/>
      <c r="E1593" s="123"/>
    </row>
    <row r="1594" spans="3:5" ht="16.5">
      <c r="C1594" s="123"/>
      <c r="E1594" s="123"/>
    </row>
    <row r="1595" spans="3:5" ht="16.5">
      <c r="C1595" s="123"/>
      <c r="E1595" s="123"/>
    </row>
    <row r="1596" spans="3:5" ht="16.5">
      <c r="C1596" s="123"/>
      <c r="E1596" s="123"/>
    </row>
    <row r="1597" spans="3:5" ht="16.5">
      <c r="C1597" s="123"/>
      <c r="E1597" s="123"/>
    </row>
    <row r="1598" spans="3:5" ht="16.5">
      <c r="C1598" s="123"/>
      <c r="E1598" s="123"/>
    </row>
    <row r="1599" spans="3:5" ht="16.5">
      <c r="C1599" s="123"/>
      <c r="E1599" s="123"/>
    </row>
    <row r="1600" spans="3:5" ht="16.5">
      <c r="C1600" s="123"/>
      <c r="E1600" s="123"/>
    </row>
    <row r="1601" spans="3:5" ht="16.5">
      <c r="C1601" s="123"/>
      <c r="E1601" s="123"/>
    </row>
    <row r="1602" spans="3:5" ht="16.5">
      <c r="C1602" s="123"/>
      <c r="E1602" s="123"/>
    </row>
    <row r="1603" spans="3:5" ht="16.5">
      <c r="C1603" s="123"/>
      <c r="E1603" s="123"/>
    </row>
    <row r="1604" spans="3:5" ht="16.5">
      <c r="C1604" s="123"/>
      <c r="E1604" s="123"/>
    </row>
    <row r="1605" spans="3:5" ht="16.5">
      <c r="C1605" s="123"/>
      <c r="E1605" s="123"/>
    </row>
    <row r="1606" spans="3:5" ht="16.5">
      <c r="C1606" s="123"/>
      <c r="E1606" s="123"/>
    </row>
    <row r="1607" spans="3:5" ht="16.5">
      <c r="C1607" s="123"/>
      <c r="E1607" s="123"/>
    </row>
    <row r="1608" spans="3:5" ht="16.5">
      <c r="C1608" s="123"/>
      <c r="E1608" s="123"/>
    </row>
    <row r="1609" spans="3:5" ht="16.5">
      <c r="C1609" s="123"/>
      <c r="E1609" s="123"/>
    </row>
    <row r="1610" spans="3:5" ht="16.5">
      <c r="C1610" s="123"/>
      <c r="E1610" s="123"/>
    </row>
    <row r="1611" spans="3:5" ht="16.5">
      <c r="C1611" s="123"/>
      <c r="E1611" s="123"/>
    </row>
    <row r="1612" spans="3:5" ht="16.5">
      <c r="C1612" s="123"/>
      <c r="E1612" s="123"/>
    </row>
    <row r="1613" spans="3:5" ht="16.5">
      <c r="C1613" s="123"/>
      <c r="E1613" s="123"/>
    </row>
    <row r="1614" spans="3:5" ht="16.5">
      <c r="C1614" s="123"/>
      <c r="E1614" s="123"/>
    </row>
    <row r="1615" spans="3:5" ht="16.5">
      <c r="C1615" s="123"/>
      <c r="E1615" s="123"/>
    </row>
    <row r="1616" spans="3:5" ht="16.5">
      <c r="C1616" s="123"/>
      <c r="E1616" s="123"/>
    </row>
    <row r="1617" spans="3:5" ht="16.5">
      <c r="C1617" s="123"/>
      <c r="E1617" s="123"/>
    </row>
    <row r="1618" spans="3:5" ht="16.5">
      <c r="C1618" s="123"/>
      <c r="E1618" s="123"/>
    </row>
    <row r="1619" spans="3:5" ht="16.5">
      <c r="C1619" s="123"/>
      <c r="E1619" s="123"/>
    </row>
    <row r="1620" spans="3:5" ht="16.5">
      <c r="C1620" s="123"/>
      <c r="E1620" s="123"/>
    </row>
    <row r="1621" spans="3:5" ht="16.5">
      <c r="C1621" s="123"/>
      <c r="E1621" s="123"/>
    </row>
    <row r="1622" spans="3:5" ht="16.5">
      <c r="C1622" s="123"/>
      <c r="E1622" s="123"/>
    </row>
    <row r="1623" spans="3:5" ht="16.5">
      <c r="C1623" s="123"/>
      <c r="E1623" s="123"/>
    </row>
    <row r="1624" spans="3:5" ht="16.5">
      <c r="C1624" s="123"/>
      <c r="E1624" s="123"/>
    </row>
    <row r="1625" spans="3:5" ht="16.5">
      <c r="C1625" s="123"/>
      <c r="E1625" s="123"/>
    </row>
    <row r="1626" spans="3:5" ht="16.5">
      <c r="C1626" s="123"/>
      <c r="E1626" s="123"/>
    </row>
    <row r="1627" spans="3:5" ht="16.5">
      <c r="C1627" s="123"/>
      <c r="E1627" s="123"/>
    </row>
    <row r="1628" spans="3:5" ht="16.5">
      <c r="C1628" s="123"/>
      <c r="E1628" s="123"/>
    </row>
    <row r="1629" spans="3:5" ht="16.5">
      <c r="C1629" s="123"/>
      <c r="E1629" s="123"/>
    </row>
    <row r="1630" spans="3:5" ht="16.5">
      <c r="C1630" s="123"/>
      <c r="E1630" s="123"/>
    </row>
    <row r="1631" spans="3:5" ht="16.5">
      <c r="C1631" s="123"/>
      <c r="E1631" s="123"/>
    </row>
    <row r="1632" spans="3:5" ht="16.5">
      <c r="C1632" s="123"/>
      <c r="E1632" s="123"/>
    </row>
    <row r="1633" spans="3:5" ht="16.5">
      <c r="C1633" s="123"/>
      <c r="E1633" s="123"/>
    </row>
    <row r="1634" spans="3:5" ht="16.5">
      <c r="C1634" s="123"/>
      <c r="E1634" s="123"/>
    </row>
    <row r="1635" spans="3:5" ht="16.5">
      <c r="C1635" s="123"/>
      <c r="E1635" s="123"/>
    </row>
    <row r="1636" spans="3:5" ht="16.5">
      <c r="C1636" s="123"/>
      <c r="E1636" s="123"/>
    </row>
    <row r="1637" spans="3:5" ht="16.5">
      <c r="C1637" s="123"/>
      <c r="E1637" s="123"/>
    </row>
    <row r="1638" spans="3:5" ht="16.5">
      <c r="C1638" s="123"/>
      <c r="E1638" s="123"/>
    </row>
    <row r="1639" spans="3:5" ht="16.5">
      <c r="C1639" s="123"/>
      <c r="E1639" s="123"/>
    </row>
    <row r="1640" spans="3:5" ht="16.5">
      <c r="C1640" s="123"/>
      <c r="E1640" s="123"/>
    </row>
    <row r="1641" spans="3:5" ht="16.5">
      <c r="C1641" s="123"/>
      <c r="E1641" s="123"/>
    </row>
    <row r="1642" spans="3:5" ht="16.5">
      <c r="C1642" s="123"/>
      <c r="E1642" s="123"/>
    </row>
    <row r="1643" spans="3:5" ht="16.5">
      <c r="C1643" s="123"/>
      <c r="E1643" s="123"/>
    </row>
    <row r="1644" spans="3:5" ht="16.5">
      <c r="C1644" s="123"/>
      <c r="E1644" s="123"/>
    </row>
    <row r="1645" spans="3:5" ht="16.5">
      <c r="C1645" s="123"/>
      <c r="E1645" s="123"/>
    </row>
    <row r="1646" spans="3:5" ht="16.5">
      <c r="C1646" s="123"/>
      <c r="E1646" s="123"/>
    </row>
    <row r="1647" spans="3:5" ht="16.5">
      <c r="C1647" s="123"/>
      <c r="E1647" s="123"/>
    </row>
    <row r="1648" spans="3:5" ht="16.5">
      <c r="C1648" s="123"/>
      <c r="E1648" s="123"/>
    </row>
    <row r="1649" spans="3:5" ht="16.5">
      <c r="C1649" s="123"/>
      <c r="E1649" s="123"/>
    </row>
    <row r="1650" spans="3:5" ht="16.5">
      <c r="C1650" s="123"/>
      <c r="E1650" s="123"/>
    </row>
    <row r="1651" spans="3:5" ht="16.5">
      <c r="C1651" s="123"/>
      <c r="E1651" s="123"/>
    </row>
    <row r="1652" spans="3:5" ht="16.5">
      <c r="C1652" s="123"/>
      <c r="E1652" s="123"/>
    </row>
    <row r="1653" spans="3:5" ht="16.5">
      <c r="C1653" s="123"/>
      <c r="E1653" s="123"/>
    </row>
    <row r="1654" spans="3:5" ht="16.5">
      <c r="C1654" s="123"/>
      <c r="E1654" s="123"/>
    </row>
    <row r="1655" spans="3:5" ht="16.5">
      <c r="C1655" s="123"/>
      <c r="E1655" s="123"/>
    </row>
    <row r="1656" spans="3:5" ht="16.5">
      <c r="C1656" s="123"/>
      <c r="E1656" s="123"/>
    </row>
    <row r="1657" spans="3:5" ht="16.5">
      <c r="C1657" s="123"/>
      <c r="E1657" s="123"/>
    </row>
    <row r="1658" spans="3:5" ht="16.5">
      <c r="C1658" s="123"/>
      <c r="E1658" s="123"/>
    </row>
    <row r="1659" spans="3:5" ht="16.5">
      <c r="C1659" s="123"/>
      <c r="E1659" s="123"/>
    </row>
    <row r="1660" spans="3:5" ht="16.5">
      <c r="C1660" s="123"/>
      <c r="E1660" s="123"/>
    </row>
    <row r="1661" spans="3:5" ht="16.5">
      <c r="C1661" s="123"/>
      <c r="E1661" s="123"/>
    </row>
    <row r="1662" spans="3:5" ht="16.5">
      <c r="C1662" s="123"/>
      <c r="E1662" s="123"/>
    </row>
    <row r="1663" spans="3:5" ht="16.5">
      <c r="C1663" s="123"/>
      <c r="E1663" s="123"/>
    </row>
    <row r="1664" spans="3:5" ht="16.5">
      <c r="C1664" s="123"/>
      <c r="E1664" s="123"/>
    </row>
    <row r="1665" spans="3:5" ht="16.5">
      <c r="C1665" s="123"/>
      <c r="E1665" s="123"/>
    </row>
    <row r="1666" spans="3:5" ht="16.5">
      <c r="C1666" s="123"/>
      <c r="E1666" s="123"/>
    </row>
    <row r="1667" spans="3:5" ht="16.5">
      <c r="C1667" s="123"/>
      <c r="E1667" s="123"/>
    </row>
    <row r="1668" spans="3:5" ht="16.5">
      <c r="C1668" s="123"/>
      <c r="E1668" s="123"/>
    </row>
    <row r="1669" spans="3:5" ht="16.5">
      <c r="C1669" s="123"/>
      <c r="E1669" s="123"/>
    </row>
    <row r="1670" spans="3:5" ht="16.5">
      <c r="C1670" s="123"/>
      <c r="E1670" s="123"/>
    </row>
    <row r="1671" spans="3:5" ht="16.5">
      <c r="C1671" s="123"/>
      <c r="E1671" s="123"/>
    </row>
    <row r="1672" spans="3:5" ht="16.5">
      <c r="C1672" s="123"/>
      <c r="E1672" s="123"/>
    </row>
    <row r="1673" spans="3:5" ht="16.5">
      <c r="C1673" s="123"/>
      <c r="E1673" s="123"/>
    </row>
    <row r="1674" spans="3:5" ht="16.5">
      <c r="C1674" s="123"/>
      <c r="E1674" s="123"/>
    </row>
    <row r="1675" spans="3:5" ht="16.5">
      <c r="C1675" s="123"/>
      <c r="E1675" s="123"/>
    </row>
    <row r="1676" spans="3:5" ht="16.5">
      <c r="C1676" s="123"/>
      <c r="E1676" s="123"/>
    </row>
    <row r="1677" spans="3:5" ht="16.5">
      <c r="C1677" s="123"/>
      <c r="E1677" s="123"/>
    </row>
    <row r="1678" spans="3:5" ht="16.5">
      <c r="C1678" s="123"/>
      <c r="E1678" s="123"/>
    </row>
    <row r="1679" spans="3:5" ht="16.5">
      <c r="C1679" s="123"/>
      <c r="E1679" s="123"/>
    </row>
    <row r="1680" spans="3:5" ht="16.5">
      <c r="C1680" s="123"/>
      <c r="E1680" s="123"/>
    </row>
    <row r="1681" spans="3:5" ht="16.5">
      <c r="C1681" s="123"/>
      <c r="E1681" s="123"/>
    </row>
    <row r="1682" spans="3:5" ht="16.5">
      <c r="C1682" s="123"/>
      <c r="E1682" s="123"/>
    </row>
    <row r="1683" spans="3:5" ht="16.5">
      <c r="C1683" s="123"/>
      <c r="E1683" s="123"/>
    </row>
    <row r="1684" spans="3:5" ht="16.5">
      <c r="C1684" s="123"/>
      <c r="E1684" s="123"/>
    </row>
    <row r="1685" spans="3:5" ht="16.5">
      <c r="C1685" s="123"/>
      <c r="E1685" s="123"/>
    </row>
    <row r="1686" spans="3:5" ht="16.5">
      <c r="C1686" s="123"/>
      <c r="E1686" s="123"/>
    </row>
    <row r="1687" spans="3:5" ht="16.5">
      <c r="C1687" s="123"/>
      <c r="E1687" s="123"/>
    </row>
    <row r="1688" spans="3:5" ht="16.5">
      <c r="C1688" s="123"/>
      <c r="E1688" s="123"/>
    </row>
    <row r="1689" spans="3:5" ht="16.5">
      <c r="C1689" s="123"/>
      <c r="E1689" s="123"/>
    </row>
    <row r="1690" spans="3:5" ht="16.5">
      <c r="C1690" s="123"/>
      <c r="E1690" s="123"/>
    </row>
    <row r="1691" spans="3:5" ht="16.5">
      <c r="C1691" s="123"/>
      <c r="E1691" s="123"/>
    </row>
    <row r="1692" spans="3:5" ht="16.5">
      <c r="C1692" s="123"/>
      <c r="E1692" s="123"/>
    </row>
    <row r="1693" spans="3:5" ht="16.5">
      <c r="C1693" s="123"/>
      <c r="E1693" s="123"/>
    </row>
    <row r="1694" spans="3:5" ht="16.5">
      <c r="C1694" s="123"/>
      <c r="E1694" s="123"/>
    </row>
    <row r="1695" spans="3:5" ht="16.5">
      <c r="C1695" s="123"/>
      <c r="E1695" s="123"/>
    </row>
    <row r="1696" spans="3:5" ht="16.5">
      <c r="C1696" s="123"/>
      <c r="E1696" s="123"/>
    </row>
    <row r="1697" spans="3:5" ht="16.5">
      <c r="C1697" s="123"/>
      <c r="E1697" s="123"/>
    </row>
    <row r="1698" spans="3:5" ht="16.5">
      <c r="C1698" s="123"/>
      <c r="E1698" s="123"/>
    </row>
    <row r="1699" spans="3:5" ht="16.5">
      <c r="C1699" s="123"/>
      <c r="E1699" s="123"/>
    </row>
    <row r="1700" spans="3:5" ht="16.5">
      <c r="C1700" s="123"/>
      <c r="E1700" s="123"/>
    </row>
    <row r="1701" spans="3:5" ht="16.5">
      <c r="C1701" s="123"/>
      <c r="E1701" s="123"/>
    </row>
    <row r="1702" spans="3:5" ht="16.5">
      <c r="C1702" s="123"/>
      <c r="E1702" s="123"/>
    </row>
    <row r="1703" spans="3:5" ht="16.5">
      <c r="C1703" s="123"/>
      <c r="E1703" s="123"/>
    </row>
    <row r="1704" spans="3:5" ht="16.5">
      <c r="C1704" s="123"/>
      <c r="E1704" s="123"/>
    </row>
    <row r="1705" spans="3:5" ht="16.5">
      <c r="C1705" s="123"/>
      <c r="E1705" s="123"/>
    </row>
    <row r="1706" spans="3:5" ht="16.5">
      <c r="C1706" s="123"/>
      <c r="E1706" s="123"/>
    </row>
    <row r="1707" spans="3:5" ht="16.5">
      <c r="C1707" s="123"/>
      <c r="E1707" s="123"/>
    </row>
    <row r="1708" spans="3:5" ht="16.5">
      <c r="C1708" s="123"/>
      <c r="E1708" s="123"/>
    </row>
    <row r="1709" spans="3:5" ht="16.5">
      <c r="C1709" s="123"/>
      <c r="E1709" s="123"/>
    </row>
    <row r="1710" spans="3:5" ht="16.5">
      <c r="C1710" s="123"/>
      <c r="E1710" s="123"/>
    </row>
    <row r="1711" spans="3:5" ht="16.5">
      <c r="C1711" s="123"/>
      <c r="E1711" s="123"/>
    </row>
    <row r="1712" spans="3:5" ht="16.5">
      <c r="C1712" s="123"/>
      <c r="E1712" s="123"/>
    </row>
    <row r="1713" spans="3:5" ht="16.5">
      <c r="C1713" s="123"/>
      <c r="E1713" s="123"/>
    </row>
    <row r="1714" spans="3:5" ht="16.5">
      <c r="C1714" s="123"/>
      <c r="E1714" s="123"/>
    </row>
    <row r="1715" spans="3:5" ht="16.5">
      <c r="C1715" s="123"/>
      <c r="E1715" s="123"/>
    </row>
    <row r="1716" spans="3:5" ht="16.5">
      <c r="C1716" s="123"/>
      <c r="E1716" s="123"/>
    </row>
    <row r="1717" spans="3:5" ht="16.5">
      <c r="C1717" s="123"/>
      <c r="E1717" s="123"/>
    </row>
    <row r="1718" spans="3:5" ht="16.5">
      <c r="C1718" s="123"/>
      <c r="E1718" s="123"/>
    </row>
    <row r="1719" spans="3:5" ht="16.5">
      <c r="C1719" s="123"/>
      <c r="E1719" s="123"/>
    </row>
    <row r="1720" spans="3:5" ht="16.5">
      <c r="C1720" s="123"/>
      <c r="E1720" s="123"/>
    </row>
    <row r="1721" spans="3:5" ht="16.5">
      <c r="C1721" s="123"/>
      <c r="E1721" s="123"/>
    </row>
    <row r="1722" spans="3:5" ht="16.5">
      <c r="C1722" s="123"/>
      <c r="E1722" s="123"/>
    </row>
    <row r="1723" spans="3:5" ht="16.5">
      <c r="C1723" s="123"/>
      <c r="E1723" s="123"/>
    </row>
    <row r="1724" spans="3:5" ht="16.5">
      <c r="C1724" s="123"/>
      <c r="E1724" s="123"/>
    </row>
    <row r="1725" spans="3:5" ht="16.5">
      <c r="C1725" s="123"/>
      <c r="E1725" s="123"/>
    </row>
    <row r="1726" spans="3:5" ht="16.5">
      <c r="C1726" s="123"/>
      <c r="E1726" s="123"/>
    </row>
    <row r="1727" spans="3:5" ht="16.5">
      <c r="C1727" s="123"/>
      <c r="E1727" s="123"/>
    </row>
    <row r="1728" spans="3:5" ht="16.5">
      <c r="C1728" s="123"/>
      <c r="E1728" s="123"/>
    </row>
    <row r="1729" spans="3:5" ht="16.5">
      <c r="C1729" s="123"/>
      <c r="E1729" s="123"/>
    </row>
    <row r="1730" spans="3:5" ht="16.5">
      <c r="C1730" s="123"/>
      <c r="E1730" s="123"/>
    </row>
    <row r="1731" spans="3:5" ht="16.5">
      <c r="C1731" s="123"/>
      <c r="E1731" s="123"/>
    </row>
    <row r="1732" spans="3:5" ht="16.5">
      <c r="C1732" s="123"/>
      <c r="E1732" s="123"/>
    </row>
    <row r="1733" spans="3:5" ht="16.5">
      <c r="C1733" s="123"/>
      <c r="E1733" s="123"/>
    </row>
    <row r="1734" spans="3:5" ht="16.5">
      <c r="C1734" s="123"/>
      <c r="E1734" s="123"/>
    </row>
    <row r="1735" spans="3:5" ht="16.5">
      <c r="C1735" s="123"/>
      <c r="E1735" s="123"/>
    </row>
    <row r="1736" spans="3:5" ht="16.5">
      <c r="C1736" s="123"/>
      <c r="E1736" s="123"/>
    </row>
    <row r="1737" spans="3:5" ht="16.5">
      <c r="C1737" s="123"/>
      <c r="E1737" s="123"/>
    </row>
    <row r="1738" spans="3:5" ht="16.5">
      <c r="C1738" s="123"/>
      <c r="E1738" s="123"/>
    </row>
    <row r="1739" spans="3:5" ht="16.5">
      <c r="C1739" s="123"/>
      <c r="E1739" s="123"/>
    </row>
    <row r="1740" spans="3:5" ht="16.5">
      <c r="C1740" s="123"/>
      <c r="E1740" s="123"/>
    </row>
    <row r="1741" spans="3:5" ht="16.5">
      <c r="C1741" s="123"/>
      <c r="E1741" s="123"/>
    </row>
    <row r="1742" spans="3:5" ht="16.5">
      <c r="C1742" s="123"/>
      <c r="E1742" s="123"/>
    </row>
    <row r="1743" spans="3:5" ht="16.5">
      <c r="C1743" s="123"/>
      <c r="E1743" s="123"/>
    </row>
    <row r="1744" spans="3:5" ht="16.5">
      <c r="C1744" s="123"/>
      <c r="E1744" s="123"/>
    </row>
    <row r="1745" spans="3:5" ht="16.5">
      <c r="C1745" s="123"/>
      <c r="E1745" s="123"/>
    </row>
    <row r="1746" spans="3:5" ht="16.5">
      <c r="C1746" s="123"/>
      <c r="E1746" s="123"/>
    </row>
    <row r="1747" spans="3:5" ht="16.5">
      <c r="C1747" s="123"/>
      <c r="E1747" s="123"/>
    </row>
    <row r="1748" spans="3:5" ht="16.5">
      <c r="C1748" s="123"/>
      <c r="E1748" s="123"/>
    </row>
    <row r="1749" spans="3:5" ht="16.5">
      <c r="C1749" s="123"/>
      <c r="E1749" s="123"/>
    </row>
    <row r="1750" spans="3:5" ht="16.5">
      <c r="C1750" s="123"/>
      <c r="E1750" s="123"/>
    </row>
    <row r="1751" spans="3:5" ht="16.5">
      <c r="C1751" s="123"/>
      <c r="E1751" s="123"/>
    </row>
    <row r="1752" spans="3:5" ht="16.5">
      <c r="C1752" s="123"/>
      <c r="E1752" s="123"/>
    </row>
    <row r="1753" spans="3:5" ht="16.5">
      <c r="C1753" s="123"/>
      <c r="E1753" s="123"/>
    </row>
    <row r="1754" spans="3:5" ht="16.5">
      <c r="C1754" s="123"/>
      <c r="E1754" s="123"/>
    </row>
    <row r="1755" spans="3:5" ht="16.5">
      <c r="C1755" s="123"/>
      <c r="E1755" s="123"/>
    </row>
    <row r="1756" spans="3:5" ht="16.5">
      <c r="C1756" s="123"/>
      <c r="E1756" s="123"/>
    </row>
    <row r="1757" spans="3:5" ht="16.5">
      <c r="C1757" s="123"/>
      <c r="E1757" s="123"/>
    </row>
    <row r="1758" spans="3:5" ht="16.5">
      <c r="C1758" s="123"/>
      <c r="E1758" s="123"/>
    </row>
    <row r="1759" spans="3:5" ht="16.5">
      <c r="C1759" s="123"/>
      <c r="E1759" s="123"/>
    </row>
    <row r="1760" spans="3:5" ht="16.5">
      <c r="C1760" s="123"/>
      <c r="E1760" s="123"/>
    </row>
    <row r="1761" spans="3:5" ht="16.5">
      <c r="C1761" s="123"/>
      <c r="E1761" s="123"/>
    </row>
    <row r="1762" spans="3:5" ht="16.5">
      <c r="C1762" s="123"/>
      <c r="E1762" s="123"/>
    </row>
    <row r="1763" spans="3:5" ht="16.5">
      <c r="C1763" s="123"/>
      <c r="E1763" s="123"/>
    </row>
    <row r="1764" spans="3:5" ht="16.5">
      <c r="C1764" s="123"/>
      <c r="E1764" s="123"/>
    </row>
    <row r="1765" spans="3:5" ht="16.5">
      <c r="C1765" s="123"/>
      <c r="E1765" s="123"/>
    </row>
    <row r="1766" spans="3:5" ht="16.5">
      <c r="C1766" s="123"/>
      <c r="E1766" s="123"/>
    </row>
    <row r="1767" spans="3:5" ht="16.5">
      <c r="C1767" s="123"/>
      <c r="E1767" s="123"/>
    </row>
    <row r="1768" spans="3:5" ht="16.5">
      <c r="C1768" s="123"/>
      <c r="E1768" s="123"/>
    </row>
    <row r="1769" spans="3:5" ht="16.5">
      <c r="C1769" s="123"/>
      <c r="E1769" s="123"/>
    </row>
    <row r="1770" spans="3:5" ht="16.5">
      <c r="C1770" s="123"/>
      <c r="E1770" s="123"/>
    </row>
    <row r="1771" spans="3:5" ht="16.5">
      <c r="C1771" s="123"/>
      <c r="E1771" s="123"/>
    </row>
    <row r="1772" spans="3:5" ht="16.5">
      <c r="C1772" s="123"/>
      <c r="E1772" s="123"/>
    </row>
    <row r="1773" spans="3:5" ht="16.5">
      <c r="C1773" s="123"/>
      <c r="E1773" s="123"/>
    </row>
    <row r="1774" spans="3:5" ht="16.5">
      <c r="C1774" s="123"/>
      <c r="E1774" s="123"/>
    </row>
    <row r="1775" spans="3:5" ht="16.5">
      <c r="C1775" s="123"/>
      <c r="E1775" s="123"/>
    </row>
    <row r="1776" spans="3:5" ht="16.5">
      <c r="C1776" s="123"/>
      <c r="E1776" s="123"/>
    </row>
    <row r="1777" spans="3:5" ht="16.5">
      <c r="C1777" s="123"/>
      <c r="E1777" s="123"/>
    </row>
    <row r="1778" spans="3:5" ht="16.5">
      <c r="C1778" s="123"/>
      <c r="E1778" s="123"/>
    </row>
    <row r="1779" spans="3:5" ht="16.5">
      <c r="C1779" s="123"/>
      <c r="E1779" s="123"/>
    </row>
    <row r="1780" spans="3:5" ht="16.5">
      <c r="C1780" s="123"/>
      <c r="E1780" s="123"/>
    </row>
    <row r="1781" spans="3:5" ht="16.5">
      <c r="C1781" s="123"/>
      <c r="E1781" s="123"/>
    </row>
    <row r="1782" spans="3:5" ht="16.5">
      <c r="C1782" s="123"/>
      <c r="E1782" s="123"/>
    </row>
    <row r="1783" spans="3:5" ht="16.5">
      <c r="C1783" s="123"/>
      <c r="E1783" s="123"/>
    </row>
    <row r="1784" spans="3:5" ht="16.5">
      <c r="C1784" s="123"/>
      <c r="E1784" s="123"/>
    </row>
    <row r="1785" spans="3:5" ht="16.5">
      <c r="C1785" s="123"/>
      <c r="E1785" s="123"/>
    </row>
    <row r="1786" spans="3:5" ht="16.5">
      <c r="C1786" s="123"/>
      <c r="E1786" s="123"/>
    </row>
    <row r="1787" spans="3:5" ht="16.5">
      <c r="C1787" s="123"/>
      <c r="E1787" s="123"/>
    </row>
    <row r="1788" spans="3:5" ht="16.5">
      <c r="C1788" s="123"/>
      <c r="E1788" s="123"/>
    </row>
    <row r="1789" spans="3:5" ht="16.5">
      <c r="C1789" s="123"/>
      <c r="E1789" s="123"/>
    </row>
    <row r="1790" spans="3:5" ht="16.5">
      <c r="C1790" s="123"/>
      <c r="E1790" s="123"/>
    </row>
    <row r="1791" spans="3:5" ht="16.5">
      <c r="C1791" s="123"/>
      <c r="E1791" s="123"/>
    </row>
    <row r="1792" spans="3:5" ht="16.5">
      <c r="C1792" s="123"/>
      <c r="E1792" s="123"/>
    </row>
    <row r="1793" spans="3:5" ht="16.5">
      <c r="C1793" s="123"/>
      <c r="E1793" s="123"/>
    </row>
    <row r="1794" spans="3:5" ht="16.5">
      <c r="C1794" s="123"/>
      <c r="E1794" s="123"/>
    </row>
    <row r="1795" spans="3:5" ht="16.5">
      <c r="C1795" s="123"/>
      <c r="E1795" s="123"/>
    </row>
    <row r="1796" spans="3:5" ht="16.5">
      <c r="C1796" s="123"/>
      <c r="E1796" s="123"/>
    </row>
    <row r="1797" spans="3:5" ht="16.5">
      <c r="C1797" s="123"/>
      <c r="E1797" s="123"/>
    </row>
    <row r="1798" spans="3:5" ht="16.5">
      <c r="C1798" s="123"/>
      <c r="E1798" s="123"/>
    </row>
    <row r="1799" spans="3:5" ht="16.5">
      <c r="C1799" s="123"/>
      <c r="E1799" s="123"/>
    </row>
    <row r="1800" spans="3:5" ht="16.5">
      <c r="C1800" s="123"/>
      <c r="E1800" s="123"/>
    </row>
    <row r="1801" spans="3:5" ht="16.5">
      <c r="C1801" s="123"/>
      <c r="E1801" s="123"/>
    </row>
    <row r="1802" spans="3:5" ht="16.5">
      <c r="C1802" s="123"/>
      <c r="E1802" s="123"/>
    </row>
    <row r="1803" spans="3:5" ht="16.5">
      <c r="C1803" s="123"/>
      <c r="E1803" s="123"/>
    </row>
    <row r="1804" spans="3:5" ht="16.5">
      <c r="C1804" s="123"/>
      <c r="E1804" s="123"/>
    </row>
    <row r="1805" spans="3:5" ht="16.5">
      <c r="C1805" s="123"/>
      <c r="E1805" s="123"/>
    </row>
    <row r="1806" spans="3:5" ht="16.5">
      <c r="C1806" s="123"/>
      <c r="E1806" s="123"/>
    </row>
    <row r="1807" spans="3:5" ht="16.5">
      <c r="C1807" s="123"/>
      <c r="E1807" s="123"/>
    </row>
    <row r="1808" spans="3:5" ht="16.5">
      <c r="C1808" s="123"/>
      <c r="E1808" s="123"/>
    </row>
    <row r="1809" spans="3:5" ht="16.5">
      <c r="C1809" s="123"/>
      <c r="E1809" s="123"/>
    </row>
    <row r="1810" spans="3:5" ht="16.5">
      <c r="C1810" s="123"/>
      <c r="E1810" s="123"/>
    </row>
    <row r="1811" spans="3:5" ht="16.5">
      <c r="C1811" s="123"/>
      <c r="E1811" s="123"/>
    </row>
    <row r="1812" spans="3:5" ht="16.5">
      <c r="C1812" s="123"/>
      <c r="E1812" s="123"/>
    </row>
    <row r="1813" spans="3:5" ht="16.5">
      <c r="C1813" s="123"/>
      <c r="E1813" s="123"/>
    </row>
    <row r="1814" spans="3:5" ht="16.5">
      <c r="C1814" s="123"/>
      <c r="E1814" s="123"/>
    </row>
    <row r="1815" spans="3:5" ht="16.5">
      <c r="C1815" s="123"/>
      <c r="E1815" s="123"/>
    </row>
    <row r="1816" spans="3:5" ht="16.5">
      <c r="C1816" s="123"/>
      <c r="E1816" s="123"/>
    </row>
    <row r="1817" spans="3:5" ht="16.5">
      <c r="C1817" s="123"/>
      <c r="E1817" s="123"/>
    </row>
    <row r="1818" spans="3:5" ht="16.5">
      <c r="C1818" s="123"/>
      <c r="E1818" s="123"/>
    </row>
    <row r="1819" spans="3:5" ht="16.5">
      <c r="C1819" s="123"/>
      <c r="E1819" s="123"/>
    </row>
    <row r="1820" spans="3:5" ht="16.5">
      <c r="C1820" s="123"/>
      <c r="E1820" s="123"/>
    </row>
    <row r="1821" spans="3:5" ht="16.5">
      <c r="C1821" s="123"/>
      <c r="E1821" s="123"/>
    </row>
    <row r="1822" spans="3:5" ht="16.5">
      <c r="C1822" s="123"/>
      <c r="E1822" s="123"/>
    </row>
    <row r="1823" spans="3:5" ht="16.5">
      <c r="C1823" s="123"/>
      <c r="E1823" s="123"/>
    </row>
    <row r="1824" spans="3:5" ht="16.5">
      <c r="C1824" s="123"/>
      <c r="E1824" s="123"/>
    </row>
    <row r="1825" spans="3:5" ht="16.5">
      <c r="C1825" s="123"/>
      <c r="E1825" s="123"/>
    </row>
    <row r="1826" spans="3:5" ht="16.5">
      <c r="C1826" s="123"/>
      <c r="E1826" s="123"/>
    </row>
    <row r="1827" spans="3:5" ht="16.5">
      <c r="C1827" s="123"/>
      <c r="E1827" s="123"/>
    </row>
    <row r="1828" spans="3:5" ht="16.5">
      <c r="C1828" s="123"/>
      <c r="E1828" s="123"/>
    </row>
    <row r="1829" spans="3:5" ht="16.5">
      <c r="C1829" s="123"/>
      <c r="E1829" s="123"/>
    </row>
    <row r="1830" spans="3:5" ht="16.5">
      <c r="C1830" s="123"/>
      <c r="E1830" s="123"/>
    </row>
    <row r="1831" spans="3:5" ht="16.5">
      <c r="C1831" s="123"/>
      <c r="E1831" s="123"/>
    </row>
    <row r="1832" spans="3:5" ht="16.5">
      <c r="C1832" s="123"/>
      <c r="E1832" s="123"/>
    </row>
    <row r="1833" spans="3:5" ht="16.5">
      <c r="C1833" s="123"/>
      <c r="E1833" s="123"/>
    </row>
    <row r="1834" spans="3:5" ht="16.5">
      <c r="C1834" s="123"/>
      <c r="E1834" s="123"/>
    </row>
    <row r="1835" spans="3:5" ht="16.5">
      <c r="C1835" s="123"/>
      <c r="E1835" s="123"/>
    </row>
    <row r="1836" spans="3:5" ht="16.5">
      <c r="C1836" s="123"/>
      <c r="E1836" s="123"/>
    </row>
    <row r="1837" spans="3:5" ht="16.5">
      <c r="C1837" s="123"/>
      <c r="E1837" s="123"/>
    </row>
    <row r="1838" spans="3:5" ht="16.5">
      <c r="C1838" s="123"/>
      <c r="E1838" s="123"/>
    </row>
    <row r="1839" spans="3:5" ht="16.5">
      <c r="C1839" s="123"/>
      <c r="E1839" s="123"/>
    </row>
    <row r="1840" spans="3:5" ht="16.5">
      <c r="C1840" s="123"/>
      <c r="E1840" s="123"/>
    </row>
    <row r="1841" spans="3:5" ht="16.5">
      <c r="C1841" s="123"/>
      <c r="E1841" s="123"/>
    </row>
    <row r="1842" spans="3:5" ht="16.5">
      <c r="C1842" s="123"/>
      <c r="E1842" s="123"/>
    </row>
    <row r="1843" spans="3:5" ht="16.5">
      <c r="C1843" s="123"/>
      <c r="E1843" s="123"/>
    </row>
    <row r="1844" spans="3:5" ht="16.5">
      <c r="C1844" s="123"/>
      <c r="E1844" s="123"/>
    </row>
    <row r="1845" spans="3:5" ht="16.5">
      <c r="C1845" s="123"/>
      <c r="E1845" s="123"/>
    </row>
    <row r="1846" spans="3:5" ht="16.5">
      <c r="C1846" s="123"/>
      <c r="E1846" s="123"/>
    </row>
    <row r="1847" spans="3:5" ht="16.5">
      <c r="C1847" s="123"/>
      <c r="E1847" s="123"/>
    </row>
    <row r="1848" spans="3:5" ht="16.5">
      <c r="C1848" s="123"/>
      <c r="E1848" s="123"/>
    </row>
    <row r="1849" spans="3:5" ht="16.5">
      <c r="C1849" s="123"/>
      <c r="E1849" s="123"/>
    </row>
    <row r="1850" spans="3:5" ht="16.5">
      <c r="C1850" s="123"/>
      <c r="E1850" s="123"/>
    </row>
    <row r="1851" spans="3:5" ht="16.5">
      <c r="C1851" s="123"/>
      <c r="E1851" s="123"/>
    </row>
    <row r="1852" spans="3:5" ht="16.5">
      <c r="C1852" s="123"/>
      <c r="E1852" s="123"/>
    </row>
    <row r="1853" spans="3:5" ht="16.5">
      <c r="C1853" s="123"/>
      <c r="E1853" s="123"/>
    </row>
    <row r="1854" spans="3:5" ht="16.5">
      <c r="C1854" s="123"/>
      <c r="E1854" s="123"/>
    </row>
    <row r="1855" spans="3:5" ht="16.5">
      <c r="C1855" s="123"/>
      <c r="E1855" s="123"/>
    </row>
    <row r="1856" spans="3:5" ht="16.5">
      <c r="C1856" s="123"/>
      <c r="E1856" s="123"/>
    </row>
    <row r="1857" spans="3:5" ht="16.5">
      <c r="C1857" s="123"/>
      <c r="E1857" s="123"/>
    </row>
    <row r="1858" spans="3:5" ht="16.5">
      <c r="C1858" s="123"/>
      <c r="E1858" s="123"/>
    </row>
    <row r="1859" spans="3:5" ht="16.5">
      <c r="C1859" s="123"/>
      <c r="E1859" s="123"/>
    </row>
    <row r="1860" spans="3:5" ht="16.5">
      <c r="C1860" s="123"/>
      <c r="E1860" s="123"/>
    </row>
    <row r="1861" spans="3:5" ht="16.5">
      <c r="C1861" s="123"/>
      <c r="E1861" s="123"/>
    </row>
    <row r="1862" spans="3:5" ht="16.5">
      <c r="C1862" s="123"/>
      <c r="E1862" s="123"/>
    </row>
    <row r="1863" spans="3:5" ht="16.5">
      <c r="C1863" s="123"/>
      <c r="E1863" s="123"/>
    </row>
    <row r="1864" spans="3:5" ht="16.5">
      <c r="C1864" s="123"/>
      <c r="E1864" s="123"/>
    </row>
    <row r="1865" spans="3:5" ht="16.5">
      <c r="C1865" s="123"/>
      <c r="E1865" s="123"/>
    </row>
    <row r="1866" spans="3:5" ht="16.5">
      <c r="C1866" s="123"/>
      <c r="E1866" s="123"/>
    </row>
    <row r="1867" spans="3:5" ht="16.5">
      <c r="C1867" s="123"/>
      <c r="E1867" s="123"/>
    </row>
    <row r="1868" spans="3:5" ht="16.5">
      <c r="C1868" s="123"/>
      <c r="E1868" s="123"/>
    </row>
    <row r="1869" spans="3:5" ht="16.5">
      <c r="C1869" s="123"/>
      <c r="E1869" s="123"/>
    </row>
    <row r="1870" spans="3:5" ht="16.5">
      <c r="C1870" s="123"/>
      <c r="E1870" s="123"/>
    </row>
    <row r="1871" spans="3:5" ht="16.5">
      <c r="C1871" s="123"/>
      <c r="E1871" s="123"/>
    </row>
    <row r="1872" spans="3:5" ht="16.5">
      <c r="C1872" s="123"/>
      <c r="E1872" s="123"/>
    </row>
    <row r="1873" spans="3:5" ht="16.5">
      <c r="C1873" s="123"/>
      <c r="E1873" s="123"/>
    </row>
    <row r="1874" spans="3:5" ht="16.5">
      <c r="C1874" s="123"/>
      <c r="E1874" s="123"/>
    </row>
    <row r="1875" spans="3:5" ht="16.5">
      <c r="C1875" s="123"/>
      <c r="E1875" s="123"/>
    </row>
    <row r="1876" spans="3:5" ht="16.5">
      <c r="C1876" s="123"/>
      <c r="E1876" s="123"/>
    </row>
    <row r="1877" spans="3:5" ht="16.5">
      <c r="C1877" s="123"/>
      <c r="E1877" s="123"/>
    </row>
    <row r="1878" spans="3:5" ht="16.5">
      <c r="C1878" s="123"/>
      <c r="E1878" s="123"/>
    </row>
    <row r="1879" spans="3:5" ht="16.5">
      <c r="C1879" s="123"/>
      <c r="E1879" s="123"/>
    </row>
    <row r="1880" spans="3:5" ht="16.5">
      <c r="C1880" s="123"/>
      <c r="E1880" s="123"/>
    </row>
    <row r="1881" spans="3:5" ht="16.5">
      <c r="C1881" s="123"/>
      <c r="E1881" s="123"/>
    </row>
    <row r="1882" spans="3:5" ht="16.5">
      <c r="C1882" s="123"/>
      <c r="E1882" s="123"/>
    </row>
    <row r="1883" spans="3:5" ht="16.5">
      <c r="C1883" s="123"/>
      <c r="E1883" s="123"/>
    </row>
    <row r="1884" spans="3:5" ht="16.5">
      <c r="C1884" s="123"/>
      <c r="E1884" s="123"/>
    </row>
    <row r="1885" spans="3:5" ht="16.5">
      <c r="C1885" s="123"/>
      <c r="E1885" s="123"/>
    </row>
    <row r="1886" spans="3:5" ht="16.5">
      <c r="C1886" s="123"/>
      <c r="E1886" s="123"/>
    </row>
    <row r="1887" spans="3:5" ht="16.5">
      <c r="C1887" s="123"/>
      <c r="E1887" s="123"/>
    </row>
    <row r="1888" spans="3:5" ht="16.5">
      <c r="C1888" s="123"/>
      <c r="E1888" s="123"/>
    </row>
    <row r="1889" spans="3:5" ht="16.5">
      <c r="C1889" s="123"/>
      <c r="E1889" s="123"/>
    </row>
    <row r="1890" spans="3:5" ht="16.5">
      <c r="C1890" s="123"/>
      <c r="E1890" s="123"/>
    </row>
    <row r="1891" spans="3:5" ht="16.5">
      <c r="C1891" s="123"/>
      <c r="E1891" s="123"/>
    </row>
    <row r="1892" spans="3:5" ht="16.5">
      <c r="C1892" s="123"/>
      <c r="E1892" s="123"/>
    </row>
    <row r="1893" spans="3:5" ht="16.5">
      <c r="C1893" s="123"/>
      <c r="E1893" s="123"/>
    </row>
    <row r="1894" spans="3:5" ht="16.5">
      <c r="C1894" s="123"/>
      <c r="E1894" s="123"/>
    </row>
    <row r="1895" spans="3:5" ht="16.5">
      <c r="C1895" s="123"/>
      <c r="E1895" s="123"/>
    </row>
    <row r="1896" spans="3:5" ht="16.5">
      <c r="C1896" s="123"/>
      <c r="E1896" s="123"/>
    </row>
    <row r="1897" spans="3:5" ht="16.5">
      <c r="C1897" s="123"/>
      <c r="E1897" s="123"/>
    </row>
    <row r="1898" spans="3:5" ht="16.5">
      <c r="C1898" s="123"/>
      <c r="E1898" s="123"/>
    </row>
    <row r="1899" spans="3:5" ht="16.5">
      <c r="C1899" s="123"/>
      <c r="E1899" s="123"/>
    </row>
    <row r="1900" spans="3:5" ht="16.5">
      <c r="C1900" s="123"/>
      <c r="E1900" s="123"/>
    </row>
    <row r="1901" spans="3:5" ht="16.5">
      <c r="C1901" s="123"/>
      <c r="E1901" s="123"/>
    </row>
    <row r="1902" spans="3:5" ht="16.5">
      <c r="C1902" s="123"/>
      <c r="E1902" s="123"/>
    </row>
    <row r="1903" spans="3:5" ht="16.5">
      <c r="C1903" s="123"/>
      <c r="E1903" s="123"/>
    </row>
    <row r="1904" spans="3:5" ht="16.5">
      <c r="C1904" s="123"/>
      <c r="E1904" s="123"/>
    </row>
    <row r="1905" spans="3:5" ht="16.5">
      <c r="C1905" s="123"/>
      <c r="E1905" s="123"/>
    </row>
    <row r="1906" spans="3:5" ht="16.5">
      <c r="C1906" s="123"/>
      <c r="E1906" s="123"/>
    </row>
    <row r="1907" spans="3:5" ht="16.5">
      <c r="C1907" s="123"/>
      <c r="E1907" s="123"/>
    </row>
    <row r="1908" spans="3:5" ht="16.5">
      <c r="C1908" s="123"/>
      <c r="E1908" s="123"/>
    </row>
    <row r="1909" spans="3:5" ht="16.5">
      <c r="C1909" s="123"/>
      <c r="E1909" s="123"/>
    </row>
    <row r="1910" spans="3:5" ht="16.5">
      <c r="C1910" s="123"/>
      <c r="E1910" s="123"/>
    </row>
    <row r="1911" spans="3:5" ht="16.5">
      <c r="C1911" s="123"/>
      <c r="E1911" s="123"/>
    </row>
    <row r="1912" spans="3:5" ht="16.5">
      <c r="C1912" s="123"/>
      <c r="E1912" s="123"/>
    </row>
    <row r="1913" spans="3:5" ht="16.5">
      <c r="C1913" s="123"/>
      <c r="E1913" s="123"/>
    </row>
    <row r="1914" spans="3:5" ht="16.5">
      <c r="C1914" s="123"/>
      <c r="E1914" s="123"/>
    </row>
    <row r="1915" spans="3:5" ht="16.5">
      <c r="C1915" s="123"/>
      <c r="E1915" s="123"/>
    </row>
    <row r="1916" spans="3:5" ht="16.5">
      <c r="C1916" s="123"/>
      <c r="E1916" s="123"/>
    </row>
    <row r="1917" spans="3:5" ht="16.5">
      <c r="C1917" s="123"/>
      <c r="E1917" s="123"/>
    </row>
    <row r="1918" spans="3:5" ht="16.5">
      <c r="C1918" s="123"/>
      <c r="E1918" s="123"/>
    </row>
    <row r="1919" spans="3:5" ht="16.5">
      <c r="C1919" s="123"/>
      <c r="E1919" s="123"/>
    </row>
    <row r="1920" spans="3:5" ht="16.5">
      <c r="C1920" s="123"/>
      <c r="E1920" s="123"/>
    </row>
    <row r="1921" spans="3:5" ht="16.5">
      <c r="C1921" s="123"/>
      <c r="E1921" s="123"/>
    </row>
    <row r="1922" spans="3:5" ht="16.5">
      <c r="C1922" s="123"/>
      <c r="E1922" s="123"/>
    </row>
    <row r="1923" spans="3:5" ht="16.5">
      <c r="C1923" s="123"/>
      <c r="E1923" s="123"/>
    </row>
    <row r="1924" spans="3:5" ht="16.5">
      <c r="C1924" s="123"/>
      <c r="E1924" s="123"/>
    </row>
    <row r="1925" spans="3:5" ht="16.5">
      <c r="C1925" s="123"/>
      <c r="E1925" s="123"/>
    </row>
    <row r="1926" spans="3:5" ht="16.5">
      <c r="C1926" s="123"/>
      <c r="E1926" s="123"/>
    </row>
    <row r="1927" spans="3:5" ht="16.5">
      <c r="C1927" s="123"/>
      <c r="E1927" s="123"/>
    </row>
    <row r="1928" spans="3:5" ht="16.5">
      <c r="C1928" s="123"/>
      <c r="E1928" s="123"/>
    </row>
    <row r="1929" spans="3:5" ht="16.5">
      <c r="C1929" s="123"/>
      <c r="E1929" s="123"/>
    </row>
    <row r="1930" spans="3:5" ht="16.5">
      <c r="C1930" s="123"/>
      <c r="E1930" s="123"/>
    </row>
    <row r="1931" spans="3:5" ht="16.5">
      <c r="C1931" s="123"/>
      <c r="E1931" s="123"/>
    </row>
    <row r="1932" spans="3:5" ht="16.5">
      <c r="C1932" s="123"/>
      <c r="E1932" s="123"/>
    </row>
    <row r="1933" spans="3:5" ht="16.5">
      <c r="C1933" s="123"/>
      <c r="E1933" s="123"/>
    </row>
    <row r="1934" spans="3:5" ht="16.5">
      <c r="C1934" s="123"/>
      <c r="E1934" s="123"/>
    </row>
    <row r="1935" spans="3:5" ht="16.5">
      <c r="C1935" s="123"/>
      <c r="E1935" s="123"/>
    </row>
    <row r="1936" spans="3:5" ht="16.5">
      <c r="C1936" s="123"/>
      <c r="E1936" s="123"/>
    </row>
    <row r="1937" spans="3:5" ht="16.5">
      <c r="C1937" s="123"/>
      <c r="E1937" s="123"/>
    </row>
    <row r="1938" spans="3:5" ht="16.5">
      <c r="C1938" s="123"/>
      <c r="E1938" s="123"/>
    </row>
    <row r="1939" spans="3:5" ht="16.5">
      <c r="C1939" s="123"/>
      <c r="E1939" s="123"/>
    </row>
    <row r="1940" spans="3:5" ht="16.5">
      <c r="C1940" s="123"/>
      <c r="E1940" s="123"/>
    </row>
    <row r="1941" spans="3:5" ht="16.5">
      <c r="C1941" s="123"/>
      <c r="E1941" s="123"/>
    </row>
    <row r="1942" spans="3:5" ht="16.5">
      <c r="C1942" s="123"/>
      <c r="E1942" s="123"/>
    </row>
    <row r="1943" spans="3:5" ht="16.5">
      <c r="C1943" s="123"/>
      <c r="E1943" s="123"/>
    </row>
    <row r="1944" spans="3:5" ht="16.5">
      <c r="C1944" s="123"/>
      <c r="E1944" s="123"/>
    </row>
    <row r="1945" spans="3:5" ht="16.5">
      <c r="C1945" s="123"/>
      <c r="E1945" s="123"/>
    </row>
    <row r="1946" spans="3:5" ht="16.5">
      <c r="C1946" s="123"/>
      <c r="E1946" s="123"/>
    </row>
    <row r="1947" spans="3:5" ht="16.5">
      <c r="C1947" s="123"/>
      <c r="E1947" s="123"/>
    </row>
    <row r="1948" spans="3:5" ht="16.5">
      <c r="C1948" s="123"/>
      <c r="E1948" s="123"/>
    </row>
    <row r="1949" spans="3:5" ht="16.5">
      <c r="C1949" s="123"/>
      <c r="E1949" s="123"/>
    </row>
    <row r="1950" spans="3:5" ht="16.5">
      <c r="C1950" s="123"/>
      <c r="E1950" s="123"/>
    </row>
    <row r="1951" spans="3:5" ht="16.5">
      <c r="C1951" s="123"/>
      <c r="E1951" s="123"/>
    </row>
    <row r="1952" spans="3:5" ht="16.5">
      <c r="C1952" s="123"/>
      <c r="E1952" s="123"/>
    </row>
    <row r="1953" spans="3:5" ht="16.5">
      <c r="C1953" s="123"/>
      <c r="E1953" s="123"/>
    </row>
    <row r="1954" spans="3:5" ht="16.5">
      <c r="C1954" s="123"/>
      <c r="E1954" s="123"/>
    </row>
    <row r="1955" spans="3:5" ht="16.5">
      <c r="C1955" s="123"/>
      <c r="E1955" s="123"/>
    </row>
    <row r="1956" spans="3:5" ht="16.5">
      <c r="C1956" s="123"/>
      <c r="E1956" s="123"/>
    </row>
    <row r="1957" spans="3:5" ht="16.5">
      <c r="C1957" s="123"/>
      <c r="E1957" s="123"/>
    </row>
    <row r="1958" spans="3:5" ht="16.5">
      <c r="C1958" s="123"/>
      <c r="E1958" s="123"/>
    </row>
    <row r="1959" spans="3:5" ht="16.5">
      <c r="C1959" s="123"/>
      <c r="E1959" s="123"/>
    </row>
    <row r="1960" spans="3:5" ht="16.5">
      <c r="C1960" s="123"/>
      <c r="E1960" s="123"/>
    </row>
    <row r="1961" spans="3:5" ht="16.5">
      <c r="C1961" s="123"/>
      <c r="E1961" s="123"/>
    </row>
    <row r="1962" spans="3:5" ht="16.5">
      <c r="C1962" s="123"/>
      <c r="E1962" s="123"/>
    </row>
    <row r="1963" spans="3:5" ht="16.5">
      <c r="C1963" s="123"/>
      <c r="E1963" s="123"/>
    </row>
    <row r="1964" spans="3:5" ht="16.5">
      <c r="C1964" s="123"/>
      <c r="E1964" s="123"/>
    </row>
    <row r="1965" spans="3:5" ht="16.5">
      <c r="C1965" s="123"/>
      <c r="E1965" s="123"/>
    </row>
    <row r="1966" spans="3:5" ht="16.5">
      <c r="C1966" s="123"/>
      <c r="E1966" s="123"/>
    </row>
    <row r="1967" spans="3:5" ht="16.5">
      <c r="C1967" s="123"/>
      <c r="E1967" s="123"/>
    </row>
    <row r="1968" spans="3:5" ht="16.5">
      <c r="C1968" s="123"/>
      <c r="E1968" s="123"/>
    </row>
    <row r="1969" spans="3:5" ht="16.5">
      <c r="C1969" s="123"/>
      <c r="E1969" s="123"/>
    </row>
    <row r="1970" spans="3:5" ht="16.5">
      <c r="C1970" s="123"/>
      <c r="E1970" s="123"/>
    </row>
    <row r="1971" spans="3:5" ht="16.5">
      <c r="C1971" s="123"/>
      <c r="E1971" s="123"/>
    </row>
    <row r="1972" spans="3:5" ht="16.5">
      <c r="C1972" s="123"/>
      <c r="E1972" s="123"/>
    </row>
    <row r="1973" spans="3:5" ht="16.5">
      <c r="C1973" s="123"/>
      <c r="E1973" s="123"/>
    </row>
    <row r="1974" spans="3:5" ht="16.5">
      <c r="C1974" s="123"/>
      <c r="E1974" s="123"/>
    </row>
    <row r="1975" spans="3:5" ht="16.5">
      <c r="C1975" s="123"/>
      <c r="E1975" s="123"/>
    </row>
    <row r="1976" spans="3:5" ht="16.5">
      <c r="C1976" s="123"/>
      <c r="E1976" s="123"/>
    </row>
    <row r="1977" spans="3:5" ht="16.5">
      <c r="C1977" s="123"/>
      <c r="E1977" s="123"/>
    </row>
    <row r="1978" spans="3:5" ht="16.5">
      <c r="C1978" s="123"/>
      <c r="E1978" s="123"/>
    </row>
    <row r="1979" spans="3:5" ht="16.5">
      <c r="C1979" s="123"/>
      <c r="E1979" s="123"/>
    </row>
    <row r="1980" spans="3:5" ht="16.5">
      <c r="C1980" s="123"/>
      <c r="E1980" s="123"/>
    </row>
    <row r="1981" spans="3:5" ht="16.5">
      <c r="C1981" s="123"/>
      <c r="E1981" s="123"/>
    </row>
    <row r="1982" spans="3:5" ht="16.5">
      <c r="C1982" s="123"/>
      <c r="E1982" s="123"/>
    </row>
    <row r="1983" spans="3:5" ht="16.5">
      <c r="C1983" s="123"/>
      <c r="E1983" s="123"/>
    </row>
    <row r="1984" spans="3:5" ht="16.5">
      <c r="C1984" s="123"/>
      <c r="E1984" s="123"/>
    </row>
    <row r="1985" spans="3:5" ht="16.5">
      <c r="C1985" s="123"/>
      <c r="E1985" s="123"/>
    </row>
    <row r="1986" spans="3:5" ht="16.5">
      <c r="C1986" s="123"/>
      <c r="E1986" s="123"/>
    </row>
    <row r="1987" spans="3:5" ht="16.5">
      <c r="C1987" s="123"/>
      <c r="E1987" s="123"/>
    </row>
    <row r="1988" spans="3:5" ht="16.5">
      <c r="C1988" s="123"/>
      <c r="E1988" s="123"/>
    </row>
    <row r="1989" spans="3:5" ht="16.5">
      <c r="C1989" s="123"/>
      <c r="E1989" s="123"/>
    </row>
    <row r="1990" spans="3:5" ht="16.5">
      <c r="C1990" s="123"/>
      <c r="E1990" s="123"/>
    </row>
    <row r="1991" spans="3:5" ht="16.5">
      <c r="C1991" s="123"/>
      <c r="E1991" s="123"/>
    </row>
    <row r="1992" spans="3:5" ht="16.5">
      <c r="C1992" s="123"/>
      <c r="E1992" s="123"/>
    </row>
    <row r="1993" spans="3:5" ht="16.5">
      <c r="C1993" s="123"/>
      <c r="E1993" s="123"/>
    </row>
    <row r="1994" spans="3:5" ht="16.5">
      <c r="C1994" s="123"/>
      <c r="E1994" s="123"/>
    </row>
    <row r="1995" spans="3:5" ht="16.5">
      <c r="C1995" s="123"/>
      <c r="E1995" s="123"/>
    </row>
    <row r="1996" spans="3:5" ht="16.5">
      <c r="C1996" s="123"/>
      <c r="E1996" s="123"/>
    </row>
    <row r="1997" spans="3:5" ht="16.5">
      <c r="C1997" s="123"/>
      <c r="E1997" s="123"/>
    </row>
    <row r="1998" spans="3:5" ht="16.5">
      <c r="C1998" s="123"/>
      <c r="E1998" s="123"/>
    </row>
    <row r="1999" spans="3:5" ht="16.5">
      <c r="C1999" s="123"/>
      <c r="E1999" s="123"/>
    </row>
    <row r="2000" spans="3:5" ht="16.5">
      <c r="C2000" s="123"/>
      <c r="E2000" s="123"/>
    </row>
    <row r="2001" spans="3:5" ht="16.5">
      <c r="C2001" s="123"/>
      <c r="E2001" s="123"/>
    </row>
    <row r="2002" spans="3:5" ht="16.5">
      <c r="C2002" s="123"/>
      <c r="E2002" s="123"/>
    </row>
    <row r="2003" spans="3:5" ht="16.5">
      <c r="C2003" s="123"/>
      <c r="E2003" s="123"/>
    </row>
    <row r="2004" spans="3:5" ht="16.5">
      <c r="C2004" s="123"/>
      <c r="E2004" s="123"/>
    </row>
    <row r="2005" spans="3:5" ht="16.5">
      <c r="C2005" s="123"/>
      <c r="E2005" s="123"/>
    </row>
    <row r="2006" spans="3:5" ht="16.5">
      <c r="C2006" s="123"/>
      <c r="E2006" s="123"/>
    </row>
    <row r="2007" spans="3:5" ht="16.5">
      <c r="C2007" s="123"/>
      <c r="E2007" s="123"/>
    </row>
    <row r="2008" spans="3:5" ht="16.5">
      <c r="C2008" s="123"/>
      <c r="E2008" s="123"/>
    </row>
    <row r="2009" spans="3:5" ht="16.5">
      <c r="C2009" s="123"/>
      <c r="E2009" s="123"/>
    </row>
    <row r="2010" spans="3:5" ht="16.5">
      <c r="C2010" s="123"/>
      <c r="E2010" s="123"/>
    </row>
    <row r="2011" spans="3:5" ht="16.5">
      <c r="C2011" s="123"/>
      <c r="E2011" s="123"/>
    </row>
    <row r="2012" spans="3:5" ht="16.5">
      <c r="C2012" s="123"/>
      <c r="E2012" s="123"/>
    </row>
    <row r="2013" spans="3:5" ht="16.5">
      <c r="C2013" s="123"/>
      <c r="E2013" s="123"/>
    </row>
    <row r="2014" spans="3:5" ht="16.5">
      <c r="C2014" s="123"/>
      <c r="E2014" s="123"/>
    </row>
    <row r="2015" spans="3:5" ht="16.5">
      <c r="C2015" s="123"/>
      <c r="E2015" s="123"/>
    </row>
    <row r="2016" spans="3:5" ht="16.5">
      <c r="C2016" s="123"/>
      <c r="E2016" s="123"/>
    </row>
    <row r="2017" spans="3:5" ht="16.5">
      <c r="C2017" s="123"/>
      <c r="E2017" s="123"/>
    </row>
    <row r="2018" spans="3:5" ht="16.5">
      <c r="C2018" s="123"/>
      <c r="E2018" s="123"/>
    </row>
    <row r="2019" spans="3:5" ht="16.5">
      <c r="C2019" s="123"/>
      <c r="E2019" s="123"/>
    </row>
    <row r="2020" spans="3:5" ht="16.5">
      <c r="C2020" s="123"/>
      <c r="E2020" s="123"/>
    </row>
    <row r="2021" spans="3:5" ht="16.5">
      <c r="C2021" s="123"/>
      <c r="E2021" s="123"/>
    </row>
    <row r="2022" spans="3:5" ht="16.5">
      <c r="C2022" s="123"/>
      <c r="E2022" s="123"/>
    </row>
    <row r="2023" spans="3:5" ht="16.5">
      <c r="C2023" s="123"/>
      <c r="E2023" s="123"/>
    </row>
    <row r="2024" spans="3:5" ht="16.5">
      <c r="C2024" s="123"/>
      <c r="E2024" s="123"/>
    </row>
    <row r="2025" spans="3:5" ht="16.5">
      <c r="C2025" s="123"/>
      <c r="E2025" s="123"/>
    </row>
    <row r="2026" spans="3:5" ht="16.5">
      <c r="C2026" s="123"/>
      <c r="E2026" s="123"/>
    </row>
    <row r="2027" spans="3:5" ht="16.5">
      <c r="C2027" s="123"/>
      <c r="E2027" s="123"/>
    </row>
    <row r="2028" spans="3:5" ht="16.5">
      <c r="C2028" s="123"/>
      <c r="E2028" s="123"/>
    </row>
    <row r="2029" spans="3:5" ht="16.5">
      <c r="C2029" s="123"/>
      <c r="E2029" s="123"/>
    </row>
    <row r="2030" spans="3:5" ht="16.5">
      <c r="C2030" s="123"/>
      <c r="E2030" s="123"/>
    </row>
    <row r="2031" spans="3:5" ht="16.5">
      <c r="C2031" s="123"/>
      <c r="E2031" s="123"/>
    </row>
    <row r="2032" spans="3:5" ht="16.5">
      <c r="C2032" s="123"/>
      <c r="E2032" s="123"/>
    </row>
    <row r="2033" spans="3:5" ht="16.5">
      <c r="C2033" s="123"/>
      <c r="E2033" s="123"/>
    </row>
    <row r="2034" spans="3:5" ht="16.5">
      <c r="C2034" s="123"/>
      <c r="E2034" s="123"/>
    </row>
    <row r="2035" spans="3:5" ht="16.5">
      <c r="C2035" s="123"/>
      <c r="E2035" s="123"/>
    </row>
    <row r="2036" spans="3:5" ht="16.5">
      <c r="C2036" s="123"/>
      <c r="E2036" s="123"/>
    </row>
    <row r="2037" spans="3:5" ht="16.5">
      <c r="C2037" s="123"/>
      <c r="E2037" s="123"/>
    </row>
    <row r="2038" spans="3:5" ht="16.5">
      <c r="C2038" s="123"/>
      <c r="E2038" s="123"/>
    </row>
    <row r="2039" spans="3:5" ht="16.5">
      <c r="C2039" s="123"/>
      <c r="E2039" s="123"/>
    </row>
    <row r="2040" spans="3:5" ht="16.5">
      <c r="C2040" s="123"/>
      <c r="E2040" s="123"/>
    </row>
    <row r="2041" spans="3:5" ht="16.5">
      <c r="C2041" s="123"/>
      <c r="E2041" s="123"/>
    </row>
    <row r="2042" spans="3:5" ht="16.5">
      <c r="C2042" s="123"/>
      <c r="E2042" s="123"/>
    </row>
    <row r="2043" spans="3:5" ht="16.5">
      <c r="C2043" s="123"/>
      <c r="E2043" s="123"/>
    </row>
    <row r="2044" spans="3:5" ht="16.5">
      <c r="C2044" s="123"/>
      <c r="E2044" s="123"/>
    </row>
    <row r="2045" spans="3:5" ht="16.5">
      <c r="C2045" s="123"/>
      <c r="E2045" s="123"/>
    </row>
    <row r="2046" spans="3:5" ht="16.5">
      <c r="C2046" s="123"/>
      <c r="E2046" s="123"/>
    </row>
    <row r="2047" spans="3:5" ht="16.5">
      <c r="C2047" s="123"/>
      <c r="E2047" s="123"/>
    </row>
    <row r="2048" spans="3:5" ht="16.5">
      <c r="C2048" s="123"/>
      <c r="E2048" s="123"/>
    </row>
    <row r="2049" spans="3:5" ht="16.5">
      <c r="C2049" s="123"/>
      <c r="E2049" s="123"/>
    </row>
    <row r="2050" spans="3:5" ht="16.5">
      <c r="C2050" s="123"/>
      <c r="E2050" s="123"/>
    </row>
    <row r="2051" spans="3:5" ht="16.5">
      <c r="C2051" s="123"/>
      <c r="E2051" s="123"/>
    </row>
    <row r="2052" spans="3:5" ht="16.5">
      <c r="C2052" s="123"/>
      <c r="E2052" s="123"/>
    </row>
    <row r="2053" spans="3:5" ht="16.5">
      <c r="C2053" s="123"/>
      <c r="E2053" s="123"/>
    </row>
    <row r="2054" spans="3:5" ht="16.5">
      <c r="C2054" s="123"/>
      <c r="E2054" s="123"/>
    </row>
    <row r="2055" spans="3:5" ht="16.5">
      <c r="C2055" s="123"/>
      <c r="E2055" s="123"/>
    </row>
    <row r="2056" spans="3:5" ht="16.5">
      <c r="C2056" s="123"/>
      <c r="E2056" s="123"/>
    </row>
    <row r="2057" spans="3:5" ht="16.5">
      <c r="C2057" s="123"/>
      <c r="E2057" s="123"/>
    </row>
    <row r="2058" spans="3:5" ht="16.5">
      <c r="C2058" s="123"/>
      <c r="E2058" s="123"/>
    </row>
    <row r="2059" spans="3:5" ht="16.5">
      <c r="C2059" s="123"/>
      <c r="E2059" s="123"/>
    </row>
    <row r="2060" spans="3:5" ht="16.5">
      <c r="C2060" s="123"/>
      <c r="E2060" s="123"/>
    </row>
    <row r="2061" spans="3:5" ht="16.5">
      <c r="C2061" s="123"/>
      <c r="E2061" s="123"/>
    </row>
    <row r="2062" spans="3:5" ht="16.5">
      <c r="C2062" s="123"/>
      <c r="E2062" s="123"/>
    </row>
    <row r="2063" spans="3:5" ht="16.5">
      <c r="C2063" s="123"/>
      <c r="E2063" s="123"/>
    </row>
    <row r="2064" spans="3:5" ht="16.5">
      <c r="C2064" s="123"/>
      <c r="E2064" s="123"/>
    </row>
    <row r="2065" spans="3:5" ht="16.5">
      <c r="C2065" s="123"/>
      <c r="E2065" s="123"/>
    </row>
    <row r="2066" spans="3:5" ht="16.5">
      <c r="C2066" s="123"/>
      <c r="E2066" s="123"/>
    </row>
    <row r="2067" spans="3:5" ht="16.5">
      <c r="C2067" s="123"/>
      <c r="E2067" s="123"/>
    </row>
    <row r="2068" spans="3:5" ht="16.5">
      <c r="C2068" s="123"/>
      <c r="E2068" s="123"/>
    </row>
    <row r="2069" spans="3:5" ht="16.5">
      <c r="C2069" s="123"/>
      <c r="E2069" s="123"/>
    </row>
    <row r="2070" spans="3:5" ht="16.5">
      <c r="C2070" s="123"/>
      <c r="E2070" s="123"/>
    </row>
    <row r="2071" spans="3:5" ht="16.5">
      <c r="C2071" s="123"/>
      <c r="E2071" s="123"/>
    </row>
    <row r="2072" spans="3:5" ht="16.5">
      <c r="C2072" s="123"/>
      <c r="E2072" s="123"/>
    </row>
    <row r="2073" spans="3:5" ht="16.5">
      <c r="C2073" s="123"/>
      <c r="E2073" s="123"/>
    </row>
    <row r="2074" spans="3:5" ht="16.5">
      <c r="C2074" s="123"/>
      <c r="E2074" s="123"/>
    </row>
    <row r="2075" spans="3:5" ht="16.5">
      <c r="C2075" s="123"/>
      <c r="E2075" s="123"/>
    </row>
    <row r="2076" spans="3:5" ht="16.5">
      <c r="C2076" s="123"/>
      <c r="E2076" s="123"/>
    </row>
    <row r="2077" spans="3:5" ht="16.5">
      <c r="C2077" s="123"/>
      <c r="E2077" s="123"/>
    </row>
    <row r="2078" spans="3:5" ht="16.5">
      <c r="C2078" s="123"/>
      <c r="E2078" s="123"/>
    </row>
    <row r="2079" spans="3:5" ht="16.5">
      <c r="C2079" s="123"/>
      <c r="E2079" s="123"/>
    </row>
    <row r="2080" spans="3:5" ht="16.5">
      <c r="C2080" s="123"/>
      <c r="E2080" s="123"/>
    </row>
    <row r="2081" spans="3:5" ht="16.5">
      <c r="C2081" s="123"/>
      <c r="E2081" s="123"/>
    </row>
    <row r="2082" spans="3:5" ht="16.5">
      <c r="C2082" s="123"/>
      <c r="E2082" s="123"/>
    </row>
    <row r="2083" spans="3:5" ht="16.5">
      <c r="C2083" s="123"/>
      <c r="E2083" s="123"/>
    </row>
    <row r="2084" spans="3:5" ht="16.5">
      <c r="C2084" s="123"/>
      <c r="E2084" s="123"/>
    </row>
    <row r="2085" spans="3:5" ht="16.5">
      <c r="C2085" s="123"/>
      <c r="E2085" s="123"/>
    </row>
    <row r="2086" spans="3:5" ht="16.5">
      <c r="C2086" s="123"/>
      <c r="E2086" s="123"/>
    </row>
    <row r="2087" spans="3:5" ht="16.5">
      <c r="C2087" s="123"/>
      <c r="E2087" s="123"/>
    </row>
    <row r="2088" spans="3:5" ht="16.5">
      <c r="C2088" s="123"/>
      <c r="E2088" s="123"/>
    </row>
    <row r="2089" spans="3:5" ht="16.5">
      <c r="C2089" s="123"/>
      <c r="E2089" s="123"/>
    </row>
    <row r="2090" spans="3:5" ht="16.5">
      <c r="C2090" s="123"/>
      <c r="E2090" s="123"/>
    </row>
    <row r="2091" spans="3:5" ht="16.5">
      <c r="C2091" s="123"/>
      <c r="E2091" s="123"/>
    </row>
    <row r="2092" spans="3:5" ht="16.5">
      <c r="C2092" s="123"/>
      <c r="E2092" s="123"/>
    </row>
    <row r="2093" spans="3:5" ht="16.5">
      <c r="C2093" s="123"/>
      <c r="E2093" s="123"/>
    </row>
    <row r="2094" spans="3:5" ht="16.5">
      <c r="C2094" s="123"/>
      <c r="E2094" s="123"/>
    </row>
    <row r="2095" spans="3:5" ht="16.5">
      <c r="C2095" s="123"/>
      <c r="E2095" s="123"/>
    </row>
    <row r="2096" spans="3:5" ht="16.5">
      <c r="C2096" s="123"/>
      <c r="E2096" s="123"/>
    </row>
    <row r="2097" spans="3:5" ht="16.5">
      <c r="C2097" s="123"/>
      <c r="E2097" s="123"/>
    </row>
    <row r="2098" spans="3:5" ht="16.5">
      <c r="C2098" s="123"/>
      <c r="E2098" s="123"/>
    </row>
    <row r="2099" spans="3:5" ht="16.5">
      <c r="C2099" s="123"/>
      <c r="E2099" s="123"/>
    </row>
    <row r="2100" spans="3:5" ht="16.5">
      <c r="C2100" s="123"/>
      <c r="E2100" s="123"/>
    </row>
    <row r="2101" spans="3:5" ht="16.5">
      <c r="C2101" s="123"/>
      <c r="E2101" s="123"/>
    </row>
    <row r="2102" spans="3:5" ht="16.5">
      <c r="C2102" s="123"/>
      <c r="E2102" s="123"/>
    </row>
    <row r="2103" spans="3:5" ht="16.5">
      <c r="C2103" s="123"/>
      <c r="E2103" s="123"/>
    </row>
    <row r="2104" spans="3:5" ht="16.5">
      <c r="C2104" s="123"/>
      <c r="E2104" s="123"/>
    </row>
    <row r="2105" spans="3:5" ht="16.5">
      <c r="C2105" s="123"/>
      <c r="E2105" s="123"/>
    </row>
    <row r="2106" spans="3:5" ht="16.5">
      <c r="C2106" s="123"/>
      <c r="E2106" s="123"/>
    </row>
    <row r="2107" spans="3:5" ht="16.5">
      <c r="C2107" s="123"/>
      <c r="E2107" s="123"/>
    </row>
    <row r="2108" spans="3:5" ht="16.5">
      <c r="C2108" s="123"/>
      <c r="E2108" s="123"/>
    </row>
    <row r="2109" spans="3:5" ht="16.5">
      <c r="C2109" s="123"/>
      <c r="E2109" s="123"/>
    </row>
    <row r="2110" spans="3:5" ht="16.5">
      <c r="C2110" s="123"/>
      <c r="E2110" s="123"/>
    </row>
    <row r="2111" spans="3:5" ht="16.5">
      <c r="C2111" s="123"/>
      <c r="E2111" s="123"/>
    </row>
    <row r="2112" spans="3:5" ht="16.5">
      <c r="C2112" s="123"/>
      <c r="E2112" s="123"/>
    </row>
    <row r="2113" spans="3:5" ht="16.5">
      <c r="C2113" s="123"/>
      <c r="E2113" s="123"/>
    </row>
    <row r="2114" spans="3:5" ht="16.5">
      <c r="C2114" s="123"/>
      <c r="E2114" s="123"/>
    </row>
    <row r="2115" spans="3:5" ht="16.5">
      <c r="C2115" s="123"/>
      <c r="E2115" s="123"/>
    </row>
    <row r="2116" spans="3:5" ht="16.5">
      <c r="C2116" s="123"/>
      <c r="E2116" s="123"/>
    </row>
    <row r="2117" spans="3:5" ht="16.5">
      <c r="C2117" s="123"/>
      <c r="E2117" s="123"/>
    </row>
    <row r="2118" spans="3:5" ht="16.5">
      <c r="C2118" s="123"/>
      <c r="E2118" s="123"/>
    </row>
    <row r="2119" spans="3:5" ht="16.5">
      <c r="C2119" s="123"/>
      <c r="E2119" s="123"/>
    </row>
    <row r="2120" spans="3:5" ht="16.5">
      <c r="C2120" s="123"/>
      <c r="E2120" s="123"/>
    </row>
    <row r="2121" spans="3:5" ht="16.5">
      <c r="C2121" s="123"/>
      <c r="E2121" s="123"/>
    </row>
    <row r="2122" spans="3:5" ht="16.5">
      <c r="C2122" s="123"/>
      <c r="E2122" s="123"/>
    </row>
    <row r="2123" spans="3:5" ht="16.5">
      <c r="C2123" s="123"/>
      <c r="E2123" s="123"/>
    </row>
    <row r="2124" spans="3:5" ht="16.5">
      <c r="C2124" s="123"/>
      <c r="E2124" s="123"/>
    </row>
    <row r="2125" spans="3:5" ht="16.5">
      <c r="C2125" s="123"/>
      <c r="E2125" s="123"/>
    </row>
    <row r="2126" spans="3:5" ht="16.5">
      <c r="C2126" s="123"/>
      <c r="E2126" s="123"/>
    </row>
    <row r="2127" spans="3:5" ht="16.5">
      <c r="C2127" s="123"/>
      <c r="E2127" s="123"/>
    </row>
    <row r="2128" spans="3:5" ht="16.5">
      <c r="C2128" s="123"/>
      <c r="E2128" s="123"/>
    </row>
    <row r="2129" spans="3:5" ht="16.5">
      <c r="C2129" s="123"/>
      <c r="E2129" s="123"/>
    </row>
    <row r="2130" spans="3:5" ht="16.5">
      <c r="C2130" s="123"/>
      <c r="E2130" s="123"/>
    </row>
    <row r="2131" spans="3:5" ht="16.5">
      <c r="C2131" s="123"/>
      <c r="E2131" s="123"/>
    </row>
    <row r="2132" spans="3:5" ht="16.5">
      <c r="C2132" s="123"/>
      <c r="E2132" s="123"/>
    </row>
    <row r="2133" spans="3:5" ht="16.5">
      <c r="C2133" s="123"/>
      <c r="E2133" s="123"/>
    </row>
    <row r="2134" spans="3:5" ht="16.5">
      <c r="C2134" s="123"/>
      <c r="E2134" s="123"/>
    </row>
    <row r="2135" spans="3:5" ht="16.5">
      <c r="C2135" s="123"/>
      <c r="E2135" s="123"/>
    </row>
    <row r="2136" spans="3:5" ht="16.5">
      <c r="C2136" s="123"/>
      <c r="E2136" s="123"/>
    </row>
    <row r="2137" spans="3:5" ht="16.5">
      <c r="C2137" s="123"/>
      <c r="E2137" s="123"/>
    </row>
    <row r="2138" spans="3:5" ht="16.5">
      <c r="C2138" s="123"/>
      <c r="E2138" s="123"/>
    </row>
    <row r="2139" spans="3:5" ht="16.5">
      <c r="C2139" s="123"/>
      <c r="E2139" s="123"/>
    </row>
    <row r="2140" spans="3:5" ht="16.5">
      <c r="C2140" s="123"/>
      <c r="E2140" s="123"/>
    </row>
    <row r="2141" spans="3:5" ht="16.5">
      <c r="C2141" s="123"/>
      <c r="E2141" s="123"/>
    </row>
    <row r="2142" spans="3:5" ht="16.5">
      <c r="C2142" s="123"/>
      <c r="E2142" s="123"/>
    </row>
    <row r="2143" spans="3:5" ht="16.5">
      <c r="C2143" s="123"/>
      <c r="E2143" s="123"/>
    </row>
    <row r="2144" spans="3:5" ht="16.5">
      <c r="C2144" s="123"/>
      <c r="E2144" s="123"/>
    </row>
    <row r="2145" spans="3:5" ht="16.5">
      <c r="C2145" s="123"/>
      <c r="E2145" s="123"/>
    </row>
    <row r="2146" spans="3:5" ht="16.5">
      <c r="C2146" s="123"/>
      <c r="E2146" s="123"/>
    </row>
    <row r="2147" spans="3:5" ht="16.5">
      <c r="C2147" s="123"/>
      <c r="E2147" s="123"/>
    </row>
    <row r="2148" spans="3:5" ht="16.5">
      <c r="C2148" s="123"/>
      <c r="E2148" s="123"/>
    </row>
    <row r="2149" spans="3:5" ht="16.5">
      <c r="C2149" s="123"/>
      <c r="E2149" s="123"/>
    </row>
    <row r="2150" spans="3:5" ht="16.5">
      <c r="C2150" s="123"/>
      <c r="E2150" s="123"/>
    </row>
    <row r="2151" spans="3:5" ht="16.5">
      <c r="C2151" s="123"/>
      <c r="E2151" s="123"/>
    </row>
    <row r="2152" spans="3:5" ht="16.5">
      <c r="C2152" s="123"/>
      <c r="E2152" s="123"/>
    </row>
    <row r="2153" spans="3:5" ht="16.5">
      <c r="C2153" s="123"/>
      <c r="E2153" s="123"/>
    </row>
    <row r="2154" spans="3:5" ht="16.5">
      <c r="C2154" s="123"/>
      <c r="E2154" s="123"/>
    </row>
    <row r="2155" spans="3:5" ht="16.5">
      <c r="C2155" s="123"/>
      <c r="E2155" s="123"/>
    </row>
    <row r="2156" spans="3:5" ht="16.5">
      <c r="C2156" s="123"/>
      <c r="E2156" s="123"/>
    </row>
    <row r="2157" spans="3:5" ht="16.5">
      <c r="C2157" s="123"/>
      <c r="E2157" s="123"/>
    </row>
    <row r="2158" spans="3:5" ht="16.5">
      <c r="C2158" s="123"/>
      <c r="E2158" s="123"/>
    </row>
    <row r="2159" spans="3:5" ht="16.5">
      <c r="C2159" s="123"/>
      <c r="E2159" s="123"/>
    </row>
    <row r="2160" spans="3:5" ht="16.5">
      <c r="C2160" s="123"/>
      <c r="E2160" s="123"/>
    </row>
    <row r="2161" spans="3:5" ht="16.5">
      <c r="C2161" s="123"/>
      <c r="E2161" s="123"/>
    </row>
    <row r="2162" spans="3:5" ht="16.5">
      <c r="C2162" s="123"/>
      <c r="E2162" s="123"/>
    </row>
    <row r="2163" spans="3:5" ht="16.5">
      <c r="C2163" s="123"/>
      <c r="E2163" s="123"/>
    </row>
    <row r="2164" spans="3:5" ht="16.5">
      <c r="C2164" s="123"/>
      <c r="E2164" s="123"/>
    </row>
    <row r="2165" spans="3:5" ht="16.5">
      <c r="C2165" s="123"/>
      <c r="E2165" s="123"/>
    </row>
    <row r="2166" spans="3:5" ht="16.5">
      <c r="C2166" s="123"/>
      <c r="E2166" s="123"/>
    </row>
    <row r="2167" spans="3:5" ht="16.5">
      <c r="C2167" s="123"/>
      <c r="E2167" s="123"/>
    </row>
    <row r="2168" spans="3:5" ht="16.5">
      <c r="C2168" s="123"/>
      <c r="E2168" s="123"/>
    </row>
    <row r="2169" spans="3:5" ht="16.5">
      <c r="C2169" s="123"/>
      <c r="E2169" s="123"/>
    </row>
    <row r="2170" spans="3:5" ht="16.5">
      <c r="C2170" s="123"/>
      <c r="E2170" s="123"/>
    </row>
    <row r="2171" spans="3:5" ht="16.5">
      <c r="C2171" s="123"/>
      <c r="E2171" s="123"/>
    </row>
    <row r="2172" spans="3:5" ht="16.5">
      <c r="C2172" s="123"/>
      <c r="E2172" s="123"/>
    </row>
    <row r="2173" spans="3:5" ht="16.5">
      <c r="C2173" s="123"/>
      <c r="E2173" s="123"/>
    </row>
    <row r="2174" spans="3:5" ht="16.5">
      <c r="C2174" s="123"/>
      <c r="E2174" s="123"/>
    </row>
    <row r="2175" spans="3:5" ht="16.5">
      <c r="C2175" s="123"/>
      <c r="E2175" s="123"/>
    </row>
    <row r="2176" spans="3:5" ht="16.5">
      <c r="C2176" s="123"/>
      <c r="E2176" s="123"/>
    </row>
    <row r="2177" spans="3:5" ht="16.5">
      <c r="C2177" s="123"/>
      <c r="E2177" s="123"/>
    </row>
    <row r="2178" spans="3:5" ht="16.5">
      <c r="C2178" s="123"/>
      <c r="E2178" s="123"/>
    </row>
    <row r="2179" spans="3:5" ht="16.5">
      <c r="C2179" s="123"/>
      <c r="E2179" s="123"/>
    </row>
    <row r="2180" spans="3:5" ht="16.5">
      <c r="C2180" s="123"/>
      <c r="E2180" s="123"/>
    </row>
    <row r="2181" spans="3:5" ht="16.5">
      <c r="C2181" s="123"/>
      <c r="E2181" s="123"/>
    </row>
    <row r="2182" spans="3:5" ht="16.5">
      <c r="C2182" s="123"/>
      <c r="E2182" s="123"/>
    </row>
    <row r="2183" spans="3:5" ht="16.5">
      <c r="C2183" s="123"/>
      <c r="E2183" s="123"/>
    </row>
    <row r="2184" spans="3:5" ht="16.5">
      <c r="C2184" s="123"/>
      <c r="E2184" s="123"/>
    </row>
    <row r="2185" spans="3:5" ht="16.5">
      <c r="C2185" s="123"/>
      <c r="E2185" s="123"/>
    </row>
    <row r="2186" spans="3:5" ht="16.5">
      <c r="C2186" s="123"/>
      <c r="E2186" s="123"/>
    </row>
    <row r="2187" spans="3:5" ht="16.5">
      <c r="C2187" s="123"/>
      <c r="E2187" s="123"/>
    </row>
    <row r="2188" spans="3:5" ht="16.5">
      <c r="C2188" s="123"/>
      <c r="E2188" s="123"/>
    </row>
    <row r="2189" spans="3:5" ht="16.5">
      <c r="C2189" s="123"/>
      <c r="E2189" s="123"/>
    </row>
    <row r="2190" spans="3:5" ht="16.5">
      <c r="C2190" s="123"/>
      <c r="E2190" s="123"/>
    </row>
    <row r="2191" spans="3:5" ht="16.5">
      <c r="C2191" s="123"/>
      <c r="E2191" s="123"/>
    </row>
    <row r="2192" spans="3:5" ht="16.5">
      <c r="C2192" s="123"/>
      <c r="E2192" s="123"/>
    </row>
    <row r="2193" spans="3:5" ht="16.5">
      <c r="C2193" s="123"/>
      <c r="E2193" s="123"/>
    </row>
    <row r="2194" spans="3:5" ht="16.5">
      <c r="C2194" s="123"/>
      <c r="E2194" s="123"/>
    </row>
    <row r="2195" spans="3:5" ht="16.5">
      <c r="C2195" s="123"/>
      <c r="E2195" s="123"/>
    </row>
    <row r="2196" spans="3:5" ht="16.5">
      <c r="C2196" s="123"/>
      <c r="E2196" s="123"/>
    </row>
    <row r="2197" spans="3:5" ht="16.5">
      <c r="C2197" s="123"/>
      <c r="E2197" s="123"/>
    </row>
    <row r="2198" spans="3:5" ht="16.5">
      <c r="C2198" s="123"/>
      <c r="E2198" s="123"/>
    </row>
    <row r="2199" spans="3:5" ht="16.5">
      <c r="C2199" s="123"/>
      <c r="E2199" s="123"/>
    </row>
    <row r="2200" spans="3:5" ht="16.5">
      <c r="C2200" s="123"/>
      <c r="E2200" s="123"/>
    </row>
    <row r="2201" spans="3:5" ht="16.5">
      <c r="C2201" s="123"/>
      <c r="E2201" s="123"/>
    </row>
    <row r="2202" spans="3:5" ht="16.5">
      <c r="C2202" s="123"/>
      <c r="E2202" s="123"/>
    </row>
    <row r="2203" spans="3:5" ht="16.5">
      <c r="C2203" s="123"/>
      <c r="E2203" s="123"/>
    </row>
    <row r="2204" spans="3:5" ht="16.5">
      <c r="C2204" s="123"/>
      <c r="E2204" s="123"/>
    </row>
    <row r="2205" spans="3:5" ht="16.5">
      <c r="C2205" s="123"/>
      <c r="E2205" s="123"/>
    </row>
    <row r="2206" spans="3:5" ht="16.5">
      <c r="C2206" s="123"/>
      <c r="E2206" s="123"/>
    </row>
    <row r="2207" spans="3:5" ht="16.5">
      <c r="C2207" s="123"/>
      <c r="E2207" s="123"/>
    </row>
    <row r="2208" spans="3:5" ht="16.5">
      <c r="C2208" s="123"/>
      <c r="E2208" s="123"/>
    </row>
    <row r="2209" spans="3:5" ht="16.5">
      <c r="C2209" s="123"/>
      <c r="E2209" s="123"/>
    </row>
    <row r="2210" spans="3:5" ht="16.5">
      <c r="C2210" s="123"/>
      <c r="E2210" s="123"/>
    </row>
    <row r="2211" spans="3:5" ht="16.5">
      <c r="C2211" s="123"/>
      <c r="E2211" s="123"/>
    </row>
    <row r="2212" spans="3:5" ht="16.5">
      <c r="C2212" s="123"/>
      <c r="E2212" s="123"/>
    </row>
    <row r="2213" spans="3:5" ht="16.5">
      <c r="C2213" s="123"/>
      <c r="E2213" s="123"/>
    </row>
    <row r="2214" spans="3:5" ht="16.5">
      <c r="C2214" s="123"/>
      <c r="E2214" s="123"/>
    </row>
    <row r="2215" spans="3:5" ht="16.5">
      <c r="C2215" s="123"/>
      <c r="E2215" s="123"/>
    </row>
    <row r="2216" spans="3:5" ht="16.5">
      <c r="C2216" s="123"/>
      <c r="E2216" s="123"/>
    </row>
    <row r="2217" spans="3:5" ht="16.5">
      <c r="C2217" s="123"/>
      <c r="E2217" s="123"/>
    </row>
    <row r="2218" spans="3:5" ht="16.5">
      <c r="C2218" s="123"/>
      <c r="E2218" s="123"/>
    </row>
    <row r="2219" spans="3:5" ht="16.5">
      <c r="C2219" s="123"/>
      <c r="E2219" s="123"/>
    </row>
    <row r="2220" spans="3:5" ht="16.5">
      <c r="C2220" s="123"/>
      <c r="E2220" s="123"/>
    </row>
    <row r="2221" spans="3:5" ht="16.5">
      <c r="C2221" s="123"/>
      <c r="E2221" s="123"/>
    </row>
    <row r="2222" spans="3:5" ht="16.5">
      <c r="C2222" s="123"/>
      <c r="E2222" s="123"/>
    </row>
    <row r="2223" spans="3:5" ht="16.5">
      <c r="C2223" s="123"/>
      <c r="E2223" s="123"/>
    </row>
    <row r="2224" spans="3:5" ht="16.5">
      <c r="C2224" s="123"/>
      <c r="E2224" s="123"/>
    </row>
    <row r="2225" spans="3:5" ht="16.5">
      <c r="C2225" s="123"/>
      <c r="E2225" s="123"/>
    </row>
    <row r="2226" spans="3:5" ht="16.5">
      <c r="C2226" s="123"/>
      <c r="E2226" s="123"/>
    </row>
    <row r="2227" spans="3:5" ht="16.5">
      <c r="C2227" s="123"/>
      <c r="E2227" s="123"/>
    </row>
    <row r="2228" spans="3:5" ht="16.5">
      <c r="C2228" s="123"/>
      <c r="E2228" s="123"/>
    </row>
    <row r="2229" spans="3:5" ht="16.5">
      <c r="C2229" s="123"/>
      <c r="E2229" s="123"/>
    </row>
    <row r="2230" spans="3:5" ht="16.5">
      <c r="C2230" s="123"/>
      <c r="E2230" s="123"/>
    </row>
    <row r="2231" spans="3:5" ht="16.5">
      <c r="C2231" s="123"/>
      <c r="E2231" s="123"/>
    </row>
    <row r="2232" spans="3:5" ht="16.5">
      <c r="C2232" s="123"/>
      <c r="E2232" s="123"/>
    </row>
    <row r="2233" spans="3:5" ht="16.5">
      <c r="C2233" s="123"/>
      <c r="E2233" s="123"/>
    </row>
    <row r="2234" spans="3:5" ht="16.5">
      <c r="C2234" s="123"/>
      <c r="E2234" s="123"/>
    </row>
    <row r="2235" spans="3:5" ht="16.5">
      <c r="C2235" s="123"/>
      <c r="E2235" s="123"/>
    </row>
    <row r="2236" spans="3:5" ht="16.5">
      <c r="C2236" s="123"/>
      <c r="E2236" s="123"/>
    </row>
    <row r="2237" spans="3:5" ht="16.5">
      <c r="C2237" s="123"/>
      <c r="E2237" s="123"/>
    </row>
    <row r="2238" spans="3:5" ht="16.5">
      <c r="C2238" s="123"/>
      <c r="E2238" s="123"/>
    </row>
    <row r="2239" spans="3:5" ht="16.5">
      <c r="C2239" s="123"/>
      <c r="E2239" s="123"/>
    </row>
    <row r="2240" spans="3:5" ht="16.5">
      <c r="C2240" s="123"/>
      <c r="E2240" s="123"/>
    </row>
    <row r="2241" spans="3:5" ht="16.5">
      <c r="C2241" s="123"/>
      <c r="E2241" s="123"/>
    </row>
    <row r="2242" spans="3:5" ht="16.5">
      <c r="C2242" s="123"/>
      <c r="E2242" s="123"/>
    </row>
    <row r="2243" spans="3:5" ht="16.5">
      <c r="C2243" s="123"/>
      <c r="E2243" s="123"/>
    </row>
    <row r="2244" spans="3:5" ht="16.5">
      <c r="C2244" s="123"/>
      <c r="E2244" s="123"/>
    </row>
    <row r="2245" spans="3:5" ht="16.5">
      <c r="C2245" s="123"/>
      <c r="E2245" s="123"/>
    </row>
    <row r="2246" spans="3:5" ht="16.5">
      <c r="C2246" s="123"/>
      <c r="E2246" s="123"/>
    </row>
    <row r="2247" spans="3:5" ht="16.5">
      <c r="C2247" s="123"/>
      <c r="E2247" s="123"/>
    </row>
    <row r="2248" spans="3:5" ht="16.5">
      <c r="C2248" s="123"/>
      <c r="E2248" s="123"/>
    </row>
    <row r="2249" spans="3:5" ht="16.5">
      <c r="C2249" s="123"/>
      <c r="E2249" s="123"/>
    </row>
    <row r="2250" spans="3:5" ht="16.5">
      <c r="C2250" s="123"/>
      <c r="E2250" s="123"/>
    </row>
    <row r="2251" spans="3:5" ht="16.5">
      <c r="C2251" s="123"/>
      <c r="E2251" s="123"/>
    </row>
    <row r="2252" spans="3:5" ht="16.5">
      <c r="C2252" s="123"/>
      <c r="E2252" s="123"/>
    </row>
    <row r="2253" spans="3:5" ht="16.5">
      <c r="C2253" s="123"/>
      <c r="E2253" s="123"/>
    </row>
    <row r="2254" spans="3:5" ht="16.5">
      <c r="C2254" s="123"/>
      <c r="E2254" s="123"/>
    </row>
    <row r="2255" spans="3:5" ht="16.5">
      <c r="C2255" s="123"/>
      <c r="E2255" s="123"/>
    </row>
    <row r="2256" spans="3:5" ht="16.5">
      <c r="C2256" s="123"/>
      <c r="E2256" s="123"/>
    </row>
    <row r="2257" spans="3:5" ht="16.5">
      <c r="C2257" s="123"/>
      <c r="E2257" s="123"/>
    </row>
    <row r="2258" spans="3:5" ht="16.5">
      <c r="C2258" s="123"/>
      <c r="E2258" s="123"/>
    </row>
    <row r="2259" spans="3:5" ht="16.5">
      <c r="C2259" s="123"/>
      <c r="E2259" s="123"/>
    </row>
    <row r="2260" spans="3:5" ht="16.5">
      <c r="C2260" s="123"/>
      <c r="E2260" s="123"/>
    </row>
    <row r="2261" spans="3:5" ht="16.5">
      <c r="C2261" s="123"/>
      <c r="E2261" s="123"/>
    </row>
    <row r="2262" spans="3:5" ht="16.5">
      <c r="C2262" s="123"/>
      <c r="E2262" s="123"/>
    </row>
    <row r="2263" spans="3:5" ht="16.5">
      <c r="C2263" s="123"/>
      <c r="E2263" s="123"/>
    </row>
    <row r="2264" spans="3:5" ht="16.5">
      <c r="C2264" s="123"/>
      <c r="E2264" s="123"/>
    </row>
    <row r="2265" spans="3:5" ht="16.5">
      <c r="C2265" s="123"/>
      <c r="E2265" s="123"/>
    </row>
    <row r="2266" spans="3:5" ht="16.5">
      <c r="C2266" s="123"/>
      <c r="E2266" s="123"/>
    </row>
    <row r="2267" spans="3:5" ht="16.5">
      <c r="C2267" s="123"/>
      <c r="E2267" s="123"/>
    </row>
    <row r="2268" spans="3:5" ht="16.5">
      <c r="C2268" s="123"/>
      <c r="E2268" s="123"/>
    </row>
    <row r="2269" spans="3:5" ht="16.5">
      <c r="C2269" s="123"/>
      <c r="E2269" s="123"/>
    </row>
    <row r="2270" spans="3:5" ht="16.5">
      <c r="C2270" s="123"/>
      <c r="E2270" s="123"/>
    </row>
    <row r="2271" spans="3:5" ht="16.5">
      <c r="C2271" s="123"/>
      <c r="E2271" s="123"/>
    </row>
    <row r="2272" spans="3:5" ht="16.5">
      <c r="C2272" s="123"/>
      <c r="E2272" s="123"/>
    </row>
    <row r="2273" spans="3:5" ht="16.5">
      <c r="C2273" s="123"/>
      <c r="E2273" s="123"/>
    </row>
    <row r="2274" spans="3:5" ht="16.5">
      <c r="C2274" s="123"/>
      <c r="E2274" s="123"/>
    </row>
    <row r="2275" spans="3:5" ht="16.5">
      <c r="C2275" s="123"/>
      <c r="E2275" s="123"/>
    </row>
    <row r="2276" spans="3:5" ht="16.5">
      <c r="C2276" s="123"/>
      <c r="E2276" s="123"/>
    </row>
    <row r="2277" spans="3:5" ht="16.5">
      <c r="C2277" s="123"/>
      <c r="E2277" s="123"/>
    </row>
    <row r="2278" spans="3:5" ht="16.5">
      <c r="C2278" s="123"/>
      <c r="E2278" s="123"/>
    </row>
    <row r="2279" spans="3:5" ht="16.5">
      <c r="C2279" s="123"/>
      <c r="E2279" s="123"/>
    </row>
    <row r="2280" spans="3:5" ht="16.5">
      <c r="C2280" s="123"/>
      <c r="E2280" s="123"/>
    </row>
    <row r="2281" spans="3:5" ht="16.5">
      <c r="C2281" s="123"/>
      <c r="E2281" s="123"/>
    </row>
    <row r="2282" spans="3:5" ht="16.5">
      <c r="C2282" s="123"/>
      <c r="E2282" s="123"/>
    </row>
    <row r="2283" spans="3:5" ht="16.5">
      <c r="C2283" s="123"/>
      <c r="E2283" s="123"/>
    </row>
    <row r="2284" spans="3:5" ht="16.5">
      <c r="C2284" s="123"/>
      <c r="E2284" s="123"/>
    </row>
    <row r="2285" spans="3:5" ht="16.5">
      <c r="C2285" s="123"/>
      <c r="E2285" s="123"/>
    </row>
    <row r="2286" spans="3:5" ht="16.5">
      <c r="C2286" s="123"/>
      <c r="E2286" s="123"/>
    </row>
    <row r="2287" spans="3:5" ht="16.5">
      <c r="C2287" s="123"/>
      <c r="E2287" s="123"/>
    </row>
    <row r="2288" spans="3:5" ht="16.5">
      <c r="C2288" s="123"/>
      <c r="E2288" s="123"/>
    </row>
    <row r="2289" spans="3:5" ht="16.5">
      <c r="C2289" s="123"/>
      <c r="E2289" s="123"/>
    </row>
    <row r="2290" spans="3:5" ht="16.5">
      <c r="C2290" s="123"/>
      <c r="E2290" s="123"/>
    </row>
    <row r="2291" spans="3:5" ht="16.5">
      <c r="C2291" s="123"/>
      <c r="E2291" s="123"/>
    </row>
    <row r="2292" spans="3:5" ht="16.5">
      <c r="C2292" s="123"/>
      <c r="E2292" s="123"/>
    </row>
    <row r="2293" spans="3:5" ht="16.5">
      <c r="C2293" s="123"/>
      <c r="E2293" s="123"/>
    </row>
    <row r="2294" spans="3:5" ht="16.5">
      <c r="C2294" s="123"/>
      <c r="E2294" s="123"/>
    </row>
    <row r="2295" spans="3:5" ht="16.5">
      <c r="C2295" s="123"/>
      <c r="E2295" s="123"/>
    </row>
    <row r="2296" spans="3:5" ht="16.5">
      <c r="C2296" s="123"/>
      <c r="E2296" s="123"/>
    </row>
    <row r="2297" spans="3:5" ht="16.5">
      <c r="C2297" s="123"/>
      <c r="E2297" s="123"/>
    </row>
    <row r="2298" spans="3:5" ht="16.5">
      <c r="C2298" s="123"/>
      <c r="E2298" s="123"/>
    </row>
    <row r="2299" spans="3:5" ht="16.5">
      <c r="C2299" s="123"/>
      <c r="E2299" s="123"/>
    </row>
    <row r="2300" spans="3:5" ht="16.5">
      <c r="C2300" s="123"/>
      <c r="E2300" s="123"/>
    </row>
    <row r="2301" spans="3:5" ht="16.5">
      <c r="C2301" s="123"/>
      <c r="E2301" s="123"/>
    </row>
    <row r="2302" spans="3:5" ht="16.5">
      <c r="C2302" s="123"/>
      <c r="E2302" s="123"/>
    </row>
    <row r="2303" spans="3:5" ht="16.5">
      <c r="C2303" s="123"/>
      <c r="E2303" s="123"/>
    </row>
    <row r="2304" spans="3:5" ht="16.5">
      <c r="C2304" s="123"/>
      <c r="E2304" s="123"/>
    </row>
    <row r="2305" spans="3:5" ht="16.5">
      <c r="C2305" s="123"/>
      <c r="E2305" s="123"/>
    </row>
    <row r="2306" spans="3:5" ht="16.5">
      <c r="C2306" s="123"/>
      <c r="E2306" s="123"/>
    </row>
    <row r="2307" spans="3:5" ht="16.5">
      <c r="C2307" s="123"/>
      <c r="E2307" s="123"/>
    </row>
    <row r="2308" spans="3:5" ht="16.5">
      <c r="C2308" s="123"/>
      <c r="E2308" s="123"/>
    </row>
    <row r="2309" spans="3:5" ht="16.5">
      <c r="C2309" s="123"/>
      <c r="E2309" s="123"/>
    </row>
    <row r="2310" spans="3:5" ht="16.5">
      <c r="C2310" s="123"/>
      <c r="E2310" s="123"/>
    </row>
    <row r="2311" spans="3:5" ht="16.5">
      <c r="C2311" s="123"/>
      <c r="E2311" s="123"/>
    </row>
    <row r="2312" spans="3:5" ht="16.5">
      <c r="C2312" s="123"/>
      <c r="E2312" s="123"/>
    </row>
    <row r="2313" spans="3:5" ht="16.5">
      <c r="C2313" s="123"/>
      <c r="E2313" s="123"/>
    </row>
    <row r="2314" spans="3:5" ht="16.5">
      <c r="C2314" s="123"/>
      <c r="E2314" s="123"/>
    </row>
    <row r="2315" spans="3:5" ht="16.5">
      <c r="C2315" s="123"/>
      <c r="E2315" s="123"/>
    </row>
    <row r="2316" spans="3:5" ht="16.5">
      <c r="C2316" s="123"/>
      <c r="E2316" s="123"/>
    </row>
    <row r="2317" spans="3:5" ht="16.5">
      <c r="C2317" s="123"/>
      <c r="E2317" s="123"/>
    </row>
    <row r="2318" spans="3:5" ht="16.5">
      <c r="C2318" s="123"/>
      <c r="E2318" s="123"/>
    </row>
    <row r="2319" spans="3:5" ht="16.5">
      <c r="C2319" s="123"/>
      <c r="E2319" s="123"/>
    </row>
    <row r="2320" spans="3:5" ht="16.5">
      <c r="C2320" s="123"/>
      <c r="E2320" s="123"/>
    </row>
    <row r="2321" spans="3:5" ht="16.5">
      <c r="C2321" s="123"/>
      <c r="E2321" s="123"/>
    </row>
    <row r="2322" spans="3:5" ht="16.5">
      <c r="C2322" s="123"/>
      <c r="E2322" s="123"/>
    </row>
    <row r="2323" spans="3:5" ht="16.5">
      <c r="C2323" s="123"/>
      <c r="E2323" s="123"/>
    </row>
    <row r="2324" spans="3:5" ht="16.5">
      <c r="C2324" s="123"/>
      <c r="E2324" s="123"/>
    </row>
    <row r="2325" spans="3:5" ht="16.5">
      <c r="C2325" s="123"/>
      <c r="E2325" s="123"/>
    </row>
    <row r="2326" spans="3:5" ht="16.5">
      <c r="C2326" s="123"/>
      <c r="E2326" s="123"/>
    </row>
    <row r="2327" spans="3:5" ht="16.5">
      <c r="C2327" s="123"/>
      <c r="E2327" s="123"/>
    </row>
    <row r="2328" spans="3:5" ht="16.5">
      <c r="C2328" s="123"/>
      <c r="E2328" s="123"/>
    </row>
    <row r="2329" spans="3:5" ht="16.5">
      <c r="C2329" s="123"/>
      <c r="E2329" s="123"/>
    </row>
    <row r="2330" spans="3:5" ht="16.5">
      <c r="C2330" s="123"/>
      <c r="E2330" s="123"/>
    </row>
    <row r="2331" spans="3:5" ht="16.5">
      <c r="C2331" s="123"/>
      <c r="E2331" s="123"/>
    </row>
    <row r="2332" spans="3:5" ht="16.5">
      <c r="C2332" s="123"/>
      <c r="E2332" s="123"/>
    </row>
    <row r="2333" spans="3:5" ht="16.5">
      <c r="C2333" s="123"/>
      <c r="E2333" s="123"/>
    </row>
    <row r="2334" spans="3:5" ht="16.5">
      <c r="C2334" s="123"/>
      <c r="E2334" s="123"/>
    </row>
    <row r="2335" spans="3:5" ht="16.5">
      <c r="C2335" s="123"/>
      <c r="E2335" s="123"/>
    </row>
    <row r="2336" spans="3:5" ht="16.5">
      <c r="C2336" s="123"/>
      <c r="E2336" s="123"/>
    </row>
    <row r="2337" spans="3:5" ht="16.5">
      <c r="C2337" s="123"/>
      <c r="E2337" s="123"/>
    </row>
    <row r="2338" spans="3:5" ht="16.5">
      <c r="C2338" s="123"/>
      <c r="E2338" s="123"/>
    </row>
    <row r="2339" spans="3:5" ht="16.5">
      <c r="C2339" s="123"/>
      <c r="E2339" s="123"/>
    </row>
    <row r="2340" spans="3:5" ht="16.5">
      <c r="C2340" s="123"/>
      <c r="E2340" s="123"/>
    </row>
    <row r="2341" spans="3:5" ht="16.5">
      <c r="C2341" s="123"/>
      <c r="E2341" s="123"/>
    </row>
    <row r="2342" spans="3:5" ht="16.5">
      <c r="C2342" s="123"/>
      <c r="E2342" s="123"/>
    </row>
    <row r="2343" spans="3:5" ht="16.5">
      <c r="C2343" s="123"/>
      <c r="E2343" s="123"/>
    </row>
    <row r="2344" spans="3:5" ht="16.5">
      <c r="C2344" s="123"/>
      <c r="E2344" s="123"/>
    </row>
    <row r="2345" spans="3:5" ht="16.5">
      <c r="C2345" s="123"/>
      <c r="E2345" s="123"/>
    </row>
    <row r="2346" spans="3:5" ht="16.5">
      <c r="C2346" s="123"/>
      <c r="E2346" s="123"/>
    </row>
    <row r="2347" spans="3:5" ht="16.5">
      <c r="C2347" s="123"/>
      <c r="E2347" s="123"/>
    </row>
    <row r="2348" spans="3:5" ht="16.5">
      <c r="C2348" s="123"/>
      <c r="E2348" s="123"/>
    </row>
    <row r="2349" spans="3:5" ht="16.5">
      <c r="C2349" s="123"/>
      <c r="E2349" s="123"/>
    </row>
    <row r="2350" spans="3:5" ht="16.5">
      <c r="C2350" s="123"/>
      <c r="E2350" s="123"/>
    </row>
    <row r="2351" spans="3:5" ht="16.5">
      <c r="C2351" s="123"/>
      <c r="E2351" s="123"/>
    </row>
    <row r="2352" spans="3:5" ht="16.5">
      <c r="C2352" s="123"/>
      <c r="E2352" s="123"/>
    </row>
    <row r="2353" spans="3:5" ht="16.5">
      <c r="C2353" s="123"/>
      <c r="E2353" s="123"/>
    </row>
    <row r="2354" spans="3:5" ht="16.5">
      <c r="C2354" s="123"/>
      <c r="E2354" s="123"/>
    </row>
    <row r="2355" spans="3:5" ht="16.5">
      <c r="C2355" s="123"/>
      <c r="E2355" s="123"/>
    </row>
    <row r="2356" spans="3:5" ht="16.5">
      <c r="C2356" s="123"/>
      <c r="E2356" s="123"/>
    </row>
    <row r="2357" spans="3:5" ht="16.5">
      <c r="C2357" s="123"/>
      <c r="E2357" s="123"/>
    </row>
    <row r="2358" spans="3:5" ht="16.5">
      <c r="C2358" s="123"/>
      <c r="E2358" s="123"/>
    </row>
    <row r="2359" spans="3:5" ht="16.5">
      <c r="C2359" s="123"/>
      <c r="E2359" s="123"/>
    </row>
    <row r="2360" spans="3:5" ht="16.5">
      <c r="C2360" s="123"/>
      <c r="E2360" s="123"/>
    </row>
    <row r="2361" spans="3:5" ht="16.5">
      <c r="C2361" s="123"/>
      <c r="E2361" s="123"/>
    </row>
    <row r="2362" spans="3:5" ht="16.5">
      <c r="C2362" s="123"/>
      <c r="E2362" s="123"/>
    </row>
    <row r="2363" spans="3:5" ht="16.5">
      <c r="C2363" s="123"/>
      <c r="E2363" s="123"/>
    </row>
    <row r="2364" spans="3:5" ht="16.5">
      <c r="C2364" s="123"/>
      <c r="E2364" s="123"/>
    </row>
    <row r="2365" spans="3:5" ht="16.5">
      <c r="C2365" s="123"/>
      <c r="E2365" s="123"/>
    </row>
    <row r="2366" spans="3:5" ht="16.5">
      <c r="C2366" s="123"/>
      <c r="E2366" s="123"/>
    </row>
    <row r="2367" spans="3:5" ht="16.5">
      <c r="C2367" s="123"/>
      <c r="E2367" s="123"/>
    </row>
    <row r="2368" spans="3:5" ht="16.5">
      <c r="C2368" s="123"/>
      <c r="E2368" s="123"/>
    </row>
    <row r="2369" spans="3:5" ht="16.5">
      <c r="C2369" s="123"/>
      <c r="E2369" s="123"/>
    </row>
    <row r="2370" spans="3:5" ht="16.5">
      <c r="C2370" s="123"/>
      <c r="E2370" s="123"/>
    </row>
    <row r="2371" spans="3:5" ht="16.5">
      <c r="C2371" s="123"/>
      <c r="E2371" s="123"/>
    </row>
    <row r="2372" spans="3:5" ht="16.5">
      <c r="C2372" s="123"/>
      <c r="E2372" s="123"/>
    </row>
    <row r="2373" spans="3:5" ht="16.5">
      <c r="C2373" s="123"/>
      <c r="E2373" s="123"/>
    </row>
    <row r="2374" spans="3:5" ht="16.5">
      <c r="C2374" s="123"/>
      <c r="E2374" s="123"/>
    </row>
    <row r="2375" spans="3:5" ht="16.5">
      <c r="C2375" s="123"/>
      <c r="E2375" s="123"/>
    </row>
    <row r="2376" spans="3:5" ht="16.5">
      <c r="C2376" s="123"/>
      <c r="E2376" s="123"/>
    </row>
    <row r="2377" spans="3:5" ht="16.5">
      <c r="C2377" s="123"/>
      <c r="E2377" s="123"/>
    </row>
    <row r="2378" spans="3:5" ht="16.5">
      <c r="C2378" s="123"/>
      <c r="E2378" s="123"/>
    </row>
    <row r="2379" spans="3:5" ht="16.5">
      <c r="C2379" s="123"/>
      <c r="E2379" s="123"/>
    </row>
    <row r="2380" spans="3:5" ht="16.5">
      <c r="C2380" s="123"/>
      <c r="E2380" s="123"/>
    </row>
    <row r="2381" spans="3:5" ht="16.5">
      <c r="C2381" s="123"/>
      <c r="E2381" s="123"/>
    </row>
    <row r="2382" spans="3:5" ht="16.5">
      <c r="C2382" s="123"/>
      <c r="E2382" s="123"/>
    </row>
    <row r="2383" spans="3:5" ht="16.5">
      <c r="C2383" s="123"/>
      <c r="E2383" s="123"/>
    </row>
    <row r="2384" spans="3:5" ht="16.5">
      <c r="C2384" s="123"/>
      <c r="E2384" s="123"/>
    </row>
    <row r="2385" spans="3:5" ht="16.5">
      <c r="C2385" s="123"/>
      <c r="E2385" s="123"/>
    </row>
    <row r="2386" spans="3:5" ht="16.5">
      <c r="C2386" s="123"/>
      <c r="E2386" s="123"/>
    </row>
    <row r="2387" spans="3:5" ht="16.5">
      <c r="C2387" s="123"/>
      <c r="E2387" s="123"/>
    </row>
    <row r="2388" spans="3:5" ht="16.5">
      <c r="C2388" s="123"/>
      <c r="E2388" s="123"/>
    </row>
    <row r="2389" spans="3:5" ht="16.5">
      <c r="C2389" s="123"/>
      <c r="E2389" s="123"/>
    </row>
    <row r="2390" spans="3:5" ht="16.5">
      <c r="C2390" s="123"/>
      <c r="E2390" s="123"/>
    </row>
    <row r="2391" spans="3:5" ht="16.5">
      <c r="C2391" s="123"/>
      <c r="E2391" s="123"/>
    </row>
    <row r="2392" spans="3:5" ht="16.5">
      <c r="C2392" s="123"/>
      <c r="E2392" s="123"/>
    </row>
    <row r="2393" spans="3:5" ht="16.5">
      <c r="C2393" s="123"/>
      <c r="E2393" s="123"/>
    </row>
    <row r="2394" spans="3:5" ht="16.5">
      <c r="C2394" s="123"/>
      <c r="E2394" s="123"/>
    </row>
    <row r="2395" spans="3:5" ht="16.5">
      <c r="C2395" s="123"/>
      <c r="E2395" s="123"/>
    </row>
    <row r="2396" spans="3:5" ht="16.5">
      <c r="C2396" s="123"/>
      <c r="E2396" s="123"/>
    </row>
    <row r="2397" spans="3:5" ht="16.5">
      <c r="C2397" s="123"/>
      <c r="E2397" s="123"/>
    </row>
    <row r="2398" spans="3:5" ht="16.5">
      <c r="C2398" s="123"/>
      <c r="E2398" s="123"/>
    </row>
    <row r="2399" spans="3:5" ht="16.5">
      <c r="C2399" s="123"/>
      <c r="E2399" s="123"/>
    </row>
    <row r="2400" spans="3:5" ht="16.5">
      <c r="C2400" s="123"/>
      <c r="E2400" s="123"/>
    </row>
    <row r="2401" spans="3:5" ht="16.5">
      <c r="C2401" s="123"/>
      <c r="E2401" s="123"/>
    </row>
    <row r="2402" spans="3:5" ht="16.5">
      <c r="C2402" s="123"/>
      <c r="E2402" s="123"/>
    </row>
    <row r="2403" spans="3:5" ht="16.5">
      <c r="C2403" s="123"/>
      <c r="E2403" s="123"/>
    </row>
    <row r="2404" spans="3:5" ht="16.5">
      <c r="C2404" s="123"/>
      <c r="E2404" s="123"/>
    </row>
    <row r="2405" spans="3:5" ht="16.5">
      <c r="C2405" s="123"/>
      <c r="E2405" s="123"/>
    </row>
    <row r="2406" spans="3:5" ht="16.5">
      <c r="C2406" s="123"/>
      <c r="E2406" s="123"/>
    </row>
    <row r="2407" spans="3:5" ht="16.5">
      <c r="C2407" s="123"/>
      <c r="E2407" s="123"/>
    </row>
    <row r="2408" spans="3:5" ht="16.5">
      <c r="C2408" s="123"/>
      <c r="E2408" s="123"/>
    </row>
    <row r="2409" spans="3:5" ht="16.5">
      <c r="C2409" s="123"/>
      <c r="E2409" s="123"/>
    </row>
    <row r="2410" spans="3:5" ht="16.5">
      <c r="C2410" s="123"/>
      <c r="E2410" s="123"/>
    </row>
    <row r="2411" spans="3:5" ht="16.5">
      <c r="C2411" s="123"/>
      <c r="E2411" s="123"/>
    </row>
    <row r="2412" spans="3:5" ht="16.5">
      <c r="C2412" s="123"/>
      <c r="E2412" s="123"/>
    </row>
    <row r="2413" spans="3:5" ht="16.5">
      <c r="C2413" s="123"/>
      <c r="E2413" s="123"/>
    </row>
    <row r="2414" spans="3:5" ht="16.5">
      <c r="C2414" s="123"/>
      <c r="E2414" s="123"/>
    </row>
    <row r="2415" spans="3:5" ht="16.5">
      <c r="C2415" s="123"/>
      <c r="E2415" s="123"/>
    </row>
    <row r="2416" spans="3:5" ht="16.5">
      <c r="C2416" s="123"/>
      <c r="E2416" s="123"/>
    </row>
    <row r="2417" spans="3:5" ht="16.5">
      <c r="C2417" s="123"/>
      <c r="E2417" s="123"/>
    </row>
    <row r="2418" spans="3:5" ht="16.5">
      <c r="C2418" s="123"/>
      <c r="E2418" s="123"/>
    </row>
    <row r="2419" spans="3:5" ht="16.5">
      <c r="C2419" s="123"/>
      <c r="E2419" s="123"/>
    </row>
    <row r="2420" spans="3:5" ht="16.5">
      <c r="C2420" s="123"/>
      <c r="E2420" s="123"/>
    </row>
    <row r="2421" spans="3:5" ht="16.5">
      <c r="C2421" s="123"/>
      <c r="E2421" s="123"/>
    </row>
    <row r="2422" spans="3:5" ht="16.5">
      <c r="C2422" s="123"/>
      <c r="E2422" s="123"/>
    </row>
    <row r="2423" spans="3:5" ht="16.5">
      <c r="C2423" s="123"/>
      <c r="E2423" s="123"/>
    </row>
    <row r="2424" spans="3:5" ht="16.5">
      <c r="C2424" s="123"/>
      <c r="E2424" s="123"/>
    </row>
    <row r="2425" spans="3:5" ht="16.5">
      <c r="C2425" s="123"/>
      <c r="E2425" s="123"/>
    </row>
    <row r="2426" spans="3:5" ht="16.5">
      <c r="C2426" s="123"/>
      <c r="E2426" s="123"/>
    </row>
    <row r="2427" spans="3:5" ht="16.5">
      <c r="C2427" s="123"/>
      <c r="E2427" s="123"/>
    </row>
    <row r="2428" spans="3:5" ht="16.5">
      <c r="C2428" s="123"/>
      <c r="E2428" s="123"/>
    </row>
    <row r="2429" spans="3:5" ht="16.5">
      <c r="C2429" s="123"/>
      <c r="E2429" s="123"/>
    </row>
    <row r="2430" spans="3:5" ht="16.5">
      <c r="C2430" s="123"/>
      <c r="E2430" s="123"/>
    </row>
    <row r="2431" spans="3:5" ht="16.5">
      <c r="C2431" s="123"/>
      <c r="E2431" s="123"/>
    </row>
    <row r="2432" spans="3:5" ht="16.5">
      <c r="C2432" s="123"/>
      <c r="E2432" s="123"/>
    </row>
    <row r="2433" spans="3:5" ht="16.5">
      <c r="C2433" s="123"/>
      <c r="E2433" s="123"/>
    </row>
    <row r="2434" spans="3:5" ht="16.5">
      <c r="C2434" s="123"/>
      <c r="E2434" s="123"/>
    </row>
    <row r="2435" spans="3:5" ht="16.5">
      <c r="C2435" s="123"/>
      <c r="E2435" s="123"/>
    </row>
    <row r="2436" spans="3:5" ht="16.5">
      <c r="C2436" s="123"/>
      <c r="E2436" s="123"/>
    </row>
    <row r="2437" spans="3:5" ht="16.5">
      <c r="C2437" s="123"/>
      <c r="E2437" s="123"/>
    </row>
    <row r="2438" spans="3:5" ht="16.5">
      <c r="C2438" s="123"/>
      <c r="E2438" s="123"/>
    </row>
    <row r="2439" spans="3:5" ht="16.5">
      <c r="C2439" s="123"/>
      <c r="E2439" s="123"/>
    </row>
    <row r="2440" spans="3:5" ht="16.5">
      <c r="C2440" s="123"/>
      <c r="E2440" s="123"/>
    </row>
    <row r="2441" spans="3:5" ht="16.5">
      <c r="C2441" s="123"/>
      <c r="E2441" s="123"/>
    </row>
    <row r="2442" spans="3:5" ht="16.5">
      <c r="C2442" s="123"/>
      <c r="E2442" s="123"/>
    </row>
    <row r="2443" spans="3:5" ht="16.5">
      <c r="C2443" s="123"/>
      <c r="E2443" s="123"/>
    </row>
    <row r="2444" spans="3:5" ht="16.5">
      <c r="C2444" s="123"/>
      <c r="E2444" s="123"/>
    </row>
    <row r="2445" spans="3:5" ht="16.5">
      <c r="C2445" s="123"/>
      <c r="E2445" s="123"/>
    </row>
    <row r="2446" spans="3:5" ht="16.5">
      <c r="C2446" s="123"/>
      <c r="E2446" s="123"/>
    </row>
    <row r="2447" spans="3:5" ht="16.5">
      <c r="C2447" s="123"/>
      <c r="E2447" s="123"/>
    </row>
    <row r="2448" spans="3:5" ht="16.5">
      <c r="C2448" s="123"/>
      <c r="E2448" s="123"/>
    </row>
    <row r="2449" spans="3:5" ht="16.5">
      <c r="C2449" s="123"/>
      <c r="E2449" s="123"/>
    </row>
    <row r="2450" spans="3:5" ht="16.5">
      <c r="C2450" s="123"/>
      <c r="E2450" s="123"/>
    </row>
    <row r="2451" spans="3:5" ht="16.5">
      <c r="C2451" s="123"/>
      <c r="E2451" s="123"/>
    </row>
    <row r="2452" spans="3:5" ht="16.5">
      <c r="C2452" s="123"/>
      <c r="E2452" s="123"/>
    </row>
    <row r="2453" spans="3:5" ht="16.5">
      <c r="C2453" s="123"/>
      <c r="E2453" s="123"/>
    </row>
    <row r="2454" spans="3:5" ht="16.5">
      <c r="C2454" s="123"/>
      <c r="E2454" s="123"/>
    </row>
    <row r="2455" spans="3:5" ht="16.5">
      <c r="C2455" s="123"/>
      <c r="E2455" s="123"/>
    </row>
    <row r="2456" spans="3:5" ht="16.5">
      <c r="C2456" s="123"/>
      <c r="E2456" s="123"/>
    </row>
    <row r="2457" spans="3:5" ht="16.5">
      <c r="C2457" s="123"/>
      <c r="E2457" s="123"/>
    </row>
    <row r="2458" spans="3:5" ht="16.5">
      <c r="C2458" s="123"/>
      <c r="E2458" s="123"/>
    </row>
    <row r="2459" spans="3:5" ht="16.5">
      <c r="C2459" s="123"/>
      <c r="E2459" s="123"/>
    </row>
    <row r="2460" spans="3:5" ht="16.5">
      <c r="C2460" s="123"/>
      <c r="E2460" s="123"/>
    </row>
    <row r="2461" spans="3:5" ht="16.5">
      <c r="C2461" s="123"/>
      <c r="E2461" s="123"/>
    </row>
    <row r="2462" spans="3:5" ht="16.5">
      <c r="C2462" s="123"/>
      <c r="E2462" s="123"/>
    </row>
    <row r="2463" spans="3:5" ht="16.5">
      <c r="C2463" s="123"/>
      <c r="E2463" s="123"/>
    </row>
    <row r="2464" spans="3:5" ht="16.5">
      <c r="C2464" s="123"/>
      <c r="E2464" s="123"/>
    </row>
    <row r="2465" spans="3:5" ht="16.5">
      <c r="C2465" s="123"/>
      <c r="E2465" s="123"/>
    </row>
    <row r="2466" spans="3:5" ht="16.5">
      <c r="C2466" s="123"/>
      <c r="E2466" s="123"/>
    </row>
    <row r="2467" spans="3:5" ht="16.5">
      <c r="C2467" s="123"/>
      <c r="E2467" s="123"/>
    </row>
    <row r="2468" spans="3:5" ht="16.5">
      <c r="C2468" s="123"/>
      <c r="E2468" s="123"/>
    </row>
    <row r="2469" spans="3:5" ht="16.5">
      <c r="C2469" s="123"/>
      <c r="E2469" s="123"/>
    </row>
    <row r="2470" spans="3:5" ht="16.5">
      <c r="C2470" s="123"/>
      <c r="E2470" s="123"/>
    </row>
    <row r="2471" spans="3:5" ht="16.5">
      <c r="C2471" s="123"/>
      <c r="E2471" s="123"/>
    </row>
    <row r="2472" spans="3:5" ht="16.5">
      <c r="C2472" s="123"/>
      <c r="E2472" s="123"/>
    </row>
    <row r="2473" spans="3:5" ht="16.5">
      <c r="C2473" s="123"/>
      <c r="E2473" s="123"/>
    </row>
    <row r="2474" spans="3:5" ht="16.5">
      <c r="C2474" s="123"/>
      <c r="E2474" s="123"/>
    </row>
    <row r="2475" spans="3:5" ht="16.5">
      <c r="C2475" s="123"/>
      <c r="E2475" s="123"/>
    </row>
    <row r="2476" spans="3:5" ht="16.5">
      <c r="C2476" s="123"/>
      <c r="E2476" s="123"/>
    </row>
    <row r="2477" spans="3:5" ht="16.5">
      <c r="C2477" s="123"/>
      <c r="E2477" s="123"/>
    </row>
    <row r="2478" spans="3:5" ht="16.5">
      <c r="C2478" s="123"/>
      <c r="E2478" s="123"/>
    </row>
    <row r="2479" spans="3:5" ht="16.5">
      <c r="C2479" s="123"/>
      <c r="E2479" s="123"/>
    </row>
    <row r="2480" spans="3:5" ht="16.5">
      <c r="C2480" s="123"/>
      <c r="E2480" s="123"/>
    </row>
    <row r="2481" spans="3:5" ht="16.5">
      <c r="C2481" s="123"/>
      <c r="E2481" s="123"/>
    </row>
    <row r="2482" spans="3:5" ht="16.5">
      <c r="C2482" s="123"/>
      <c r="E2482" s="123"/>
    </row>
    <row r="2483" spans="3:5" ht="16.5">
      <c r="C2483" s="123"/>
      <c r="E2483" s="123"/>
    </row>
    <row r="2484" spans="3:5" ht="16.5">
      <c r="C2484" s="123"/>
      <c r="E2484" s="123"/>
    </row>
    <row r="2485" spans="3:5" ht="16.5">
      <c r="C2485" s="123"/>
      <c r="E2485" s="123"/>
    </row>
    <row r="2486" spans="3:5" ht="16.5">
      <c r="C2486" s="123"/>
      <c r="E2486" s="123"/>
    </row>
    <row r="2487" spans="3:5" ht="16.5">
      <c r="C2487" s="123"/>
      <c r="E2487" s="123"/>
    </row>
    <row r="2488" spans="3:5" ht="16.5">
      <c r="C2488" s="123"/>
      <c r="E2488" s="123"/>
    </row>
    <row r="2489" spans="3:5" ht="16.5">
      <c r="C2489" s="123"/>
      <c r="E2489" s="123"/>
    </row>
    <row r="2490" spans="3:5" ht="16.5">
      <c r="C2490" s="123"/>
      <c r="E2490" s="123"/>
    </row>
    <row r="2491" spans="3:5" ht="16.5">
      <c r="C2491" s="123"/>
      <c r="E2491" s="123"/>
    </row>
    <row r="2492" spans="3:5" ht="16.5">
      <c r="C2492" s="123"/>
      <c r="E2492" s="123"/>
    </row>
    <row r="2493" spans="3:5" ht="16.5">
      <c r="C2493" s="123"/>
      <c r="E2493" s="123"/>
    </row>
    <row r="2494" spans="3:5" ht="16.5">
      <c r="C2494" s="123"/>
      <c r="E2494" s="123"/>
    </row>
    <row r="2495" spans="3:5" ht="16.5">
      <c r="C2495" s="123"/>
      <c r="E2495" s="123"/>
    </row>
    <row r="2496" spans="3:5" ht="16.5">
      <c r="C2496" s="123"/>
      <c r="E2496" s="123"/>
    </row>
    <row r="2497" spans="3:5" ht="16.5">
      <c r="C2497" s="123"/>
      <c r="E2497" s="123"/>
    </row>
    <row r="2498" spans="3:5" ht="16.5">
      <c r="C2498" s="123"/>
      <c r="E2498" s="123"/>
    </row>
    <row r="2499" spans="3:5" ht="16.5">
      <c r="C2499" s="123"/>
      <c r="E2499" s="123"/>
    </row>
    <row r="2500" spans="3:5" ht="16.5">
      <c r="C2500" s="123"/>
      <c r="E2500" s="123"/>
    </row>
    <row r="2501" spans="3:5" ht="16.5">
      <c r="C2501" s="123"/>
      <c r="E2501" s="123"/>
    </row>
    <row r="2502" spans="3:5" ht="16.5">
      <c r="C2502" s="123"/>
      <c r="E2502" s="123"/>
    </row>
    <row r="2503" spans="3:5" ht="16.5">
      <c r="C2503" s="123"/>
      <c r="E2503" s="123"/>
    </row>
    <row r="2504" spans="3:5" ht="16.5">
      <c r="C2504" s="123"/>
      <c r="E2504" s="123"/>
    </row>
    <row r="2505" spans="3:5" ht="16.5">
      <c r="C2505" s="123"/>
      <c r="E2505" s="123"/>
    </row>
    <row r="2506" spans="3:5" ht="16.5">
      <c r="C2506" s="123"/>
      <c r="E2506" s="123"/>
    </row>
    <row r="2507" spans="3:5" ht="16.5">
      <c r="C2507" s="123"/>
      <c r="E2507" s="123"/>
    </row>
    <row r="2508" spans="3:5" ht="16.5">
      <c r="C2508" s="123"/>
      <c r="E2508" s="123"/>
    </row>
    <row r="2509" spans="3:5" ht="16.5">
      <c r="C2509" s="123"/>
      <c r="E2509" s="123"/>
    </row>
    <row r="2510" spans="3:5" ht="16.5">
      <c r="C2510" s="123"/>
      <c r="E2510" s="123"/>
    </row>
    <row r="2511" spans="3:5" ht="16.5">
      <c r="C2511" s="123"/>
      <c r="E2511" s="123"/>
    </row>
    <row r="2512" spans="3:5" ht="16.5">
      <c r="C2512" s="123"/>
      <c r="E2512" s="123"/>
    </row>
    <row r="2513" spans="3:5" ht="16.5">
      <c r="C2513" s="123"/>
      <c r="E2513" s="123"/>
    </row>
    <row r="2514" spans="3:5" ht="16.5">
      <c r="C2514" s="123"/>
      <c r="E2514" s="123"/>
    </row>
    <row r="2515" spans="3:5" ht="16.5">
      <c r="C2515" s="123"/>
      <c r="E2515" s="123"/>
    </row>
    <row r="2516" spans="3:5" ht="16.5">
      <c r="C2516" s="123"/>
      <c r="E2516" s="123"/>
    </row>
    <row r="2517" spans="3:5" ht="16.5">
      <c r="C2517" s="123"/>
      <c r="E2517" s="123"/>
    </row>
    <row r="2518" spans="3:5" ht="16.5">
      <c r="C2518" s="123"/>
      <c r="E2518" s="123"/>
    </row>
    <row r="2519" spans="3:5" ht="16.5">
      <c r="C2519" s="123"/>
      <c r="E2519" s="123"/>
    </row>
    <row r="2520" spans="3:5" ht="16.5">
      <c r="C2520" s="123"/>
      <c r="E2520" s="123"/>
    </row>
    <row r="2521" spans="3:5" ht="16.5">
      <c r="C2521" s="123"/>
      <c r="E2521" s="123"/>
    </row>
    <row r="2522" spans="3:5" ht="16.5">
      <c r="C2522" s="123"/>
      <c r="E2522" s="123"/>
    </row>
    <row r="2523" spans="3:5" ht="16.5">
      <c r="C2523" s="123"/>
      <c r="E2523" s="123"/>
    </row>
    <row r="2524" spans="3:5" ht="16.5">
      <c r="C2524" s="123"/>
      <c r="E2524" s="123"/>
    </row>
    <row r="2525" spans="3:5" ht="16.5">
      <c r="C2525" s="123"/>
      <c r="E2525" s="123"/>
    </row>
    <row r="2526" spans="3:5" ht="16.5">
      <c r="C2526" s="123"/>
      <c r="E2526" s="123"/>
    </row>
    <row r="2527" spans="3:5" ht="16.5">
      <c r="C2527" s="123"/>
      <c r="E2527" s="123"/>
    </row>
    <row r="2528" spans="3:5" ht="16.5">
      <c r="C2528" s="123"/>
      <c r="E2528" s="123"/>
    </row>
    <row r="2529" spans="3:5" ht="16.5">
      <c r="C2529" s="123"/>
      <c r="E2529" s="123"/>
    </row>
    <row r="2530" spans="3:5" ht="16.5">
      <c r="C2530" s="123"/>
      <c r="E2530" s="123"/>
    </row>
    <row r="2531" spans="3:5" ht="16.5">
      <c r="C2531" s="123"/>
      <c r="E2531" s="123"/>
    </row>
    <row r="2532" spans="3:5" ht="16.5">
      <c r="C2532" s="123"/>
      <c r="E2532" s="123"/>
    </row>
    <row r="2533" spans="3:5" ht="16.5">
      <c r="C2533" s="123"/>
      <c r="E2533" s="123"/>
    </row>
    <row r="2534" spans="3:5" ht="16.5">
      <c r="C2534" s="123"/>
      <c r="E2534" s="123"/>
    </row>
    <row r="2535" spans="3:5" ht="16.5">
      <c r="C2535" s="123"/>
      <c r="E2535" s="123"/>
    </row>
    <row r="2536" spans="3:5" ht="16.5">
      <c r="C2536" s="123"/>
      <c r="E2536" s="123"/>
    </row>
    <row r="2537" spans="3:5" ht="16.5">
      <c r="C2537" s="123"/>
      <c r="E2537" s="123"/>
    </row>
    <row r="2538" spans="3:5" ht="16.5">
      <c r="C2538" s="123"/>
      <c r="E2538" s="123"/>
    </row>
    <row r="2539" spans="3:5" ht="16.5">
      <c r="C2539" s="123"/>
      <c r="E2539" s="123"/>
    </row>
    <row r="2540" spans="3:5" ht="16.5">
      <c r="C2540" s="123"/>
      <c r="E2540" s="123"/>
    </row>
    <row r="2541" spans="3:5" ht="16.5">
      <c r="C2541" s="123"/>
      <c r="E2541" s="123"/>
    </row>
    <row r="2542" spans="3:5" ht="16.5">
      <c r="C2542" s="123"/>
      <c r="E2542" s="123"/>
    </row>
    <row r="2543" spans="3:5" ht="16.5">
      <c r="C2543" s="123"/>
      <c r="E2543" s="123"/>
    </row>
    <row r="2544" spans="3:5" ht="16.5">
      <c r="C2544" s="123"/>
      <c r="E2544" s="123"/>
    </row>
    <row r="2545" spans="3:5" ht="16.5">
      <c r="C2545" s="123"/>
      <c r="E2545" s="123"/>
    </row>
    <row r="2546" spans="3:5" ht="16.5">
      <c r="C2546" s="123"/>
      <c r="E2546" s="123"/>
    </row>
    <row r="2547" spans="3:5" ht="16.5">
      <c r="C2547" s="123"/>
      <c r="E2547" s="123"/>
    </row>
    <row r="2548" spans="3:5" ht="16.5">
      <c r="C2548" s="123"/>
      <c r="E2548" s="123"/>
    </row>
    <row r="2549" spans="3:5" ht="16.5">
      <c r="C2549" s="123"/>
      <c r="E2549" s="123"/>
    </row>
    <row r="2550" spans="3:5" ht="16.5">
      <c r="C2550" s="123"/>
      <c r="E2550" s="123"/>
    </row>
    <row r="2551" spans="3:5" ht="16.5">
      <c r="C2551" s="123"/>
      <c r="E2551" s="123"/>
    </row>
    <row r="2552" spans="3:5" ht="16.5">
      <c r="C2552" s="123"/>
      <c r="E2552" s="123"/>
    </row>
    <row r="2553" spans="3:5" ht="16.5">
      <c r="C2553" s="123"/>
      <c r="E2553" s="123"/>
    </row>
    <row r="2554" spans="3:5" ht="16.5">
      <c r="C2554" s="123"/>
      <c r="E2554" s="123"/>
    </row>
    <row r="2555" spans="3:5" ht="16.5">
      <c r="C2555" s="123"/>
      <c r="E2555" s="123"/>
    </row>
    <row r="2556" spans="3:5" ht="16.5">
      <c r="C2556" s="123"/>
      <c r="E2556" s="123"/>
    </row>
    <row r="2557" spans="3:5" ht="16.5">
      <c r="C2557" s="123"/>
      <c r="E2557" s="123"/>
    </row>
    <row r="2558" spans="3:5" ht="16.5">
      <c r="C2558" s="123"/>
      <c r="E2558" s="123"/>
    </row>
    <row r="2559" spans="3:5" ht="16.5">
      <c r="C2559" s="123"/>
      <c r="E2559" s="123"/>
    </row>
    <row r="2560" spans="3:5" ht="16.5">
      <c r="C2560" s="123"/>
      <c r="E2560" s="123"/>
    </row>
    <row r="2561" spans="3:5" ht="16.5">
      <c r="C2561" s="123"/>
      <c r="E2561" s="123"/>
    </row>
    <row r="2562" spans="3:5" ht="16.5">
      <c r="C2562" s="123"/>
      <c r="E2562" s="123"/>
    </row>
    <row r="2563" spans="3:5" ht="16.5">
      <c r="C2563" s="123"/>
      <c r="E2563" s="123"/>
    </row>
    <row r="2564" spans="3:5" ht="16.5">
      <c r="C2564" s="123"/>
      <c r="E2564" s="123"/>
    </row>
    <row r="2565" spans="3:5" ht="16.5">
      <c r="C2565" s="123"/>
      <c r="E2565" s="123"/>
    </row>
    <row r="2566" spans="3:5" ht="16.5">
      <c r="C2566" s="123"/>
      <c r="E2566" s="123"/>
    </row>
    <row r="2567" spans="3:5" ht="16.5">
      <c r="C2567" s="123"/>
      <c r="E2567" s="123"/>
    </row>
    <row r="2568" spans="3:5" ht="16.5">
      <c r="C2568" s="123"/>
      <c r="E2568" s="123"/>
    </row>
    <row r="2569" spans="3:5" ht="16.5">
      <c r="C2569" s="123"/>
      <c r="E2569" s="123"/>
    </row>
    <row r="2570" spans="3:5" ht="16.5">
      <c r="C2570" s="123"/>
      <c r="E2570" s="123"/>
    </row>
    <row r="2571" spans="3:5" ht="16.5">
      <c r="C2571" s="123"/>
      <c r="E2571" s="123"/>
    </row>
    <row r="2572" spans="3:5" ht="16.5">
      <c r="C2572" s="123"/>
      <c r="E2572" s="123"/>
    </row>
    <row r="2573" spans="3:5" ht="16.5">
      <c r="C2573" s="123"/>
      <c r="E2573" s="123"/>
    </row>
    <row r="2574" spans="3:5" ht="16.5">
      <c r="C2574" s="123"/>
      <c r="E2574" s="123"/>
    </row>
    <row r="2575" spans="3:5" ht="16.5">
      <c r="C2575" s="123"/>
      <c r="E2575" s="123"/>
    </row>
    <row r="2576" spans="3:5" ht="16.5">
      <c r="C2576" s="123"/>
      <c r="E2576" s="123"/>
    </row>
    <row r="2577" spans="3:5" ht="16.5">
      <c r="C2577" s="123"/>
      <c r="E2577" s="123"/>
    </row>
    <row r="2578" spans="3:5" ht="16.5">
      <c r="C2578" s="123"/>
      <c r="E2578" s="123"/>
    </row>
    <row r="2579" spans="3:5" ht="16.5">
      <c r="C2579" s="123"/>
      <c r="E2579" s="123"/>
    </row>
    <row r="2580" spans="3:5" ht="16.5">
      <c r="C2580" s="123"/>
      <c r="E2580" s="123"/>
    </row>
    <row r="2581" spans="3:5" ht="16.5">
      <c r="C2581" s="123"/>
      <c r="E2581" s="123"/>
    </row>
    <row r="2582" spans="3:5" ht="16.5">
      <c r="C2582" s="123"/>
      <c r="E2582" s="123"/>
    </row>
    <row r="2583" spans="3:5" ht="16.5">
      <c r="C2583" s="123"/>
      <c r="E2583" s="123"/>
    </row>
    <row r="2584" spans="3:5" ht="16.5">
      <c r="C2584" s="123"/>
      <c r="E2584" s="123"/>
    </row>
    <row r="2585" spans="3:5" ht="16.5">
      <c r="C2585" s="123"/>
      <c r="E2585" s="123"/>
    </row>
    <row r="2586" spans="3:5" ht="16.5">
      <c r="C2586" s="123"/>
      <c r="E2586" s="123"/>
    </row>
    <row r="2587" spans="3:5" ht="16.5">
      <c r="C2587" s="123"/>
      <c r="E2587" s="123"/>
    </row>
    <row r="2588" spans="3:5" ht="16.5">
      <c r="C2588" s="123"/>
      <c r="E2588" s="123"/>
    </row>
    <row r="2589" spans="3:5" ht="16.5">
      <c r="C2589" s="123"/>
      <c r="E2589" s="123"/>
    </row>
    <row r="2590" spans="3:5" ht="16.5">
      <c r="C2590" s="123"/>
      <c r="E2590" s="123"/>
    </row>
    <row r="2591" spans="3:5" ht="16.5">
      <c r="C2591" s="123"/>
      <c r="E2591" s="123"/>
    </row>
    <row r="2592" spans="3:5" ht="16.5">
      <c r="C2592" s="123"/>
      <c r="E2592" s="123"/>
    </row>
    <row r="2593" spans="3:5" ht="16.5">
      <c r="C2593" s="123"/>
      <c r="E2593" s="123"/>
    </row>
    <row r="2594" spans="3:5" ht="16.5">
      <c r="C2594" s="123"/>
      <c r="E2594" s="123"/>
    </row>
    <row r="2595" spans="3:5" ht="16.5">
      <c r="C2595" s="123"/>
      <c r="E2595" s="123"/>
    </row>
    <row r="2596" spans="3:5" ht="16.5">
      <c r="C2596" s="123"/>
      <c r="E2596" s="123"/>
    </row>
    <row r="2597" spans="3:5" ht="16.5">
      <c r="C2597" s="123"/>
      <c r="E2597" s="123"/>
    </row>
    <row r="2598" spans="3:5" ht="16.5">
      <c r="C2598" s="123"/>
      <c r="E2598" s="123"/>
    </row>
    <row r="2599" spans="3:5" ht="16.5">
      <c r="C2599" s="123"/>
      <c r="E2599" s="123"/>
    </row>
    <row r="2600" spans="3:5" ht="16.5">
      <c r="C2600" s="123"/>
      <c r="E2600" s="123"/>
    </row>
    <row r="2601" spans="3:5" ht="16.5">
      <c r="C2601" s="123"/>
      <c r="E2601" s="123"/>
    </row>
    <row r="2602" spans="3:5" ht="16.5">
      <c r="C2602" s="123"/>
      <c r="E2602" s="123"/>
    </row>
    <row r="2603" spans="3:5" ht="16.5">
      <c r="C2603" s="123"/>
      <c r="E2603" s="123"/>
    </row>
    <row r="2604" spans="3:5" ht="16.5">
      <c r="C2604" s="123"/>
      <c r="E2604" s="123"/>
    </row>
    <row r="2605" spans="3:5" ht="16.5">
      <c r="C2605" s="123"/>
      <c r="E2605" s="123"/>
    </row>
    <row r="2606" spans="3:5" ht="16.5">
      <c r="C2606" s="123"/>
      <c r="E2606" s="123"/>
    </row>
    <row r="2607" spans="3:5" ht="16.5">
      <c r="C2607" s="123"/>
      <c r="E2607" s="123"/>
    </row>
    <row r="2608" spans="3:5" ht="16.5">
      <c r="C2608" s="123"/>
      <c r="E2608" s="123"/>
    </row>
    <row r="2609" spans="3:5" ht="16.5">
      <c r="C2609" s="123"/>
      <c r="E2609" s="123"/>
    </row>
    <row r="2610" spans="3:5" ht="16.5">
      <c r="C2610" s="123"/>
      <c r="E2610" s="123"/>
    </row>
    <row r="2611" spans="3:5" ht="16.5">
      <c r="C2611" s="123"/>
      <c r="E2611" s="123"/>
    </row>
    <row r="2612" spans="3:5" ht="16.5">
      <c r="C2612" s="123"/>
      <c r="E2612" s="123"/>
    </row>
    <row r="2613" spans="3:5" ht="16.5">
      <c r="C2613" s="123"/>
      <c r="E2613" s="123"/>
    </row>
    <row r="2614" spans="3:5" ht="16.5">
      <c r="C2614" s="123"/>
      <c r="E2614" s="123"/>
    </row>
    <row r="2615" spans="3:5" ht="16.5">
      <c r="C2615" s="123"/>
      <c r="E2615" s="123"/>
    </row>
    <row r="2616" spans="3:5" ht="16.5">
      <c r="C2616" s="123"/>
      <c r="E2616" s="123"/>
    </row>
    <row r="2617" spans="3:5" ht="16.5">
      <c r="C2617" s="123"/>
      <c r="E2617" s="123"/>
    </row>
    <row r="2618" spans="3:5" ht="16.5">
      <c r="C2618" s="123"/>
      <c r="E2618" s="123"/>
    </row>
    <row r="2619" spans="3:5" ht="16.5">
      <c r="C2619" s="123"/>
      <c r="E2619" s="123"/>
    </row>
    <row r="2620" spans="3:5" ht="16.5">
      <c r="C2620" s="123"/>
      <c r="E2620" s="123"/>
    </row>
    <row r="2621" spans="3:5" ht="16.5">
      <c r="C2621" s="123"/>
      <c r="E2621" s="123"/>
    </row>
    <row r="2622" spans="3:5" ht="16.5">
      <c r="C2622" s="123"/>
      <c r="E2622" s="123"/>
    </row>
    <row r="2623" spans="3:5" ht="16.5">
      <c r="C2623" s="123"/>
      <c r="E2623" s="123"/>
    </row>
    <row r="2624" spans="3:5" ht="16.5">
      <c r="C2624" s="123"/>
      <c r="E2624" s="123"/>
    </row>
    <row r="2625" spans="3:5" ht="16.5">
      <c r="C2625" s="123"/>
      <c r="E2625" s="123"/>
    </row>
    <row r="2626" spans="3:5" ht="16.5">
      <c r="C2626" s="123"/>
      <c r="E2626" s="123"/>
    </row>
    <row r="2627" spans="3:5" ht="16.5">
      <c r="C2627" s="123"/>
      <c r="E2627" s="123"/>
    </row>
    <row r="2628" spans="3:5" ht="16.5">
      <c r="C2628" s="123"/>
      <c r="E2628" s="123"/>
    </row>
    <row r="2629" spans="3:5" ht="16.5">
      <c r="C2629" s="123"/>
      <c r="E2629" s="123"/>
    </row>
    <row r="2630" spans="3:5" ht="16.5">
      <c r="C2630" s="123"/>
      <c r="E2630" s="123"/>
    </row>
    <row r="2631" spans="3:5" ht="16.5">
      <c r="C2631" s="123"/>
      <c r="E2631" s="123"/>
    </row>
    <row r="2632" spans="3:5" ht="16.5">
      <c r="C2632" s="123"/>
      <c r="E2632" s="123"/>
    </row>
    <row r="2633" spans="3:5" ht="16.5">
      <c r="E2633" s="123"/>
    </row>
    <row r="2634" spans="3:5" ht="16.5">
      <c r="E2634" s="123"/>
    </row>
    <row r="2635" spans="3:5" ht="16.5">
      <c r="E2635" s="123"/>
    </row>
    <row r="2636" spans="3:5" ht="16.5">
      <c r="E2636" s="123"/>
    </row>
    <row r="2637" spans="3:5" ht="16.5">
      <c r="E2637" s="123"/>
    </row>
    <row r="2638" spans="3:5" ht="16.5">
      <c r="E2638" s="123"/>
    </row>
    <row r="2639" spans="3:5" ht="16.5">
      <c r="E2639" s="123"/>
    </row>
    <row r="2640" spans="3:5" ht="16.5">
      <c r="E2640" s="123"/>
    </row>
    <row r="2641" spans="5:5" ht="16.5">
      <c r="E2641" s="123"/>
    </row>
    <row r="2642" spans="5:5" ht="16.5">
      <c r="E2642" s="123"/>
    </row>
    <row r="2643" spans="5:5" ht="16.5">
      <c r="E2643" s="123"/>
    </row>
    <row r="2644" spans="5:5" ht="16.5">
      <c r="E2644" s="123"/>
    </row>
    <row r="2645" spans="5:5" ht="16.5">
      <c r="E2645" s="123"/>
    </row>
    <row r="2646" spans="5:5" ht="16.5">
      <c r="E2646" s="123"/>
    </row>
    <row r="2647" spans="5:5" ht="16.5">
      <c r="E2647" s="123"/>
    </row>
    <row r="2648" spans="5:5" ht="16.5">
      <c r="E2648" s="123"/>
    </row>
    <row r="2649" spans="5:5" ht="16.5">
      <c r="E2649" s="123"/>
    </row>
    <row r="2650" spans="5:5" ht="16.5">
      <c r="E2650" s="123"/>
    </row>
    <row r="2651" spans="5:5" ht="16.5">
      <c r="E2651" s="123"/>
    </row>
    <row r="2652" spans="5:5" ht="16.5">
      <c r="E2652" s="123"/>
    </row>
    <row r="2653" spans="5:5" ht="16.5">
      <c r="E2653" s="123"/>
    </row>
    <row r="2654" spans="5:5" ht="16.5">
      <c r="E2654" s="123"/>
    </row>
    <row r="2655" spans="5:5" ht="16.5">
      <c r="E2655" s="123"/>
    </row>
    <row r="2656" spans="5:5" ht="16.5">
      <c r="E2656" s="123"/>
    </row>
    <row r="2657" spans="5:5" ht="16.5">
      <c r="E2657" s="123"/>
    </row>
    <row r="2658" spans="5:5" ht="16.5">
      <c r="E2658" s="123"/>
    </row>
    <row r="2659" spans="5:5" ht="16.5">
      <c r="E2659" s="123"/>
    </row>
    <row r="2660" spans="5:5" ht="16.5">
      <c r="E2660" s="123"/>
    </row>
    <row r="2661" spans="5:5" ht="16.5">
      <c r="E2661" s="123"/>
    </row>
    <row r="2662" spans="5:5" ht="16.5">
      <c r="E2662" s="123"/>
    </row>
    <row r="2663" spans="5:5" ht="16.5">
      <c r="E2663" s="123"/>
    </row>
    <row r="2664" spans="5:5" ht="16.5">
      <c r="E2664" s="123"/>
    </row>
    <row r="2665" spans="5:5" ht="16.5">
      <c r="E2665" s="123"/>
    </row>
    <row r="2666" spans="5:5" ht="16.5">
      <c r="E2666" s="123"/>
    </row>
    <row r="2667" spans="5:5" ht="16.5">
      <c r="E2667" s="123"/>
    </row>
    <row r="2668" spans="5:5" ht="16.5">
      <c r="E2668" s="123"/>
    </row>
    <row r="2669" spans="5:5" ht="16.5">
      <c r="E2669" s="123"/>
    </row>
    <row r="2670" spans="5:5" ht="16.5">
      <c r="E2670" s="123"/>
    </row>
    <row r="2671" spans="5:5" ht="16.5">
      <c r="E2671" s="123"/>
    </row>
    <row r="2672" spans="5:5" ht="16.5">
      <c r="E2672" s="123"/>
    </row>
    <row r="2673" spans="5:5" ht="16.5">
      <c r="E2673" s="123"/>
    </row>
    <row r="2674" spans="5:5" ht="16.5">
      <c r="E2674" s="123"/>
    </row>
    <row r="2675" spans="5:5" ht="16.5">
      <c r="E2675" s="123"/>
    </row>
    <row r="2676" spans="5:5" ht="16.5">
      <c r="E2676" s="123"/>
    </row>
    <row r="2677" spans="5:5" ht="16.5">
      <c r="E2677" s="123"/>
    </row>
    <row r="2678" spans="5:5" ht="16.5">
      <c r="E2678" s="123"/>
    </row>
    <row r="2679" spans="5:5" ht="16.5">
      <c r="E2679" s="123"/>
    </row>
    <row r="2680" spans="5:5" ht="16.5">
      <c r="E2680" s="123"/>
    </row>
    <row r="2681" spans="5:5" ht="16.5">
      <c r="E2681" s="123"/>
    </row>
    <row r="2682" spans="5:5" ht="16.5">
      <c r="E2682" s="123"/>
    </row>
    <row r="2683" spans="5:5" ht="16.5">
      <c r="E2683" s="123"/>
    </row>
    <row r="2684" spans="5:5" ht="16.5">
      <c r="E2684" s="123"/>
    </row>
    <row r="2685" spans="5:5" ht="16.5">
      <c r="E2685" s="123"/>
    </row>
    <row r="2686" spans="5:5" ht="16.5">
      <c r="E2686" s="123"/>
    </row>
    <row r="2687" spans="5:5" ht="16.5">
      <c r="E2687" s="123"/>
    </row>
    <row r="2688" spans="5:5" ht="16.5">
      <c r="E2688" s="123"/>
    </row>
    <row r="2689" spans="5:5" ht="16.5">
      <c r="E2689" s="123"/>
    </row>
    <row r="2690" spans="5:5" ht="16.5">
      <c r="E2690" s="123"/>
    </row>
    <row r="2691" spans="5:5" ht="16.5">
      <c r="E2691" s="123"/>
    </row>
    <row r="2692" spans="5:5" ht="16.5">
      <c r="E2692" s="123"/>
    </row>
    <row r="2693" spans="5:5" ht="16.5">
      <c r="E2693" s="123"/>
    </row>
    <row r="2694" spans="5:5" ht="16.5">
      <c r="E2694" s="123"/>
    </row>
    <row r="2695" spans="5:5" ht="16.5">
      <c r="E2695" s="123"/>
    </row>
    <row r="2696" spans="5:5" ht="16.5">
      <c r="E2696" s="123"/>
    </row>
    <row r="2697" spans="5:5" ht="16.5">
      <c r="E2697" s="123"/>
    </row>
    <row r="2698" spans="5:5" ht="16.5">
      <c r="E2698" s="123"/>
    </row>
    <row r="2699" spans="5:5" ht="16.5">
      <c r="E2699" s="123"/>
    </row>
    <row r="2700" spans="5:5" ht="16.5">
      <c r="E2700" s="123"/>
    </row>
    <row r="2701" spans="5:5" ht="16.5">
      <c r="E2701" s="123"/>
    </row>
    <row r="2702" spans="5:5" ht="16.5">
      <c r="E2702" s="123"/>
    </row>
    <row r="2703" spans="5:5" ht="16.5">
      <c r="E2703" s="123"/>
    </row>
    <row r="2704" spans="5:5" ht="16.5">
      <c r="E2704" s="123"/>
    </row>
    <row r="2705" spans="5:5" ht="16.5">
      <c r="E2705" s="123"/>
    </row>
    <row r="2706" spans="5:5" ht="16.5">
      <c r="E2706" s="123"/>
    </row>
    <row r="2707" spans="5:5" ht="16.5">
      <c r="E2707" s="123"/>
    </row>
    <row r="2708" spans="5:5" ht="16.5">
      <c r="E2708" s="123"/>
    </row>
    <row r="2709" spans="5:5" ht="16.5">
      <c r="E2709" s="123"/>
    </row>
    <row r="2710" spans="5:5" ht="16.5">
      <c r="E2710" s="123"/>
    </row>
    <row r="2711" spans="5:5" ht="16.5">
      <c r="E2711" s="123"/>
    </row>
    <row r="2712" spans="5:5" ht="16.5">
      <c r="E2712" s="123"/>
    </row>
    <row r="2713" spans="5:5" ht="16.5">
      <c r="E2713" s="123"/>
    </row>
    <row r="2714" spans="5:5" ht="16.5">
      <c r="E2714" s="123"/>
    </row>
    <row r="2715" spans="5:5" ht="16.5">
      <c r="E2715" s="123"/>
    </row>
    <row r="2716" spans="5:5" ht="16.5">
      <c r="E2716" s="123"/>
    </row>
    <row r="2717" spans="5:5" ht="16.5">
      <c r="E2717" s="123"/>
    </row>
    <row r="2718" spans="5:5" ht="16.5">
      <c r="E2718" s="123"/>
    </row>
    <row r="2719" spans="5:5" ht="16.5">
      <c r="E2719" s="123"/>
    </row>
    <row r="2720" spans="5:5" ht="16.5">
      <c r="E2720" s="123"/>
    </row>
    <row r="2721" spans="5:5" ht="16.5">
      <c r="E2721" s="123"/>
    </row>
    <row r="2722" spans="5:5" ht="16.5">
      <c r="E2722" s="123"/>
    </row>
    <row r="2723" spans="5:5" ht="16.5">
      <c r="E2723" s="123"/>
    </row>
    <row r="2724" spans="5:5" ht="16.5">
      <c r="E2724" s="123"/>
    </row>
    <row r="2725" spans="5:5" ht="16.5">
      <c r="E2725" s="123"/>
    </row>
    <row r="2726" spans="5:5" ht="16.5">
      <c r="E2726" s="123"/>
    </row>
    <row r="2727" spans="5:5" ht="16.5">
      <c r="E2727" s="123"/>
    </row>
    <row r="2728" spans="5:5" ht="16.5">
      <c r="E2728" s="123"/>
    </row>
    <row r="2729" spans="5:5" ht="16.5">
      <c r="E2729" s="123"/>
    </row>
    <row r="2730" spans="5:5" ht="16.5">
      <c r="E2730" s="123"/>
    </row>
    <row r="2731" spans="5:5" ht="16.5">
      <c r="E2731" s="123"/>
    </row>
    <row r="2732" spans="5:5" ht="16.5">
      <c r="E2732" s="123"/>
    </row>
    <row r="2733" spans="5:5" ht="16.5">
      <c r="E2733" s="123"/>
    </row>
    <row r="2734" spans="5:5" ht="16.5">
      <c r="E2734" s="123"/>
    </row>
    <row r="2735" spans="5:5" ht="16.5">
      <c r="E2735" s="123"/>
    </row>
    <row r="2736" spans="5:5" ht="16.5">
      <c r="E2736" s="123"/>
    </row>
    <row r="2737" spans="5:5" ht="16.5">
      <c r="E2737" s="123"/>
    </row>
    <row r="2738" spans="5:5" ht="16.5">
      <c r="E2738" s="123"/>
    </row>
    <row r="2739" spans="5:5" ht="16.5">
      <c r="E2739" s="123"/>
    </row>
    <row r="2740" spans="5:5" ht="16.5">
      <c r="E2740" s="123"/>
    </row>
    <row r="2741" spans="5:5" ht="16.5">
      <c r="E2741" s="123"/>
    </row>
    <row r="2742" spans="5:5" ht="16.5">
      <c r="E2742" s="123"/>
    </row>
    <row r="2743" spans="5:5" ht="16.5">
      <c r="E2743" s="123"/>
    </row>
    <row r="2744" spans="5:5" ht="16.5">
      <c r="E2744" s="123"/>
    </row>
    <row r="2745" spans="5:5" ht="16.5">
      <c r="E2745" s="123"/>
    </row>
    <row r="2746" spans="5:5" ht="16.5">
      <c r="E2746" s="123"/>
    </row>
    <row r="2747" spans="5:5" ht="16.5">
      <c r="E2747" s="123"/>
    </row>
    <row r="2748" spans="5:5" ht="16.5">
      <c r="E2748" s="123"/>
    </row>
    <row r="2749" spans="5:5" ht="16.5">
      <c r="E2749" s="123"/>
    </row>
    <row r="2750" spans="5:5" ht="16.5">
      <c r="E2750" s="123"/>
    </row>
    <row r="2751" spans="5:5" ht="16.5">
      <c r="E2751" s="123"/>
    </row>
    <row r="2752" spans="5:5" ht="16.5">
      <c r="E2752" s="123"/>
    </row>
    <row r="2753" spans="5:5" ht="16.5">
      <c r="E2753" s="123"/>
    </row>
    <row r="2754" spans="5:5" ht="16.5">
      <c r="E2754" s="123"/>
    </row>
    <row r="2755" spans="5:5" ht="16.5">
      <c r="E2755" s="123"/>
    </row>
    <row r="2756" spans="5:5" ht="16.5">
      <c r="E2756" s="123"/>
    </row>
    <row r="2757" spans="5:5" ht="16.5">
      <c r="E2757" s="123"/>
    </row>
    <row r="2758" spans="5:5" ht="16.5">
      <c r="E2758" s="123"/>
    </row>
    <row r="2759" spans="5:5" ht="16.5">
      <c r="E2759" s="123"/>
    </row>
    <row r="2760" spans="5:5" ht="16.5">
      <c r="E2760" s="123"/>
    </row>
    <row r="2761" spans="5:5" ht="16.5">
      <c r="E2761" s="123"/>
    </row>
    <row r="2762" spans="5:5" ht="16.5">
      <c r="E2762" s="123"/>
    </row>
    <row r="2763" spans="5:5" ht="16.5">
      <c r="E2763" s="123"/>
    </row>
    <row r="2764" spans="5:5" ht="16.5">
      <c r="E2764" s="123"/>
    </row>
    <row r="2765" spans="5:5" ht="16.5">
      <c r="E2765" s="123"/>
    </row>
    <row r="2766" spans="5:5" ht="16.5">
      <c r="E2766" s="123"/>
    </row>
    <row r="2767" spans="5:5" ht="16.5">
      <c r="E2767" s="123"/>
    </row>
    <row r="2768" spans="5:5" ht="16.5">
      <c r="E2768" s="123"/>
    </row>
    <row r="2769" spans="5:5" ht="16.5">
      <c r="E2769" s="123"/>
    </row>
    <row r="2770" spans="5:5" ht="16.5">
      <c r="E2770" s="123"/>
    </row>
    <row r="2771" spans="5:5" ht="16.5">
      <c r="E2771" s="123"/>
    </row>
    <row r="2772" spans="5:5" ht="16.5">
      <c r="E2772" s="123"/>
    </row>
    <row r="2773" spans="5:5" ht="16.5">
      <c r="E2773" s="123"/>
    </row>
    <row r="2774" spans="5:5" ht="16.5">
      <c r="E2774" s="123"/>
    </row>
    <row r="2775" spans="5:5" ht="16.5">
      <c r="E2775" s="123"/>
    </row>
    <row r="2776" spans="5:5" ht="16.5">
      <c r="E2776" s="123"/>
    </row>
    <row r="2777" spans="5:5" ht="16.5">
      <c r="E2777" s="123"/>
    </row>
    <row r="2778" spans="5:5" ht="16.5">
      <c r="E2778" s="123"/>
    </row>
    <row r="2779" spans="5:5" ht="16.5">
      <c r="E2779" s="123"/>
    </row>
    <row r="2780" spans="5:5" ht="16.5">
      <c r="E2780" s="123"/>
    </row>
    <row r="2781" spans="5:5" ht="16.5">
      <c r="E2781" s="123"/>
    </row>
    <row r="2782" spans="5:5" ht="16.5">
      <c r="E2782" s="123"/>
    </row>
    <row r="2783" spans="5:5" ht="16.5">
      <c r="E2783" s="123"/>
    </row>
    <row r="2784" spans="5:5" ht="16.5">
      <c r="E2784" s="123"/>
    </row>
    <row r="2785" spans="5:5" ht="16.5">
      <c r="E2785" s="123"/>
    </row>
    <row r="2786" spans="5:5" ht="16.5">
      <c r="E2786" s="123"/>
    </row>
    <row r="2787" spans="5:5" ht="16.5">
      <c r="E2787" s="123"/>
    </row>
    <row r="2788" spans="5:5" ht="16.5">
      <c r="E2788" s="123"/>
    </row>
    <row r="2789" spans="5:5" ht="16.5">
      <c r="E2789" s="123"/>
    </row>
    <row r="2790" spans="5:5" ht="16.5">
      <c r="E2790" s="123"/>
    </row>
    <row r="2791" spans="5:5" ht="16.5">
      <c r="E2791" s="123"/>
    </row>
    <row r="2792" spans="5:5" ht="16.5">
      <c r="E2792" s="123"/>
    </row>
    <row r="2793" spans="5:5" ht="16.5">
      <c r="E2793" s="123"/>
    </row>
    <row r="2794" spans="5:5" ht="16.5">
      <c r="E2794" s="123"/>
    </row>
    <row r="2795" spans="5:5" ht="16.5">
      <c r="E2795" s="123"/>
    </row>
    <row r="2796" spans="5:5" ht="16.5">
      <c r="E2796" s="123"/>
    </row>
    <row r="2797" spans="5:5" ht="16.5">
      <c r="E2797" s="123"/>
    </row>
    <row r="2798" spans="5:5" ht="16.5">
      <c r="E2798" s="123"/>
    </row>
    <row r="2799" spans="5:5" ht="16.5">
      <c r="E2799" s="123"/>
    </row>
    <row r="2800" spans="5:5" ht="16.5">
      <c r="E2800" s="123"/>
    </row>
    <row r="2801" spans="5:5" ht="16.5">
      <c r="E2801" s="123"/>
    </row>
    <row r="2802" spans="5:5" ht="16.5">
      <c r="E2802" s="123"/>
    </row>
    <row r="2803" spans="5:5" ht="16.5">
      <c r="E2803" s="123"/>
    </row>
    <row r="2804" spans="5:5" ht="16.5">
      <c r="E2804" s="123"/>
    </row>
    <row r="2805" spans="5:5" ht="16.5">
      <c r="E2805" s="123"/>
    </row>
    <row r="2806" spans="5:5" ht="16.5">
      <c r="E2806" s="123"/>
    </row>
    <row r="2807" spans="5:5" ht="16.5">
      <c r="E2807" s="123"/>
    </row>
    <row r="2808" spans="5:5" ht="16.5">
      <c r="E2808" s="123"/>
    </row>
    <row r="2809" spans="5:5" ht="16.5">
      <c r="E2809" s="123"/>
    </row>
    <row r="2810" spans="5:5" ht="16.5">
      <c r="E2810" s="123"/>
    </row>
    <row r="2811" spans="5:5" ht="16.5">
      <c r="E2811" s="123"/>
    </row>
    <row r="2812" spans="5:5" ht="16.5">
      <c r="E2812" s="123"/>
    </row>
    <row r="2813" spans="5:5" ht="16.5">
      <c r="E2813" s="123"/>
    </row>
    <row r="2814" spans="5:5" ht="16.5">
      <c r="E2814" s="123"/>
    </row>
    <row r="2815" spans="5:5" ht="16.5">
      <c r="E2815" s="123"/>
    </row>
    <row r="2816" spans="5:5" ht="16.5">
      <c r="E2816" s="123"/>
    </row>
    <row r="2817" spans="5:5" ht="16.5">
      <c r="E2817" s="123"/>
    </row>
    <row r="2818" spans="5:5" ht="16.5">
      <c r="E2818" s="123"/>
    </row>
    <row r="2819" spans="5:5" ht="16.5">
      <c r="E2819" s="123"/>
    </row>
    <row r="2820" spans="5:5" ht="16.5">
      <c r="E2820" s="123"/>
    </row>
    <row r="2821" spans="5:5" ht="16.5">
      <c r="E2821" s="123"/>
    </row>
    <row r="2822" spans="5:5" ht="16.5">
      <c r="E2822" s="123"/>
    </row>
    <row r="2823" spans="5:5" ht="16.5">
      <c r="E2823" s="123"/>
    </row>
    <row r="2824" spans="5:5" ht="16.5">
      <c r="E2824" s="123"/>
    </row>
    <row r="2825" spans="5:5" ht="16.5">
      <c r="E2825" s="123"/>
    </row>
    <row r="2826" spans="5:5" ht="16.5">
      <c r="E2826" s="123"/>
    </row>
    <row r="2827" spans="5:5" ht="16.5">
      <c r="E2827" s="123"/>
    </row>
    <row r="2828" spans="5:5" ht="16.5">
      <c r="E2828" s="123"/>
    </row>
    <row r="2829" spans="5:5" ht="16.5">
      <c r="E2829" s="123"/>
    </row>
    <row r="2830" spans="5:5" ht="16.5">
      <c r="E2830" s="123"/>
    </row>
    <row r="2831" spans="5:5" ht="16.5">
      <c r="E2831" s="123"/>
    </row>
    <row r="2832" spans="5:5" ht="16.5">
      <c r="E2832" s="123"/>
    </row>
    <row r="2833" spans="5:5" ht="16.5">
      <c r="E2833" s="123"/>
    </row>
    <row r="2834" spans="5:5" ht="16.5">
      <c r="E2834" s="123"/>
    </row>
    <row r="2835" spans="5:5" ht="16.5">
      <c r="E2835" s="123"/>
    </row>
    <row r="2836" spans="5:5" ht="16.5">
      <c r="E2836" s="123"/>
    </row>
    <row r="2837" spans="5:5" ht="16.5">
      <c r="E2837" s="123"/>
    </row>
    <row r="2838" spans="5:5" ht="16.5">
      <c r="E2838" s="123"/>
    </row>
    <row r="2839" spans="5:5" ht="16.5">
      <c r="E2839" s="123"/>
    </row>
    <row r="2840" spans="5:5" ht="16.5">
      <c r="E2840" s="123"/>
    </row>
    <row r="2841" spans="5:5" ht="16.5">
      <c r="E2841" s="123"/>
    </row>
    <row r="2842" spans="5:5" ht="16.5">
      <c r="E2842" s="123"/>
    </row>
    <row r="2843" spans="5:5" ht="16.5">
      <c r="E2843" s="123"/>
    </row>
    <row r="2844" spans="5:5" ht="16.5">
      <c r="E2844" s="123"/>
    </row>
    <row r="2845" spans="5:5" ht="16.5">
      <c r="E2845" s="123"/>
    </row>
    <row r="2846" spans="5:5" ht="16.5">
      <c r="E2846" s="123"/>
    </row>
    <row r="2847" spans="5:5" ht="16.5">
      <c r="E2847" s="123"/>
    </row>
    <row r="2848" spans="5:5" ht="16.5">
      <c r="E2848" s="123"/>
    </row>
    <row r="2849" spans="5:5" ht="16.5">
      <c r="E2849" s="123"/>
    </row>
    <row r="2850" spans="5:5" ht="16.5">
      <c r="E2850" s="123"/>
    </row>
    <row r="2851" spans="5:5" ht="16.5">
      <c r="E2851" s="123"/>
    </row>
    <row r="2852" spans="5:5" ht="16.5">
      <c r="E2852" s="123"/>
    </row>
    <row r="2853" spans="5:5" ht="16.5">
      <c r="E2853" s="123"/>
    </row>
    <row r="2854" spans="5:5" ht="16.5">
      <c r="E2854" s="123"/>
    </row>
    <row r="2855" spans="5:5" ht="16.5">
      <c r="E2855" s="123"/>
    </row>
    <row r="2856" spans="5:5" ht="16.5">
      <c r="E2856" s="123"/>
    </row>
    <row r="2857" spans="5:5" ht="16.5">
      <c r="E2857" s="123"/>
    </row>
    <row r="2858" spans="5:5" ht="16.5">
      <c r="E2858" s="123"/>
    </row>
    <row r="2859" spans="5:5" ht="16.5">
      <c r="E2859" s="123"/>
    </row>
    <row r="2860" spans="5:5" ht="16.5">
      <c r="E2860" s="123"/>
    </row>
    <row r="2861" spans="5:5" ht="16.5">
      <c r="E2861" s="123"/>
    </row>
    <row r="2862" spans="5:5" ht="16.5">
      <c r="E2862" s="123"/>
    </row>
    <row r="2863" spans="5:5" ht="16.5">
      <c r="E2863" s="123"/>
    </row>
    <row r="2864" spans="5:5" ht="16.5">
      <c r="E2864" s="123"/>
    </row>
    <row r="2865" spans="5:5" ht="16.5">
      <c r="E2865" s="123"/>
    </row>
    <row r="2866" spans="5:5" ht="16.5">
      <c r="E2866" s="123"/>
    </row>
    <row r="2867" spans="5:5" ht="16.5">
      <c r="E2867" s="123"/>
    </row>
    <row r="2868" spans="5:5" ht="16.5">
      <c r="E2868" s="123"/>
    </row>
    <row r="2869" spans="5:5" ht="16.5">
      <c r="E2869" s="123"/>
    </row>
    <row r="2870" spans="5:5" ht="16.5">
      <c r="E2870" s="123"/>
    </row>
    <row r="2871" spans="5:5" ht="16.5">
      <c r="E2871" s="123"/>
    </row>
    <row r="2872" spans="5:5" ht="16.5">
      <c r="E2872" s="123"/>
    </row>
    <row r="2873" spans="5:5" ht="16.5">
      <c r="E2873" s="123"/>
    </row>
    <row r="2874" spans="5:5" ht="16.5">
      <c r="E2874" s="123"/>
    </row>
    <row r="2875" spans="5:5" ht="16.5">
      <c r="E2875" s="123"/>
    </row>
    <row r="2876" spans="5:5" ht="16.5">
      <c r="E2876" s="123"/>
    </row>
    <row r="2877" spans="5:5" ht="16.5">
      <c r="E2877" s="123"/>
    </row>
    <row r="2878" spans="5:5" ht="16.5">
      <c r="E2878" s="123"/>
    </row>
    <row r="2879" spans="5:5" ht="16.5">
      <c r="E2879" s="123"/>
    </row>
    <row r="2880" spans="5:5" ht="16.5">
      <c r="E2880" s="123"/>
    </row>
    <row r="2881" spans="5:5" ht="16.5">
      <c r="E2881" s="123"/>
    </row>
    <row r="2882" spans="5:5" ht="16.5">
      <c r="E2882" s="123"/>
    </row>
    <row r="2883" spans="5:5" ht="16.5">
      <c r="E2883" s="123"/>
    </row>
    <row r="2884" spans="5:5" ht="16.5">
      <c r="E2884" s="123"/>
    </row>
    <row r="2885" spans="5:5" ht="16.5">
      <c r="E2885" s="123"/>
    </row>
    <row r="2886" spans="5:5" ht="16.5">
      <c r="E2886" s="123"/>
    </row>
    <row r="2887" spans="5:5" ht="16.5">
      <c r="E2887" s="123"/>
    </row>
    <row r="2888" spans="5:5" ht="16.5">
      <c r="E2888" s="123"/>
    </row>
    <row r="2889" spans="5:5" ht="16.5">
      <c r="E2889" s="123"/>
    </row>
    <row r="2890" spans="5:5" ht="16.5">
      <c r="E2890" s="123"/>
    </row>
    <row r="2891" spans="5:5" ht="16.5">
      <c r="E2891" s="123"/>
    </row>
    <row r="2892" spans="5:5" ht="16.5">
      <c r="E2892" s="123"/>
    </row>
    <row r="2893" spans="5:5" ht="16.5">
      <c r="E2893" s="123"/>
    </row>
    <row r="2894" spans="5:5" ht="16.5">
      <c r="E2894" s="123"/>
    </row>
    <row r="2895" spans="5:5" ht="16.5">
      <c r="E2895" s="123"/>
    </row>
    <row r="2896" spans="5:5" ht="16.5">
      <c r="E2896" s="123"/>
    </row>
    <row r="2897" spans="5:5" ht="16.5">
      <c r="E2897" s="123"/>
    </row>
    <row r="2898" spans="5:5" ht="16.5">
      <c r="E2898" s="123"/>
    </row>
    <row r="2899" spans="5:5" ht="16.5">
      <c r="E2899" s="123"/>
    </row>
    <row r="2900" spans="5:5" ht="16.5">
      <c r="E2900" s="123"/>
    </row>
    <row r="2901" spans="5:5" ht="16.5">
      <c r="E2901" s="123"/>
    </row>
    <row r="2902" spans="5:5" ht="16.5">
      <c r="E2902" s="123"/>
    </row>
    <row r="2903" spans="5:5" ht="16.5">
      <c r="E2903" s="123"/>
    </row>
    <row r="2904" spans="5:5" ht="16.5">
      <c r="E2904" s="123"/>
    </row>
    <row r="2905" spans="5:5" ht="16.5">
      <c r="E2905" s="123"/>
    </row>
    <row r="2906" spans="5:5" ht="16.5">
      <c r="E2906" s="123"/>
    </row>
    <row r="2907" spans="5:5" ht="16.5">
      <c r="E2907" s="123"/>
    </row>
    <row r="2908" spans="5:5" ht="16.5">
      <c r="E2908" s="123"/>
    </row>
    <row r="2909" spans="5:5" ht="16.5">
      <c r="E2909" s="123"/>
    </row>
    <row r="2910" spans="5:5" ht="16.5">
      <c r="E2910" s="123"/>
    </row>
    <row r="2911" spans="5:5" ht="16.5">
      <c r="E2911" s="123"/>
    </row>
    <row r="2912" spans="5:5" ht="16.5">
      <c r="E2912" s="123"/>
    </row>
    <row r="2913" spans="5:5" ht="16.5">
      <c r="E2913" s="123"/>
    </row>
    <row r="2914" spans="5:5" ht="16.5">
      <c r="E2914" s="123"/>
    </row>
    <row r="2915" spans="5:5" ht="16.5">
      <c r="E2915" s="123"/>
    </row>
    <row r="2916" spans="5:5" ht="16.5">
      <c r="E2916" s="123"/>
    </row>
    <row r="2917" spans="5:5" ht="16.5">
      <c r="E2917" s="123"/>
    </row>
    <row r="2918" spans="5:5" ht="16.5">
      <c r="E2918" s="123"/>
    </row>
    <row r="2919" spans="5:5" ht="16.5">
      <c r="E2919" s="123"/>
    </row>
    <row r="2920" spans="5:5" ht="16.5">
      <c r="E2920" s="123"/>
    </row>
    <row r="2921" spans="5:5" ht="16.5">
      <c r="E2921" s="123"/>
    </row>
    <row r="2922" spans="5:5" ht="16.5">
      <c r="E2922" s="123"/>
    </row>
    <row r="2923" spans="5:5" ht="16.5">
      <c r="E2923" s="123"/>
    </row>
    <row r="2924" spans="5:5" ht="16.5">
      <c r="E2924" s="123"/>
    </row>
    <row r="2925" spans="5:5" ht="16.5">
      <c r="E2925" s="123"/>
    </row>
    <row r="2926" spans="5:5" ht="16.5">
      <c r="E2926" s="123"/>
    </row>
    <row r="2927" spans="5:5" ht="16.5">
      <c r="E2927" s="123"/>
    </row>
    <row r="2928" spans="5:5" ht="16.5">
      <c r="E2928" s="123"/>
    </row>
    <row r="2929" spans="5:5" ht="16.5">
      <c r="E2929" s="123"/>
    </row>
    <row r="2930" spans="5:5" ht="16.5">
      <c r="E2930" s="123"/>
    </row>
    <row r="2931" spans="5:5" ht="16.5">
      <c r="E2931" s="123"/>
    </row>
    <row r="2932" spans="5:5" ht="16.5">
      <c r="E2932" s="123"/>
    </row>
    <row r="2933" spans="5:5" ht="16.5">
      <c r="E2933" s="123"/>
    </row>
    <row r="2934" spans="5:5" ht="16.5">
      <c r="E2934" s="123"/>
    </row>
    <row r="2935" spans="5:5" ht="16.5">
      <c r="E2935" s="123"/>
    </row>
    <row r="2936" spans="5:5" ht="16.5">
      <c r="E2936" s="123"/>
    </row>
    <row r="2937" spans="5:5" ht="16.5">
      <c r="E2937" s="123"/>
    </row>
    <row r="2938" spans="5:5" ht="16.5">
      <c r="E2938" s="123"/>
    </row>
    <row r="2939" spans="5:5" ht="16.5">
      <c r="E2939" s="123"/>
    </row>
    <row r="2940" spans="5:5" ht="16.5">
      <c r="E2940" s="123"/>
    </row>
    <row r="2941" spans="5:5" ht="16.5">
      <c r="E2941" s="123"/>
    </row>
    <row r="2942" spans="5:5" ht="16.5">
      <c r="E2942" s="123"/>
    </row>
    <row r="2943" spans="5:5" ht="16.5">
      <c r="E2943" s="123"/>
    </row>
    <row r="2944" spans="5:5" ht="16.5">
      <c r="E2944" s="123"/>
    </row>
    <row r="2945" spans="5:5" ht="16.5">
      <c r="E2945" s="123"/>
    </row>
    <row r="2946" spans="5:5" ht="16.5">
      <c r="E2946" s="123"/>
    </row>
    <row r="2947" spans="5:5" ht="16.5">
      <c r="E2947" s="123"/>
    </row>
    <row r="2948" spans="5:5" ht="16.5">
      <c r="E2948" s="123"/>
    </row>
    <row r="2949" spans="5:5" ht="16.5">
      <c r="E2949" s="123"/>
    </row>
    <row r="2950" spans="5:5" ht="16.5">
      <c r="E2950" s="123"/>
    </row>
    <row r="2951" spans="5:5" ht="16.5">
      <c r="E2951" s="123"/>
    </row>
    <row r="2952" spans="5:5" ht="16.5">
      <c r="E2952" s="123"/>
    </row>
    <row r="2953" spans="5:5" ht="16.5">
      <c r="E2953" s="123"/>
    </row>
    <row r="2954" spans="5:5" ht="16.5">
      <c r="E2954" s="123"/>
    </row>
    <row r="2955" spans="5:5" ht="16.5">
      <c r="E2955" s="123"/>
    </row>
    <row r="2956" spans="5:5" ht="16.5">
      <c r="E2956" s="123"/>
    </row>
    <row r="2957" spans="5:5" ht="16.5">
      <c r="E2957" s="123"/>
    </row>
    <row r="2958" spans="5:5" ht="16.5">
      <c r="E2958" s="123"/>
    </row>
    <row r="2959" spans="5:5" ht="16.5">
      <c r="E2959" s="123"/>
    </row>
    <row r="2960" spans="5:5" ht="16.5">
      <c r="E2960" s="123"/>
    </row>
    <row r="2961" spans="5:5" ht="16.5">
      <c r="E2961" s="123"/>
    </row>
    <row r="2962" spans="5:5" ht="16.5">
      <c r="E2962" s="123"/>
    </row>
    <row r="2963" spans="5:5" ht="16.5">
      <c r="E2963" s="123"/>
    </row>
    <row r="2964" spans="5:5" ht="16.5">
      <c r="E2964" s="123"/>
    </row>
    <row r="2965" spans="5:5" ht="16.5">
      <c r="E2965" s="123"/>
    </row>
    <row r="2966" spans="5:5" ht="16.5">
      <c r="E2966" s="123"/>
    </row>
    <row r="2967" spans="5:5" ht="16.5">
      <c r="E2967" s="123"/>
    </row>
    <row r="2968" spans="5:5" ht="16.5">
      <c r="E2968" s="123"/>
    </row>
    <row r="2969" spans="5:5" ht="16.5">
      <c r="E2969" s="123"/>
    </row>
    <row r="2970" spans="5:5" ht="16.5">
      <c r="E2970" s="123"/>
    </row>
    <row r="2971" spans="5:5" ht="16.5">
      <c r="E2971" s="123"/>
    </row>
    <row r="2972" spans="5:5" ht="16.5">
      <c r="E2972" s="123"/>
    </row>
    <row r="2973" spans="5:5" ht="16.5">
      <c r="E2973" s="123"/>
    </row>
    <row r="2974" spans="5:5" ht="16.5">
      <c r="E2974" s="123"/>
    </row>
    <row r="2975" spans="5:5" ht="16.5">
      <c r="E2975" s="123"/>
    </row>
    <row r="2976" spans="5:5" ht="16.5">
      <c r="E2976" s="123"/>
    </row>
    <row r="2977" spans="5:5" ht="16.5">
      <c r="E2977" s="123"/>
    </row>
    <row r="2978" spans="5:5" ht="16.5">
      <c r="E2978" s="123"/>
    </row>
    <row r="2979" spans="5:5" ht="16.5">
      <c r="E2979" s="123"/>
    </row>
    <row r="2980" spans="5:5" ht="16.5">
      <c r="E2980" s="123"/>
    </row>
    <row r="2981" spans="5:5" ht="16.5">
      <c r="E2981" s="123"/>
    </row>
    <row r="2982" spans="5:5" ht="16.5">
      <c r="E2982" s="123"/>
    </row>
    <row r="2983" spans="5:5" ht="16.5">
      <c r="E2983" s="123"/>
    </row>
    <row r="2984" spans="5:5" ht="16.5">
      <c r="E2984" s="123"/>
    </row>
    <row r="2985" spans="5:5" ht="16.5">
      <c r="E2985" s="123"/>
    </row>
    <row r="2986" spans="5:5" ht="16.5">
      <c r="E2986" s="123"/>
    </row>
    <row r="2987" spans="5:5" ht="16.5">
      <c r="E2987" s="123"/>
    </row>
    <row r="2988" spans="5:5" ht="16.5">
      <c r="E2988" s="123"/>
    </row>
    <row r="2989" spans="5:5" ht="16.5">
      <c r="E2989" s="123"/>
    </row>
    <row r="2990" spans="5:5" ht="16.5">
      <c r="E2990" s="123"/>
    </row>
    <row r="2991" spans="5:5" ht="16.5">
      <c r="E2991" s="123"/>
    </row>
    <row r="2992" spans="5:5" ht="16.5">
      <c r="E2992" s="123"/>
    </row>
    <row r="2993" spans="5:5" ht="16.5">
      <c r="E2993" s="123"/>
    </row>
    <row r="2994" spans="5:5" ht="16.5">
      <c r="E2994" s="123"/>
    </row>
    <row r="2995" spans="5:5" ht="16.5">
      <c r="E2995" s="123"/>
    </row>
    <row r="2996" spans="5:5" ht="16.5">
      <c r="E2996" s="123"/>
    </row>
    <row r="2997" spans="5:5" ht="16.5">
      <c r="E2997" s="123"/>
    </row>
    <row r="2998" spans="5:5" ht="16.5">
      <c r="E2998" s="123"/>
    </row>
    <row r="2999" spans="5:5" ht="16.5">
      <c r="E2999" s="123"/>
    </row>
    <row r="3000" spans="5:5" ht="16.5">
      <c r="E3000" s="123"/>
    </row>
    <row r="3001" spans="5:5" ht="16.5">
      <c r="E3001" s="123"/>
    </row>
    <row r="3002" spans="5:5" ht="16.5">
      <c r="E3002" s="123"/>
    </row>
    <row r="3003" spans="5:5" ht="16.5">
      <c r="E3003" s="123"/>
    </row>
    <row r="3004" spans="5:5" ht="16.5">
      <c r="E3004" s="123"/>
    </row>
    <row r="3005" spans="5:5" ht="16.5">
      <c r="E3005" s="123"/>
    </row>
    <row r="3006" spans="5:5" ht="16.5">
      <c r="E3006" s="123"/>
    </row>
    <row r="3007" spans="5:5" ht="16.5">
      <c r="E3007" s="123"/>
    </row>
    <row r="3008" spans="5:5" ht="16.5">
      <c r="E3008" s="123"/>
    </row>
    <row r="3009" spans="5:5" ht="16.5">
      <c r="E3009" s="123"/>
    </row>
    <row r="3010" spans="5:5" ht="16.5">
      <c r="E3010" s="123"/>
    </row>
    <row r="3011" spans="5:5" ht="16.5">
      <c r="E3011" s="123"/>
    </row>
    <row r="3012" spans="5:5" ht="16.5">
      <c r="E3012" s="123"/>
    </row>
    <row r="3013" spans="5:5" ht="16.5">
      <c r="E3013" s="123"/>
    </row>
    <row r="3014" spans="5:5" ht="16.5">
      <c r="E3014" s="123"/>
    </row>
    <row r="3015" spans="5:5" ht="16.5">
      <c r="E3015" s="123"/>
    </row>
    <row r="3016" spans="5:5" ht="16.5">
      <c r="E3016" s="123"/>
    </row>
    <row r="3017" spans="5:5" ht="16.5">
      <c r="E3017" s="123"/>
    </row>
    <row r="3018" spans="5:5" ht="16.5">
      <c r="E3018" s="123"/>
    </row>
    <row r="3019" spans="5:5" ht="16.5">
      <c r="E3019" s="123"/>
    </row>
    <row r="3020" spans="5:5" ht="16.5">
      <c r="E3020" s="123"/>
    </row>
    <row r="3021" spans="5:5" ht="16.5">
      <c r="E3021" s="123"/>
    </row>
    <row r="3022" spans="5:5" ht="16.5">
      <c r="E3022" s="123"/>
    </row>
    <row r="3023" spans="5:5" ht="16.5">
      <c r="E3023" s="123"/>
    </row>
    <row r="3024" spans="5:5" ht="16.5">
      <c r="E3024" s="123"/>
    </row>
    <row r="3025" spans="5:5" ht="16.5">
      <c r="E3025" s="123"/>
    </row>
    <row r="3026" spans="5:5" ht="16.5">
      <c r="E3026" s="123"/>
    </row>
    <row r="3027" spans="5:5" ht="16.5">
      <c r="E3027" s="123"/>
    </row>
    <row r="3028" spans="5:5" ht="16.5">
      <c r="E3028" s="123"/>
    </row>
    <row r="3029" spans="5:5" ht="16.5">
      <c r="E3029" s="123"/>
    </row>
    <row r="3030" spans="5:5" ht="16.5">
      <c r="E3030" s="123"/>
    </row>
    <row r="3031" spans="5:5" ht="16.5">
      <c r="E3031" s="123"/>
    </row>
    <row r="3032" spans="5:5" ht="16.5">
      <c r="E3032" s="123"/>
    </row>
    <row r="3033" spans="5:5" ht="16.5">
      <c r="E3033" s="123"/>
    </row>
    <row r="3034" spans="5:5" ht="16.5">
      <c r="E3034" s="123"/>
    </row>
    <row r="3035" spans="5:5" ht="16.5">
      <c r="E3035" s="123"/>
    </row>
    <row r="3036" spans="5:5" ht="16.5">
      <c r="E3036" s="123"/>
    </row>
    <row r="3037" spans="5:5" ht="16.5">
      <c r="E3037" s="123"/>
    </row>
    <row r="3038" spans="5:5" ht="16.5">
      <c r="E3038" s="123"/>
    </row>
    <row r="3039" spans="5:5" ht="16.5">
      <c r="E3039" s="123"/>
    </row>
    <row r="3040" spans="5:5" ht="16.5">
      <c r="E3040" s="123"/>
    </row>
    <row r="3041" spans="5:5" ht="16.5">
      <c r="E3041" s="123"/>
    </row>
    <row r="3042" spans="5:5" ht="16.5">
      <c r="E3042" s="123"/>
    </row>
    <row r="3043" spans="5:5" ht="16.5">
      <c r="E3043" s="123"/>
    </row>
    <row r="3044" spans="5:5" ht="16.5">
      <c r="E3044" s="123"/>
    </row>
    <row r="3045" spans="5:5" ht="16.5">
      <c r="E3045" s="123"/>
    </row>
    <row r="3046" spans="5:5" ht="16.5">
      <c r="E3046" s="123"/>
    </row>
    <row r="3047" spans="5:5" ht="16.5">
      <c r="E3047" s="123"/>
    </row>
    <row r="3048" spans="5:5" ht="16.5">
      <c r="E3048" s="123"/>
    </row>
    <row r="3049" spans="5:5" ht="16.5">
      <c r="E3049" s="123"/>
    </row>
    <row r="3050" spans="5:5" ht="16.5">
      <c r="E3050" s="123"/>
    </row>
    <row r="3051" spans="5:5" ht="16.5">
      <c r="E3051" s="123"/>
    </row>
    <row r="3052" spans="5:5" ht="16.5">
      <c r="E3052" s="123"/>
    </row>
    <row r="3053" spans="5:5" ht="16.5">
      <c r="E3053" s="123"/>
    </row>
    <row r="3054" spans="5:5" ht="16.5">
      <c r="E3054" s="123"/>
    </row>
    <row r="3055" spans="5:5" ht="16.5">
      <c r="E3055" s="123"/>
    </row>
    <row r="3056" spans="5:5" ht="16.5">
      <c r="E3056" s="123"/>
    </row>
    <row r="3057" spans="5:5" ht="16.5">
      <c r="E3057" s="123"/>
    </row>
    <row r="3058" spans="5:5" ht="16.5">
      <c r="E3058" s="123"/>
    </row>
    <row r="3059" spans="5:5" ht="16.5">
      <c r="E3059" s="123"/>
    </row>
    <row r="3060" spans="5:5" ht="16.5">
      <c r="E3060" s="123"/>
    </row>
    <row r="3061" spans="5:5" ht="16.5">
      <c r="E3061" s="123"/>
    </row>
    <row r="3062" spans="5:5" ht="16.5">
      <c r="E3062" s="123"/>
    </row>
    <row r="3063" spans="5:5" ht="16.5">
      <c r="E3063" s="123"/>
    </row>
    <row r="3064" spans="5:5" ht="16.5">
      <c r="E3064" s="123"/>
    </row>
    <row r="3065" spans="5:5" ht="16.5">
      <c r="E3065" s="123"/>
    </row>
    <row r="3066" spans="5:5" ht="16.5">
      <c r="E3066" s="123"/>
    </row>
    <row r="3067" spans="5:5" ht="16.5">
      <c r="E3067" s="123"/>
    </row>
    <row r="3068" spans="5:5" ht="16.5">
      <c r="E3068" s="123"/>
    </row>
    <row r="3069" spans="5:5" ht="16.5">
      <c r="E3069" s="123"/>
    </row>
    <row r="3070" spans="5:5" ht="16.5">
      <c r="E3070" s="123"/>
    </row>
    <row r="3071" spans="5:5" ht="16.5">
      <c r="E3071" s="123"/>
    </row>
    <row r="3072" spans="5:5" ht="16.5">
      <c r="E3072" s="123"/>
    </row>
    <row r="3073" spans="5:5" ht="16.5">
      <c r="E3073" s="123"/>
    </row>
    <row r="3074" spans="5:5" ht="16.5">
      <c r="E3074" s="123"/>
    </row>
    <row r="3075" spans="5:5" ht="16.5">
      <c r="E3075" s="123"/>
    </row>
    <row r="3076" spans="5:5" ht="16.5">
      <c r="E3076" s="123"/>
    </row>
    <row r="3077" spans="5:5" ht="16.5">
      <c r="E3077" s="123"/>
    </row>
    <row r="3078" spans="5:5" ht="16.5">
      <c r="E3078" s="123"/>
    </row>
    <row r="3079" spans="5:5" ht="16.5">
      <c r="E3079" s="123"/>
    </row>
    <row r="3080" spans="5:5" ht="16.5">
      <c r="E3080" s="123"/>
    </row>
    <row r="3081" spans="5:5" ht="16.5">
      <c r="E3081" s="123"/>
    </row>
    <row r="3082" spans="5:5" ht="16.5">
      <c r="E3082" s="123"/>
    </row>
    <row r="3083" spans="5:5" ht="16.5">
      <c r="E3083" s="123"/>
    </row>
    <row r="3084" spans="5:5" ht="16.5">
      <c r="E3084" s="123"/>
    </row>
    <row r="3085" spans="5:5" ht="16.5">
      <c r="E3085" s="123"/>
    </row>
    <row r="3086" spans="5:5" ht="16.5">
      <c r="E3086" s="123"/>
    </row>
    <row r="3087" spans="5:5" ht="16.5">
      <c r="E3087" s="123"/>
    </row>
    <row r="3088" spans="5:5" ht="16.5">
      <c r="E3088" s="123"/>
    </row>
    <row r="3089" spans="5:5" ht="16.5">
      <c r="E3089" s="123"/>
    </row>
    <row r="3090" spans="5:5" ht="16.5">
      <c r="E3090" s="123"/>
    </row>
    <row r="3091" spans="5:5" ht="16.5">
      <c r="E3091" s="123"/>
    </row>
    <row r="3092" spans="5:5" ht="16.5">
      <c r="E3092" s="123"/>
    </row>
    <row r="3093" spans="5:5" ht="16.5">
      <c r="E3093" s="123"/>
    </row>
    <row r="3094" spans="5:5" ht="16.5">
      <c r="E3094" s="123"/>
    </row>
    <row r="3095" spans="5:5" ht="16.5">
      <c r="E3095" s="123"/>
    </row>
    <row r="3096" spans="5:5" ht="16.5">
      <c r="E3096" s="123"/>
    </row>
    <row r="3097" spans="5:5" ht="16.5">
      <c r="E3097" s="123"/>
    </row>
    <row r="3098" spans="5:5" ht="16.5">
      <c r="E3098" s="123"/>
    </row>
    <row r="3099" spans="5:5" ht="16.5">
      <c r="E3099" s="123"/>
    </row>
    <row r="3100" spans="5:5" ht="16.5">
      <c r="E3100" s="123"/>
    </row>
    <row r="3101" spans="5:5" ht="16.5">
      <c r="E3101" s="123"/>
    </row>
    <row r="3102" spans="5:5" ht="16.5">
      <c r="E3102" s="123"/>
    </row>
    <row r="3103" spans="5:5" ht="16.5">
      <c r="E3103" s="123"/>
    </row>
    <row r="3104" spans="5:5" ht="16.5">
      <c r="E3104" s="123"/>
    </row>
    <row r="3105" spans="5:5" ht="16.5">
      <c r="E3105" s="123"/>
    </row>
    <row r="3106" spans="5:5" ht="16.5">
      <c r="E3106" s="123"/>
    </row>
    <row r="3107" spans="5:5" ht="16.5">
      <c r="E3107" s="123"/>
    </row>
    <row r="3108" spans="5:5" ht="16.5">
      <c r="E3108" s="123"/>
    </row>
    <row r="3109" spans="5:5" ht="16.5">
      <c r="E3109" s="123"/>
    </row>
    <row r="3110" spans="5:5" ht="16.5">
      <c r="E3110" s="123"/>
    </row>
    <row r="3111" spans="5:5" ht="16.5">
      <c r="E3111" s="123"/>
    </row>
    <row r="3112" spans="5:5" ht="16.5">
      <c r="E3112" s="123"/>
    </row>
    <row r="3113" spans="5:5" ht="16.5">
      <c r="E3113" s="123"/>
    </row>
    <row r="3114" spans="5:5" ht="16.5">
      <c r="E3114" s="123"/>
    </row>
    <row r="3115" spans="5:5" ht="16.5">
      <c r="E3115" s="123"/>
    </row>
    <row r="3116" spans="5:5" ht="16.5">
      <c r="E3116" s="123"/>
    </row>
    <row r="3117" spans="5:5" ht="16.5">
      <c r="E3117" s="123"/>
    </row>
    <row r="3118" spans="5:5" ht="16.5">
      <c r="E3118" s="123"/>
    </row>
    <row r="3119" spans="5:5" ht="16.5">
      <c r="E3119" s="123"/>
    </row>
    <row r="3120" spans="5:5" ht="16.5">
      <c r="E3120" s="123"/>
    </row>
    <row r="3121" spans="5:5" ht="16.5">
      <c r="E3121" s="123"/>
    </row>
    <row r="3122" spans="5:5" ht="16.5">
      <c r="E3122" s="123"/>
    </row>
    <row r="3123" spans="5:5" ht="16.5">
      <c r="E3123" s="123"/>
    </row>
    <row r="3124" spans="5:5" ht="16.5">
      <c r="E3124" s="123"/>
    </row>
    <row r="3125" spans="5:5" ht="16.5">
      <c r="E3125" s="123"/>
    </row>
    <row r="3126" spans="5:5" ht="16.5">
      <c r="E3126" s="123"/>
    </row>
    <row r="3127" spans="5:5" ht="16.5">
      <c r="E3127" s="123"/>
    </row>
    <row r="3128" spans="5:5" ht="16.5">
      <c r="E3128" s="123"/>
    </row>
    <row r="3129" spans="5:5" ht="16.5">
      <c r="E3129" s="123"/>
    </row>
    <row r="3130" spans="5:5" ht="16.5">
      <c r="E3130" s="123"/>
    </row>
    <row r="3131" spans="5:5" ht="16.5">
      <c r="E3131" s="123"/>
    </row>
    <row r="3132" spans="5:5" ht="16.5">
      <c r="E3132" s="123"/>
    </row>
    <row r="3133" spans="5:5" ht="16.5">
      <c r="E3133" s="123"/>
    </row>
    <row r="3134" spans="5:5" ht="16.5">
      <c r="E3134" s="123"/>
    </row>
    <row r="3135" spans="5:5" ht="16.5">
      <c r="E3135" s="123"/>
    </row>
    <row r="3136" spans="5:5" ht="16.5">
      <c r="E3136" s="123"/>
    </row>
    <row r="3137" spans="5:5" ht="16.5">
      <c r="E3137" s="123"/>
    </row>
    <row r="3138" spans="5:5" ht="16.5">
      <c r="E3138" s="123"/>
    </row>
    <row r="3139" spans="5:5" ht="16.5">
      <c r="E3139" s="123"/>
    </row>
    <row r="3140" spans="5:5" ht="16.5">
      <c r="E3140" s="123"/>
    </row>
    <row r="3141" spans="5:5" ht="16.5">
      <c r="E3141" s="123"/>
    </row>
    <row r="3142" spans="5:5" ht="16.5">
      <c r="E3142" s="123"/>
    </row>
    <row r="3143" spans="5:5" ht="16.5">
      <c r="E3143" s="123"/>
    </row>
    <row r="3144" spans="5:5" ht="16.5">
      <c r="E3144" s="123"/>
    </row>
    <row r="3145" spans="5:5" ht="16.5">
      <c r="E3145" s="123"/>
    </row>
    <row r="3146" spans="5:5" ht="16.5">
      <c r="E3146" s="123"/>
    </row>
    <row r="3147" spans="5:5" ht="16.5">
      <c r="E3147" s="123"/>
    </row>
    <row r="3148" spans="5:5" ht="16.5">
      <c r="E3148" s="123"/>
    </row>
    <row r="3149" spans="5:5" ht="16.5">
      <c r="E3149" s="123"/>
    </row>
    <row r="3150" spans="5:5" ht="16.5">
      <c r="E3150" s="123"/>
    </row>
    <row r="3151" spans="5:5" ht="16.5">
      <c r="E3151" s="123"/>
    </row>
    <row r="3152" spans="5:5" ht="16.5">
      <c r="E3152" s="123"/>
    </row>
    <row r="3153" spans="5:5" ht="16.5">
      <c r="E3153" s="123"/>
    </row>
    <row r="3154" spans="5:5" ht="16.5">
      <c r="E3154" s="123"/>
    </row>
    <row r="3155" spans="5:5" ht="16.5">
      <c r="E3155" s="123"/>
    </row>
    <row r="3156" spans="5:5" ht="16.5">
      <c r="E3156" s="123"/>
    </row>
    <row r="3157" spans="5:5" ht="16.5">
      <c r="E3157" s="123"/>
    </row>
    <row r="3158" spans="5:5" ht="16.5">
      <c r="E3158" s="123"/>
    </row>
    <row r="3159" spans="5:5" ht="16.5">
      <c r="E3159" s="123"/>
    </row>
    <row r="3160" spans="5:5" ht="16.5">
      <c r="E3160" s="123"/>
    </row>
    <row r="3161" spans="5:5" ht="16.5">
      <c r="E3161" s="123"/>
    </row>
    <row r="3162" spans="5:5" ht="16.5">
      <c r="E3162" s="123"/>
    </row>
    <row r="3163" spans="5:5" ht="16.5">
      <c r="E3163" s="123"/>
    </row>
    <row r="3164" spans="5:5" ht="16.5">
      <c r="E3164" s="123"/>
    </row>
    <row r="3165" spans="5:5" ht="16.5">
      <c r="E3165" s="123"/>
    </row>
    <row r="3166" spans="5:5" ht="16.5">
      <c r="E3166" s="123"/>
    </row>
    <row r="3167" spans="5:5" ht="16.5">
      <c r="E3167" s="123"/>
    </row>
    <row r="3168" spans="5:5" ht="16.5">
      <c r="E3168" s="123"/>
    </row>
    <row r="3169" spans="5:5" ht="16.5">
      <c r="E3169" s="123"/>
    </row>
    <row r="3170" spans="5:5" ht="16.5">
      <c r="E3170" s="123"/>
    </row>
    <row r="3171" spans="5:5" ht="16.5">
      <c r="E3171" s="123"/>
    </row>
    <row r="3172" spans="5:5" ht="16.5">
      <c r="E3172" s="123"/>
    </row>
    <row r="3173" spans="5:5" ht="16.5">
      <c r="E3173" s="123"/>
    </row>
    <row r="3174" spans="5:5" ht="16.5">
      <c r="E3174" s="123"/>
    </row>
    <row r="3175" spans="5:5" ht="16.5">
      <c r="E3175" s="123"/>
    </row>
    <row r="3176" spans="5:5" ht="16.5">
      <c r="E3176" s="123"/>
    </row>
    <row r="3177" spans="5:5" ht="16.5">
      <c r="E3177" s="123"/>
    </row>
    <row r="3178" spans="5:5" ht="16.5">
      <c r="E3178" s="123"/>
    </row>
    <row r="3179" spans="5:5" ht="16.5">
      <c r="E3179" s="123"/>
    </row>
    <row r="3180" spans="5:5" ht="16.5">
      <c r="E3180" s="123"/>
    </row>
    <row r="3181" spans="5:5" ht="16.5">
      <c r="E3181" s="123"/>
    </row>
    <row r="3182" spans="5:5" ht="16.5">
      <c r="E3182" s="123"/>
    </row>
    <row r="3183" spans="5:5" ht="16.5">
      <c r="E3183" s="123"/>
    </row>
    <row r="3184" spans="5:5" ht="16.5">
      <c r="E3184" s="123"/>
    </row>
    <row r="3185" spans="5:5" ht="16.5">
      <c r="E3185" s="123"/>
    </row>
    <row r="3186" spans="5:5" ht="16.5">
      <c r="E3186" s="123"/>
    </row>
    <row r="3187" spans="5:5" ht="16.5">
      <c r="E3187" s="123"/>
    </row>
    <row r="3188" spans="5:5" ht="16.5">
      <c r="E3188" s="123"/>
    </row>
    <row r="3189" spans="5:5" ht="16.5">
      <c r="E3189" s="123"/>
    </row>
    <row r="3190" spans="5:5" ht="16.5">
      <c r="E3190" s="123"/>
    </row>
    <row r="3191" spans="5:5" ht="16.5">
      <c r="E3191" s="123"/>
    </row>
    <row r="3192" spans="5:5" ht="16.5">
      <c r="E3192" s="123"/>
    </row>
    <row r="3193" spans="5:5" ht="16.5">
      <c r="E3193" s="123"/>
    </row>
    <row r="3194" spans="5:5" ht="16.5">
      <c r="E3194" s="123"/>
    </row>
    <row r="3195" spans="5:5" ht="16.5">
      <c r="E3195" s="123"/>
    </row>
    <row r="3196" spans="5:5" ht="16.5">
      <c r="E3196" s="123"/>
    </row>
    <row r="3197" spans="5:5" ht="16.5">
      <c r="E3197" s="123"/>
    </row>
    <row r="3198" spans="5:5" ht="16.5">
      <c r="E3198" s="123"/>
    </row>
    <row r="3199" spans="5:5" ht="16.5">
      <c r="E3199" s="123"/>
    </row>
    <row r="3200" spans="5:5" ht="16.5">
      <c r="E3200" s="123"/>
    </row>
    <row r="3201" spans="5:5" ht="16.5">
      <c r="E3201" s="123"/>
    </row>
    <row r="3202" spans="5:5" ht="16.5">
      <c r="E3202" s="123"/>
    </row>
    <row r="3203" spans="5:5" ht="16.5">
      <c r="E3203" s="123"/>
    </row>
    <row r="3204" spans="5:5" ht="16.5">
      <c r="E3204" s="123"/>
    </row>
    <row r="3205" spans="5:5" ht="16.5">
      <c r="E3205" s="123"/>
    </row>
    <row r="3206" spans="5:5" ht="16.5">
      <c r="E3206" s="123"/>
    </row>
    <row r="3207" spans="5:5" ht="16.5">
      <c r="E3207" s="123"/>
    </row>
    <row r="3208" spans="5:5" ht="16.5">
      <c r="E3208" s="123"/>
    </row>
    <row r="3209" spans="5:5" ht="16.5">
      <c r="E3209" s="123"/>
    </row>
    <row r="3210" spans="5:5" ht="16.5">
      <c r="E3210" s="123"/>
    </row>
    <row r="3211" spans="5:5" ht="16.5">
      <c r="E3211" s="123"/>
    </row>
    <row r="3212" spans="5:5" ht="16.5">
      <c r="E3212" s="123"/>
    </row>
    <row r="3213" spans="5:5" ht="16.5">
      <c r="E3213" s="123"/>
    </row>
    <row r="3214" spans="5:5" ht="16.5">
      <c r="E3214" s="123"/>
    </row>
    <row r="3215" spans="5:5" ht="16.5">
      <c r="E3215" s="123"/>
    </row>
    <row r="3216" spans="5:5" ht="16.5">
      <c r="E3216" s="123"/>
    </row>
    <row r="3217" spans="5:5" ht="16.5">
      <c r="E3217" s="123"/>
    </row>
    <row r="3218" spans="5:5" ht="16.5">
      <c r="E3218" s="123"/>
    </row>
    <row r="3219" spans="5:5" ht="16.5">
      <c r="E3219" s="123"/>
    </row>
    <row r="3220" spans="5:5" ht="16.5">
      <c r="E3220" s="123"/>
    </row>
    <row r="3221" spans="5:5" ht="16.5">
      <c r="E3221" s="123"/>
    </row>
    <row r="3222" spans="5:5" ht="16.5">
      <c r="E3222" s="123"/>
    </row>
    <row r="3223" spans="5:5" ht="16.5">
      <c r="E3223" s="123"/>
    </row>
    <row r="3224" spans="5:5" ht="16.5">
      <c r="E3224" s="123"/>
    </row>
    <row r="3225" spans="5:5" ht="16.5">
      <c r="E3225" s="123"/>
    </row>
    <row r="3226" spans="5:5" ht="16.5">
      <c r="E3226" s="123"/>
    </row>
    <row r="3227" spans="5:5" ht="16.5">
      <c r="E3227" s="123"/>
    </row>
    <row r="3228" spans="5:5" ht="16.5">
      <c r="E3228" s="123"/>
    </row>
    <row r="3229" spans="5:5" ht="16.5">
      <c r="E3229" s="123"/>
    </row>
    <row r="3230" spans="5:5" ht="16.5">
      <c r="E3230" s="123"/>
    </row>
    <row r="3231" spans="5:5" ht="16.5">
      <c r="E3231" s="123"/>
    </row>
    <row r="3232" spans="5:5" ht="16.5">
      <c r="E3232" s="123"/>
    </row>
    <row r="3233" spans="5:5" ht="16.5">
      <c r="E3233" s="123"/>
    </row>
    <row r="3234" spans="5:5" ht="16.5">
      <c r="E3234" s="123"/>
    </row>
    <row r="3235" spans="5:5" ht="16.5">
      <c r="E3235" s="123"/>
    </row>
    <row r="3236" spans="5:5" ht="16.5">
      <c r="E3236" s="123"/>
    </row>
    <row r="3237" spans="5:5" ht="16.5">
      <c r="E3237" s="123"/>
    </row>
    <row r="3238" spans="5:5" ht="16.5">
      <c r="E3238" s="123"/>
    </row>
    <row r="3239" spans="5:5" ht="16.5">
      <c r="E3239" s="123"/>
    </row>
    <row r="3240" spans="5:5" ht="16.5">
      <c r="E3240" s="123"/>
    </row>
    <row r="3241" spans="5:5" ht="16.5">
      <c r="E3241" s="123"/>
    </row>
    <row r="3242" spans="5:5" ht="16.5">
      <c r="E3242" s="123"/>
    </row>
    <row r="3243" spans="5:5" ht="16.5">
      <c r="E3243" s="123"/>
    </row>
    <row r="3244" spans="5:5" ht="16.5">
      <c r="E3244" s="123"/>
    </row>
    <row r="3245" spans="5:5" ht="16.5">
      <c r="E3245" s="123"/>
    </row>
    <row r="3246" spans="5:5" ht="16.5">
      <c r="E3246" s="123"/>
    </row>
    <row r="3247" spans="5:5" ht="16.5">
      <c r="E3247" s="123"/>
    </row>
    <row r="3248" spans="5:5" ht="16.5">
      <c r="E3248" s="123"/>
    </row>
    <row r="3249" spans="5:5" ht="16.5">
      <c r="E3249" s="123"/>
    </row>
    <row r="3250" spans="5:5" ht="16.5">
      <c r="E3250" s="123"/>
    </row>
    <row r="3251" spans="5:5" ht="16.5">
      <c r="E3251" s="123"/>
    </row>
    <row r="3252" spans="5:5" ht="16.5">
      <c r="E3252" s="123"/>
    </row>
    <row r="3253" spans="5:5" ht="16.5">
      <c r="E3253" s="123"/>
    </row>
    <row r="3254" spans="5:5" ht="16.5">
      <c r="E3254" s="123"/>
    </row>
    <row r="3255" spans="5:5" ht="16.5">
      <c r="E3255" s="123"/>
    </row>
    <row r="3256" spans="5:5" ht="16.5">
      <c r="E3256" s="123"/>
    </row>
    <row r="3257" spans="5:5" ht="16.5">
      <c r="E3257" s="123"/>
    </row>
    <row r="3258" spans="5:5" ht="16.5">
      <c r="E3258" s="123"/>
    </row>
    <row r="3259" spans="5:5" ht="16.5">
      <c r="E3259" s="123"/>
    </row>
    <row r="3260" spans="5:5" ht="16.5">
      <c r="E3260" s="123"/>
    </row>
    <row r="3261" spans="5:5" ht="16.5">
      <c r="E3261" s="123"/>
    </row>
    <row r="3262" spans="5:5" ht="16.5">
      <c r="E3262" s="123"/>
    </row>
    <row r="3263" spans="5:5" ht="16.5">
      <c r="E3263" s="123"/>
    </row>
    <row r="3264" spans="5:5" ht="16.5">
      <c r="E3264" s="123"/>
    </row>
    <row r="3265" spans="5:5" ht="16.5">
      <c r="E3265" s="123"/>
    </row>
    <row r="3266" spans="5:5" ht="16.5">
      <c r="E3266" s="123"/>
    </row>
    <row r="3267" spans="5:5" ht="16.5">
      <c r="E3267" s="123"/>
    </row>
    <row r="3268" spans="5:5" ht="16.5">
      <c r="E3268" s="123"/>
    </row>
    <row r="3269" spans="5:5" ht="16.5">
      <c r="E3269" s="123"/>
    </row>
    <row r="3270" spans="5:5" ht="16.5">
      <c r="E3270" s="123"/>
    </row>
    <row r="3271" spans="5:5" ht="16.5">
      <c r="E3271" s="123"/>
    </row>
    <row r="3272" spans="5:5" ht="16.5">
      <c r="E3272" s="123"/>
    </row>
    <row r="3273" spans="5:5" ht="16.5">
      <c r="E3273" s="123"/>
    </row>
    <row r="3274" spans="5:5" ht="16.5">
      <c r="E3274" s="123"/>
    </row>
    <row r="3275" spans="5:5" ht="16.5">
      <c r="E3275" s="123"/>
    </row>
    <row r="3276" spans="5:5" ht="16.5">
      <c r="E3276" s="123"/>
    </row>
    <row r="3277" spans="5:5" ht="16.5">
      <c r="E3277" s="123"/>
    </row>
    <row r="3278" spans="5:5" ht="16.5">
      <c r="E3278" s="123"/>
    </row>
    <row r="3279" spans="5:5" ht="16.5">
      <c r="E3279" s="123"/>
    </row>
    <row r="3280" spans="5:5" ht="16.5">
      <c r="E3280" s="123"/>
    </row>
    <row r="3281" spans="5:5" ht="16.5">
      <c r="E3281" s="123"/>
    </row>
    <row r="3282" spans="5:5" ht="16.5">
      <c r="E3282" s="123"/>
    </row>
    <row r="3283" spans="5:5" ht="16.5">
      <c r="E3283" s="123"/>
    </row>
    <row r="3284" spans="5:5" ht="16.5">
      <c r="E3284" s="123"/>
    </row>
    <row r="3285" spans="5:5" ht="16.5">
      <c r="E3285" s="123"/>
    </row>
    <row r="3286" spans="5:5" ht="16.5">
      <c r="E3286" s="123"/>
    </row>
    <row r="3287" spans="5:5" ht="16.5">
      <c r="E3287" s="123"/>
    </row>
    <row r="3288" spans="5:5" ht="16.5">
      <c r="E3288" s="123"/>
    </row>
    <row r="3289" spans="5:5" ht="16.5">
      <c r="E3289" s="123"/>
    </row>
    <row r="3290" spans="5:5" ht="16.5">
      <c r="E3290" s="123"/>
    </row>
    <row r="3291" spans="5:5" ht="16.5">
      <c r="E3291" s="123"/>
    </row>
    <row r="3292" spans="5:5" ht="16.5">
      <c r="E3292" s="123"/>
    </row>
    <row r="3293" spans="5:5" ht="16.5">
      <c r="E3293" s="123"/>
    </row>
    <row r="3294" spans="5:5" ht="16.5">
      <c r="E3294" s="123"/>
    </row>
    <row r="3295" spans="5:5" ht="16.5">
      <c r="E3295" s="123"/>
    </row>
    <row r="3296" spans="5:5" ht="16.5">
      <c r="E3296" s="123"/>
    </row>
    <row r="3297" spans="5:5" ht="16.5">
      <c r="E3297" s="123"/>
    </row>
    <row r="3298" spans="5:5" ht="16.5">
      <c r="E3298" s="123"/>
    </row>
    <row r="3299" spans="5:5" ht="16.5">
      <c r="E3299" s="123"/>
    </row>
    <row r="3300" spans="5:5" ht="16.5">
      <c r="E3300" s="123"/>
    </row>
    <row r="3301" spans="5:5" ht="16.5">
      <c r="E3301" s="123"/>
    </row>
    <row r="3302" spans="5:5" ht="16.5">
      <c r="E3302" s="123"/>
    </row>
    <row r="3303" spans="5:5" ht="16.5">
      <c r="E3303" s="123"/>
    </row>
    <row r="3304" spans="5:5" ht="16.5">
      <c r="E3304" s="123"/>
    </row>
    <row r="3305" spans="5:5" ht="16.5">
      <c r="E3305" s="123"/>
    </row>
    <row r="3306" spans="5:5" ht="16.5">
      <c r="E3306" s="123"/>
    </row>
    <row r="3307" spans="5:5" ht="16.5">
      <c r="E3307" s="123"/>
    </row>
    <row r="3308" spans="5:5" ht="16.5">
      <c r="E3308" s="123"/>
    </row>
    <row r="3309" spans="5:5" ht="16.5">
      <c r="E3309" s="123"/>
    </row>
    <row r="3310" spans="5:5" ht="16.5">
      <c r="E3310" s="123"/>
    </row>
    <row r="3311" spans="5:5" ht="16.5">
      <c r="E3311" s="123"/>
    </row>
    <row r="3312" spans="5:5" ht="16.5">
      <c r="E3312" s="123"/>
    </row>
    <row r="3313" spans="5:5" ht="16.5">
      <c r="E3313" s="123"/>
    </row>
    <row r="3314" spans="5:5" ht="16.5">
      <c r="E3314" s="123"/>
    </row>
    <row r="3315" spans="5:5" ht="16.5">
      <c r="E3315" s="123"/>
    </row>
    <row r="3316" spans="5:5" ht="16.5">
      <c r="E3316" s="123"/>
    </row>
    <row r="3317" spans="5:5" ht="16.5">
      <c r="E3317" s="123"/>
    </row>
    <row r="3318" spans="5:5" ht="16.5">
      <c r="E3318" s="123"/>
    </row>
    <row r="3319" spans="5:5" ht="16.5">
      <c r="E3319" s="123"/>
    </row>
    <row r="3320" spans="5:5" ht="16.5">
      <c r="E3320" s="123"/>
    </row>
    <row r="3321" spans="5:5" ht="16.5">
      <c r="E3321" s="123"/>
    </row>
    <row r="3322" spans="5:5" ht="16.5">
      <c r="E3322" s="123"/>
    </row>
    <row r="3323" spans="5:5" ht="16.5">
      <c r="E3323" s="123"/>
    </row>
    <row r="3324" spans="5:5" ht="16.5">
      <c r="E3324" s="123"/>
    </row>
    <row r="3325" spans="5:5" ht="16.5">
      <c r="E3325" s="123"/>
    </row>
    <row r="3326" spans="5:5" ht="16.5">
      <c r="E3326" s="123"/>
    </row>
    <row r="3327" spans="5:5" ht="16.5">
      <c r="E3327" s="123"/>
    </row>
    <row r="3328" spans="5:5" ht="16.5">
      <c r="E3328" s="123"/>
    </row>
    <row r="3329" spans="5:5" ht="16.5">
      <c r="E3329" s="123"/>
    </row>
    <row r="3330" spans="5:5" ht="16.5">
      <c r="E3330" s="123"/>
    </row>
    <row r="3331" spans="5:5" ht="16.5">
      <c r="E3331" s="123"/>
    </row>
    <row r="3332" spans="5:5" ht="16.5">
      <c r="E3332" s="123"/>
    </row>
    <row r="3333" spans="5:5" ht="16.5">
      <c r="E3333" s="123"/>
    </row>
    <row r="3334" spans="5:5" ht="16.5">
      <c r="E3334" s="123"/>
    </row>
    <row r="3335" spans="5:5" ht="16.5">
      <c r="E3335" s="123"/>
    </row>
    <row r="3336" spans="5:5" ht="16.5">
      <c r="E3336" s="123"/>
    </row>
    <row r="3337" spans="5:5" ht="16.5">
      <c r="E3337" s="123"/>
    </row>
    <row r="3338" spans="5:5" ht="16.5">
      <c r="E3338" s="123"/>
    </row>
    <row r="3339" spans="5:5" ht="16.5">
      <c r="E3339" s="123"/>
    </row>
    <row r="3340" spans="5:5" ht="16.5">
      <c r="E3340" s="123"/>
    </row>
    <row r="3341" spans="5:5" ht="16.5">
      <c r="E3341" s="123"/>
    </row>
    <row r="3342" spans="5:5" ht="16.5">
      <c r="E3342" s="123"/>
    </row>
    <row r="3343" spans="5:5" ht="16.5">
      <c r="E3343" s="123"/>
    </row>
    <row r="3344" spans="5:5" ht="16.5">
      <c r="E3344" s="123"/>
    </row>
    <row r="3345" spans="5:5" ht="16.5">
      <c r="E3345" s="123"/>
    </row>
    <row r="3346" spans="5:5" ht="16.5">
      <c r="E3346" s="123"/>
    </row>
    <row r="3347" spans="5:5" ht="16.5">
      <c r="E3347" s="123"/>
    </row>
    <row r="3348" spans="5:5" ht="16.5">
      <c r="E3348" s="123"/>
    </row>
    <row r="3349" spans="5:5" ht="16.5">
      <c r="E3349" s="123"/>
    </row>
    <row r="3350" spans="5:5" ht="16.5">
      <c r="E3350" s="123"/>
    </row>
    <row r="3351" spans="5:5" ht="16.5">
      <c r="E3351" s="123"/>
    </row>
    <row r="3352" spans="5:5" ht="16.5">
      <c r="E3352" s="123"/>
    </row>
    <row r="3353" spans="5:5" ht="16.5">
      <c r="E3353" s="123"/>
    </row>
    <row r="3354" spans="5:5" ht="16.5">
      <c r="E3354" s="123"/>
    </row>
    <row r="3355" spans="5:5" ht="16.5">
      <c r="E3355" s="123"/>
    </row>
    <row r="3356" spans="5:5" ht="16.5">
      <c r="E3356" s="123"/>
    </row>
    <row r="3357" spans="5:5" ht="16.5">
      <c r="E3357" s="123"/>
    </row>
    <row r="3358" spans="5:5" ht="16.5">
      <c r="E3358" s="123"/>
    </row>
    <row r="3359" spans="5:5" ht="16.5">
      <c r="E3359" s="123"/>
    </row>
    <row r="3360" spans="5:5" ht="16.5">
      <c r="E3360" s="123"/>
    </row>
    <row r="3361" spans="5:5" ht="16.5">
      <c r="E3361" s="123"/>
    </row>
    <row r="3362" spans="5:5" ht="16.5">
      <c r="E3362" s="123"/>
    </row>
    <row r="3363" spans="5:5" ht="16.5">
      <c r="E3363" s="123"/>
    </row>
    <row r="3364" spans="5:5" ht="16.5">
      <c r="E3364" s="123"/>
    </row>
    <row r="3365" spans="5:5" ht="16.5">
      <c r="E3365" s="123"/>
    </row>
    <row r="3366" spans="5:5" ht="16.5">
      <c r="E3366" s="123"/>
    </row>
    <row r="3367" spans="5:5" ht="16.5">
      <c r="E3367" s="123"/>
    </row>
    <row r="3368" spans="5:5" ht="16.5">
      <c r="E3368" s="123"/>
    </row>
    <row r="3369" spans="5:5" ht="16.5">
      <c r="E3369" s="123"/>
    </row>
    <row r="3370" spans="5:5" ht="16.5">
      <c r="E3370" s="123"/>
    </row>
    <row r="3371" spans="5:5" ht="16.5">
      <c r="E3371" s="123"/>
    </row>
    <row r="3372" spans="5:5" ht="16.5">
      <c r="E3372" s="123"/>
    </row>
    <row r="3373" spans="5:5" ht="16.5">
      <c r="E3373" s="123"/>
    </row>
    <row r="3374" spans="5:5" ht="16.5">
      <c r="E3374" s="123"/>
    </row>
    <row r="3375" spans="5:5" ht="16.5">
      <c r="E3375" s="123"/>
    </row>
    <row r="3376" spans="5:5" ht="16.5">
      <c r="E3376" s="123"/>
    </row>
    <row r="3377" spans="5:5" ht="16.5">
      <c r="E3377" s="123"/>
    </row>
    <row r="3378" spans="5:5" ht="16.5">
      <c r="E3378" s="123"/>
    </row>
    <row r="3379" spans="5:5" ht="16.5">
      <c r="E3379" s="123"/>
    </row>
    <row r="3380" spans="5:5" ht="16.5">
      <c r="E3380" s="123"/>
    </row>
    <row r="3381" spans="5:5" ht="16.5">
      <c r="E3381" s="123"/>
    </row>
    <row r="3382" spans="5:5" ht="16.5">
      <c r="E3382" s="123"/>
    </row>
    <row r="3383" spans="5:5" ht="16.5">
      <c r="E3383" s="123"/>
    </row>
    <row r="3384" spans="5:5" ht="16.5">
      <c r="E3384" s="123"/>
    </row>
    <row r="3385" spans="5:5" ht="16.5">
      <c r="E3385" s="123"/>
    </row>
    <row r="3386" spans="5:5" ht="16.5">
      <c r="E3386" s="123"/>
    </row>
    <row r="3387" spans="5:5" ht="16.5">
      <c r="E3387" s="123"/>
    </row>
    <row r="3388" spans="5:5" ht="16.5">
      <c r="E3388" s="123"/>
    </row>
    <row r="3389" spans="5:5" ht="16.5">
      <c r="E3389" s="123"/>
    </row>
    <row r="3390" spans="5:5" ht="16.5">
      <c r="E3390" s="123"/>
    </row>
    <row r="3391" spans="5:5" ht="16.5">
      <c r="E3391" s="123"/>
    </row>
    <row r="3392" spans="5:5" ht="16.5">
      <c r="E3392" s="123"/>
    </row>
    <row r="3393" spans="5:5" ht="16.5">
      <c r="E3393" s="123"/>
    </row>
    <row r="3394" spans="5:5" ht="16.5">
      <c r="E3394" s="123"/>
    </row>
    <row r="3395" spans="5:5" ht="16.5">
      <c r="E3395" s="123"/>
    </row>
    <row r="3396" spans="5:5" ht="16.5">
      <c r="E3396" s="123"/>
    </row>
    <row r="3397" spans="5:5" ht="16.5">
      <c r="E3397" s="123"/>
    </row>
    <row r="3398" spans="5:5" ht="16.5">
      <c r="E3398" s="123"/>
    </row>
    <row r="3399" spans="5:5" ht="16.5">
      <c r="E3399" s="123"/>
    </row>
    <row r="3400" spans="5:5" ht="16.5">
      <c r="E3400" s="123"/>
    </row>
    <row r="3401" spans="5:5" ht="16.5">
      <c r="E3401" s="123"/>
    </row>
    <row r="3402" spans="5:5" ht="16.5">
      <c r="E3402" s="123"/>
    </row>
    <row r="3403" spans="5:5" ht="16.5">
      <c r="E3403" s="123"/>
    </row>
    <row r="3404" spans="5:5" ht="16.5">
      <c r="E3404" s="123"/>
    </row>
    <row r="3405" spans="5:5" ht="16.5">
      <c r="E3405" s="123"/>
    </row>
    <row r="3406" spans="5:5" ht="16.5">
      <c r="E3406" s="123"/>
    </row>
    <row r="3407" spans="5:5" ht="16.5">
      <c r="E3407" s="123"/>
    </row>
    <row r="3408" spans="5:5" ht="16.5">
      <c r="E3408" s="123"/>
    </row>
    <row r="3409" spans="5:5" ht="16.5">
      <c r="E3409" s="123"/>
    </row>
    <row r="3410" spans="5:5" ht="16.5">
      <c r="E3410" s="123"/>
    </row>
    <row r="3411" spans="5:5" ht="16.5">
      <c r="E3411" s="123"/>
    </row>
    <row r="3412" spans="5:5" ht="16.5">
      <c r="E3412" s="123"/>
    </row>
    <row r="3413" spans="5:5" ht="16.5">
      <c r="E3413" s="123"/>
    </row>
    <row r="3414" spans="5:5" ht="16.5">
      <c r="E3414" s="123"/>
    </row>
    <row r="3415" spans="5:5" ht="16.5">
      <c r="E3415" s="123"/>
    </row>
    <row r="3416" spans="5:5" ht="16.5">
      <c r="E3416" s="123"/>
    </row>
    <row r="3417" spans="5:5" ht="16.5">
      <c r="E3417" s="123"/>
    </row>
    <row r="3418" spans="5:5" ht="16.5">
      <c r="E3418" s="123"/>
    </row>
    <row r="3419" spans="5:5" ht="16.5">
      <c r="E3419" s="123"/>
    </row>
    <row r="3420" spans="5:5" ht="16.5">
      <c r="E3420" s="123"/>
    </row>
    <row r="3421" spans="5:5" ht="16.5">
      <c r="E3421" s="123"/>
    </row>
    <row r="3422" spans="5:5" ht="16.5">
      <c r="E3422" s="123"/>
    </row>
    <row r="3423" spans="5:5" ht="16.5">
      <c r="E3423" s="123"/>
    </row>
    <row r="3424" spans="5:5" ht="16.5">
      <c r="E3424" s="123"/>
    </row>
    <row r="3425" spans="5:5" ht="16.5">
      <c r="E3425" s="123"/>
    </row>
    <row r="3426" spans="5:5" ht="16.5">
      <c r="E3426" s="123"/>
    </row>
    <row r="3427" spans="5:5" ht="16.5">
      <c r="E3427" s="123"/>
    </row>
    <row r="3428" spans="5:5" ht="16.5">
      <c r="E3428" s="123"/>
    </row>
    <row r="3429" spans="5:5" ht="16.5">
      <c r="E3429" s="123"/>
    </row>
    <row r="3430" spans="5:5" ht="16.5">
      <c r="E3430" s="123"/>
    </row>
    <row r="3431" spans="5:5" ht="16.5">
      <c r="E3431" s="123"/>
    </row>
    <row r="3432" spans="5:5" ht="16.5">
      <c r="E3432" s="123"/>
    </row>
    <row r="3433" spans="5:5" ht="16.5">
      <c r="E3433" s="123"/>
    </row>
    <row r="3434" spans="5:5" ht="16.5">
      <c r="E3434" s="123"/>
    </row>
    <row r="3435" spans="5:5" ht="16.5">
      <c r="E3435" s="123"/>
    </row>
    <row r="3436" spans="5:5" ht="16.5">
      <c r="E3436" s="123"/>
    </row>
    <row r="3437" spans="5:5" ht="16.5">
      <c r="E3437" s="123"/>
    </row>
    <row r="3438" spans="5:5" ht="16.5">
      <c r="E3438" s="123"/>
    </row>
    <row r="3439" spans="5:5" ht="16.5">
      <c r="E3439" s="123"/>
    </row>
    <row r="3440" spans="5:5" ht="16.5">
      <c r="E3440" s="123"/>
    </row>
    <row r="3441" spans="5:5" ht="16.5">
      <c r="E3441" s="123"/>
    </row>
    <row r="3442" spans="5:5" ht="16.5">
      <c r="E3442" s="123"/>
    </row>
    <row r="3443" spans="5:5" ht="16.5">
      <c r="E3443" s="123"/>
    </row>
    <row r="3444" spans="5:5" ht="16.5">
      <c r="E3444" s="123"/>
    </row>
    <row r="3445" spans="5:5" ht="16.5">
      <c r="E3445" s="123"/>
    </row>
    <row r="3446" spans="5:5" ht="16.5">
      <c r="E3446" s="123"/>
    </row>
    <row r="3447" spans="5:5" ht="16.5">
      <c r="E3447" s="123"/>
    </row>
    <row r="3448" spans="5:5" ht="16.5">
      <c r="E3448" s="123"/>
    </row>
    <row r="3449" spans="5:5" ht="16.5">
      <c r="E3449" s="123"/>
    </row>
    <row r="3450" spans="5:5" ht="16.5">
      <c r="E3450" s="123"/>
    </row>
    <row r="3451" spans="5:5" ht="16.5">
      <c r="E3451" s="123"/>
    </row>
    <row r="3452" spans="5:5" ht="16.5">
      <c r="E3452" s="123"/>
    </row>
    <row r="3453" spans="5:5" ht="16.5">
      <c r="E3453" s="123"/>
    </row>
    <row r="3454" spans="5:5" ht="16.5">
      <c r="E3454" s="123"/>
    </row>
    <row r="3455" spans="5:5" ht="16.5">
      <c r="E3455" s="123"/>
    </row>
    <row r="3456" spans="5:5" ht="16.5">
      <c r="E3456" s="123"/>
    </row>
    <row r="3457" spans="5:5" ht="16.5">
      <c r="E3457" s="123"/>
    </row>
    <row r="3458" spans="5:5" ht="16.5">
      <c r="E3458" s="123"/>
    </row>
    <row r="3459" spans="5:5" ht="16.5">
      <c r="E3459" s="123"/>
    </row>
    <row r="3460" spans="5:5" ht="16.5">
      <c r="E3460" s="123"/>
    </row>
    <row r="3461" spans="5:5" ht="16.5">
      <c r="E3461" s="123"/>
    </row>
    <row r="3462" spans="5:5" ht="16.5">
      <c r="E3462" s="123"/>
    </row>
    <row r="3463" spans="5:5" ht="16.5">
      <c r="E3463" s="123"/>
    </row>
    <row r="3464" spans="5:5" ht="16.5">
      <c r="E3464" s="123"/>
    </row>
    <row r="3465" spans="5:5" ht="16.5">
      <c r="E3465" s="123"/>
    </row>
    <row r="3466" spans="5:5" ht="16.5">
      <c r="E3466" s="123"/>
    </row>
    <row r="3467" spans="5:5" ht="16.5">
      <c r="E3467" s="123"/>
    </row>
    <row r="3468" spans="5:5" ht="16.5">
      <c r="E3468" s="123"/>
    </row>
    <row r="3469" spans="5:5" ht="16.5">
      <c r="E3469" s="123"/>
    </row>
    <row r="3470" spans="5:5" ht="16.5">
      <c r="E3470" s="123"/>
    </row>
    <row r="3471" spans="5:5" ht="16.5">
      <c r="E3471" s="123"/>
    </row>
    <row r="3472" spans="5:5" ht="16.5">
      <c r="E3472" s="123"/>
    </row>
    <row r="3473" spans="5:5" ht="16.5">
      <c r="E3473" s="123"/>
    </row>
    <row r="3474" spans="5:5" ht="16.5">
      <c r="E3474" s="123"/>
    </row>
    <row r="3475" spans="5:5" ht="16.5">
      <c r="E3475" s="123"/>
    </row>
    <row r="3476" spans="5:5" ht="16.5">
      <c r="E3476" s="123"/>
    </row>
    <row r="3477" spans="5:5" ht="16.5">
      <c r="E3477" s="123"/>
    </row>
    <row r="3478" spans="5:5" ht="16.5">
      <c r="E3478" s="123"/>
    </row>
    <row r="3479" spans="5:5" ht="16.5">
      <c r="E3479" s="123"/>
    </row>
    <row r="3480" spans="5:5" ht="16.5">
      <c r="E3480" s="123"/>
    </row>
    <row r="3481" spans="5:5" ht="16.5">
      <c r="E3481" s="123"/>
    </row>
    <row r="3482" spans="5:5" ht="16.5">
      <c r="E3482" s="123"/>
    </row>
    <row r="3483" spans="5:5" ht="16.5">
      <c r="E3483" s="123"/>
    </row>
    <row r="3484" spans="5:5" ht="16.5">
      <c r="E3484" s="123"/>
    </row>
    <row r="3485" spans="5:5" ht="16.5">
      <c r="E3485" s="123"/>
    </row>
    <row r="3486" spans="5:5" ht="16.5">
      <c r="E3486" s="123"/>
    </row>
    <row r="3487" spans="5:5" ht="16.5">
      <c r="E3487" s="123"/>
    </row>
    <row r="3488" spans="5:5" ht="16.5">
      <c r="E3488" s="123"/>
    </row>
    <row r="3489" spans="5:5" ht="16.5">
      <c r="E3489" s="123"/>
    </row>
    <row r="3490" spans="5:5" ht="16.5">
      <c r="E3490" s="123"/>
    </row>
    <row r="3491" spans="5:5" ht="16.5">
      <c r="E3491" s="123"/>
    </row>
    <row r="3492" spans="5:5" ht="16.5">
      <c r="E3492" s="123"/>
    </row>
    <row r="3493" spans="5:5" ht="16.5">
      <c r="E3493" s="123"/>
    </row>
    <row r="3494" spans="5:5" ht="16.5">
      <c r="E3494" s="123"/>
    </row>
    <row r="3495" spans="5:5" ht="16.5">
      <c r="E3495" s="123"/>
    </row>
    <row r="3496" spans="5:5" ht="16.5">
      <c r="E3496" s="123"/>
    </row>
    <row r="3497" spans="5:5" ht="16.5">
      <c r="E3497" s="123"/>
    </row>
    <row r="3498" spans="5:5" ht="16.5">
      <c r="E3498" s="123"/>
    </row>
    <row r="3499" spans="5:5" ht="16.5">
      <c r="E3499" s="123"/>
    </row>
    <row r="3500" spans="5:5" ht="16.5">
      <c r="E3500" s="123"/>
    </row>
    <row r="3501" spans="5:5" ht="16.5">
      <c r="E3501" s="123"/>
    </row>
    <row r="3502" spans="5:5" ht="16.5">
      <c r="E3502" s="123"/>
    </row>
    <row r="3503" spans="5:5" ht="16.5">
      <c r="E3503" s="123"/>
    </row>
    <row r="3504" spans="5:5" ht="16.5">
      <c r="E3504" s="123"/>
    </row>
    <row r="3505" spans="5:5" ht="16.5">
      <c r="E3505" s="123"/>
    </row>
    <row r="3506" spans="5:5" ht="16.5">
      <c r="E3506" s="123"/>
    </row>
    <row r="3507" spans="5:5" ht="16.5">
      <c r="E3507" s="123"/>
    </row>
    <row r="3508" spans="5:5" ht="16.5">
      <c r="E3508" s="123"/>
    </row>
    <row r="3509" spans="5:5" ht="16.5">
      <c r="E3509" s="123"/>
    </row>
    <row r="3510" spans="5:5" ht="16.5">
      <c r="E3510" s="123"/>
    </row>
    <row r="3511" spans="5:5" ht="16.5">
      <c r="E3511" s="123"/>
    </row>
    <row r="3512" spans="5:5" ht="16.5">
      <c r="E3512" s="123"/>
    </row>
    <row r="3513" spans="5:5" ht="16.5">
      <c r="E3513" s="123"/>
    </row>
    <row r="3514" spans="5:5" ht="16.5">
      <c r="E3514" s="123"/>
    </row>
    <row r="3515" spans="5:5" ht="16.5">
      <c r="E3515" s="123"/>
    </row>
    <row r="3516" spans="5:5" ht="16.5">
      <c r="E3516" s="123"/>
    </row>
    <row r="3517" spans="5:5" ht="16.5">
      <c r="E3517" s="123"/>
    </row>
    <row r="3518" spans="5:5" ht="16.5">
      <c r="E3518" s="123"/>
    </row>
    <row r="3519" spans="5:5" ht="16.5">
      <c r="E3519" s="123"/>
    </row>
    <row r="3520" spans="5:5" ht="16.5">
      <c r="E3520" s="123"/>
    </row>
    <row r="3521" spans="5:5" ht="16.5">
      <c r="E3521" s="123"/>
    </row>
    <row r="3522" spans="5:5" ht="16.5">
      <c r="E3522" s="123"/>
    </row>
    <row r="3523" spans="5:5" ht="16.5">
      <c r="E3523" s="123"/>
    </row>
    <row r="3524" spans="5:5" ht="16.5">
      <c r="E3524" s="123"/>
    </row>
    <row r="3525" spans="5:5" ht="16.5">
      <c r="E3525" s="123"/>
    </row>
    <row r="3526" spans="5:5" ht="16.5">
      <c r="E3526" s="123"/>
    </row>
    <row r="3527" spans="5:5" ht="16.5">
      <c r="E3527" s="123"/>
    </row>
    <row r="3528" spans="5:5" ht="16.5">
      <c r="E3528" s="123"/>
    </row>
    <row r="3529" spans="5:5" ht="16.5">
      <c r="E3529" s="123"/>
    </row>
    <row r="3530" spans="5:5" ht="16.5">
      <c r="E3530" s="123"/>
    </row>
    <row r="3531" spans="5:5" ht="16.5">
      <c r="E3531" s="123"/>
    </row>
    <row r="3532" spans="5:5" ht="16.5">
      <c r="E3532" s="123"/>
    </row>
    <row r="3533" spans="5:5" ht="16.5">
      <c r="E3533" s="123"/>
    </row>
    <row r="3534" spans="5:5" ht="16.5">
      <c r="E3534" s="123"/>
    </row>
    <row r="3535" spans="5:5" ht="16.5">
      <c r="E3535" s="123"/>
    </row>
    <row r="3536" spans="5:5" ht="16.5">
      <c r="E3536" s="123"/>
    </row>
    <row r="3537" spans="5:5" ht="16.5">
      <c r="E3537" s="123"/>
    </row>
    <row r="3538" spans="5:5" ht="16.5">
      <c r="E3538" s="123"/>
    </row>
    <row r="3539" spans="5:5" ht="16.5">
      <c r="E3539" s="123"/>
    </row>
    <row r="3540" spans="5:5" ht="16.5">
      <c r="E3540" s="123"/>
    </row>
    <row r="3541" spans="5:5" ht="16.5">
      <c r="E3541" s="123"/>
    </row>
    <row r="3542" spans="5:5" ht="16.5">
      <c r="E3542" s="123"/>
    </row>
    <row r="3543" spans="5:5" ht="16.5">
      <c r="E3543" s="123"/>
    </row>
    <row r="3544" spans="5:5" ht="16.5">
      <c r="E3544" s="123"/>
    </row>
    <row r="3545" spans="5:5" ht="16.5">
      <c r="E3545" s="123"/>
    </row>
    <row r="3546" spans="5:5" ht="16.5">
      <c r="E3546" s="123"/>
    </row>
    <row r="3547" spans="5:5" ht="16.5">
      <c r="E3547" s="123"/>
    </row>
    <row r="3548" spans="5:5" ht="16.5">
      <c r="E3548" s="123"/>
    </row>
    <row r="3549" spans="5:5" ht="16.5">
      <c r="E3549" s="123"/>
    </row>
    <row r="3550" spans="5:5" ht="16.5">
      <c r="E3550" s="123"/>
    </row>
    <row r="3551" spans="5:5" ht="16.5">
      <c r="E3551" s="123"/>
    </row>
    <row r="3552" spans="5:5" ht="16.5">
      <c r="E3552" s="123"/>
    </row>
    <row r="3553" spans="5:5" ht="16.5">
      <c r="E3553" s="123"/>
    </row>
    <row r="3554" spans="5:5" ht="16.5">
      <c r="E3554" s="123"/>
    </row>
    <row r="3555" spans="5:5" ht="16.5">
      <c r="E3555" s="123"/>
    </row>
    <row r="3556" spans="5:5" ht="16.5">
      <c r="E3556" s="123"/>
    </row>
    <row r="3557" spans="5:5" ht="16.5">
      <c r="E3557" s="123"/>
    </row>
    <row r="3558" spans="5:5" ht="16.5">
      <c r="E3558" s="123"/>
    </row>
    <row r="3559" spans="5:5" ht="16.5">
      <c r="E3559" s="123"/>
    </row>
    <row r="3560" spans="5:5" ht="16.5">
      <c r="E3560" s="123"/>
    </row>
    <row r="3561" spans="5:5" ht="16.5">
      <c r="E3561" s="123"/>
    </row>
    <row r="3562" spans="5:5" ht="16.5">
      <c r="E3562" s="123"/>
    </row>
    <row r="3563" spans="5:5" ht="16.5">
      <c r="E3563" s="123"/>
    </row>
    <row r="3564" spans="5:5" ht="16.5">
      <c r="E3564" s="123"/>
    </row>
    <row r="3565" spans="5:5" ht="16.5">
      <c r="E3565" s="123"/>
    </row>
    <row r="3566" spans="5:5" ht="16.5">
      <c r="E3566" s="123"/>
    </row>
    <row r="3567" spans="5:5" ht="16.5">
      <c r="E3567" s="123"/>
    </row>
    <row r="3568" spans="5:5" ht="16.5">
      <c r="E3568" s="123"/>
    </row>
    <row r="3569" spans="5:5" ht="16.5">
      <c r="E3569" s="123"/>
    </row>
    <row r="3570" spans="5:5" ht="16.5">
      <c r="E3570" s="123"/>
    </row>
    <row r="3571" spans="5:5" ht="16.5">
      <c r="E3571" s="123"/>
    </row>
    <row r="3572" spans="5:5" ht="16.5">
      <c r="E3572" s="123"/>
    </row>
    <row r="3573" spans="5:5" ht="16.5">
      <c r="E3573" s="123"/>
    </row>
    <row r="3574" spans="5:5" ht="16.5">
      <c r="E3574" s="123"/>
    </row>
    <row r="3575" spans="5:5" ht="16.5">
      <c r="E3575" s="123"/>
    </row>
    <row r="3576" spans="5:5" ht="16.5">
      <c r="E3576" s="123"/>
    </row>
    <row r="3577" spans="5:5" ht="16.5">
      <c r="E3577" s="123"/>
    </row>
    <row r="3578" spans="5:5" ht="16.5">
      <c r="E3578" s="123"/>
    </row>
    <row r="3579" spans="5:5" ht="16.5">
      <c r="E3579" s="123"/>
    </row>
    <row r="3580" spans="5:5" ht="16.5">
      <c r="E3580" s="123"/>
    </row>
    <row r="3581" spans="5:5" ht="16.5">
      <c r="E3581" s="123"/>
    </row>
    <row r="3582" spans="5:5" ht="16.5">
      <c r="E3582" s="123"/>
    </row>
    <row r="3583" spans="5:5" ht="16.5">
      <c r="E3583" s="123"/>
    </row>
    <row r="3584" spans="5:5" ht="16.5">
      <c r="E3584" s="123"/>
    </row>
    <row r="3585" spans="5:5" ht="16.5">
      <c r="E3585" s="123"/>
    </row>
    <row r="3586" spans="5:5" ht="16.5">
      <c r="E3586" s="123"/>
    </row>
    <row r="3587" spans="5:5" ht="16.5">
      <c r="E3587" s="123"/>
    </row>
    <row r="3588" spans="5:5" ht="16.5">
      <c r="E3588" s="123"/>
    </row>
    <row r="3589" spans="5:5" ht="16.5">
      <c r="E3589" s="123"/>
    </row>
    <row r="3590" spans="5:5" ht="16.5">
      <c r="E3590" s="123"/>
    </row>
    <row r="3591" spans="5:5" ht="16.5">
      <c r="E3591" s="123"/>
    </row>
    <row r="3592" spans="5:5" ht="16.5">
      <c r="E3592" s="123"/>
    </row>
    <row r="3593" spans="5:5" ht="16.5">
      <c r="E3593" s="123"/>
    </row>
    <row r="3594" spans="5:5" ht="16.5">
      <c r="E3594" s="123"/>
    </row>
    <row r="3595" spans="5:5" ht="16.5">
      <c r="E3595" s="123"/>
    </row>
    <row r="3596" spans="5:5" ht="16.5">
      <c r="E3596" s="123"/>
    </row>
    <row r="3597" spans="5:5" ht="16.5">
      <c r="E3597" s="123"/>
    </row>
    <row r="3598" spans="5:5" ht="16.5">
      <c r="E3598" s="123"/>
    </row>
    <row r="3599" spans="5:5" ht="16.5">
      <c r="E3599" s="123"/>
    </row>
    <row r="3600" spans="5:5" ht="16.5">
      <c r="E3600" s="123"/>
    </row>
    <row r="3601" spans="5:5" ht="16.5">
      <c r="E3601" s="123"/>
    </row>
    <row r="3602" spans="5:5" ht="16.5">
      <c r="E3602" s="123"/>
    </row>
    <row r="3603" spans="5:5" ht="16.5">
      <c r="E3603" s="123"/>
    </row>
    <row r="3604" spans="5:5" ht="16.5">
      <c r="E3604" s="123"/>
    </row>
    <row r="3605" spans="5:5" ht="16.5">
      <c r="E3605" s="123"/>
    </row>
    <row r="3606" spans="5:5" ht="16.5">
      <c r="E3606" s="123"/>
    </row>
    <row r="3607" spans="5:5" ht="16.5">
      <c r="E3607" s="123"/>
    </row>
    <row r="3608" spans="5:5" ht="16.5">
      <c r="E3608" s="123"/>
    </row>
    <row r="3609" spans="5:5" ht="16.5">
      <c r="E3609" s="123"/>
    </row>
    <row r="3610" spans="5:5" ht="16.5">
      <c r="E3610" s="123"/>
    </row>
    <row r="3611" spans="5:5" ht="16.5">
      <c r="E3611" s="123"/>
    </row>
    <row r="3612" spans="5:5" ht="16.5">
      <c r="E3612" s="123"/>
    </row>
    <row r="3613" spans="5:5" ht="16.5">
      <c r="E3613" s="123"/>
    </row>
    <row r="3614" spans="5:5" ht="16.5">
      <c r="E3614" s="123"/>
    </row>
    <row r="3615" spans="5:5" ht="16.5">
      <c r="E3615" s="123"/>
    </row>
    <row r="3616" spans="5:5" ht="16.5">
      <c r="E3616" s="123"/>
    </row>
    <row r="3617" spans="5:5" ht="16.5">
      <c r="E3617" s="123"/>
    </row>
    <row r="3618" spans="5:5" ht="16.5">
      <c r="E3618" s="123"/>
    </row>
    <row r="3619" spans="5:5" ht="16.5">
      <c r="E3619" s="123"/>
    </row>
    <row r="3620" spans="5:5" ht="16.5">
      <c r="E3620" s="123"/>
    </row>
    <row r="3621" spans="5:5" ht="16.5">
      <c r="E3621" s="123"/>
    </row>
    <row r="3622" spans="5:5" ht="16.5">
      <c r="E3622" s="123"/>
    </row>
    <row r="3623" spans="5:5" ht="16.5">
      <c r="E3623" s="123"/>
    </row>
    <row r="3624" spans="5:5" ht="16.5">
      <c r="E3624" s="123"/>
    </row>
    <row r="3625" spans="5:5" ht="16.5">
      <c r="E3625" s="123"/>
    </row>
    <row r="3626" spans="5:5" ht="16.5">
      <c r="E3626" s="123"/>
    </row>
    <row r="3627" spans="5:5" ht="16.5">
      <c r="E3627" s="123"/>
    </row>
    <row r="3628" spans="5:5" ht="16.5">
      <c r="E3628" s="123"/>
    </row>
    <row r="3629" spans="5:5" ht="16.5">
      <c r="E3629" s="123"/>
    </row>
    <row r="3630" spans="5:5" ht="16.5">
      <c r="E3630" s="123"/>
    </row>
    <row r="3631" spans="5:5" ht="16.5">
      <c r="E3631" s="123"/>
    </row>
    <row r="3632" spans="5:5" ht="16.5">
      <c r="E3632" s="123"/>
    </row>
    <row r="3633" spans="5:5" ht="16.5">
      <c r="E3633" s="123"/>
    </row>
    <row r="3634" spans="5:5" ht="16.5">
      <c r="E3634" s="123"/>
    </row>
    <row r="3635" spans="5:5" ht="16.5">
      <c r="E3635" s="123"/>
    </row>
    <row r="3636" spans="5:5" ht="16.5">
      <c r="E3636" s="123"/>
    </row>
    <row r="3637" spans="5:5" ht="16.5">
      <c r="E3637" s="123"/>
    </row>
    <row r="3638" spans="5:5" ht="16.5">
      <c r="E3638" s="123"/>
    </row>
    <row r="3639" spans="5:5" ht="16.5">
      <c r="E3639" s="123"/>
    </row>
    <row r="3640" spans="5:5" ht="16.5">
      <c r="E3640" s="123"/>
    </row>
    <row r="3641" spans="5:5" ht="16.5">
      <c r="E3641" s="123"/>
    </row>
    <row r="3642" spans="5:5" ht="16.5">
      <c r="E3642" s="123"/>
    </row>
    <row r="3643" spans="5:5" ht="16.5">
      <c r="E3643" s="123"/>
    </row>
    <row r="3644" spans="5:5" ht="16.5">
      <c r="E3644" s="123"/>
    </row>
    <row r="3645" spans="5:5" ht="16.5">
      <c r="E3645" s="123"/>
    </row>
    <row r="3646" spans="5:5" ht="16.5">
      <c r="E3646" s="123"/>
    </row>
    <row r="3647" spans="5:5" ht="16.5">
      <c r="E3647" s="123"/>
    </row>
    <row r="3648" spans="5:5" ht="16.5">
      <c r="E3648" s="123"/>
    </row>
    <row r="3649" spans="5:5" ht="16.5">
      <c r="E3649" s="123"/>
    </row>
    <row r="3650" spans="5:5" ht="16.5">
      <c r="E3650" s="123"/>
    </row>
    <row r="3651" spans="5:5" ht="16.5">
      <c r="E3651" s="123"/>
    </row>
    <row r="3652" spans="5:5" ht="16.5">
      <c r="E3652" s="123"/>
    </row>
    <row r="3653" spans="5:5" ht="16.5">
      <c r="E3653" s="123"/>
    </row>
    <row r="3654" spans="5:5" ht="16.5">
      <c r="E3654" s="123"/>
    </row>
    <row r="3655" spans="5:5" ht="16.5">
      <c r="E3655" s="123"/>
    </row>
    <row r="3656" spans="5:5" ht="16.5">
      <c r="E3656" s="123"/>
    </row>
    <row r="3657" spans="5:5" ht="16.5">
      <c r="E3657" s="123"/>
    </row>
    <row r="3658" spans="5:5" ht="16.5">
      <c r="E3658" s="123"/>
    </row>
    <row r="3659" spans="5:5" ht="16.5">
      <c r="E3659" s="123"/>
    </row>
    <row r="3660" spans="5:5" ht="16.5">
      <c r="E3660" s="123"/>
    </row>
    <row r="3661" spans="5:5" ht="16.5">
      <c r="E3661" s="123"/>
    </row>
    <row r="3662" spans="5:5" ht="16.5">
      <c r="E3662" s="123"/>
    </row>
    <row r="3663" spans="5:5" ht="16.5">
      <c r="E3663" s="123"/>
    </row>
    <row r="3664" spans="5:5" ht="16.5">
      <c r="E3664" s="123"/>
    </row>
    <row r="3665" spans="5:5" ht="16.5">
      <c r="E3665" s="123"/>
    </row>
    <row r="3666" spans="5:5" ht="16.5">
      <c r="E3666" s="123"/>
    </row>
    <row r="3667" spans="5:5" ht="16.5">
      <c r="E3667" s="123"/>
    </row>
    <row r="3668" spans="5:5" ht="16.5">
      <c r="E3668" s="123"/>
    </row>
    <row r="3669" spans="5:5" ht="16.5">
      <c r="E3669" s="123"/>
    </row>
    <row r="3670" spans="5:5" ht="16.5">
      <c r="E3670" s="123"/>
    </row>
    <row r="3671" spans="5:5" ht="16.5">
      <c r="E3671" s="123"/>
    </row>
    <row r="3672" spans="5:5" ht="16.5">
      <c r="E3672" s="123"/>
    </row>
    <row r="3673" spans="5:5" ht="16.5">
      <c r="E3673" s="123"/>
    </row>
    <row r="3674" spans="5:5" ht="16.5">
      <c r="E3674" s="123"/>
    </row>
    <row r="3675" spans="5:5" ht="16.5">
      <c r="E3675" s="123"/>
    </row>
    <row r="3676" spans="5:5" ht="16.5">
      <c r="E3676" s="123"/>
    </row>
    <row r="3677" spans="5:5" ht="16.5">
      <c r="E3677" s="123"/>
    </row>
    <row r="3678" spans="5:5" ht="16.5">
      <c r="E3678" s="123"/>
    </row>
    <row r="3679" spans="5:5" ht="16.5">
      <c r="E3679" s="123"/>
    </row>
    <row r="3680" spans="5:5" ht="16.5">
      <c r="E3680" s="123"/>
    </row>
    <row r="3681" spans="5:5" ht="16.5">
      <c r="E3681" s="123"/>
    </row>
    <row r="3682" spans="5:5" ht="16.5">
      <c r="E3682" s="123"/>
    </row>
    <row r="3683" spans="5:5" ht="16.5">
      <c r="E3683" s="123"/>
    </row>
    <row r="3684" spans="5:5" ht="16.5">
      <c r="E3684" s="123"/>
    </row>
    <row r="3685" spans="5:5" ht="16.5">
      <c r="E3685" s="123"/>
    </row>
    <row r="3686" spans="5:5" ht="16.5">
      <c r="E3686" s="123"/>
    </row>
    <row r="3687" spans="5:5" ht="16.5">
      <c r="E3687" s="123"/>
    </row>
    <row r="3688" spans="5:5" ht="16.5">
      <c r="E3688" s="123"/>
    </row>
    <row r="3689" spans="5:5" ht="16.5">
      <c r="E3689" s="123"/>
    </row>
    <row r="3690" spans="5:5" ht="16.5">
      <c r="E3690" s="123"/>
    </row>
    <row r="3691" spans="5:5" ht="16.5">
      <c r="E3691" s="123"/>
    </row>
    <row r="3692" spans="5:5" ht="16.5">
      <c r="E3692" s="123"/>
    </row>
    <row r="3693" spans="5:5" ht="16.5">
      <c r="E3693" s="123"/>
    </row>
    <row r="3694" spans="5:5" ht="16.5">
      <c r="E3694" s="123"/>
    </row>
    <row r="3695" spans="5:5" ht="16.5">
      <c r="E3695" s="123"/>
    </row>
    <row r="3696" spans="5:5" ht="16.5">
      <c r="E3696" s="123"/>
    </row>
    <row r="3697" spans="5:5" ht="16.5">
      <c r="E3697" s="123"/>
    </row>
    <row r="3698" spans="5:5" ht="16.5">
      <c r="E3698" s="123"/>
    </row>
    <row r="3699" spans="5:5" ht="16.5">
      <c r="E3699" s="123"/>
    </row>
    <row r="3700" spans="5:5" ht="16.5">
      <c r="E3700" s="123"/>
    </row>
    <row r="3701" spans="5:5" ht="16.5">
      <c r="E3701" s="123"/>
    </row>
    <row r="3702" spans="5:5" ht="16.5">
      <c r="E3702" s="123"/>
    </row>
    <row r="3703" spans="5:5" ht="16.5">
      <c r="E3703" s="123"/>
    </row>
    <row r="3704" spans="5:5" ht="16.5">
      <c r="E3704" s="123"/>
    </row>
    <row r="3705" spans="5:5" ht="16.5">
      <c r="E3705" s="123"/>
    </row>
    <row r="3706" spans="5:5" ht="16.5">
      <c r="E3706" s="123"/>
    </row>
    <row r="3707" spans="5:5" ht="16.5">
      <c r="E3707" s="123"/>
    </row>
    <row r="3708" spans="5:5" ht="16.5">
      <c r="E3708" s="123"/>
    </row>
    <row r="3709" spans="5:5" ht="16.5">
      <c r="E3709" s="123"/>
    </row>
    <row r="3710" spans="5:5" ht="16.5">
      <c r="E3710" s="123"/>
    </row>
    <row r="3711" spans="5:5" ht="16.5">
      <c r="E3711" s="123"/>
    </row>
    <row r="3712" spans="5:5" ht="16.5">
      <c r="E3712" s="123"/>
    </row>
    <row r="3713" spans="5:5" ht="16.5">
      <c r="E3713" s="123"/>
    </row>
    <row r="3714" spans="5:5" ht="16.5">
      <c r="E3714" s="123"/>
    </row>
    <row r="3715" spans="5:5" ht="16.5">
      <c r="E3715" s="123"/>
    </row>
    <row r="3716" spans="5:5" ht="16.5">
      <c r="E3716" s="123"/>
    </row>
    <row r="3717" spans="5:5" ht="16.5">
      <c r="E3717" s="123"/>
    </row>
    <row r="3718" spans="5:5" ht="16.5">
      <c r="E3718" s="123"/>
    </row>
    <row r="3719" spans="5:5" ht="16.5">
      <c r="E3719" s="123"/>
    </row>
    <row r="3720" spans="5:5" ht="16.5">
      <c r="E3720" s="123"/>
    </row>
    <row r="3721" spans="5:5" ht="16.5">
      <c r="E3721" s="123"/>
    </row>
    <row r="3722" spans="5:5" ht="16.5">
      <c r="E3722" s="123"/>
    </row>
    <row r="3723" spans="5:5" ht="16.5">
      <c r="E3723" s="123"/>
    </row>
    <row r="3724" spans="5:5" ht="16.5">
      <c r="E3724" s="123"/>
    </row>
    <row r="3725" spans="5:5" ht="16.5">
      <c r="E3725" s="123"/>
    </row>
    <row r="3726" spans="5:5" ht="16.5">
      <c r="E3726" s="123"/>
    </row>
    <row r="3727" spans="5:5" ht="16.5">
      <c r="E3727" s="123"/>
    </row>
    <row r="3728" spans="5:5" ht="16.5">
      <c r="E3728" s="123"/>
    </row>
    <row r="3729" spans="5:5" ht="16.5">
      <c r="E3729" s="123"/>
    </row>
    <row r="3730" spans="5:5" ht="16.5">
      <c r="E3730" s="123"/>
    </row>
    <row r="3731" spans="5:5" ht="16.5">
      <c r="E3731" s="123"/>
    </row>
    <row r="3732" spans="5:5" ht="16.5">
      <c r="E3732" s="123"/>
    </row>
    <row r="3733" spans="5:5" ht="16.5">
      <c r="E3733" s="123"/>
    </row>
    <row r="3734" spans="5:5" ht="16.5">
      <c r="E3734" s="123"/>
    </row>
    <row r="3735" spans="5:5" ht="16.5">
      <c r="E3735" s="123"/>
    </row>
    <row r="3736" spans="5:5" ht="16.5">
      <c r="E3736" s="123"/>
    </row>
    <row r="3737" spans="5:5" ht="16.5">
      <c r="E3737" s="123"/>
    </row>
    <row r="3738" spans="5:5" ht="16.5">
      <c r="E3738" s="123"/>
    </row>
    <row r="3739" spans="5:5" ht="16.5">
      <c r="E3739" s="123"/>
    </row>
    <row r="3740" spans="5:5" ht="16.5">
      <c r="E3740" s="123"/>
    </row>
    <row r="3741" spans="5:5" ht="16.5">
      <c r="E3741" s="123"/>
    </row>
    <row r="3742" spans="5:5" ht="16.5">
      <c r="E3742" s="123"/>
    </row>
    <row r="3743" spans="5:5" ht="16.5">
      <c r="E3743" s="123"/>
    </row>
    <row r="3744" spans="5:5" ht="16.5">
      <c r="E3744" s="123"/>
    </row>
    <row r="3745" spans="5:5" ht="16.5">
      <c r="E3745" s="123"/>
    </row>
    <row r="3746" spans="5:5" ht="16.5">
      <c r="E3746" s="123"/>
    </row>
    <row r="3747" spans="5:5" ht="16.5">
      <c r="E3747" s="123"/>
    </row>
    <row r="3748" spans="5:5" ht="16.5">
      <c r="E3748" s="123"/>
    </row>
    <row r="3749" spans="5:5" ht="16.5">
      <c r="E3749" s="123"/>
    </row>
    <row r="3750" spans="5:5" ht="16.5">
      <c r="E3750" s="123"/>
    </row>
    <row r="3751" spans="5:5" ht="16.5">
      <c r="E3751" s="123"/>
    </row>
    <row r="3752" spans="5:5" ht="16.5">
      <c r="E3752" s="123"/>
    </row>
    <row r="3753" spans="5:5" ht="16.5">
      <c r="E3753" s="123"/>
    </row>
    <row r="3754" spans="5:5" ht="16.5">
      <c r="E3754" s="123"/>
    </row>
    <row r="3755" spans="5:5" ht="16.5">
      <c r="E3755" s="123"/>
    </row>
    <row r="3756" spans="5:5" ht="16.5">
      <c r="E3756" s="123"/>
    </row>
    <row r="3757" spans="5:5" ht="16.5">
      <c r="E3757" s="123"/>
    </row>
    <row r="3758" spans="5:5" ht="16.5">
      <c r="E3758" s="123"/>
    </row>
    <row r="3759" spans="5:5" ht="16.5">
      <c r="E3759" s="123"/>
    </row>
    <row r="3760" spans="5:5" ht="16.5">
      <c r="E3760" s="123"/>
    </row>
    <row r="3761" spans="5:5" ht="16.5">
      <c r="E3761" s="123"/>
    </row>
    <row r="3762" spans="5:5" ht="16.5">
      <c r="E3762" s="123"/>
    </row>
    <row r="3763" spans="5:5" ht="16.5">
      <c r="E3763" s="123"/>
    </row>
    <row r="3764" spans="5:5" ht="16.5">
      <c r="E3764" s="123"/>
    </row>
    <row r="3765" spans="5:5" ht="16.5">
      <c r="E3765" s="123"/>
    </row>
    <row r="3766" spans="5:5" ht="16.5">
      <c r="E3766" s="123"/>
    </row>
    <row r="3767" spans="5:5" ht="16.5">
      <c r="E3767" s="123"/>
    </row>
    <row r="3768" spans="5:5" ht="16.5">
      <c r="E3768" s="123"/>
    </row>
    <row r="3769" spans="5:5" ht="16.5">
      <c r="E3769" s="123"/>
    </row>
    <row r="3770" spans="5:5" ht="16.5">
      <c r="E3770" s="123"/>
    </row>
    <row r="3771" spans="5:5" ht="16.5">
      <c r="E3771" s="123"/>
    </row>
    <row r="3772" spans="5:5" ht="16.5">
      <c r="E3772" s="123"/>
    </row>
    <row r="3773" spans="5:5" ht="16.5">
      <c r="E3773" s="123"/>
    </row>
    <row r="3774" spans="5:5" ht="16.5">
      <c r="E3774" s="123"/>
    </row>
    <row r="3775" spans="5:5" ht="16.5">
      <c r="E3775" s="123"/>
    </row>
    <row r="3776" spans="5:5" ht="16.5">
      <c r="E3776" s="123"/>
    </row>
    <row r="3777" spans="5:5" ht="16.5">
      <c r="E3777" s="123"/>
    </row>
    <row r="3778" spans="5:5" ht="16.5">
      <c r="E3778" s="123"/>
    </row>
    <row r="3779" spans="5:5" ht="16.5">
      <c r="E3779" s="123"/>
    </row>
    <row r="3780" spans="5:5" ht="16.5">
      <c r="E3780" s="123"/>
    </row>
    <row r="3781" spans="5:5" ht="16.5">
      <c r="E3781" s="123"/>
    </row>
    <row r="3782" spans="5:5" ht="16.5">
      <c r="E3782" s="123"/>
    </row>
    <row r="3783" spans="5:5" ht="16.5">
      <c r="E3783" s="123"/>
    </row>
    <row r="3784" spans="5:5" ht="16.5">
      <c r="E3784" s="123"/>
    </row>
    <row r="3785" spans="5:5" ht="16.5">
      <c r="E3785" s="123"/>
    </row>
    <row r="3786" spans="5:5" ht="16.5">
      <c r="E3786" s="123"/>
    </row>
    <row r="3787" spans="5:5" ht="16.5">
      <c r="E3787" s="123"/>
    </row>
    <row r="3788" spans="5:5" ht="16.5">
      <c r="E3788" s="123"/>
    </row>
    <row r="3789" spans="5:5" ht="16.5">
      <c r="E3789" s="123"/>
    </row>
    <row r="3790" spans="5:5" ht="16.5">
      <c r="E3790" s="123"/>
    </row>
    <row r="3791" spans="5:5" ht="16.5">
      <c r="E3791" s="123"/>
    </row>
    <row r="3792" spans="5:5" ht="16.5">
      <c r="E3792" s="123"/>
    </row>
    <row r="3793" spans="5:5" ht="16.5">
      <c r="E3793" s="123"/>
    </row>
    <row r="3794" spans="5:5" ht="16.5">
      <c r="E3794" s="123"/>
    </row>
    <row r="3795" spans="5:5" ht="16.5">
      <c r="E3795" s="123"/>
    </row>
    <row r="3796" spans="5:5" ht="16.5">
      <c r="E3796" s="123"/>
    </row>
    <row r="3797" spans="5:5" ht="16.5">
      <c r="E3797" s="123"/>
    </row>
    <row r="3798" spans="5:5" ht="16.5">
      <c r="E3798" s="123"/>
    </row>
    <row r="3799" spans="5:5" ht="16.5">
      <c r="E3799" s="123"/>
    </row>
    <row r="3800" spans="5:5" ht="16.5">
      <c r="E3800" s="123"/>
    </row>
    <row r="3801" spans="5:5" ht="16.5">
      <c r="E3801" s="123"/>
    </row>
    <row r="3802" spans="5:5" ht="16.5">
      <c r="E3802" s="123"/>
    </row>
    <row r="3803" spans="5:5" ht="16.5">
      <c r="E3803" s="123"/>
    </row>
    <row r="3804" spans="5:5" ht="16.5">
      <c r="E3804" s="123"/>
    </row>
    <row r="3805" spans="5:5" ht="16.5">
      <c r="E3805" s="123"/>
    </row>
    <row r="3806" spans="5:5" ht="16.5">
      <c r="E3806" s="123"/>
    </row>
    <row r="3807" spans="5:5" ht="16.5">
      <c r="E3807" s="123"/>
    </row>
    <row r="3808" spans="5:5" ht="16.5">
      <c r="E3808" s="123"/>
    </row>
    <row r="3809" spans="5:5" ht="16.5">
      <c r="E3809" s="123"/>
    </row>
    <row r="3810" spans="5:5" ht="16.5">
      <c r="E3810" s="123"/>
    </row>
    <row r="3811" spans="5:5" ht="16.5">
      <c r="E3811" s="123"/>
    </row>
    <row r="3812" spans="5:5" ht="16.5">
      <c r="E3812" s="123"/>
    </row>
    <row r="3813" spans="5:5" ht="16.5">
      <c r="E3813" s="123"/>
    </row>
    <row r="3814" spans="5:5" ht="16.5">
      <c r="E3814" s="123"/>
    </row>
    <row r="3815" spans="5:5" ht="16.5">
      <c r="E3815" s="123"/>
    </row>
    <row r="3816" spans="5:5" ht="16.5">
      <c r="E3816" s="123"/>
    </row>
    <row r="3817" spans="5:5" ht="16.5">
      <c r="E3817" s="123"/>
    </row>
    <row r="3818" spans="5:5" ht="16.5">
      <c r="E3818" s="123"/>
    </row>
    <row r="3819" spans="5:5" ht="16.5">
      <c r="E3819" s="123"/>
    </row>
    <row r="3820" spans="5:5" ht="16.5">
      <c r="E3820" s="123"/>
    </row>
    <row r="3821" spans="5:5" ht="16.5">
      <c r="E3821" s="123"/>
    </row>
    <row r="3822" spans="5:5" ht="16.5">
      <c r="E3822" s="123"/>
    </row>
    <row r="3823" spans="5:5" ht="16.5">
      <c r="E3823" s="123"/>
    </row>
    <row r="3824" spans="5:5" ht="16.5">
      <c r="E3824" s="123"/>
    </row>
    <row r="3825" spans="5:5" ht="16.5">
      <c r="E3825" s="123"/>
    </row>
    <row r="3826" spans="5:5" ht="16.5">
      <c r="E3826" s="123"/>
    </row>
    <row r="3827" spans="5:5" ht="16.5">
      <c r="E3827" s="123"/>
    </row>
    <row r="3828" spans="5:5" ht="16.5">
      <c r="E3828" s="123"/>
    </row>
    <row r="3829" spans="5:5" ht="16.5">
      <c r="E3829" s="123"/>
    </row>
    <row r="3830" spans="5:5" ht="16.5">
      <c r="E3830" s="123"/>
    </row>
    <row r="3831" spans="5:5" ht="16.5">
      <c r="E3831" s="123"/>
    </row>
    <row r="3832" spans="5:5" ht="16.5">
      <c r="E3832" s="123"/>
    </row>
    <row r="3833" spans="5:5" ht="16.5">
      <c r="E3833" s="123"/>
    </row>
    <row r="3834" spans="5:5" ht="16.5">
      <c r="E3834" s="123"/>
    </row>
    <row r="3835" spans="5:5" ht="16.5">
      <c r="E3835" s="123"/>
    </row>
    <row r="3836" spans="5:5" ht="16.5">
      <c r="E3836" s="123"/>
    </row>
    <row r="3837" spans="5:5" ht="16.5">
      <c r="E3837" s="123"/>
    </row>
    <row r="3838" spans="5:5" ht="16.5">
      <c r="E3838" s="123"/>
    </row>
    <row r="3839" spans="5:5" ht="16.5">
      <c r="E3839" s="123"/>
    </row>
    <row r="3840" spans="5:5" ht="16.5">
      <c r="E3840" s="123"/>
    </row>
    <row r="3841" spans="5:5" ht="16.5">
      <c r="E3841" s="123"/>
    </row>
    <row r="3842" spans="5:5" ht="16.5">
      <c r="E3842" s="123"/>
    </row>
    <row r="3843" spans="5:5" ht="16.5">
      <c r="E3843" s="123"/>
    </row>
    <row r="3844" spans="5:5" ht="16.5">
      <c r="E3844" s="123"/>
    </row>
    <row r="3845" spans="5:5" ht="16.5">
      <c r="E3845" s="123"/>
    </row>
    <row r="3846" spans="5:5" ht="16.5">
      <c r="E3846" s="123"/>
    </row>
    <row r="3847" spans="5:5" ht="16.5">
      <c r="E3847" s="123"/>
    </row>
    <row r="3848" spans="5:5" ht="16.5">
      <c r="E3848" s="123"/>
    </row>
    <row r="3849" spans="5:5" ht="16.5">
      <c r="E3849" s="123"/>
    </row>
    <row r="3850" spans="5:5" ht="16.5">
      <c r="E3850" s="123"/>
    </row>
    <row r="3851" spans="5:5" ht="16.5">
      <c r="E3851" s="123"/>
    </row>
    <row r="3852" spans="5:5" ht="16.5">
      <c r="E3852" s="123"/>
    </row>
    <row r="3853" spans="5:5" ht="16.5">
      <c r="E3853" s="123"/>
    </row>
    <row r="3854" spans="5:5" ht="16.5">
      <c r="E3854" s="123"/>
    </row>
    <row r="3855" spans="5:5" ht="16.5">
      <c r="E3855" s="123"/>
    </row>
    <row r="3856" spans="5:5" ht="16.5">
      <c r="E3856" s="123"/>
    </row>
    <row r="3857" spans="5:5" ht="16.5">
      <c r="E3857" s="123"/>
    </row>
    <row r="3858" spans="5:5" ht="16.5">
      <c r="E3858" s="123"/>
    </row>
    <row r="3859" spans="5:5" ht="16.5">
      <c r="E3859" s="123"/>
    </row>
    <row r="3860" spans="5:5" ht="16.5">
      <c r="E3860" s="123"/>
    </row>
    <row r="3861" spans="5:5" ht="16.5">
      <c r="E3861" s="123"/>
    </row>
    <row r="3862" spans="5:5" ht="16.5">
      <c r="E3862" s="123"/>
    </row>
    <row r="3863" spans="5:5" ht="16.5">
      <c r="E3863" s="123"/>
    </row>
    <row r="3864" spans="5:5" ht="16.5">
      <c r="E3864" s="123"/>
    </row>
    <row r="3865" spans="5:5" ht="16.5">
      <c r="E3865" s="123"/>
    </row>
    <row r="3866" spans="5:5" ht="16.5">
      <c r="E3866" s="123"/>
    </row>
    <row r="3867" spans="5:5" ht="16.5">
      <c r="E3867" s="123"/>
    </row>
    <row r="3868" spans="5:5" ht="16.5">
      <c r="E3868" s="123"/>
    </row>
    <row r="3869" spans="5:5" ht="16.5">
      <c r="E3869" s="123"/>
    </row>
    <row r="3870" spans="5:5" ht="16.5">
      <c r="E3870" s="123"/>
    </row>
    <row r="3871" spans="5:5" ht="16.5">
      <c r="E3871" s="123"/>
    </row>
    <row r="3872" spans="5:5" ht="16.5">
      <c r="E3872" s="123"/>
    </row>
    <row r="3873" spans="5:5" ht="16.5">
      <c r="E3873" s="123"/>
    </row>
    <row r="3874" spans="5:5" ht="16.5">
      <c r="E3874" s="123"/>
    </row>
    <row r="3875" spans="5:5" ht="16.5">
      <c r="E3875" s="123"/>
    </row>
    <row r="3876" spans="5:5" ht="16.5">
      <c r="E3876" s="123"/>
    </row>
    <row r="3877" spans="5:5" ht="16.5">
      <c r="E3877" s="123"/>
    </row>
    <row r="3878" spans="5:5" ht="16.5">
      <c r="E3878" s="123"/>
    </row>
    <row r="3879" spans="5:5" ht="16.5">
      <c r="E3879" s="123"/>
    </row>
    <row r="3880" spans="5:5" ht="16.5">
      <c r="E3880" s="123"/>
    </row>
    <row r="3881" spans="5:5" ht="16.5">
      <c r="E3881" s="123"/>
    </row>
    <row r="3882" spans="5:5" ht="16.5">
      <c r="E3882" s="123"/>
    </row>
    <row r="3883" spans="5:5" ht="16.5">
      <c r="E3883" s="123"/>
    </row>
    <row r="3884" spans="5:5" ht="16.5">
      <c r="E3884" s="123"/>
    </row>
    <row r="3885" spans="5:5" ht="16.5">
      <c r="E3885" s="123"/>
    </row>
    <row r="3886" spans="5:5" ht="16.5">
      <c r="E3886" s="123"/>
    </row>
    <row r="3887" spans="5:5" ht="16.5">
      <c r="E3887" s="123"/>
    </row>
    <row r="3888" spans="5:5" ht="16.5">
      <c r="E3888" s="123"/>
    </row>
    <row r="3889" spans="5:5" ht="16.5">
      <c r="E3889" s="123"/>
    </row>
    <row r="3890" spans="5:5" ht="16.5">
      <c r="E3890" s="123"/>
    </row>
    <row r="3891" spans="5:5" ht="16.5">
      <c r="E3891" s="123"/>
    </row>
    <row r="3892" spans="5:5" ht="16.5">
      <c r="E3892" s="123"/>
    </row>
    <row r="3893" spans="5:5" ht="16.5">
      <c r="E3893" s="123"/>
    </row>
    <row r="3894" spans="5:5" ht="16.5">
      <c r="E3894" s="123"/>
    </row>
    <row r="3895" spans="5:5" ht="16.5">
      <c r="E3895" s="123"/>
    </row>
    <row r="3896" spans="5:5" ht="16.5">
      <c r="E3896" s="123"/>
    </row>
    <row r="3897" spans="5:5" ht="16.5">
      <c r="E3897" s="123"/>
    </row>
    <row r="3898" spans="5:5" ht="16.5">
      <c r="E3898" s="123"/>
    </row>
    <row r="3899" spans="5:5" ht="16.5">
      <c r="E3899" s="123"/>
    </row>
    <row r="3900" spans="5:5" ht="16.5">
      <c r="E3900" s="123"/>
    </row>
    <row r="3901" spans="5:5" ht="16.5">
      <c r="E3901" s="123"/>
    </row>
    <row r="3902" spans="5:5" ht="16.5">
      <c r="E3902" s="123"/>
    </row>
    <row r="3903" spans="5:5" ht="16.5">
      <c r="E3903" s="123"/>
    </row>
    <row r="3904" spans="5:5" ht="16.5">
      <c r="E3904" s="123"/>
    </row>
    <row r="3905" spans="5:5" ht="16.5">
      <c r="E3905" s="123"/>
    </row>
    <row r="3906" spans="5:5" ht="16.5">
      <c r="E3906" s="123"/>
    </row>
    <row r="3907" spans="5:5" ht="16.5">
      <c r="E3907" s="123"/>
    </row>
    <row r="3908" spans="5:5" ht="16.5">
      <c r="E3908" s="123"/>
    </row>
    <row r="3909" spans="5:5" ht="16.5">
      <c r="E3909" s="123"/>
    </row>
    <row r="3910" spans="5:5" ht="16.5">
      <c r="E3910" s="123"/>
    </row>
    <row r="3911" spans="5:5" ht="16.5">
      <c r="E3911" s="123"/>
    </row>
    <row r="3912" spans="5:5" ht="16.5">
      <c r="E3912" s="123"/>
    </row>
    <row r="3913" spans="5:5" ht="16.5">
      <c r="E3913" s="123"/>
    </row>
    <row r="3914" spans="5:5" ht="16.5">
      <c r="E3914" s="123"/>
    </row>
    <row r="3915" spans="5:5" ht="16.5">
      <c r="E3915" s="123"/>
    </row>
    <row r="3916" spans="5:5" ht="16.5">
      <c r="E3916" s="123"/>
    </row>
    <row r="3917" spans="5:5" ht="16.5">
      <c r="E3917" s="123"/>
    </row>
    <row r="3918" spans="5:5" ht="16.5">
      <c r="E3918" s="123"/>
    </row>
    <row r="3919" spans="5:5" ht="16.5">
      <c r="E3919" s="123"/>
    </row>
    <row r="3920" spans="5:5" ht="16.5">
      <c r="E3920" s="123"/>
    </row>
    <row r="3921" spans="5:5" ht="16.5">
      <c r="E3921" s="123"/>
    </row>
    <row r="3922" spans="5:5" ht="16.5">
      <c r="E3922" s="123"/>
    </row>
    <row r="3923" spans="5:5" ht="16.5">
      <c r="E3923" s="123"/>
    </row>
    <row r="3924" spans="5:5" ht="16.5">
      <c r="E3924" s="123"/>
    </row>
    <row r="3925" spans="5:5" ht="16.5">
      <c r="E3925" s="123"/>
    </row>
    <row r="3926" spans="5:5" ht="16.5">
      <c r="E3926" s="123"/>
    </row>
    <row r="3927" spans="5:5" ht="16.5">
      <c r="E3927" s="123"/>
    </row>
    <row r="3928" spans="5:5" ht="16.5">
      <c r="E3928" s="123"/>
    </row>
    <row r="3929" spans="5:5" ht="16.5">
      <c r="E3929" s="123"/>
    </row>
    <row r="3930" spans="5:5" ht="16.5">
      <c r="E3930" s="123"/>
    </row>
    <row r="3931" spans="5:5" ht="16.5">
      <c r="E3931" s="123"/>
    </row>
    <row r="3932" spans="5:5" ht="16.5">
      <c r="E3932" s="123"/>
    </row>
    <row r="3933" spans="5:5" ht="16.5">
      <c r="E3933" s="123"/>
    </row>
    <row r="3934" spans="5:5" ht="16.5">
      <c r="E3934" s="123"/>
    </row>
    <row r="3935" spans="5:5" ht="16.5">
      <c r="E3935" s="123"/>
    </row>
    <row r="3936" spans="5:5" ht="16.5">
      <c r="E3936" s="123"/>
    </row>
    <row r="3937" spans="5:5" ht="16.5">
      <c r="E3937" s="123"/>
    </row>
    <row r="3938" spans="5:5" ht="16.5">
      <c r="E3938" s="123"/>
    </row>
    <row r="3939" spans="5:5" ht="16.5">
      <c r="E3939" s="123"/>
    </row>
    <row r="3940" spans="5:5" ht="16.5">
      <c r="E3940" s="123"/>
    </row>
    <row r="3941" spans="5:5" ht="16.5">
      <c r="E3941" s="123"/>
    </row>
    <row r="3942" spans="5:5" ht="16.5">
      <c r="E3942" s="123"/>
    </row>
    <row r="3943" spans="5:5" ht="16.5">
      <c r="E3943" s="123"/>
    </row>
    <row r="3944" spans="5:5" ht="16.5">
      <c r="E3944" s="123"/>
    </row>
    <row r="3945" spans="5:5" ht="16.5">
      <c r="E3945" s="123"/>
    </row>
    <row r="3946" spans="5:5" ht="16.5">
      <c r="E3946" s="123"/>
    </row>
    <row r="3947" spans="5:5" ht="16.5">
      <c r="E3947" s="123"/>
    </row>
    <row r="3948" spans="5:5" ht="16.5">
      <c r="E3948" s="123"/>
    </row>
    <row r="3949" spans="5:5" ht="16.5">
      <c r="E3949" s="123"/>
    </row>
    <row r="3950" spans="5:5" ht="16.5">
      <c r="E3950" s="123"/>
    </row>
    <row r="3951" spans="5:5" ht="16.5">
      <c r="E3951" s="123"/>
    </row>
    <row r="3952" spans="5:5" ht="16.5">
      <c r="E3952" s="123"/>
    </row>
    <row r="3953" spans="5:5" ht="16.5">
      <c r="E3953" s="123"/>
    </row>
    <row r="3954" spans="5:5" ht="16.5">
      <c r="E3954" s="123"/>
    </row>
    <row r="3955" spans="5:5" ht="16.5">
      <c r="E3955" s="123"/>
    </row>
    <row r="3956" spans="5:5" ht="16.5">
      <c r="E3956" s="123"/>
    </row>
    <row r="3957" spans="5:5" ht="16.5">
      <c r="E3957" s="123"/>
    </row>
    <row r="3958" spans="5:5" ht="16.5">
      <c r="E3958" s="123"/>
    </row>
    <row r="3959" spans="5:5" ht="16.5">
      <c r="E3959" s="123"/>
    </row>
    <row r="3960" spans="5:5" ht="16.5">
      <c r="E3960" s="123"/>
    </row>
    <row r="3961" spans="5:5" ht="16.5">
      <c r="E3961" s="123"/>
    </row>
    <row r="3962" spans="5:5" ht="16.5">
      <c r="E3962" s="123"/>
    </row>
    <row r="3963" spans="5:5" ht="16.5">
      <c r="E3963" s="123"/>
    </row>
    <row r="3964" spans="5:5" ht="16.5">
      <c r="E3964" s="123"/>
    </row>
    <row r="3965" spans="5:5" ht="16.5">
      <c r="E3965" s="123"/>
    </row>
    <row r="3966" spans="5:5" ht="16.5">
      <c r="E3966" s="123"/>
    </row>
    <row r="3967" spans="5:5" ht="16.5">
      <c r="E3967" s="123"/>
    </row>
    <row r="3968" spans="5:5" ht="16.5">
      <c r="E3968" s="123"/>
    </row>
    <row r="3969" spans="5:5" ht="16.5">
      <c r="E3969" s="123"/>
    </row>
    <row r="3970" spans="5:5" ht="16.5">
      <c r="E3970" s="123"/>
    </row>
    <row r="3971" spans="5:5" ht="16.5">
      <c r="E3971" s="123"/>
    </row>
    <row r="3972" spans="5:5" ht="16.5">
      <c r="E3972" s="123"/>
    </row>
    <row r="3973" spans="5:5" ht="16.5">
      <c r="E3973" s="123"/>
    </row>
    <row r="3974" spans="5:5" ht="16.5">
      <c r="E3974" s="123"/>
    </row>
    <row r="3975" spans="5:5" ht="16.5">
      <c r="E3975" s="123"/>
    </row>
    <row r="3976" spans="5:5" ht="16.5">
      <c r="E3976" s="123"/>
    </row>
    <row r="3977" spans="5:5" ht="16.5">
      <c r="E3977" s="123"/>
    </row>
    <row r="3978" spans="5:5" ht="16.5">
      <c r="E3978" s="123"/>
    </row>
    <row r="3979" spans="5:5" ht="16.5">
      <c r="E3979" s="123"/>
    </row>
    <row r="3980" spans="5:5" ht="16.5">
      <c r="E3980" s="123"/>
    </row>
    <row r="3981" spans="5:5" ht="16.5">
      <c r="E3981" s="123"/>
    </row>
    <row r="3982" spans="5:5" ht="16.5">
      <c r="E3982" s="123"/>
    </row>
    <row r="3983" spans="5:5" ht="16.5">
      <c r="E3983" s="123"/>
    </row>
    <row r="3984" spans="5:5" ht="16.5">
      <c r="E3984" s="123"/>
    </row>
    <row r="3985" spans="5:5" ht="16.5">
      <c r="E3985" s="123"/>
    </row>
    <row r="3986" spans="5:5" ht="16.5">
      <c r="E3986" s="123"/>
    </row>
    <row r="3987" spans="5:5" ht="16.5">
      <c r="E3987" s="123"/>
    </row>
    <row r="3988" spans="5:5" ht="16.5">
      <c r="E3988" s="123"/>
    </row>
    <row r="3989" spans="5:5" ht="16.5">
      <c r="E3989" s="123"/>
    </row>
    <row r="3990" spans="5:5" ht="16.5">
      <c r="E3990" s="123"/>
    </row>
    <row r="3991" spans="5:5" ht="16.5">
      <c r="E3991" s="123"/>
    </row>
    <row r="3992" spans="5:5" ht="16.5">
      <c r="E3992" s="123"/>
    </row>
    <row r="3993" spans="5:5" ht="16.5">
      <c r="E3993" s="123"/>
    </row>
    <row r="3994" spans="5:5" ht="16.5">
      <c r="E3994" s="123"/>
    </row>
    <row r="3995" spans="5:5" ht="16.5">
      <c r="E3995" s="123"/>
    </row>
    <row r="3996" spans="5:5" ht="16.5">
      <c r="E3996" s="123"/>
    </row>
    <row r="3997" spans="5:5" ht="16.5">
      <c r="E3997" s="123"/>
    </row>
    <row r="3998" spans="5:5" ht="16.5">
      <c r="E3998" s="123"/>
    </row>
    <row r="3999" spans="5:5" ht="16.5">
      <c r="E3999" s="123"/>
    </row>
    <row r="4000" spans="5:5" ht="16.5">
      <c r="E4000" s="123"/>
    </row>
    <row r="4001" spans="5:5" ht="16.5">
      <c r="E4001" s="123"/>
    </row>
    <row r="4002" spans="5:5" ht="16.5">
      <c r="E4002" s="123"/>
    </row>
    <row r="4003" spans="5:5" ht="16.5">
      <c r="E4003" s="123"/>
    </row>
    <row r="4004" spans="5:5" ht="16.5">
      <c r="E4004" s="123"/>
    </row>
    <row r="4005" spans="5:5" ht="16.5">
      <c r="E4005" s="123"/>
    </row>
    <row r="4006" spans="5:5" ht="16.5">
      <c r="E4006" s="123"/>
    </row>
    <row r="4007" spans="5:5" ht="16.5">
      <c r="E4007" s="123"/>
    </row>
    <row r="4008" spans="5:5" ht="16.5">
      <c r="E4008" s="123"/>
    </row>
    <row r="4009" spans="5:5" ht="16.5">
      <c r="E4009" s="123"/>
    </row>
    <row r="4010" spans="5:5" ht="16.5">
      <c r="E4010" s="123"/>
    </row>
    <row r="4011" spans="5:5" ht="16.5">
      <c r="E4011" s="123"/>
    </row>
    <row r="4012" spans="5:5" ht="16.5">
      <c r="E4012" s="123"/>
    </row>
    <row r="4013" spans="5:5" ht="16.5">
      <c r="E4013" s="123"/>
    </row>
    <row r="4014" spans="5:5" ht="16.5">
      <c r="E4014" s="123"/>
    </row>
    <row r="4015" spans="5:5" ht="16.5">
      <c r="E4015" s="123"/>
    </row>
    <row r="4016" spans="5:5" ht="16.5">
      <c r="E4016" s="123"/>
    </row>
    <row r="4017" spans="5:5" ht="16.5">
      <c r="E4017" s="123"/>
    </row>
    <row r="4018" spans="5:5" ht="16.5">
      <c r="E4018" s="123"/>
    </row>
    <row r="4019" spans="5:5" ht="16.5">
      <c r="E4019" s="123"/>
    </row>
    <row r="4020" spans="5:5" ht="16.5">
      <c r="E4020" s="123"/>
    </row>
    <row r="4021" spans="5:5" ht="16.5">
      <c r="E4021" s="123"/>
    </row>
    <row r="4022" spans="5:5" ht="16.5">
      <c r="E4022" s="123"/>
    </row>
    <row r="4023" spans="5:5" ht="16.5">
      <c r="E4023" s="123"/>
    </row>
    <row r="4024" spans="5:5" ht="16.5">
      <c r="E4024" s="123"/>
    </row>
    <row r="4025" spans="5:5" ht="16.5">
      <c r="E4025" s="123"/>
    </row>
    <row r="4026" spans="5:5" ht="16.5">
      <c r="E4026" s="123"/>
    </row>
    <row r="4027" spans="5:5" ht="16.5">
      <c r="E4027" s="123"/>
    </row>
    <row r="4028" spans="5:5" ht="16.5">
      <c r="E4028" s="123"/>
    </row>
    <row r="4029" spans="5:5" ht="16.5">
      <c r="E4029" s="123"/>
    </row>
    <row r="4030" spans="5:5" ht="16.5">
      <c r="E4030" s="123"/>
    </row>
    <row r="4031" spans="5:5" ht="16.5">
      <c r="E4031" s="123"/>
    </row>
    <row r="4032" spans="5:5" ht="16.5">
      <c r="E4032" s="123"/>
    </row>
    <row r="4033" spans="5:5" ht="16.5">
      <c r="E4033" s="123"/>
    </row>
    <row r="4034" spans="5:5" ht="16.5">
      <c r="E4034" s="123"/>
    </row>
    <row r="4035" spans="5:5" ht="16.5">
      <c r="E4035" s="123"/>
    </row>
    <row r="4036" spans="5:5" ht="16.5">
      <c r="E4036" s="123"/>
    </row>
    <row r="4037" spans="5:5" ht="16.5">
      <c r="E4037" s="123"/>
    </row>
    <row r="4038" spans="5:5" ht="16.5">
      <c r="E4038" s="123"/>
    </row>
    <row r="4039" spans="5:5" ht="16.5">
      <c r="E4039" s="123"/>
    </row>
    <row r="4040" spans="5:5" ht="16.5">
      <c r="E4040" s="123"/>
    </row>
    <row r="4041" spans="5:5" ht="16.5">
      <c r="E4041" s="123"/>
    </row>
    <row r="4042" spans="5:5" ht="16.5">
      <c r="E4042" s="123"/>
    </row>
    <row r="4043" spans="5:5" ht="16.5">
      <c r="E4043" s="123"/>
    </row>
    <row r="4044" spans="5:5" ht="16.5">
      <c r="E4044" s="123"/>
    </row>
    <row r="4045" spans="5:5" ht="16.5">
      <c r="E4045" s="123"/>
    </row>
    <row r="4046" spans="5:5" ht="16.5">
      <c r="E4046" s="123"/>
    </row>
    <row r="4047" spans="5:5" ht="16.5">
      <c r="E4047" s="123"/>
    </row>
    <row r="4048" spans="5:5" ht="16.5">
      <c r="E4048" s="123"/>
    </row>
    <row r="4049" spans="5:5" ht="16.5">
      <c r="E4049" s="123"/>
    </row>
    <row r="4050" spans="5:5" ht="16.5">
      <c r="E4050" s="123"/>
    </row>
    <row r="4051" spans="5:5" ht="16.5">
      <c r="E4051" s="123"/>
    </row>
    <row r="4052" spans="5:5" ht="16.5">
      <c r="E4052" s="123"/>
    </row>
    <row r="4053" spans="5:5" ht="16.5">
      <c r="E4053" s="123"/>
    </row>
    <row r="4054" spans="5:5" ht="16.5">
      <c r="E4054" s="123"/>
    </row>
    <row r="4055" spans="5:5" ht="16.5">
      <c r="E4055" s="123"/>
    </row>
    <row r="4056" spans="5:5" ht="16.5">
      <c r="E4056" s="123"/>
    </row>
    <row r="4057" spans="5:5" ht="16.5">
      <c r="E4057" s="123"/>
    </row>
    <row r="4058" spans="5:5" ht="16.5">
      <c r="E4058" s="123"/>
    </row>
    <row r="4059" spans="5:5" ht="16.5">
      <c r="E4059" s="123"/>
    </row>
    <row r="4060" spans="5:5" ht="16.5">
      <c r="E4060" s="123"/>
    </row>
    <row r="4061" spans="5:5" ht="16.5">
      <c r="E4061" s="123"/>
    </row>
    <row r="4062" spans="5:5" ht="16.5">
      <c r="E4062" s="123"/>
    </row>
    <row r="4063" spans="5:5" ht="16.5">
      <c r="E4063" s="123"/>
    </row>
    <row r="4064" spans="5:5" ht="16.5">
      <c r="E4064" s="123"/>
    </row>
    <row r="4065" spans="5:5" ht="16.5">
      <c r="E4065" s="123"/>
    </row>
    <row r="4066" spans="5:5" ht="16.5">
      <c r="E4066" s="123"/>
    </row>
    <row r="4067" spans="5:5" ht="16.5">
      <c r="E4067" s="123"/>
    </row>
    <row r="4068" spans="5:5" ht="16.5">
      <c r="E4068" s="123"/>
    </row>
    <row r="4069" spans="5:5" ht="16.5">
      <c r="E4069" s="123"/>
    </row>
    <row r="4070" spans="5:5" ht="16.5">
      <c r="E4070" s="123"/>
    </row>
    <row r="4071" spans="5:5" ht="16.5">
      <c r="E4071" s="123"/>
    </row>
    <row r="4072" spans="5:5" ht="16.5">
      <c r="E4072" s="123"/>
    </row>
    <row r="4073" spans="5:5" ht="16.5">
      <c r="E4073" s="123"/>
    </row>
    <row r="4074" spans="5:5" ht="16.5">
      <c r="E4074" s="123"/>
    </row>
    <row r="4075" spans="5:5" ht="16.5">
      <c r="E4075" s="123"/>
    </row>
    <row r="4076" spans="5:5" ht="16.5">
      <c r="E4076" s="123"/>
    </row>
    <row r="4077" spans="5:5" ht="16.5">
      <c r="E4077" s="123"/>
    </row>
    <row r="4078" spans="5:5" ht="16.5">
      <c r="E4078" s="123"/>
    </row>
    <row r="4079" spans="5:5" ht="16.5">
      <c r="E4079" s="123"/>
    </row>
    <row r="4080" spans="5:5" ht="16.5">
      <c r="E4080" s="123"/>
    </row>
    <row r="4081" spans="5:5" ht="16.5">
      <c r="E4081" s="123"/>
    </row>
    <row r="4082" spans="5:5" ht="16.5">
      <c r="E4082" s="123"/>
    </row>
    <row r="4083" spans="5:5" ht="16.5">
      <c r="E4083" s="123"/>
    </row>
    <row r="4084" spans="5:5" ht="16.5">
      <c r="E4084" s="123"/>
    </row>
    <row r="4085" spans="5:5" ht="16.5">
      <c r="E4085" s="123"/>
    </row>
    <row r="4086" spans="5:5" ht="16.5">
      <c r="E4086" s="123"/>
    </row>
    <row r="4087" spans="5:5" ht="16.5">
      <c r="E4087" s="123"/>
    </row>
    <row r="4088" spans="5:5" ht="16.5">
      <c r="E4088" s="123"/>
    </row>
    <row r="4089" spans="5:5" ht="16.5">
      <c r="E4089" s="123"/>
    </row>
    <row r="4090" spans="5:5" ht="16.5">
      <c r="E4090" s="123"/>
    </row>
    <row r="4091" spans="5:5" ht="16.5">
      <c r="E4091" s="123"/>
    </row>
    <row r="4092" spans="5:5" ht="16.5">
      <c r="E4092" s="123"/>
    </row>
    <row r="4093" spans="5:5" ht="16.5">
      <c r="E4093" s="123"/>
    </row>
    <row r="4094" spans="5:5" ht="16.5">
      <c r="E4094" s="123"/>
    </row>
    <row r="4095" spans="5:5" ht="16.5">
      <c r="E4095" s="123"/>
    </row>
    <row r="4096" spans="5:5" ht="16.5">
      <c r="E4096" s="123"/>
    </row>
    <row r="4097" spans="5:5" ht="16.5">
      <c r="E4097" s="123"/>
    </row>
    <row r="4098" spans="5:5" ht="16.5">
      <c r="E4098" s="123"/>
    </row>
    <row r="4099" spans="5:5" ht="16.5">
      <c r="E4099" s="123"/>
    </row>
    <row r="4100" spans="5:5" ht="16.5">
      <c r="E4100" s="123"/>
    </row>
    <row r="4101" spans="5:5" ht="16.5">
      <c r="E4101" s="123"/>
    </row>
    <row r="4102" spans="5:5" ht="16.5">
      <c r="E4102" s="123"/>
    </row>
    <row r="4103" spans="5:5" ht="16.5">
      <c r="E4103" s="123"/>
    </row>
    <row r="4104" spans="5:5" ht="16.5">
      <c r="E4104" s="123"/>
    </row>
    <row r="4105" spans="5:5" ht="16.5">
      <c r="E4105" s="123"/>
    </row>
    <row r="4106" spans="5:5" ht="16.5">
      <c r="E4106" s="123"/>
    </row>
    <row r="4107" spans="5:5" ht="16.5">
      <c r="E4107" s="123"/>
    </row>
    <row r="4108" spans="5:5" ht="16.5">
      <c r="E4108" s="123"/>
    </row>
    <row r="4109" spans="5:5" ht="16.5">
      <c r="E4109" s="123"/>
    </row>
    <row r="4110" spans="5:5" ht="16.5">
      <c r="E4110" s="123"/>
    </row>
    <row r="4111" spans="5:5" ht="16.5">
      <c r="E4111" s="123"/>
    </row>
    <row r="4112" spans="5:5" ht="16.5">
      <c r="E4112" s="123"/>
    </row>
    <row r="4113" spans="5:5" ht="16.5">
      <c r="E4113" s="123"/>
    </row>
    <row r="4114" spans="5:5" ht="16.5">
      <c r="E4114" s="123"/>
    </row>
    <row r="4115" spans="5:5" ht="16.5">
      <c r="E4115" s="123"/>
    </row>
    <row r="4116" spans="5:5" ht="16.5">
      <c r="E4116" s="123"/>
    </row>
    <row r="4117" spans="5:5" ht="16.5">
      <c r="E4117" s="123"/>
    </row>
    <row r="4118" spans="5:5" ht="16.5">
      <c r="E4118" s="123"/>
    </row>
    <row r="4119" spans="5:5" ht="16.5">
      <c r="E4119" s="123"/>
    </row>
    <row r="4120" spans="5:5" ht="16.5">
      <c r="E4120" s="123"/>
    </row>
    <row r="4121" spans="5:5" ht="16.5">
      <c r="E4121" s="123"/>
    </row>
    <row r="4122" spans="5:5" ht="16.5">
      <c r="E4122" s="123"/>
    </row>
    <row r="4123" spans="5:5" ht="16.5">
      <c r="E4123" s="123"/>
    </row>
    <row r="4124" spans="5:5" ht="16.5">
      <c r="E4124" s="123"/>
    </row>
    <row r="4125" spans="5:5" ht="16.5">
      <c r="E4125" s="123"/>
    </row>
    <row r="4126" spans="5:5" ht="16.5">
      <c r="E4126" s="123"/>
    </row>
    <row r="4127" spans="5:5" ht="16.5">
      <c r="E4127" s="123"/>
    </row>
    <row r="4128" spans="5:5" ht="16.5">
      <c r="E4128" s="123"/>
    </row>
    <row r="4129" spans="5:5" ht="16.5">
      <c r="E4129" s="123"/>
    </row>
    <row r="4130" spans="5:5" ht="16.5">
      <c r="E4130" s="123"/>
    </row>
    <row r="4131" spans="5:5" ht="16.5">
      <c r="E4131" s="123"/>
    </row>
    <row r="4132" spans="5:5" ht="16.5">
      <c r="E4132" s="123"/>
    </row>
    <row r="4133" spans="5:5" ht="16.5">
      <c r="E4133" s="123"/>
    </row>
    <row r="4134" spans="5:5" ht="16.5">
      <c r="E4134" s="123"/>
    </row>
    <row r="4135" spans="5:5" ht="16.5">
      <c r="E4135" s="123"/>
    </row>
    <row r="4136" spans="5:5" ht="16.5">
      <c r="E4136" s="123"/>
    </row>
    <row r="4137" spans="5:5" ht="16.5">
      <c r="E4137" s="123"/>
    </row>
    <row r="4138" spans="5:5" ht="16.5">
      <c r="E4138" s="123"/>
    </row>
    <row r="4139" spans="5:5" ht="16.5">
      <c r="E4139" s="123"/>
    </row>
    <row r="4140" spans="5:5" ht="16.5">
      <c r="E4140" s="123"/>
    </row>
    <row r="4141" spans="5:5" ht="16.5">
      <c r="E4141" s="123"/>
    </row>
    <row r="4142" spans="5:5" ht="16.5">
      <c r="E4142" s="123"/>
    </row>
    <row r="4143" spans="5:5" ht="16.5">
      <c r="E4143" s="123"/>
    </row>
    <row r="4144" spans="5:5" ht="16.5">
      <c r="E4144" s="123"/>
    </row>
    <row r="4145" spans="5:5" ht="16.5">
      <c r="E4145" s="123"/>
    </row>
    <row r="4146" spans="5:5" ht="16.5">
      <c r="E4146" s="123"/>
    </row>
    <row r="4147" spans="5:5" ht="16.5">
      <c r="E4147" s="123"/>
    </row>
    <row r="4148" spans="5:5" ht="16.5">
      <c r="E4148" s="123"/>
    </row>
    <row r="4149" spans="5:5" ht="16.5">
      <c r="E4149" s="123"/>
    </row>
    <row r="4150" spans="5:5" ht="16.5">
      <c r="E4150" s="123"/>
    </row>
    <row r="4151" spans="5:5" ht="16.5">
      <c r="E4151" s="123"/>
    </row>
    <row r="4152" spans="5:5" ht="16.5">
      <c r="E4152" s="123"/>
    </row>
    <row r="4153" spans="5:5" ht="16.5">
      <c r="E4153" s="123"/>
    </row>
    <row r="4154" spans="5:5" ht="16.5">
      <c r="E4154" s="123"/>
    </row>
    <row r="4155" spans="5:5" ht="16.5">
      <c r="E4155" s="123"/>
    </row>
    <row r="4156" spans="5:5" ht="16.5">
      <c r="E4156" s="123"/>
    </row>
    <row r="4157" spans="5:5" ht="16.5">
      <c r="E4157" s="123"/>
    </row>
    <row r="4158" spans="5:5" ht="16.5">
      <c r="E4158" s="123"/>
    </row>
    <row r="4159" spans="5:5" ht="16.5">
      <c r="E4159" s="123"/>
    </row>
    <row r="4160" spans="5:5" ht="16.5">
      <c r="E4160" s="123"/>
    </row>
    <row r="4161" spans="5:5" ht="16.5">
      <c r="E4161" s="123"/>
    </row>
    <row r="4162" spans="5:5" ht="16.5">
      <c r="E4162" s="123"/>
    </row>
    <row r="4163" spans="5:5" ht="16.5">
      <c r="E4163" s="123"/>
    </row>
    <row r="4164" spans="5:5" ht="16.5">
      <c r="E4164" s="123"/>
    </row>
    <row r="4165" spans="5:5" ht="16.5">
      <c r="E4165" s="123"/>
    </row>
    <row r="4166" spans="5:5" ht="16.5">
      <c r="E4166" s="123"/>
    </row>
    <row r="4167" spans="5:5" ht="16.5">
      <c r="E4167" s="123"/>
    </row>
    <row r="4168" spans="5:5" ht="16.5">
      <c r="E4168" s="123"/>
    </row>
    <row r="4169" spans="5:5" ht="16.5">
      <c r="E4169" s="123"/>
    </row>
    <row r="4170" spans="5:5" ht="16.5">
      <c r="E4170" s="123"/>
    </row>
    <row r="4171" spans="5:5" ht="16.5">
      <c r="E4171" s="123"/>
    </row>
    <row r="4172" spans="5:5" ht="16.5">
      <c r="E4172" s="123"/>
    </row>
    <row r="4173" spans="5:5" ht="16.5">
      <c r="E4173" s="123"/>
    </row>
    <row r="4174" spans="5:5" ht="16.5">
      <c r="E4174" s="123"/>
    </row>
    <row r="4175" spans="5:5" ht="16.5">
      <c r="E4175" s="123"/>
    </row>
    <row r="4176" spans="5:5" ht="16.5">
      <c r="E4176" s="123"/>
    </row>
    <row r="4177" spans="5:5" ht="16.5">
      <c r="E4177" s="123"/>
    </row>
    <row r="4178" spans="5:5" ht="16.5">
      <c r="E4178" s="123"/>
    </row>
    <row r="4179" spans="5:5" ht="16.5">
      <c r="E4179" s="123"/>
    </row>
    <row r="4180" spans="5:5" ht="16.5">
      <c r="E4180" s="123"/>
    </row>
    <row r="4181" spans="5:5" ht="16.5">
      <c r="E4181" s="123"/>
    </row>
    <row r="4182" spans="5:5" ht="16.5">
      <c r="E4182" s="123"/>
    </row>
    <row r="4183" spans="5:5" ht="16.5">
      <c r="E4183" s="123"/>
    </row>
    <row r="4184" spans="5:5" ht="16.5">
      <c r="E4184" s="123"/>
    </row>
    <row r="4185" spans="5:5" ht="16.5">
      <c r="E4185" s="123"/>
    </row>
    <row r="4186" spans="5:5" ht="16.5">
      <c r="E4186" s="123"/>
    </row>
    <row r="4187" spans="5:5" ht="16.5">
      <c r="E4187" s="123"/>
    </row>
    <row r="4188" spans="5:5" ht="16.5">
      <c r="E4188" s="123"/>
    </row>
    <row r="4189" spans="5:5" ht="16.5">
      <c r="E4189" s="123"/>
    </row>
    <row r="4190" spans="5:5" ht="16.5">
      <c r="E4190" s="123"/>
    </row>
    <row r="4191" spans="5:5" ht="16.5">
      <c r="E4191" s="123"/>
    </row>
    <row r="4192" spans="5:5" ht="16.5">
      <c r="E4192" s="123"/>
    </row>
    <row r="4193" spans="5:5" ht="16.5">
      <c r="E4193" s="123"/>
    </row>
    <row r="4194" spans="5:5" ht="16.5">
      <c r="E4194" s="123"/>
    </row>
    <row r="4195" spans="5:5" ht="16.5">
      <c r="E4195" s="123"/>
    </row>
    <row r="4196" spans="5:5" ht="16.5">
      <c r="E4196" s="123"/>
    </row>
    <row r="4197" spans="5:5" ht="16.5">
      <c r="E4197" s="123"/>
    </row>
    <row r="4198" spans="5:5" ht="16.5">
      <c r="E4198" s="123"/>
    </row>
    <row r="4199" spans="5:5" ht="16.5">
      <c r="E4199" s="123"/>
    </row>
    <row r="4200" spans="5:5" ht="16.5">
      <c r="E4200" s="123"/>
    </row>
    <row r="4201" spans="5:5" ht="16.5">
      <c r="E4201" s="123"/>
    </row>
    <row r="4202" spans="5:5" ht="16.5">
      <c r="E4202" s="123"/>
    </row>
    <row r="4203" spans="5:5" ht="16.5">
      <c r="E4203" s="123"/>
    </row>
    <row r="4204" spans="5:5" ht="16.5">
      <c r="E4204" s="123"/>
    </row>
    <row r="4205" spans="5:5" ht="16.5">
      <c r="E4205" s="123"/>
    </row>
    <row r="4206" spans="5:5" ht="16.5">
      <c r="E4206" s="123"/>
    </row>
    <row r="4207" spans="5:5" ht="16.5">
      <c r="E4207" s="123"/>
    </row>
    <row r="4208" spans="5:5" ht="16.5">
      <c r="E4208" s="123"/>
    </row>
    <row r="4209" spans="5:5" ht="16.5">
      <c r="E4209" s="123"/>
    </row>
    <row r="4210" spans="5:5" ht="16.5">
      <c r="E4210" s="123"/>
    </row>
    <row r="4211" spans="5:5" ht="16.5">
      <c r="E4211" s="123"/>
    </row>
    <row r="4212" spans="5:5" ht="16.5">
      <c r="E4212" s="123"/>
    </row>
    <row r="4213" spans="5:5" ht="16.5">
      <c r="E4213" s="123"/>
    </row>
    <row r="4214" spans="5:5" ht="16.5">
      <c r="E4214" s="123"/>
    </row>
    <row r="4215" spans="5:5" ht="16.5">
      <c r="E4215" s="123"/>
    </row>
    <row r="4216" spans="5:5" ht="16.5">
      <c r="E4216" s="123"/>
    </row>
    <row r="4217" spans="5:5" ht="16.5">
      <c r="E4217" s="123"/>
    </row>
    <row r="4218" spans="5:5" ht="16.5">
      <c r="E4218" s="123"/>
    </row>
    <row r="4219" spans="5:5" ht="16.5">
      <c r="E4219" s="123"/>
    </row>
    <row r="4220" spans="5:5" ht="16.5">
      <c r="E4220" s="123"/>
    </row>
    <row r="4221" spans="5:5" ht="16.5">
      <c r="E4221" s="123"/>
    </row>
    <row r="4222" spans="5:5" ht="16.5">
      <c r="E4222" s="123"/>
    </row>
    <row r="4223" spans="5:5" ht="16.5">
      <c r="E4223" s="123"/>
    </row>
    <row r="4224" spans="5:5" ht="16.5">
      <c r="E4224" s="123"/>
    </row>
    <row r="4225" spans="5:5" ht="16.5">
      <c r="E4225" s="123"/>
    </row>
    <row r="4226" spans="5:5" ht="16.5">
      <c r="E4226" s="123"/>
    </row>
    <row r="4227" spans="5:5" ht="16.5">
      <c r="E4227" s="123"/>
    </row>
    <row r="4228" spans="5:5" ht="16.5">
      <c r="E4228" s="123"/>
    </row>
    <row r="4229" spans="5:5" ht="16.5">
      <c r="E4229" s="123"/>
    </row>
    <row r="4230" spans="5:5" ht="16.5">
      <c r="E4230" s="123"/>
    </row>
    <row r="4231" spans="5:5" ht="16.5">
      <c r="E4231" s="123"/>
    </row>
    <row r="4232" spans="5:5" ht="16.5">
      <c r="E4232" s="123"/>
    </row>
    <row r="4233" spans="5:5" ht="16.5">
      <c r="E4233" s="123"/>
    </row>
    <row r="4234" spans="5:5" ht="16.5">
      <c r="E4234" s="123"/>
    </row>
    <row r="4235" spans="5:5" ht="16.5">
      <c r="E4235" s="123"/>
    </row>
    <row r="4236" spans="5:5" ht="16.5">
      <c r="E4236" s="123"/>
    </row>
    <row r="4237" spans="5:5" ht="16.5">
      <c r="E4237" s="123"/>
    </row>
    <row r="4238" spans="5:5" ht="16.5">
      <c r="E4238" s="123"/>
    </row>
    <row r="4239" spans="5:5" ht="16.5">
      <c r="E4239" s="123"/>
    </row>
    <row r="4240" spans="5:5" ht="16.5">
      <c r="E4240" s="123"/>
    </row>
    <row r="4241" spans="5:5" ht="16.5">
      <c r="E4241" s="123"/>
    </row>
    <row r="4242" spans="5:5" ht="16.5">
      <c r="E4242" s="123"/>
    </row>
    <row r="4243" spans="5:5" ht="16.5">
      <c r="E4243" s="123"/>
    </row>
    <row r="4244" spans="5:5" ht="16.5">
      <c r="E4244" s="123"/>
    </row>
    <row r="4245" spans="5:5" ht="16.5">
      <c r="E4245" s="123"/>
    </row>
    <row r="4246" spans="5:5" ht="16.5">
      <c r="E4246" s="123"/>
    </row>
    <row r="4247" spans="5:5" ht="16.5">
      <c r="E4247" s="123"/>
    </row>
    <row r="4248" spans="5:5" ht="16.5">
      <c r="E4248" s="123"/>
    </row>
    <row r="4249" spans="5:5" ht="16.5">
      <c r="E4249" s="123"/>
    </row>
    <row r="4250" spans="5:5" ht="16.5">
      <c r="E4250" s="123"/>
    </row>
    <row r="4251" spans="5:5" ht="16.5">
      <c r="E4251" s="123"/>
    </row>
    <row r="4252" spans="5:5" ht="16.5">
      <c r="E4252" s="123"/>
    </row>
    <row r="4253" spans="5:5" ht="16.5">
      <c r="E4253" s="123"/>
    </row>
    <row r="4254" spans="5:5" ht="16.5">
      <c r="E4254" s="123"/>
    </row>
    <row r="4255" spans="5:5" ht="16.5">
      <c r="E4255" s="123"/>
    </row>
    <row r="4256" spans="5:5" ht="16.5">
      <c r="E4256" s="123"/>
    </row>
    <row r="4257" spans="5:5" ht="16.5">
      <c r="E4257" s="123"/>
    </row>
    <row r="4258" spans="5:5" ht="16.5">
      <c r="E4258" s="123"/>
    </row>
    <row r="4259" spans="5:5" ht="16.5">
      <c r="E4259" s="123"/>
    </row>
    <row r="4260" spans="5:5" ht="16.5">
      <c r="E4260" s="123"/>
    </row>
    <row r="4261" spans="5:5" ht="16.5">
      <c r="E4261" s="123"/>
    </row>
    <row r="4262" spans="5:5" ht="16.5">
      <c r="E4262" s="123"/>
    </row>
    <row r="4263" spans="5:5" ht="16.5">
      <c r="E4263" s="123"/>
    </row>
    <row r="4264" spans="5:5" ht="16.5">
      <c r="E4264" s="123"/>
    </row>
    <row r="4265" spans="5:5" ht="16.5">
      <c r="E4265" s="123"/>
    </row>
    <row r="4266" spans="5:5" ht="16.5">
      <c r="E4266" s="123"/>
    </row>
    <row r="4267" spans="5:5" ht="16.5">
      <c r="E4267" s="123"/>
    </row>
    <row r="4268" spans="5:5" ht="16.5">
      <c r="E4268" s="123"/>
    </row>
    <row r="4269" spans="5:5" ht="16.5">
      <c r="E4269" s="123"/>
    </row>
    <row r="4270" spans="5:5" ht="16.5">
      <c r="E4270" s="123"/>
    </row>
    <row r="4271" spans="5:5" ht="16.5">
      <c r="E4271" s="123"/>
    </row>
    <row r="4272" spans="5:5" ht="16.5">
      <c r="E4272" s="123"/>
    </row>
    <row r="4273" spans="5:5" ht="16.5">
      <c r="E4273" s="123"/>
    </row>
    <row r="4274" spans="5:5" ht="16.5">
      <c r="E4274" s="123"/>
    </row>
    <row r="4275" spans="5:5" ht="16.5">
      <c r="E4275" s="123"/>
    </row>
    <row r="4276" spans="5:5" ht="16.5">
      <c r="E4276" s="123"/>
    </row>
    <row r="4277" spans="5:5" ht="16.5">
      <c r="E4277" s="123"/>
    </row>
    <row r="4278" spans="5:5" ht="16.5">
      <c r="E4278" s="123"/>
    </row>
    <row r="4279" spans="5:5" ht="16.5">
      <c r="E4279" s="123"/>
    </row>
    <row r="4280" spans="5:5" ht="16.5">
      <c r="E4280" s="123"/>
    </row>
    <row r="4281" spans="5:5" ht="16.5">
      <c r="E4281" s="123"/>
    </row>
    <row r="4282" spans="5:5" ht="16.5">
      <c r="E4282" s="123"/>
    </row>
    <row r="4283" spans="5:5" ht="16.5">
      <c r="E4283" s="123"/>
    </row>
    <row r="4284" spans="5:5" ht="16.5">
      <c r="E4284" s="123"/>
    </row>
    <row r="4285" spans="5:5" ht="16.5">
      <c r="E4285" s="123"/>
    </row>
    <row r="4286" spans="5:5" ht="16.5">
      <c r="E4286" s="123"/>
    </row>
    <row r="4287" spans="5:5" ht="16.5">
      <c r="E4287" s="123"/>
    </row>
    <row r="4288" spans="5:5" ht="16.5">
      <c r="E4288" s="123"/>
    </row>
    <row r="4289" spans="5:5" ht="16.5">
      <c r="E4289" s="123"/>
    </row>
    <row r="4290" spans="5:5" ht="16.5">
      <c r="E4290" s="123"/>
    </row>
    <row r="4291" spans="5:5" ht="16.5">
      <c r="E4291" s="123"/>
    </row>
    <row r="4292" spans="5:5" ht="16.5">
      <c r="E4292" s="123"/>
    </row>
    <row r="4293" spans="5:5" ht="16.5">
      <c r="E4293" s="123"/>
    </row>
    <row r="4294" spans="5:5" ht="16.5">
      <c r="E4294" s="123"/>
    </row>
    <row r="4295" spans="5:5" ht="16.5">
      <c r="E4295" s="123"/>
    </row>
    <row r="4296" spans="5:5" ht="16.5">
      <c r="E4296" s="123"/>
    </row>
    <row r="4297" spans="5:5" ht="16.5">
      <c r="E4297" s="123"/>
    </row>
    <row r="4298" spans="5:5" ht="16.5">
      <c r="E4298" s="123"/>
    </row>
    <row r="4299" spans="5:5" ht="16.5">
      <c r="E4299" s="123"/>
    </row>
    <row r="4300" spans="5:5" ht="16.5">
      <c r="E4300" s="123"/>
    </row>
    <row r="4301" spans="5:5" ht="16.5">
      <c r="E4301" s="123"/>
    </row>
    <row r="4302" spans="5:5" ht="16.5">
      <c r="E4302" s="123"/>
    </row>
    <row r="4303" spans="5:5" ht="16.5">
      <c r="E4303" s="123"/>
    </row>
    <row r="4304" spans="5:5" ht="16.5">
      <c r="E4304" s="123"/>
    </row>
    <row r="4305" spans="5:5" ht="16.5">
      <c r="E4305" s="123"/>
    </row>
    <row r="4306" spans="5:5" ht="16.5">
      <c r="E4306" s="123"/>
    </row>
    <row r="4307" spans="5:5" ht="16.5">
      <c r="E4307" s="123"/>
    </row>
    <row r="4308" spans="5:5" ht="16.5">
      <c r="E4308" s="123"/>
    </row>
    <row r="4309" spans="5:5" ht="16.5">
      <c r="E4309" s="123"/>
    </row>
    <row r="4310" spans="5:5" ht="16.5">
      <c r="E4310" s="123"/>
    </row>
    <row r="4311" spans="5:5" ht="16.5">
      <c r="E4311" s="123"/>
    </row>
    <row r="4312" spans="5:5" ht="16.5">
      <c r="E4312" s="123"/>
    </row>
    <row r="4313" spans="5:5" ht="16.5">
      <c r="E4313" s="123"/>
    </row>
    <row r="4314" spans="5:5" ht="16.5">
      <c r="E4314" s="123"/>
    </row>
    <row r="4315" spans="5:5" ht="16.5">
      <c r="E4315" s="123"/>
    </row>
    <row r="4316" spans="5:5" ht="16.5">
      <c r="E4316" s="123"/>
    </row>
    <row r="4317" spans="5:5" ht="16.5">
      <c r="E4317" s="123"/>
    </row>
    <row r="4318" spans="5:5" ht="16.5">
      <c r="E4318" s="123"/>
    </row>
    <row r="4319" spans="5:5" ht="16.5">
      <c r="E4319" s="123"/>
    </row>
    <row r="4320" spans="5:5" ht="16.5">
      <c r="E4320" s="123"/>
    </row>
    <row r="4321" spans="5:5" ht="16.5">
      <c r="E4321" s="123"/>
    </row>
    <row r="4322" spans="5:5" ht="16.5">
      <c r="E4322" s="123"/>
    </row>
    <row r="4323" spans="5:5" ht="16.5">
      <c r="E4323" s="123"/>
    </row>
    <row r="4324" spans="5:5" ht="16.5">
      <c r="E4324" s="123"/>
    </row>
    <row r="4325" spans="5:5" ht="16.5">
      <c r="E4325" s="123"/>
    </row>
    <row r="4326" spans="5:5" ht="16.5">
      <c r="E4326" s="123"/>
    </row>
    <row r="4327" spans="5:5" ht="16.5">
      <c r="E4327" s="123"/>
    </row>
    <row r="4328" spans="5:5" ht="16.5">
      <c r="E4328" s="123"/>
    </row>
    <row r="4329" spans="5:5" ht="16.5">
      <c r="E4329" s="123"/>
    </row>
    <row r="4330" spans="5:5" ht="16.5">
      <c r="E4330" s="123"/>
    </row>
    <row r="4331" spans="5:5" ht="16.5">
      <c r="E4331" s="123"/>
    </row>
    <row r="4332" spans="5:5" ht="16.5">
      <c r="E4332" s="123"/>
    </row>
    <row r="4333" spans="5:5" ht="16.5">
      <c r="E4333" s="123"/>
    </row>
    <row r="4334" spans="5:5" ht="16.5">
      <c r="E4334" s="123"/>
    </row>
    <row r="4335" spans="5:5" ht="16.5">
      <c r="E4335" s="123"/>
    </row>
    <row r="4336" spans="5:5" ht="16.5">
      <c r="E4336" s="123"/>
    </row>
    <row r="4337" spans="5:5" ht="16.5">
      <c r="E4337" s="123"/>
    </row>
    <row r="4338" spans="5:5" ht="16.5">
      <c r="E4338" s="123"/>
    </row>
    <row r="4339" spans="5:5" ht="16.5">
      <c r="E4339" s="123"/>
    </row>
    <row r="4340" spans="5:5" ht="16.5">
      <c r="E4340" s="123"/>
    </row>
    <row r="4341" spans="5:5" ht="16.5">
      <c r="E4341" s="123"/>
    </row>
    <row r="4342" spans="5:5" ht="16.5">
      <c r="E4342" s="123"/>
    </row>
    <row r="4343" spans="5:5" ht="16.5">
      <c r="E4343" s="123"/>
    </row>
    <row r="4344" spans="5:5" ht="16.5">
      <c r="E4344" s="123"/>
    </row>
    <row r="4345" spans="5:5" ht="16.5">
      <c r="E4345" s="123"/>
    </row>
    <row r="4346" spans="5:5" ht="16.5">
      <c r="E4346" s="123"/>
    </row>
    <row r="4347" spans="5:5" ht="16.5">
      <c r="E4347" s="123"/>
    </row>
    <row r="4348" spans="5:5" ht="16.5">
      <c r="E4348" s="123"/>
    </row>
    <row r="4349" spans="5:5" ht="16.5">
      <c r="E4349" s="123"/>
    </row>
    <row r="4350" spans="5:5" ht="16.5">
      <c r="E4350" s="123"/>
    </row>
    <row r="4351" spans="5:5" ht="16.5">
      <c r="E4351" s="123"/>
    </row>
    <row r="4352" spans="5:5" ht="16.5">
      <c r="E4352" s="123"/>
    </row>
    <row r="4353" spans="5:5" ht="16.5">
      <c r="E4353" s="123"/>
    </row>
    <row r="4354" spans="5:5" ht="16.5">
      <c r="E4354" s="123"/>
    </row>
    <row r="4355" spans="5:5" ht="16.5">
      <c r="E4355" s="123"/>
    </row>
    <row r="4356" spans="5:5" ht="16.5">
      <c r="E4356" s="123"/>
    </row>
    <row r="4357" spans="5:5" ht="16.5">
      <c r="E4357" s="123"/>
    </row>
    <row r="4358" spans="5:5" ht="16.5">
      <c r="E4358" s="123"/>
    </row>
    <row r="4359" spans="5:5" ht="16.5">
      <c r="E4359" s="123"/>
    </row>
    <row r="4360" spans="5:5" ht="16.5">
      <c r="E4360" s="123"/>
    </row>
    <row r="4361" spans="5:5" ht="16.5">
      <c r="E4361" s="123"/>
    </row>
    <row r="4362" spans="5:5" ht="16.5">
      <c r="E4362" s="123"/>
    </row>
    <row r="4363" spans="5:5" ht="16.5">
      <c r="E4363" s="123"/>
    </row>
    <row r="4364" spans="5:5" ht="16.5">
      <c r="E4364" s="123"/>
    </row>
    <row r="4365" spans="5:5" ht="16.5">
      <c r="E4365" s="123"/>
    </row>
    <row r="4366" spans="5:5" ht="16.5">
      <c r="E4366" s="123"/>
    </row>
    <row r="4367" spans="5:5" ht="16.5">
      <c r="E4367" s="123"/>
    </row>
    <row r="4368" spans="5:5" ht="16.5">
      <c r="E4368" s="123"/>
    </row>
    <row r="4369" spans="5:5" ht="16.5">
      <c r="E4369" s="123"/>
    </row>
    <row r="4370" spans="5:5" ht="16.5">
      <c r="E4370" s="123"/>
    </row>
    <row r="4371" spans="5:5" ht="16.5">
      <c r="E4371" s="123"/>
    </row>
    <row r="4372" spans="5:5" ht="16.5">
      <c r="E4372" s="123"/>
    </row>
    <row r="4373" spans="5:5" ht="16.5">
      <c r="E4373" s="123"/>
    </row>
    <row r="4374" spans="5:5" ht="16.5">
      <c r="E4374" s="123"/>
    </row>
    <row r="4375" spans="5:5" ht="16.5">
      <c r="E4375" s="123"/>
    </row>
    <row r="4376" spans="5:5" ht="16.5">
      <c r="E4376" s="123"/>
    </row>
    <row r="4377" spans="5:5" ht="16.5">
      <c r="E4377" s="123"/>
    </row>
    <row r="4378" spans="5:5" ht="16.5">
      <c r="E4378" s="123"/>
    </row>
    <row r="4379" spans="5:5" ht="16.5">
      <c r="E4379" s="123"/>
    </row>
    <row r="4380" spans="5:5" ht="16.5">
      <c r="E4380" s="123"/>
    </row>
    <row r="4381" spans="5:5" ht="16.5">
      <c r="E4381" s="123"/>
    </row>
    <row r="4382" spans="5:5" ht="16.5">
      <c r="E4382" s="123"/>
    </row>
    <row r="4383" spans="5:5" ht="16.5">
      <c r="E4383" s="123"/>
    </row>
    <row r="4384" spans="5:5" ht="16.5">
      <c r="E4384" s="123"/>
    </row>
    <row r="4385" spans="5:5" ht="16.5">
      <c r="E4385" s="123"/>
    </row>
    <row r="4386" spans="5:5" ht="16.5">
      <c r="E4386" s="123"/>
    </row>
    <row r="4387" spans="5:5" ht="16.5">
      <c r="E4387" s="123"/>
    </row>
    <row r="4388" spans="5:5" ht="16.5">
      <c r="E4388" s="123"/>
    </row>
    <row r="4389" spans="5:5" ht="16.5">
      <c r="E4389" s="123"/>
    </row>
    <row r="4390" spans="5:5" ht="16.5">
      <c r="E4390" s="123"/>
    </row>
    <row r="4391" spans="5:5" ht="16.5">
      <c r="E4391" s="123"/>
    </row>
    <row r="4392" spans="5:5" ht="16.5">
      <c r="E4392" s="123"/>
    </row>
    <row r="4393" spans="5:5" ht="16.5">
      <c r="E4393" s="123"/>
    </row>
    <row r="4394" spans="5:5" ht="16.5">
      <c r="E4394" s="123"/>
    </row>
    <row r="4395" spans="5:5" ht="16.5">
      <c r="E4395" s="123"/>
    </row>
    <row r="4396" spans="5:5" ht="16.5">
      <c r="E4396" s="123"/>
    </row>
    <row r="4397" spans="5:5" ht="16.5">
      <c r="E4397" s="123"/>
    </row>
    <row r="4398" spans="5:5" ht="16.5">
      <c r="E4398" s="123"/>
    </row>
    <row r="4399" spans="5:5" ht="16.5">
      <c r="E4399" s="123"/>
    </row>
    <row r="4400" spans="5:5" ht="16.5">
      <c r="E4400" s="123"/>
    </row>
    <row r="4401" spans="5:5" ht="16.5">
      <c r="E4401" s="123"/>
    </row>
    <row r="4402" spans="5:5" ht="16.5">
      <c r="E4402" s="123"/>
    </row>
    <row r="4403" spans="5:5" ht="16.5">
      <c r="E4403" s="123"/>
    </row>
    <row r="4404" spans="5:5" ht="16.5">
      <c r="E4404" s="123"/>
    </row>
    <row r="4405" spans="5:5" ht="16.5">
      <c r="E4405" s="123"/>
    </row>
    <row r="4406" spans="5:5" ht="16.5">
      <c r="E4406" s="123"/>
    </row>
    <row r="4407" spans="5:5" ht="16.5">
      <c r="E4407" s="123"/>
    </row>
    <row r="4408" spans="5:5" ht="16.5">
      <c r="E4408" s="123"/>
    </row>
    <row r="4409" spans="5:5" ht="16.5">
      <c r="E4409" s="123"/>
    </row>
    <row r="4410" spans="5:5" ht="16.5">
      <c r="E4410" s="123"/>
    </row>
    <row r="4411" spans="5:5" ht="16.5">
      <c r="E4411" s="123"/>
    </row>
    <row r="4412" spans="5:5" ht="16.5">
      <c r="E4412" s="123"/>
    </row>
    <row r="4413" spans="5:5" ht="16.5">
      <c r="E4413" s="123"/>
    </row>
    <row r="4414" spans="5:5" ht="16.5">
      <c r="E4414" s="123"/>
    </row>
    <row r="4415" spans="5:5" ht="16.5">
      <c r="E4415" s="123"/>
    </row>
    <row r="4416" spans="5:5" ht="16.5">
      <c r="E4416" s="123"/>
    </row>
    <row r="4417" spans="5:5" ht="16.5">
      <c r="E4417" s="123"/>
    </row>
    <row r="4418" spans="5:5" ht="16.5">
      <c r="E4418" s="123"/>
    </row>
    <row r="4419" spans="5:5" ht="16.5">
      <c r="E4419" s="123"/>
    </row>
    <row r="4420" spans="5:5" ht="16.5">
      <c r="E4420" s="123"/>
    </row>
    <row r="4421" spans="5:5" ht="16.5">
      <c r="E4421" s="123"/>
    </row>
    <row r="4422" spans="5:5" ht="16.5">
      <c r="E4422" s="123"/>
    </row>
    <row r="4423" spans="5:5" ht="16.5">
      <c r="E4423" s="123"/>
    </row>
    <row r="4424" spans="5:5" ht="16.5">
      <c r="E4424" s="123"/>
    </row>
    <row r="4425" spans="5:5" ht="16.5">
      <c r="E4425" s="123"/>
    </row>
    <row r="4426" spans="5:5" ht="16.5">
      <c r="E4426" s="123"/>
    </row>
    <row r="4427" spans="5:5" ht="16.5">
      <c r="E4427" s="123"/>
    </row>
    <row r="4428" spans="5:5" ht="16.5">
      <c r="E4428" s="123"/>
    </row>
    <row r="4429" spans="5:5" ht="16.5">
      <c r="E4429" s="123"/>
    </row>
    <row r="4430" spans="5:5" ht="16.5">
      <c r="E4430" s="123"/>
    </row>
    <row r="4431" spans="5:5" ht="16.5">
      <c r="E4431" s="123"/>
    </row>
    <row r="4432" spans="5:5" ht="16.5">
      <c r="E4432" s="123"/>
    </row>
    <row r="4433" spans="5:5" ht="16.5">
      <c r="E4433" s="123"/>
    </row>
    <row r="4434" spans="5:5" ht="16.5">
      <c r="E4434" s="123"/>
    </row>
    <row r="4435" spans="5:5" ht="16.5">
      <c r="E4435" s="123"/>
    </row>
    <row r="4436" spans="5:5" ht="16.5">
      <c r="E4436" s="123"/>
    </row>
    <row r="4437" spans="5:5" ht="16.5">
      <c r="E4437" s="123"/>
    </row>
    <row r="4438" spans="5:5" ht="16.5">
      <c r="E4438" s="123"/>
    </row>
    <row r="4439" spans="5:5" ht="16.5">
      <c r="E4439" s="123"/>
    </row>
    <row r="4440" spans="5:5" ht="16.5">
      <c r="E4440" s="123"/>
    </row>
    <row r="4441" spans="5:5" ht="16.5">
      <c r="E4441" s="123"/>
    </row>
    <row r="4442" spans="5:5" ht="16.5">
      <c r="E4442" s="123"/>
    </row>
    <row r="4443" spans="5:5" ht="16.5">
      <c r="E4443" s="123"/>
    </row>
    <row r="4444" spans="5:5" ht="16.5">
      <c r="E4444" s="123"/>
    </row>
    <row r="4445" spans="5:5" ht="16.5">
      <c r="E4445" s="123"/>
    </row>
    <row r="4446" spans="5:5" ht="16.5">
      <c r="E4446" s="123"/>
    </row>
    <row r="4447" spans="5:5" ht="16.5">
      <c r="E4447" s="123"/>
    </row>
    <row r="4448" spans="5:5" ht="16.5">
      <c r="E4448" s="123"/>
    </row>
    <row r="4449" spans="5:5" ht="16.5">
      <c r="E4449" s="123"/>
    </row>
    <row r="4450" spans="5:5" ht="16.5">
      <c r="E4450" s="123"/>
    </row>
    <row r="4451" spans="5:5" ht="16.5">
      <c r="E4451" s="123"/>
    </row>
    <row r="4452" spans="5:5" ht="16.5">
      <c r="E4452" s="123"/>
    </row>
    <row r="4453" spans="5:5" ht="16.5">
      <c r="E4453" s="123"/>
    </row>
    <row r="4454" spans="5:5" ht="16.5">
      <c r="E4454" s="123"/>
    </row>
    <row r="4455" spans="5:5" ht="16.5">
      <c r="E4455" s="123"/>
    </row>
    <row r="4456" spans="5:5" ht="16.5">
      <c r="E4456" s="123"/>
    </row>
    <row r="4457" spans="5:5" ht="16.5">
      <c r="E4457" s="123"/>
    </row>
    <row r="4458" spans="5:5" ht="16.5">
      <c r="E4458" s="123"/>
    </row>
    <row r="4459" spans="5:5" ht="16.5">
      <c r="E4459" s="123"/>
    </row>
    <row r="4460" spans="5:5" ht="16.5">
      <c r="E4460" s="123"/>
    </row>
    <row r="4461" spans="5:5" ht="16.5">
      <c r="E4461" s="123"/>
    </row>
    <row r="4462" spans="5:5" ht="16.5">
      <c r="E4462" s="123"/>
    </row>
    <row r="4463" spans="5:5" ht="16.5">
      <c r="E4463" s="123"/>
    </row>
    <row r="4464" spans="5:5" ht="16.5">
      <c r="E4464" s="123"/>
    </row>
    <row r="4465" spans="5:5" ht="16.5">
      <c r="E4465" s="123"/>
    </row>
    <row r="4466" spans="5:5" ht="16.5">
      <c r="E4466" s="123"/>
    </row>
    <row r="4467" spans="5:5" ht="16.5">
      <c r="E4467" s="123"/>
    </row>
    <row r="4468" spans="5:5" ht="16.5">
      <c r="E4468" s="123"/>
    </row>
    <row r="4469" spans="5:5" ht="16.5">
      <c r="E4469" s="123"/>
    </row>
    <row r="4470" spans="5:5" ht="16.5">
      <c r="E4470" s="123"/>
    </row>
    <row r="4471" spans="5:5" ht="16.5">
      <c r="E4471" s="123"/>
    </row>
    <row r="4472" spans="5:5" ht="16.5">
      <c r="E4472" s="123"/>
    </row>
    <row r="4473" spans="5:5" ht="16.5">
      <c r="E4473" s="123"/>
    </row>
    <row r="4474" spans="5:5" ht="16.5">
      <c r="E4474" s="123"/>
    </row>
    <row r="4475" spans="5:5" ht="16.5">
      <c r="E4475" s="123"/>
    </row>
    <row r="4476" spans="5:5" ht="16.5">
      <c r="E4476" s="123"/>
    </row>
    <row r="4477" spans="5:5" ht="16.5">
      <c r="E4477" s="123"/>
    </row>
    <row r="4478" spans="5:5" ht="16.5">
      <c r="E4478" s="123"/>
    </row>
    <row r="4479" spans="5:5" ht="16.5">
      <c r="E4479" s="123"/>
    </row>
    <row r="4480" spans="5:5" ht="16.5">
      <c r="E4480" s="123"/>
    </row>
    <row r="4481" spans="5:5" ht="16.5">
      <c r="E4481" s="123"/>
    </row>
    <row r="4482" spans="5:5" ht="16.5">
      <c r="E4482" s="123"/>
    </row>
    <row r="4483" spans="5:5" ht="16.5">
      <c r="E4483" s="123"/>
    </row>
    <row r="4484" spans="5:5" ht="16.5">
      <c r="E4484" s="123"/>
    </row>
    <row r="4485" spans="5:5" ht="16.5">
      <c r="E4485" s="123"/>
    </row>
    <row r="4486" spans="5:5" ht="16.5">
      <c r="E4486" s="123"/>
    </row>
    <row r="4487" spans="5:5" ht="16.5">
      <c r="E4487" s="123"/>
    </row>
    <row r="4488" spans="5:5" ht="16.5">
      <c r="E4488" s="123"/>
    </row>
    <row r="4489" spans="5:5" ht="16.5">
      <c r="E4489" s="123"/>
    </row>
    <row r="4490" spans="5:5" ht="16.5">
      <c r="E4490" s="123"/>
    </row>
    <row r="4491" spans="5:5" ht="16.5">
      <c r="E4491" s="123"/>
    </row>
    <row r="4492" spans="5:5" ht="16.5">
      <c r="E4492" s="123"/>
    </row>
    <row r="4493" spans="5:5" ht="16.5">
      <c r="E4493" s="123"/>
    </row>
    <row r="4494" spans="5:5" ht="16.5">
      <c r="E4494" s="123"/>
    </row>
    <row r="4495" spans="5:5" ht="16.5">
      <c r="E4495" s="123"/>
    </row>
    <row r="4496" spans="5:5" ht="16.5">
      <c r="E4496" s="123"/>
    </row>
    <row r="4497" spans="5:5" ht="16.5">
      <c r="E4497" s="123"/>
    </row>
    <row r="4498" spans="5:5" ht="16.5">
      <c r="E4498" s="123"/>
    </row>
    <row r="4499" spans="5:5" ht="16.5">
      <c r="E4499" s="123"/>
    </row>
    <row r="4500" spans="5:5" ht="16.5">
      <c r="E4500" s="123"/>
    </row>
    <row r="4501" spans="5:5" ht="16.5">
      <c r="E4501" s="123"/>
    </row>
    <row r="4502" spans="5:5" ht="16.5">
      <c r="E4502" s="123"/>
    </row>
    <row r="4503" spans="5:5" ht="16.5">
      <c r="E4503" s="123"/>
    </row>
    <row r="4504" spans="5:5" ht="16.5">
      <c r="E4504" s="123"/>
    </row>
    <row r="4505" spans="5:5" ht="16.5">
      <c r="E4505" s="123"/>
    </row>
    <row r="4506" spans="5:5" ht="16.5">
      <c r="E4506" s="123"/>
    </row>
    <row r="4507" spans="5:5" ht="16.5">
      <c r="E4507" s="123"/>
    </row>
    <row r="4508" spans="5:5" ht="16.5">
      <c r="E4508" s="123"/>
    </row>
    <row r="4509" spans="5:5" ht="16.5">
      <c r="E4509" s="123"/>
    </row>
    <row r="4510" spans="5:5" ht="16.5">
      <c r="E4510" s="123"/>
    </row>
    <row r="4511" spans="5:5" ht="16.5">
      <c r="E4511" s="123"/>
    </row>
    <row r="4512" spans="5:5" ht="16.5">
      <c r="E4512" s="123"/>
    </row>
    <row r="4513" spans="5:5" ht="16.5">
      <c r="E4513" s="123"/>
    </row>
    <row r="4514" spans="5:5" ht="16.5">
      <c r="E4514" s="123"/>
    </row>
    <row r="4515" spans="5:5" ht="16.5">
      <c r="E4515" s="123"/>
    </row>
    <row r="4516" spans="5:5" ht="16.5">
      <c r="E4516" s="123"/>
    </row>
    <row r="4517" spans="5:5" ht="16.5">
      <c r="E4517" s="123"/>
    </row>
    <row r="4518" spans="5:5" ht="16.5">
      <c r="E4518" s="123"/>
    </row>
    <row r="4519" spans="5:5" ht="16.5">
      <c r="E4519" s="123"/>
    </row>
    <row r="4520" spans="5:5" ht="16.5">
      <c r="E4520" s="123"/>
    </row>
    <row r="4521" spans="5:5" ht="16.5">
      <c r="E4521" s="123"/>
    </row>
    <row r="4522" spans="5:5" ht="16.5">
      <c r="E4522" s="123"/>
    </row>
    <row r="4523" spans="5:5" ht="16.5">
      <c r="E4523" s="123"/>
    </row>
    <row r="4524" spans="5:5" ht="16.5">
      <c r="E4524" s="123"/>
    </row>
    <row r="4525" spans="5:5" ht="16.5">
      <c r="E4525" s="123"/>
    </row>
    <row r="4526" spans="5:5" ht="16.5">
      <c r="E4526" s="123"/>
    </row>
    <row r="4527" spans="5:5" ht="16.5">
      <c r="E4527" s="123"/>
    </row>
    <row r="4528" spans="5:5" ht="16.5">
      <c r="E4528" s="123"/>
    </row>
    <row r="4529" spans="5:5" ht="16.5">
      <c r="E4529" s="123"/>
    </row>
    <row r="4530" spans="5:5" ht="16.5">
      <c r="E4530" s="123"/>
    </row>
    <row r="4531" spans="5:5" ht="16.5">
      <c r="E4531" s="123"/>
    </row>
    <row r="4532" spans="5:5" ht="16.5">
      <c r="E4532" s="123"/>
    </row>
    <row r="4533" spans="5:5" ht="16.5">
      <c r="E4533" s="123"/>
    </row>
    <row r="4534" spans="5:5" ht="16.5">
      <c r="E4534" s="123"/>
    </row>
    <row r="4535" spans="5:5" ht="16.5">
      <c r="E4535" s="123"/>
    </row>
    <row r="4536" spans="5:5" ht="16.5">
      <c r="E4536" s="123"/>
    </row>
    <row r="4537" spans="5:5" ht="16.5">
      <c r="E4537" s="123"/>
    </row>
    <row r="4538" spans="5:5" ht="16.5">
      <c r="E4538" s="123"/>
    </row>
    <row r="4539" spans="5:5" ht="16.5">
      <c r="E4539" s="123"/>
    </row>
    <row r="4540" spans="5:5" ht="16.5">
      <c r="E4540" s="123"/>
    </row>
    <row r="4541" spans="5:5" ht="16.5">
      <c r="E4541" s="123"/>
    </row>
    <row r="4542" spans="5:5" ht="16.5">
      <c r="E4542" s="123"/>
    </row>
    <row r="4543" spans="5:5" ht="16.5">
      <c r="E4543" s="123"/>
    </row>
    <row r="4544" spans="5:5" ht="16.5">
      <c r="E4544" s="123"/>
    </row>
    <row r="4545" spans="5:5" ht="16.5">
      <c r="E4545" s="123"/>
    </row>
    <row r="4546" spans="5:5" ht="16.5">
      <c r="E4546" s="123"/>
    </row>
    <row r="4547" spans="5:5" ht="16.5">
      <c r="E4547" s="123"/>
    </row>
    <row r="4548" spans="5:5" ht="16.5">
      <c r="E4548" s="123"/>
    </row>
    <row r="4549" spans="5:5" ht="16.5">
      <c r="E4549" s="123"/>
    </row>
    <row r="4550" spans="5:5" ht="16.5">
      <c r="E4550" s="123"/>
    </row>
    <row r="4551" spans="5:5" ht="16.5">
      <c r="E4551" s="123"/>
    </row>
    <row r="4552" spans="5:5" ht="16.5">
      <c r="E4552" s="123"/>
    </row>
    <row r="4553" spans="5:5" ht="16.5">
      <c r="E4553" s="123"/>
    </row>
    <row r="4554" spans="5:5" ht="16.5">
      <c r="E4554" s="123"/>
    </row>
    <row r="4555" spans="5:5" ht="16.5">
      <c r="E4555" s="123"/>
    </row>
    <row r="4556" spans="5:5" ht="16.5">
      <c r="E4556" s="123"/>
    </row>
    <row r="4557" spans="5:5" ht="16.5">
      <c r="E4557" s="123"/>
    </row>
    <row r="4558" spans="5:5" ht="16.5">
      <c r="E4558" s="123"/>
    </row>
    <row r="4559" spans="5:5" ht="16.5">
      <c r="E4559" s="123"/>
    </row>
    <row r="4560" spans="5:5" ht="16.5">
      <c r="E4560" s="123"/>
    </row>
    <row r="4561" spans="5:5" ht="16.5">
      <c r="E4561" s="123"/>
    </row>
    <row r="4562" spans="5:5" ht="16.5">
      <c r="E4562" s="123"/>
    </row>
    <row r="4563" spans="5:5" ht="16.5">
      <c r="E4563" s="123"/>
    </row>
    <row r="4564" spans="5:5" ht="16.5">
      <c r="E4564" s="123"/>
    </row>
    <row r="4565" spans="5:5" ht="16.5">
      <c r="E4565" s="123"/>
    </row>
    <row r="4566" spans="5:5" ht="16.5">
      <c r="E4566" s="123"/>
    </row>
    <row r="4567" spans="5:5" ht="16.5">
      <c r="E4567" s="123"/>
    </row>
    <row r="4568" spans="5:5" ht="16.5">
      <c r="E4568" s="123"/>
    </row>
    <row r="4569" spans="5:5" ht="16.5">
      <c r="E4569" s="123"/>
    </row>
    <row r="4570" spans="5:5" ht="16.5">
      <c r="E4570" s="123"/>
    </row>
    <row r="4571" spans="5:5" ht="16.5">
      <c r="E4571" s="123"/>
    </row>
    <row r="4572" spans="5:5" ht="16.5">
      <c r="E4572" s="123"/>
    </row>
    <row r="4573" spans="5:5" ht="16.5">
      <c r="E4573" s="123"/>
    </row>
    <row r="4574" spans="5:5" ht="16.5">
      <c r="E4574" s="123"/>
    </row>
    <row r="4575" spans="5:5" ht="16.5">
      <c r="E4575" s="123"/>
    </row>
    <row r="4576" spans="5:5" ht="16.5">
      <c r="E4576" s="123"/>
    </row>
    <row r="4577" spans="5:5" ht="16.5">
      <c r="E4577" s="123"/>
    </row>
    <row r="4578" spans="5:5" ht="16.5">
      <c r="E4578" s="123"/>
    </row>
    <row r="4579" spans="5:5" ht="16.5">
      <c r="E4579" s="123"/>
    </row>
    <row r="4580" spans="5:5" ht="16.5">
      <c r="E4580" s="123"/>
    </row>
    <row r="4581" spans="5:5" ht="16.5">
      <c r="E4581" s="123"/>
    </row>
    <row r="4582" spans="5:5" ht="16.5">
      <c r="E4582" s="123"/>
    </row>
    <row r="4583" spans="5:5" ht="16.5">
      <c r="E4583" s="123"/>
    </row>
    <row r="4584" spans="5:5" ht="16.5">
      <c r="E4584" s="123"/>
    </row>
    <row r="4585" spans="5:5" ht="16.5">
      <c r="E4585" s="123"/>
    </row>
    <row r="4586" spans="5:5" ht="16.5">
      <c r="E4586" s="123"/>
    </row>
    <row r="4587" spans="5:5" ht="16.5">
      <c r="E4587" s="123"/>
    </row>
    <row r="4588" spans="5:5" ht="16.5">
      <c r="E4588" s="123"/>
    </row>
    <row r="4589" spans="5:5" ht="16.5">
      <c r="E4589" s="123"/>
    </row>
    <row r="4590" spans="5:5" ht="16.5">
      <c r="E4590" s="123"/>
    </row>
    <row r="4591" spans="5:5" ht="16.5">
      <c r="E4591" s="123"/>
    </row>
    <row r="4592" spans="5:5" ht="16.5">
      <c r="E4592" s="123"/>
    </row>
    <row r="4593" spans="5:5" ht="16.5">
      <c r="E4593" s="123"/>
    </row>
    <row r="4594" spans="5:5" ht="16.5">
      <c r="E4594" s="123"/>
    </row>
    <row r="4595" spans="5:5" ht="16.5">
      <c r="E4595" s="123"/>
    </row>
    <row r="4596" spans="5:5" ht="16.5">
      <c r="E4596" s="123"/>
    </row>
    <row r="4597" spans="5:5" ht="16.5">
      <c r="E4597" s="123"/>
    </row>
    <row r="4598" spans="5:5" ht="16.5">
      <c r="E4598" s="123"/>
    </row>
    <row r="4599" spans="5:5" ht="16.5">
      <c r="E4599" s="123"/>
    </row>
    <row r="4600" spans="5:5" ht="16.5">
      <c r="E4600" s="123"/>
    </row>
    <row r="4601" spans="5:5" ht="16.5">
      <c r="E4601" s="123"/>
    </row>
    <row r="4602" spans="5:5" ht="16.5">
      <c r="E4602" s="123"/>
    </row>
    <row r="4603" spans="5:5" ht="16.5">
      <c r="E4603" s="123"/>
    </row>
    <row r="4604" spans="5:5" ht="16.5">
      <c r="E4604" s="123"/>
    </row>
    <row r="4605" spans="5:5" ht="16.5">
      <c r="E4605" s="123"/>
    </row>
    <row r="4606" spans="5:5" ht="16.5">
      <c r="E4606" s="123"/>
    </row>
    <row r="4607" spans="5:5" ht="16.5">
      <c r="E4607" s="123"/>
    </row>
    <row r="4608" spans="5:5" ht="16.5">
      <c r="E4608" s="123"/>
    </row>
    <row r="4609" spans="5:5" ht="16.5">
      <c r="E4609" s="123"/>
    </row>
    <row r="4610" spans="5:5" ht="16.5">
      <c r="E4610" s="123"/>
    </row>
    <row r="4611" spans="5:5" ht="16.5">
      <c r="E4611" s="123"/>
    </row>
    <row r="4612" spans="5:5" ht="16.5">
      <c r="E4612" s="123"/>
    </row>
    <row r="4613" spans="5:5" ht="16.5">
      <c r="E4613" s="123"/>
    </row>
    <row r="4614" spans="5:5" ht="16.5">
      <c r="E4614" s="123"/>
    </row>
    <row r="4615" spans="5:5" ht="16.5">
      <c r="E4615" s="123"/>
    </row>
    <row r="4616" spans="5:5" ht="16.5">
      <c r="E4616" s="123"/>
    </row>
    <row r="4617" spans="5:5" ht="16.5">
      <c r="E4617" s="123"/>
    </row>
    <row r="4618" spans="5:5" ht="16.5">
      <c r="E4618" s="123"/>
    </row>
    <row r="4619" spans="5:5" ht="16.5">
      <c r="E4619" s="123"/>
    </row>
    <row r="4620" spans="5:5" ht="16.5">
      <c r="E4620" s="123"/>
    </row>
    <row r="4621" spans="5:5" ht="16.5">
      <c r="E4621" s="123"/>
    </row>
    <row r="4622" spans="5:5" ht="16.5">
      <c r="E4622" s="123"/>
    </row>
    <row r="4623" spans="5:5" ht="16.5">
      <c r="E4623" s="123"/>
    </row>
    <row r="4624" spans="5:5" ht="16.5">
      <c r="E4624" s="123"/>
    </row>
    <row r="4625" spans="5:5" ht="16.5">
      <c r="E4625" s="123"/>
    </row>
    <row r="4626" spans="5:5" ht="16.5">
      <c r="E4626" s="123"/>
    </row>
    <row r="4627" spans="5:5" ht="16.5">
      <c r="E4627" s="123"/>
    </row>
    <row r="4628" spans="5:5" ht="16.5">
      <c r="E4628" s="123"/>
    </row>
    <row r="4629" spans="5:5" ht="16.5">
      <c r="E4629" s="123"/>
    </row>
    <row r="4630" spans="5:5" ht="16.5">
      <c r="E4630" s="123"/>
    </row>
    <row r="4631" spans="5:5" ht="16.5">
      <c r="E4631" s="123"/>
    </row>
    <row r="4632" spans="5:5" ht="16.5">
      <c r="E4632" s="123"/>
    </row>
    <row r="4633" spans="5:5" ht="16.5">
      <c r="E4633" s="123"/>
    </row>
    <row r="4634" spans="5:5" ht="16.5">
      <c r="E4634" s="123"/>
    </row>
    <row r="4635" spans="5:5" ht="16.5">
      <c r="E4635" s="123"/>
    </row>
    <row r="4636" spans="5:5" ht="16.5">
      <c r="E4636" s="123"/>
    </row>
    <row r="4637" spans="5:5" ht="16.5">
      <c r="E4637" s="123"/>
    </row>
    <row r="4638" spans="5:5" ht="16.5">
      <c r="E4638" s="123"/>
    </row>
    <row r="4639" spans="5:5" ht="16.5">
      <c r="E4639" s="123"/>
    </row>
    <row r="4640" spans="5:5" ht="16.5">
      <c r="E4640" s="123"/>
    </row>
    <row r="4641" spans="5:5" ht="16.5">
      <c r="E4641" s="123"/>
    </row>
    <row r="4642" spans="5:5" ht="16.5">
      <c r="E4642" s="123"/>
    </row>
    <row r="4643" spans="5:5" ht="16.5">
      <c r="E4643" s="123"/>
    </row>
    <row r="4644" spans="5:5" ht="16.5">
      <c r="E4644" s="123"/>
    </row>
    <row r="4645" spans="5:5" ht="16.5">
      <c r="E4645" s="123"/>
    </row>
    <row r="4646" spans="5:5" ht="16.5">
      <c r="E4646" s="123"/>
    </row>
    <row r="4647" spans="5:5" ht="16.5">
      <c r="E4647" s="123"/>
    </row>
    <row r="4648" spans="5:5" ht="16.5">
      <c r="E4648" s="123"/>
    </row>
    <row r="4649" spans="5:5" ht="16.5">
      <c r="E4649" s="123"/>
    </row>
    <row r="4650" spans="5:5" ht="16.5">
      <c r="E4650" s="123"/>
    </row>
    <row r="4651" spans="5:5" ht="16.5">
      <c r="E4651" s="123"/>
    </row>
    <row r="4652" spans="5:5" ht="16.5">
      <c r="E4652" s="123"/>
    </row>
    <row r="4653" spans="5:5" ht="16.5">
      <c r="E4653" s="123"/>
    </row>
    <row r="4654" spans="5:5" ht="16.5">
      <c r="E4654" s="123"/>
    </row>
    <row r="4655" spans="5:5" ht="16.5">
      <c r="E4655" s="123"/>
    </row>
    <row r="4656" spans="5:5" ht="16.5">
      <c r="E4656" s="123"/>
    </row>
    <row r="4657" spans="5:5" ht="16.5">
      <c r="E4657" s="123"/>
    </row>
    <row r="4658" spans="5:5" ht="16.5">
      <c r="E4658" s="123"/>
    </row>
    <row r="4659" spans="5:5" ht="16.5">
      <c r="E4659" s="123"/>
    </row>
    <row r="4660" spans="5:5" ht="16.5">
      <c r="E4660" s="123"/>
    </row>
    <row r="4661" spans="5:5" ht="16.5">
      <c r="E4661" s="123"/>
    </row>
    <row r="4662" spans="5:5" ht="16.5">
      <c r="E4662" s="123"/>
    </row>
    <row r="4663" spans="5:5" ht="16.5">
      <c r="E4663" s="123"/>
    </row>
    <row r="4664" spans="5:5" ht="16.5">
      <c r="E4664" s="123"/>
    </row>
    <row r="4665" spans="5:5" ht="16.5">
      <c r="E4665" s="123"/>
    </row>
    <row r="4666" spans="5:5" ht="16.5">
      <c r="E4666" s="123"/>
    </row>
    <row r="4667" spans="5:5" ht="16.5">
      <c r="E4667" s="123"/>
    </row>
    <row r="4668" spans="5:5" ht="16.5">
      <c r="E4668" s="123"/>
    </row>
    <row r="4669" spans="5:5" ht="16.5">
      <c r="E4669" s="123"/>
    </row>
    <row r="4670" spans="5:5" ht="16.5">
      <c r="E4670" s="123"/>
    </row>
    <row r="4671" spans="5:5" ht="16.5">
      <c r="E4671" s="123"/>
    </row>
    <row r="4672" spans="5:5" ht="16.5">
      <c r="E4672" s="123"/>
    </row>
    <row r="4673" spans="5:5" ht="16.5">
      <c r="E4673" s="123"/>
    </row>
    <row r="4674" spans="5:5" ht="16.5">
      <c r="E4674" s="123"/>
    </row>
    <row r="4675" spans="5:5" ht="16.5">
      <c r="E4675" s="123"/>
    </row>
    <row r="4676" spans="5:5" ht="16.5">
      <c r="E4676" s="123"/>
    </row>
    <row r="4677" spans="5:5" ht="16.5">
      <c r="E4677" s="123"/>
    </row>
    <row r="4678" spans="5:5" ht="16.5">
      <c r="E4678" s="123"/>
    </row>
    <row r="4679" spans="5:5" ht="16.5">
      <c r="E4679" s="123"/>
    </row>
    <row r="4680" spans="5:5" ht="16.5">
      <c r="E4680" s="123"/>
    </row>
    <row r="4681" spans="5:5" ht="16.5">
      <c r="E4681" s="123"/>
    </row>
    <row r="4682" spans="5:5" ht="16.5">
      <c r="E4682" s="123"/>
    </row>
    <row r="4683" spans="5:5" ht="16.5">
      <c r="E4683" s="123"/>
    </row>
    <row r="4684" spans="5:5" ht="16.5">
      <c r="E4684" s="123"/>
    </row>
    <row r="4685" spans="5:5" ht="16.5">
      <c r="E4685" s="123"/>
    </row>
    <row r="4686" spans="5:5" ht="16.5">
      <c r="E4686" s="123"/>
    </row>
    <row r="4687" spans="5:5" ht="16.5">
      <c r="E4687" s="123"/>
    </row>
    <row r="4688" spans="5:5" ht="16.5">
      <c r="E4688" s="123"/>
    </row>
    <row r="4689" spans="5:5" ht="16.5">
      <c r="E4689" s="123"/>
    </row>
    <row r="4690" spans="5:5" ht="16.5">
      <c r="E4690" s="123"/>
    </row>
    <row r="4691" spans="5:5" ht="16.5">
      <c r="E4691" s="123"/>
    </row>
    <row r="4692" spans="5:5" ht="16.5">
      <c r="E4692" s="123"/>
    </row>
    <row r="4693" spans="5:5" ht="16.5">
      <c r="E4693" s="123"/>
    </row>
    <row r="4694" spans="5:5" ht="16.5">
      <c r="E4694" s="123"/>
    </row>
    <row r="4695" spans="5:5" ht="16.5">
      <c r="E4695" s="123"/>
    </row>
    <row r="4696" spans="5:5" ht="16.5">
      <c r="E4696" s="123"/>
    </row>
    <row r="4697" spans="5:5" ht="16.5">
      <c r="E4697" s="123"/>
    </row>
    <row r="4698" spans="5:5" ht="16.5">
      <c r="E4698" s="123"/>
    </row>
    <row r="4699" spans="5:5" ht="16.5">
      <c r="E4699" s="123"/>
    </row>
    <row r="4700" spans="5:5" ht="16.5">
      <c r="E4700" s="123"/>
    </row>
    <row r="4701" spans="5:5" ht="16.5">
      <c r="E4701" s="123"/>
    </row>
    <row r="4702" spans="5:5" ht="16.5">
      <c r="E4702" s="123"/>
    </row>
    <row r="4703" spans="5:5" ht="16.5">
      <c r="E4703" s="123"/>
    </row>
    <row r="4704" spans="5:5" ht="16.5">
      <c r="E4704" s="123"/>
    </row>
    <row r="4705" spans="5:5" ht="16.5">
      <c r="E4705" s="123"/>
    </row>
    <row r="4706" spans="5:5" ht="16.5">
      <c r="E4706" s="123"/>
    </row>
    <row r="4707" spans="5:5" ht="16.5">
      <c r="E4707" s="123"/>
    </row>
    <row r="4708" spans="5:5" ht="16.5">
      <c r="E4708" s="123"/>
    </row>
    <row r="4709" spans="5:5" ht="16.5">
      <c r="E4709" s="123"/>
    </row>
    <row r="4710" spans="5:5" ht="16.5">
      <c r="E4710" s="123"/>
    </row>
    <row r="4711" spans="5:5" ht="16.5">
      <c r="E4711" s="123"/>
    </row>
    <row r="4712" spans="5:5" ht="16.5">
      <c r="E4712" s="123"/>
    </row>
    <row r="4713" spans="5:5" ht="16.5">
      <c r="E4713" s="123"/>
    </row>
    <row r="4714" spans="5:5" ht="16.5">
      <c r="E4714" s="123"/>
    </row>
    <row r="4715" spans="5:5" ht="16.5">
      <c r="E4715" s="123"/>
    </row>
    <row r="4716" spans="5:5" ht="16.5">
      <c r="E4716" s="123"/>
    </row>
    <row r="4717" spans="5:5" ht="16.5">
      <c r="E4717" s="123"/>
    </row>
    <row r="4718" spans="5:5" ht="16.5">
      <c r="E4718" s="123"/>
    </row>
    <row r="4719" spans="5:5" ht="16.5">
      <c r="E4719" s="123"/>
    </row>
    <row r="4720" spans="5:5" ht="16.5">
      <c r="E4720" s="123"/>
    </row>
    <row r="4721" spans="5:5" ht="16.5">
      <c r="E4721" s="123"/>
    </row>
    <row r="4722" spans="5:5" ht="16.5">
      <c r="E4722" s="123"/>
    </row>
    <row r="4723" spans="5:5" ht="16.5">
      <c r="E4723" s="123"/>
    </row>
    <row r="4724" spans="5:5" ht="16.5">
      <c r="E4724" s="123"/>
    </row>
    <row r="4725" spans="5:5" ht="16.5">
      <c r="E4725" s="123"/>
    </row>
    <row r="4726" spans="5:5" ht="16.5">
      <c r="E4726" s="123"/>
    </row>
    <row r="4727" spans="5:5" ht="16.5">
      <c r="E4727" s="123"/>
    </row>
    <row r="4728" spans="5:5" ht="16.5">
      <c r="E4728" s="123"/>
    </row>
    <row r="4729" spans="5:5" ht="16.5">
      <c r="E4729" s="123"/>
    </row>
    <row r="4730" spans="5:5" ht="16.5">
      <c r="E4730" s="123"/>
    </row>
    <row r="4731" spans="5:5" ht="16.5">
      <c r="E4731" s="123"/>
    </row>
    <row r="4732" spans="5:5" ht="16.5">
      <c r="E4732" s="123"/>
    </row>
    <row r="4733" spans="5:5" ht="16.5">
      <c r="E4733" s="123"/>
    </row>
    <row r="4734" spans="5:5" ht="16.5">
      <c r="E4734" s="123"/>
    </row>
    <row r="4735" spans="5:5" ht="16.5">
      <c r="E4735" s="123"/>
    </row>
    <row r="4736" spans="5:5" ht="16.5">
      <c r="E4736" s="123"/>
    </row>
    <row r="4737" spans="5:5" ht="16.5">
      <c r="E4737" s="123"/>
    </row>
    <row r="4738" spans="5:5" ht="16.5">
      <c r="E4738" s="123"/>
    </row>
    <row r="4739" spans="5:5" ht="16.5">
      <c r="E4739" s="123"/>
    </row>
    <row r="4740" spans="5:5" ht="16.5">
      <c r="E4740" s="123"/>
    </row>
    <row r="4741" spans="5:5" ht="16.5">
      <c r="E4741" s="123"/>
    </row>
    <row r="4742" spans="5:5" ht="16.5">
      <c r="E4742" s="123"/>
    </row>
    <row r="4743" spans="5:5" ht="16.5">
      <c r="E4743" s="123"/>
    </row>
    <row r="4744" spans="5:5" ht="16.5">
      <c r="E4744" s="123"/>
    </row>
    <row r="4745" spans="5:5" ht="16.5">
      <c r="E4745" s="123"/>
    </row>
    <row r="4746" spans="5:5" ht="16.5">
      <c r="E4746" s="123"/>
    </row>
    <row r="4747" spans="5:5" ht="16.5">
      <c r="E4747" s="123"/>
    </row>
    <row r="4748" spans="5:5" ht="16.5">
      <c r="E4748" s="123"/>
    </row>
    <row r="4749" spans="5:5" ht="16.5">
      <c r="E4749" s="123"/>
    </row>
    <row r="4750" spans="5:5" ht="16.5">
      <c r="E4750" s="123"/>
    </row>
    <row r="4751" spans="5:5" ht="16.5">
      <c r="E4751" s="123"/>
    </row>
    <row r="4752" spans="5:5" ht="16.5">
      <c r="E4752" s="123"/>
    </row>
    <row r="4753" spans="5:5" ht="16.5">
      <c r="E4753" s="123"/>
    </row>
    <row r="4754" spans="5:5" ht="16.5">
      <c r="E4754" s="123"/>
    </row>
    <row r="4755" spans="5:5" ht="16.5">
      <c r="E4755" s="123"/>
    </row>
    <row r="4756" spans="5:5" ht="16.5">
      <c r="E4756" s="123"/>
    </row>
    <row r="4757" spans="5:5" ht="16.5">
      <c r="E4757" s="123"/>
    </row>
    <row r="4758" spans="5:5" ht="16.5">
      <c r="E4758" s="123"/>
    </row>
    <row r="4759" spans="5:5" ht="16.5">
      <c r="E4759" s="123"/>
    </row>
    <row r="4760" spans="5:5" ht="16.5">
      <c r="E4760" s="123"/>
    </row>
    <row r="4761" spans="5:5" ht="16.5">
      <c r="E4761" s="123"/>
    </row>
    <row r="4762" spans="5:5" ht="16.5">
      <c r="E4762" s="123"/>
    </row>
    <row r="4763" spans="5:5" ht="16.5">
      <c r="E4763" s="123"/>
    </row>
    <row r="4764" spans="5:5" ht="16.5">
      <c r="E4764" s="123"/>
    </row>
    <row r="4765" spans="5:5" ht="16.5">
      <c r="E4765" s="123"/>
    </row>
    <row r="4766" spans="5:5" ht="16.5">
      <c r="E4766" s="123"/>
    </row>
    <row r="4767" spans="5:5" ht="16.5">
      <c r="E4767" s="123"/>
    </row>
    <row r="4768" spans="5:5" ht="16.5">
      <c r="E4768" s="123"/>
    </row>
    <row r="4769" spans="5:5" ht="16.5">
      <c r="E4769" s="123"/>
    </row>
    <row r="4770" spans="5:5" ht="16.5">
      <c r="E4770" s="123"/>
    </row>
    <row r="4771" spans="5:5" ht="16.5">
      <c r="E4771" s="123"/>
    </row>
    <row r="4772" spans="5:5" ht="16.5">
      <c r="E4772" s="123"/>
    </row>
    <row r="4773" spans="5:5" ht="16.5">
      <c r="E4773" s="123"/>
    </row>
    <row r="4774" spans="5:5" ht="16.5">
      <c r="E4774" s="123"/>
    </row>
    <row r="4775" spans="5:5" ht="16.5">
      <c r="E4775" s="123"/>
    </row>
    <row r="4776" spans="5:5" ht="16.5">
      <c r="E4776" s="123"/>
    </row>
    <row r="4777" spans="5:5" ht="16.5">
      <c r="E4777" s="123"/>
    </row>
    <row r="4778" spans="5:5" ht="16.5">
      <c r="E4778" s="123"/>
    </row>
    <row r="4779" spans="5:5" ht="16.5">
      <c r="E4779" s="123"/>
    </row>
    <row r="4780" spans="5:5" ht="16.5">
      <c r="E4780" s="123"/>
    </row>
    <row r="4781" spans="5:5" ht="16.5">
      <c r="E4781" s="123"/>
    </row>
    <row r="4782" spans="5:5" ht="16.5">
      <c r="E4782" s="123"/>
    </row>
    <row r="4783" spans="5:5" ht="16.5">
      <c r="E4783" s="123"/>
    </row>
    <row r="4784" spans="5:5" ht="16.5">
      <c r="E4784" s="123"/>
    </row>
    <row r="4785" spans="5:5" ht="16.5">
      <c r="E4785" s="123"/>
    </row>
    <row r="4786" spans="5:5" ht="16.5">
      <c r="E4786" s="123"/>
    </row>
    <row r="4787" spans="5:5" ht="16.5">
      <c r="E4787" s="123"/>
    </row>
    <row r="4788" spans="5:5" ht="16.5">
      <c r="E4788" s="123"/>
    </row>
    <row r="4789" spans="5:5" ht="16.5">
      <c r="E4789" s="123"/>
    </row>
    <row r="4790" spans="5:5" ht="16.5">
      <c r="E4790" s="123"/>
    </row>
    <row r="4791" spans="5:5" ht="16.5">
      <c r="E4791" s="123"/>
    </row>
    <row r="4792" spans="5:5" ht="16.5">
      <c r="E4792" s="123"/>
    </row>
    <row r="4793" spans="5:5" ht="16.5">
      <c r="E4793" s="123"/>
    </row>
    <row r="4794" spans="5:5" ht="16.5">
      <c r="E4794" s="123"/>
    </row>
    <row r="4795" spans="5:5" ht="16.5">
      <c r="E4795" s="123"/>
    </row>
    <row r="4796" spans="5:5" ht="16.5">
      <c r="E4796" s="123"/>
    </row>
    <row r="4797" spans="5:5" ht="16.5">
      <c r="E4797" s="123"/>
    </row>
    <row r="4798" spans="5:5" ht="16.5">
      <c r="E4798" s="123"/>
    </row>
    <row r="4799" spans="5:5" ht="16.5">
      <c r="E4799" s="123"/>
    </row>
    <row r="4800" spans="5:5" ht="16.5">
      <c r="E4800" s="123"/>
    </row>
    <row r="4801" spans="5:5" ht="16.5">
      <c r="E4801" s="123"/>
    </row>
    <row r="4802" spans="5:5" ht="16.5">
      <c r="E4802" s="123"/>
    </row>
    <row r="4803" spans="5:5" ht="16.5">
      <c r="E4803" s="123"/>
    </row>
    <row r="4804" spans="5:5" ht="16.5">
      <c r="E4804" s="123"/>
    </row>
    <row r="4805" spans="5:5" ht="16.5">
      <c r="E4805" s="123"/>
    </row>
    <row r="4806" spans="5:5" ht="16.5">
      <c r="E4806" s="123"/>
    </row>
    <row r="4807" spans="5:5" ht="16.5">
      <c r="E4807" s="123"/>
    </row>
    <row r="4808" spans="5:5" ht="16.5">
      <c r="E4808" s="123"/>
    </row>
    <row r="4809" spans="5:5" ht="16.5">
      <c r="E4809" s="123"/>
    </row>
    <row r="4810" spans="5:5" ht="16.5">
      <c r="E4810" s="123"/>
    </row>
    <row r="4811" spans="5:5" ht="16.5">
      <c r="E4811" s="123"/>
    </row>
    <row r="4812" spans="5:5" ht="16.5">
      <c r="E4812" s="123"/>
    </row>
    <row r="4813" spans="5:5" ht="16.5">
      <c r="E4813" s="123"/>
    </row>
    <row r="4814" spans="5:5" ht="16.5">
      <c r="E4814" s="123"/>
    </row>
    <row r="4815" spans="5:5" ht="16.5">
      <c r="E4815" s="123"/>
    </row>
    <row r="4816" spans="5:5" ht="16.5">
      <c r="E4816" s="123"/>
    </row>
    <row r="4817" spans="5:5" ht="16.5">
      <c r="E4817" s="123"/>
    </row>
    <row r="4818" spans="5:5" ht="16.5">
      <c r="E4818" s="123"/>
    </row>
    <row r="4819" spans="5:5" ht="16.5">
      <c r="E4819" s="123"/>
    </row>
    <row r="4820" spans="5:5" ht="16.5">
      <c r="E4820" s="123"/>
    </row>
    <row r="4821" spans="5:5" ht="16.5">
      <c r="E4821" s="123"/>
    </row>
    <row r="4822" spans="5:5" ht="16.5">
      <c r="E4822" s="123"/>
    </row>
    <row r="4823" spans="5:5" ht="16.5">
      <c r="E4823" s="123"/>
    </row>
    <row r="4824" spans="5:5" ht="16.5">
      <c r="E4824" s="123"/>
    </row>
    <row r="4825" spans="5:5" ht="16.5">
      <c r="E4825" s="123"/>
    </row>
    <row r="4826" spans="5:5" ht="16.5">
      <c r="E4826" s="123"/>
    </row>
    <row r="4827" spans="5:5" ht="16.5">
      <c r="E4827" s="123"/>
    </row>
    <row r="4828" spans="5:5" ht="16.5">
      <c r="E4828" s="123"/>
    </row>
    <row r="4829" spans="5:5" ht="16.5">
      <c r="E4829" s="123"/>
    </row>
    <row r="4830" spans="5:5" ht="16.5">
      <c r="E4830" s="123"/>
    </row>
    <row r="4831" spans="5:5" ht="16.5">
      <c r="E4831" s="123"/>
    </row>
    <row r="4832" spans="5:5" ht="16.5">
      <c r="E4832" s="123"/>
    </row>
    <row r="4833" spans="5:5" ht="16.5">
      <c r="E4833" s="123"/>
    </row>
    <row r="4834" spans="5:5" ht="16.5">
      <c r="E4834" s="123"/>
    </row>
    <row r="4835" spans="5:5" ht="16.5">
      <c r="E4835" s="123"/>
    </row>
    <row r="4836" spans="5:5" ht="16.5">
      <c r="E4836" s="123"/>
    </row>
    <row r="4837" spans="5:5" ht="16.5">
      <c r="E4837" s="123"/>
    </row>
    <row r="4838" spans="5:5" ht="16.5">
      <c r="E4838" s="123"/>
    </row>
    <row r="4839" spans="5:5" ht="16.5">
      <c r="E4839" s="123"/>
    </row>
    <row r="4840" spans="5:5" ht="16.5">
      <c r="E4840" s="123"/>
    </row>
    <row r="4841" spans="5:5" ht="16.5">
      <c r="E4841" s="123"/>
    </row>
    <row r="4842" spans="5:5" ht="16.5">
      <c r="E4842" s="123"/>
    </row>
    <row r="4843" spans="5:5" ht="16.5">
      <c r="E4843" s="123"/>
    </row>
    <row r="4844" spans="5:5" ht="16.5">
      <c r="E4844" s="123"/>
    </row>
    <row r="4845" spans="5:5" ht="16.5">
      <c r="E4845" s="123"/>
    </row>
    <row r="4846" spans="5:5" ht="16.5">
      <c r="E4846" s="123"/>
    </row>
    <row r="4847" spans="5:5" ht="16.5">
      <c r="E4847" s="123"/>
    </row>
    <row r="4848" spans="5:5" ht="16.5">
      <c r="E4848" s="123"/>
    </row>
    <row r="4849" spans="5:5" ht="16.5">
      <c r="E4849" s="123"/>
    </row>
    <row r="4850" spans="5:5" ht="16.5">
      <c r="E4850" s="123"/>
    </row>
    <row r="4851" spans="5:5" ht="16.5">
      <c r="E4851" s="123"/>
    </row>
    <row r="4852" spans="5:5" ht="16.5">
      <c r="E4852" s="123"/>
    </row>
    <row r="4853" spans="5:5" ht="16.5">
      <c r="E4853" s="123"/>
    </row>
    <row r="4854" spans="5:5" ht="16.5">
      <c r="E4854" s="123"/>
    </row>
    <row r="4855" spans="5:5" ht="16.5">
      <c r="E4855" s="123"/>
    </row>
    <row r="4856" spans="5:5" ht="16.5">
      <c r="E4856" s="123"/>
    </row>
    <row r="4857" spans="5:5" ht="16.5">
      <c r="E4857" s="123"/>
    </row>
    <row r="4858" spans="5:5" ht="16.5">
      <c r="E4858" s="123"/>
    </row>
    <row r="4859" spans="5:5" ht="16.5">
      <c r="E4859" s="123"/>
    </row>
    <row r="4860" spans="5:5" ht="16.5">
      <c r="E4860" s="123"/>
    </row>
    <row r="4861" spans="5:5" ht="16.5">
      <c r="E4861" s="123"/>
    </row>
    <row r="4862" spans="5:5" ht="16.5">
      <c r="E4862" s="123"/>
    </row>
    <row r="4863" spans="5:5" ht="16.5">
      <c r="E4863" s="123"/>
    </row>
    <row r="4864" spans="5:5" ht="16.5">
      <c r="E4864" s="123"/>
    </row>
    <row r="4865" spans="5:5" ht="16.5">
      <c r="E4865" s="123"/>
    </row>
    <row r="4866" spans="5:5" ht="16.5">
      <c r="E4866" s="123"/>
    </row>
    <row r="4867" spans="5:5" ht="16.5">
      <c r="E4867" s="123"/>
    </row>
    <row r="4868" spans="5:5" ht="16.5">
      <c r="E4868" s="123"/>
    </row>
    <row r="4869" spans="5:5" ht="16.5">
      <c r="E4869" s="123"/>
    </row>
    <row r="4870" spans="5:5" ht="16.5">
      <c r="E4870" s="123"/>
    </row>
    <row r="4871" spans="5:5" ht="16.5">
      <c r="E4871" s="123"/>
    </row>
    <row r="4872" spans="5:5" ht="16.5">
      <c r="E4872" s="123"/>
    </row>
    <row r="4873" spans="5:5" ht="16.5">
      <c r="E4873" s="123"/>
    </row>
    <row r="4874" spans="5:5" ht="16.5">
      <c r="E4874" s="123"/>
    </row>
    <row r="4875" spans="5:5" ht="16.5">
      <c r="E4875" s="123"/>
    </row>
    <row r="4876" spans="5:5" ht="16.5">
      <c r="E4876" s="123"/>
    </row>
    <row r="4877" spans="5:5" ht="16.5">
      <c r="E4877" s="123"/>
    </row>
    <row r="4878" spans="5:5" ht="16.5">
      <c r="E4878" s="123"/>
    </row>
    <row r="4879" spans="5:5" ht="16.5">
      <c r="E4879" s="123"/>
    </row>
    <row r="4880" spans="5:5" ht="16.5">
      <c r="E4880" s="123"/>
    </row>
    <row r="4881" spans="5:5" ht="16.5">
      <c r="E4881" s="123"/>
    </row>
    <row r="4882" spans="5:5" ht="16.5">
      <c r="E4882" s="123"/>
    </row>
    <row r="4883" spans="5:5" ht="16.5">
      <c r="E4883" s="123"/>
    </row>
    <row r="4884" spans="5:5" ht="16.5">
      <c r="E4884" s="123"/>
    </row>
    <row r="4885" spans="5:5" ht="16.5">
      <c r="E4885" s="123"/>
    </row>
    <row r="4886" spans="5:5" ht="16.5">
      <c r="E4886" s="123"/>
    </row>
    <row r="4887" spans="5:5" ht="16.5">
      <c r="E4887" s="123"/>
    </row>
    <row r="4888" spans="5:5" ht="16.5">
      <c r="E4888" s="123"/>
    </row>
    <row r="4889" spans="5:5" ht="16.5">
      <c r="E4889" s="123"/>
    </row>
    <row r="4890" spans="5:5" ht="16.5">
      <c r="E4890" s="123"/>
    </row>
    <row r="4891" spans="5:5" ht="16.5">
      <c r="E4891" s="123"/>
    </row>
    <row r="4892" spans="5:5" ht="16.5">
      <c r="E4892" s="123"/>
    </row>
    <row r="4893" spans="5:5" ht="16.5">
      <c r="E4893" s="123"/>
    </row>
    <row r="4894" spans="5:5" ht="16.5">
      <c r="E4894" s="123"/>
    </row>
    <row r="4895" spans="5:5" ht="16.5">
      <c r="E4895" s="123"/>
    </row>
    <row r="4896" spans="5:5" ht="16.5">
      <c r="E4896" s="123"/>
    </row>
    <row r="4897" spans="5:5" ht="16.5">
      <c r="E4897" s="123"/>
    </row>
    <row r="4898" spans="5:5" ht="16.5">
      <c r="E4898" s="123"/>
    </row>
    <row r="4899" spans="5:5" ht="16.5">
      <c r="E4899" s="123"/>
    </row>
    <row r="4900" spans="5:5" ht="16.5">
      <c r="E4900" s="123"/>
    </row>
    <row r="4901" spans="5:5" ht="16.5">
      <c r="E4901" s="123"/>
    </row>
    <row r="4902" spans="5:5" ht="16.5">
      <c r="E4902" s="123"/>
    </row>
    <row r="4903" spans="5:5" ht="16.5">
      <c r="E4903" s="123"/>
    </row>
    <row r="4904" spans="5:5" ht="16.5">
      <c r="E4904" s="123"/>
    </row>
    <row r="4905" spans="5:5" ht="16.5">
      <c r="E4905" s="123"/>
    </row>
    <row r="4906" spans="5:5" ht="16.5">
      <c r="E4906" s="123"/>
    </row>
    <row r="4907" spans="5:5" ht="16.5">
      <c r="E4907" s="123"/>
    </row>
    <row r="4908" spans="5:5" ht="16.5">
      <c r="E4908" s="123"/>
    </row>
    <row r="4909" spans="5:5" ht="16.5">
      <c r="E4909" s="123"/>
    </row>
    <row r="4910" spans="5:5" ht="16.5">
      <c r="E4910" s="123"/>
    </row>
    <row r="4911" spans="5:5" ht="16.5">
      <c r="E4911" s="123"/>
    </row>
    <row r="4912" spans="5:5" ht="16.5">
      <c r="E4912" s="123"/>
    </row>
    <row r="4913" spans="5:5" ht="16.5">
      <c r="E4913" s="123"/>
    </row>
    <row r="4914" spans="5:5" ht="16.5">
      <c r="E4914" s="123"/>
    </row>
    <row r="4915" spans="5:5" ht="16.5">
      <c r="E4915" s="123"/>
    </row>
    <row r="4916" spans="5:5" ht="16.5">
      <c r="E4916" s="123"/>
    </row>
    <row r="4917" spans="5:5" ht="16.5">
      <c r="E4917" s="123"/>
    </row>
    <row r="4918" spans="5:5" ht="16.5">
      <c r="E4918" s="123"/>
    </row>
    <row r="4919" spans="5:5" ht="16.5">
      <c r="E4919" s="123"/>
    </row>
    <row r="4920" spans="5:5" ht="16.5">
      <c r="E4920" s="123"/>
    </row>
    <row r="4921" spans="5:5" ht="16.5">
      <c r="E4921" s="123"/>
    </row>
    <row r="4922" spans="5:5" ht="16.5">
      <c r="E4922" s="123"/>
    </row>
    <row r="4923" spans="5:5" ht="16.5">
      <c r="E4923" s="123"/>
    </row>
    <row r="4924" spans="5:5" ht="16.5">
      <c r="E4924" s="123"/>
    </row>
    <row r="4925" spans="5:5" ht="16.5">
      <c r="E4925" s="123"/>
    </row>
    <row r="4926" spans="5:5" ht="16.5">
      <c r="E4926" s="123"/>
    </row>
    <row r="4927" spans="5:5" ht="16.5">
      <c r="E4927" s="123"/>
    </row>
    <row r="4928" spans="5:5" ht="16.5">
      <c r="E4928" s="123"/>
    </row>
    <row r="4929" spans="5:5" ht="16.5">
      <c r="E4929" s="123"/>
    </row>
    <row r="4930" spans="5:5" ht="16.5">
      <c r="E4930" s="123"/>
    </row>
    <row r="4931" spans="5:5" ht="16.5">
      <c r="E4931" s="123"/>
    </row>
    <row r="4932" spans="5:5" ht="16.5">
      <c r="E4932" s="123"/>
    </row>
    <row r="4933" spans="5:5" ht="16.5">
      <c r="E4933" s="123"/>
    </row>
    <row r="4934" spans="5:5" ht="16.5">
      <c r="E4934" s="123"/>
    </row>
    <row r="4935" spans="5:5" ht="16.5">
      <c r="E4935" s="123"/>
    </row>
    <row r="4936" spans="5:5" ht="16.5">
      <c r="E4936" s="123"/>
    </row>
    <row r="4937" spans="5:5" ht="16.5">
      <c r="E4937" s="123"/>
    </row>
    <row r="4938" spans="5:5" ht="16.5">
      <c r="E4938" s="123"/>
    </row>
    <row r="4939" spans="5:5" ht="16.5">
      <c r="E4939" s="123"/>
    </row>
    <row r="4940" spans="5:5" ht="16.5">
      <c r="E4940" s="123"/>
    </row>
    <row r="4941" spans="5:5" ht="16.5">
      <c r="E4941" s="123"/>
    </row>
    <row r="4942" spans="5:5" ht="16.5">
      <c r="E4942" s="123"/>
    </row>
    <row r="4943" spans="5:5" ht="16.5">
      <c r="E4943" s="123"/>
    </row>
    <row r="4944" spans="5:5" ht="16.5">
      <c r="E4944" s="123"/>
    </row>
    <row r="4945" spans="5:5" ht="16.5">
      <c r="E4945" s="123"/>
    </row>
    <row r="4946" spans="5:5" ht="16.5">
      <c r="E4946" s="123"/>
    </row>
    <row r="4947" spans="5:5" ht="16.5">
      <c r="E4947" s="123"/>
    </row>
    <row r="4948" spans="5:5" ht="16.5">
      <c r="E4948" s="123"/>
    </row>
    <row r="4949" spans="5:5" ht="16.5">
      <c r="E4949" s="123"/>
    </row>
    <row r="4950" spans="5:5" ht="16.5">
      <c r="E4950" s="123"/>
    </row>
    <row r="4951" spans="5:5" ht="16.5">
      <c r="E4951" s="123"/>
    </row>
    <row r="4952" spans="5:5" ht="16.5">
      <c r="E4952" s="123"/>
    </row>
    <row r="4953" spans="5:5" ht="16.5">
      <c r="E4953" s="123"/>
    </row>
    <row r="4954" spans="5:5" ht="16.5">
      <c r="E4954" s="123"/>
    </row>
    <row r="4955" spans="5:5" ht="16.5">
      <c r="E4955" s="123"/>
    </row>
    <row r="4956" spans="5:5" ht="16.5">
      <c r="E4956" s="123"/>
    </row>
    <row r="4957" spans="5:5" ht="16.5">
      <c r="E4957" s="123"/>
    </row>
    <row r="4958" spans="5:5" ht="16.5">
      <c r="E4958" s="123"/>
    </row>
    <row r="4959" spans="5:5" ht="16.5">
      <c r="E4959" s="123"/>
    </row>
    <row r="4960" spans="5:5" ht="16.5">
      <c r="E4960" s="123"/>
    </row>
    <row r="4961" spans="5:5" ht="16.5">
      <c r="E4961" s="123"/>
    </row>
    <row r="4962" spans="5:5" ht="16.5">
      <c r="E4962" s="123"/>
    </row>
    <row r="4963" spans="5:5" ht="16.5">
      <c r="E4963" s="123"/>
    </row>
    <row r="4964" spans="5:5" ht="16.5">
      <c r="E4964" s="123"/>
    </row>
    <row r="4965" spans="5:5" ht="16.5">
      <c r="E4965" s="123"/>
    </row>
    <row r="4966" spans="5:5" ht="16.5">
      <c r="E4966" s="123"/>
    </row>
    <row r="4967" spans="5:5" ht="16.5">
      <c r="E4967" s="123"/>
    </row>
    <row r="4968" spans="5:5" ht="16.5">
      <c r="E4968" s="123"/>
    </row>
    <row r="4969" spans="5:5" ht="16.5">
      <c r="E4969" s="123"/>
    </row>
    <row r="4970" spans="5:5" ht="16.5">
      <c r="E4970" s="123"/>
    </row>
    <row r="4971" spans="5:5" ht="16.5">
      <c r="E4971" s="123"/>
    </row>
    <row r="4972" spans="5:5" ht="16.5">
      <c r="E4972" s="123"/>
    </row>
    <row r="4973" spans="5:5" ht="16.5">
      <c r="E4973" s="123"/>
    </row>
    <row r="4974" spans="5:5" ht="16.5">
      <c r="E4974" s="123"/>
    </row>
    <row r="4975" spans="5:5" ht="16.5">
      <c r="E4975" s="123"/>
    </row>
    <row r="4976" spans="5:5" ht="16.5">
      <c r="E4976" s="123"/>
    </row>
    <row r="4977" spans="5:5" ht="16.5">
      <c r="E4977" s="123"/>
    </row>
    <row r="4978" spans="5:5" ht="16.5">
      <c r="E4978" s="123"/>
    </row>
    <row r="4979" spans="5:5" ht="16.5">
      <c r="E4979" s="123"/>
    </row>
    <row r="4980" spans="5:5" ht="16.5">
      <c r="E4980" s="123"/>
    </row>
    <row r="4981" spans="5:5" ht="16.5">
      <c r="E4981" s="123"/>
    </row>
    <row r="4982" spans="5:5" ht="16.5">
      <c r="E4982" s="123"/>
    </row>
    <row r="4983" spans="5:5" ht="16.5">
      <c r="E4983" s="123"/>
    </row>
    <row r="4984" spans="5:5" ht="16.5">
      <c r="E4984" s="123"/>
    </row>
    <row r="4985" spans="5:5" ht="16.5">
      <c r="E4985" s="123"/>
    </row>
    <row r="4986" spans="5:5" ht="16.5">
      <c r="E4986" s="123"/>
    </row>
    <row r="4987" spans="5:5" ht="16.5">
      <c r="E4987" s="123"/>
    </row>
    <row r="4988" spans="5:5" ht="16.5">
      <c r="E4988" s="123"/>
    </row>
    <row r="4989" spans="5:5" ht="16.5">
      <c r="E4989" s="123"/>
    </row>
    <row r="4990" spans="5:5" ht="16.5">
      <c r="E4990" s="123"/>
    </row>
    <row r="4991" spans="5:5" ht="16.5">
      <c r="E4991" s="123"/>
    </row>
    <row r="4992" spans="5:5" ht="16.5">
      <c r="E4992" s="123"/>
    </row>
    <row r="4993" spans="5:5" ht="16.5">
      <c r="E4993" s="123"/>
    </row>
    <row r="4994" spans="5:5" ht="16.5">
      <c r="E4994" s="123"/>
    </row>
    <row r="4995" spans="5:5" ht="16.5">
      <c r="E4995" s="123"/>
    </row>
    <row r="4996" spans="5:5" ht="16.5">
      <c r="E4996" s="123"/>
    </row>
    <row r="4997" spans="5:5" ht="16.5">
      <c r="E4997" s="123"/>
    </row>
    <row r="4998" spans="5:5" ht="16.5">
      <c r="E4998" s="123"/>
    </row>
    <row r="4999" spans="5:5" ht="16.5">
      <c r="E4999" s="123"/>
    </row>
    <row r="5000" spans="5:5" ht="16.5">
      <c r="E5000" s="123"/>
    </row>
    <row r="5001" spans="5:5" ht="16.5">
      <c r="E5001" s="123"/>
    </row>
    <row r="5002" spans="5:5" ht="16.5">
      <c r="E5002" s="123"/>
    </row>
    <row r="5003" spans="5:5" ht="16.5">
      <c r="E5003" s="123"/>
    </row>
    <row r="5004" spans="5:5" ht="16.5">
      <c r="E5004" s="123"/>
    </row>
    <row r="5005" spans="5:5" ht="16.5">
      <c r="E5005" s="123"/>
    </row>
    <row r="5006" spans="5:5" ht="16.5">
      <c r="E5006" s="123"/>
    </row>
    <row r="5007" spans="5:5" ht="16.5">
      <c r="E5007" s="123"/>
    </row>
    <row r="5008" spans="5:5" ht="16.5">
      <c r="E5008" s="123"/>
    </row>
    <row r="5009" spans="5:5" ht="16.5">
      <c r="E5009" s="123"/>
    </row>
    <row r="5010" spans="5:5" ht="16.5">
      <c r="E5010" s="123"/>
    </row>
    <row r="5011" spans="5:5" ht="16.5">
      <c r="E5011" s="123"/>
    </row>
    <row r="5012" spans="5:5" ht="16.5">
      <c r="E5012" s="123"/>
    </row>
    <row r="5013" spans="5:5" ht="16.5">
      <c r="E5013" s="123"/>
    </row>
    <row r="5014" spans="5:5" ht="16.5">
      <c r="E5014" s="123"/>
    </row>
    <row r="5015" spans="5:5" ht="16.5">
      <c r="E5015" s="123"/>
    </row>
    <row r="5016" spans="5:5" ht="16.5">
      <c r="E5016" s="123"/>
    </row>
    <row r="5017" spans="5:5" ht="16.5">
      <c r="E5017" s="123"/>
    </row>
    <row r="5018" spans="5:5" ht="16.5">
      <c r="E5018" s="123"/>
    </row>
    <row r="5019" spans="5:5" ht="16.5">
      <c r="E5019" s="123"/>
    </row>
    <row r="5020" spans="5:5" ht="16.5">
      <c r="E5020" s="123"/>
    </row>
    <row r="5021" spans="5:5" ht="16.5">
      <c r="E5021" s="123"/>
    </row>
    <row r="5022" spans="5:5" ht="16.5">
      <c r="E5022" s="123"/>
    </row>
    <row r="5023" spans="5:5" ht="16.5">
      <c r="E5023" s="123"/>
    </row>
    <row r="5024" spans="5:5" ht="16.5">
      <c r="E5024" s="123"/>
    </row>
    <row r="5025" spans="5:5" ht="16.5">
      <c r="E5025" s="123"/>
    </row>
    <row r="5026" spans="5:5" ht="16.5">
      <c r="E5026" s="123"/>
    </row>
    <row r="5027" spans="5:5" ht="16.5">
      <c r="E5027" s="123"/>
    </row>
    <row r="5028" spans="5:5" ht="16.5">
      <c r="E5028" s="123"/>
    </row>
    <row r="5029" spans="5:5" ht="16.5">
      <c r="E5029" s="123"/>
    </row>
    <row r="5030" spans="5:5" ht="16.5">
      <c r="E5030" s="123"/>
    </row>
    <row r="5031" spans="5:5" ht="16.5">
      <c r="E5031" s="123"/>
    </row>
    <row r="5032" spans="5:5" ht="16.5">
      <c r="E5032" s="123"/>
    </row>
    <row r="5033" spans="5:5" ht="16.5">
      <c r="E5033" s="123"/>
    </row>
    <row r="5034" spans="5:5" ht="16.5">
      <c r="E5034" s="123"/>
    </row>
    <row r="5035" spans="5:5" ht="16.5">
      <c r="E5035" s="123"/>
    </row>
    <row r="5036" spans="5:5" ht="16.5">
      <c r="E5036" s="123"/>
    </row>
    <row r="5037" spans="5:5" ht="16.5">
      <c r="E5037" s="123"/>
    </row>
    <row r="5038" spans="5:5" ht="16.5">
      <c r="E5038" s="123"/>
    </row>
    <row r="5039" spans="5:5" ht="16.5">
      <c r="E5039" s="123"/>
    </row>
    <row r="5040" spans="5:5" ht="16.5">
      <c r="E5040" s="123"/>
    </row>
    <row r="5041" spans="5:5" ht="16.5">
      <c r="E5041" s="123"/>
    </row>
    <row r="5042" spans="5:5" ht="16.5">
      <c r="E5042" s="123"/>
    </row>
    <row r="5043" spans="5:5" ht="16.5">
      <c r="E5043" s="123"/>
    </row>
    <row r="5044" spans="5:5" ht="16.5">
      <c r="E5044" s="123"/>
    </row>
    <row r="5045" spans="5:5" ht="16.5">
      <c r="E5045" s="123"/>
    </row>
    <row r="5046" spans="5:5" ht="16.5">
      <c r="E5046" s="123"/>
    </row>
    <row r="5047" spans="5:5" ht="16.5">
      <c r="E5047" s="123"/>
    </row>
    <row r="5048" spans="5:5" ht="16.5">
      <c r="E5048" s="123"/>
    </row>
    <row r="5049" spans="5:5" ht="16.5">
      <c r="E5049" s="123"/>
    </row>
    <row r="5050" spans="5:5" ht="16.5">
      <c r="E5050" s="123"/>
    </row>
    <row r="5051" spans="5:5" ht="16.5">
      <c r="E5051" s="123"/>
    </row>
    <row r="5052" spans="5:5" ht="16.5">
      <c r="E5052" s="123"/>
    </row>
    <row r="5053" spans="5:5" ht="16.5">
      <c r="E5053" s="123"/>
    </row>
    <row r="5054" spans="5:5" ht="16.5">
      <c r="E5054" s="123"/>
    </row>
    <row r="5055" spans="5:5" ht="16.5">
      <c r="E5055" s="123"/>
    </row>
    <row r="5056" spans="5:5" ht="16.5">
      <c r="E5056" s="123"/>
    </row>
    <row r="5057" spans="5:5" ht="16.5">
      <c r="E5057" s="123"/>
    </row>
    <row r="5058" spans="5:5" ht="16.5">
      <c r="E5058" s="123"/>
    </row>
    <row r="5059" spans="5:5" ht="16.5">
      <c r="E5059" s="123"/>
    </row>
    <row r="5060" spans="5:5" ht="16.5">
      <c r="E5060" s="123"/>
    </row>
    <row r="5061" spans="5:5" ht="16.5">
      <c r="E5061" s="123"/>
    </row>
    <row r="5062" spans="5:5" ht="16.5">
      <c r="E5062" s="123"/>
    </row>
    <row r="5063" spans="5:5" ht="16.5">
      <c r="E5063" s="123"/>
    </row>
    <row r="5064" spans="5:5" ht="16.5">
      <c r="E5064" s="123"/>
    </row>
    <row r="5065" spans="5:5" ht="16.5">
      <c r="E5065" s="123"/>
    </row>
    <row r="5066" spans="5:5" ht="16.5">
      <c r="E5066" s="123"/>
    </row>
    <row r="5067" spans="5:5" ht="16.5">
      <c r="E5067" s="123"/>
    </row>
    <row r="5068" spans="5:5" ht="16.5">
      <c r="E5068" s="123"/>
    </row>
    <row r="5069" spans="5:5" ht="16.5">
      <c r="E5069" s="123"/>
    </row>
    <row r="5070" spans="5:5" ht="16.5">
      <c r="E5070" s="123"/>
    </row>
    <row r="5071" spans="5:5" ht="16.5">
      <c r="E5071" s="123"/>
    </row>
    <row r="5072" spans="5:5" ht="16.5">
      <c r="E5072" s="123"/>
    </row>
    <row r="5073" spans="5:5" ht="16.5">
      <c r="E5073" s="123"/>
    </row>
    <row r="5074" spans="5:5" ht="16.5">
      <c r="E5074" s="123"/>
    </row>
    <row r="5075" spans="5:5" ht="16.5">
      <c r="E5075" s="123"/>
    </row>
    <row r="5076" spans="5:5" ht="16.5">
      <c r="E5076" s="123"/>
    </row>
    <row r="5077" spans="5:5" ht="16.5">
      <c r="E5077" s="123"/>
    </row>
    <row r="5078" spans="5:5" ht="16.5">
      <c r="E5078" s="123"/>
    </row>
    <row r="5079" spans="5:5" ht="16.5">
      <c r="E5079" s="123"/>
    </row>
    <row r="5080" spans="5:5" ht="16.5">
      <c r="E5080" s="123"/>
    </row>
    <row r="5081" spans="5:5" ht="16.5">
      <c r="E5081" s="123"/>
    </row>
    <row r="5082" spans="5:5" ht="16.5">
      <c r="E5082" s="123"/>
    </row>
    <row r="5083" spans="5:5" ht="16.5">
      <c r="E5083" s="123"/>
    </row>
    <row r="5084" spans="5:5" ht="16.5">
      <c r="E5084" s="123"/>
    </row>
    <row r="5085" spans="5:5" ht="16.5">
      <c r="E5085" s="123"/>
    </row>
    <row r="5086" spans="5:5" ht="16.5">
      <c r="E5086" s="123"/>
    </row>
    <row r="5087" spans="5:5" ht="16.5">
      <c r="E5087" s="123"/>
    </row>
    <row r="5088" spans="5:5" ht="16.5">
      <c r="E5088" s="123"/>
    </row>
    <row r="5089" spans="5:5" ht="16.5">
      <c r="E5089" s="123"/>
    </row>
    <row r="5090" spans="5:5" ht="16.5">
      <c r="E5090" s="123"/>
    </row>
    <row r="5091" spans="5:5" ht="16.5">
      <c r="E5091" s="123"/>
    </row>
    <row r="5092" spans="5:5" ht="16.5">
      <c r="E5092" s="123"/>
    </row>
    <row r="5093" spans="5:5" ht="16.5">
      <c r="E5093" s="123"/>
    </row>
    <row r="5094" spans="5:5" ht="16.5">
      <c r="E5094" s="123"/>
    </row>
    <row r="5095" spans="5:5" ht="16.5">
      <c r="E5095" s="123"/>
    </row>
    <row r="5096" spans="5:5" ht="16.5">
      <c r="E5096" s="123"/>
    </row>
    <row r="5097" spans="5:5" ht="16.5">
      <c r="E5097" s="123"/>
    </row>
    <row r="5098" spans="5:5" ht="16.5">
      <c r="E5098" s="123"/>
    </row>
    <row r="5099" spans="5:5" ht="16.5">
      <c r="E5099" s="123"/>
    </row>
    <row r="5100" spans="5:5" ht="16.5">
      <c r="E5100" s="123"/>
    </row>
    <row r="5101" spans="5:5" ht="16.5">
      <c r="E5101" s="123"/>
    </row>
    <row r="5102" spans="5:5" ht="16.5">
      <c r="E5102" s="123"/>
    </row>
    <row r="5103" spans="5:5" ht="16.5">
      <c r="E5103" s="123"/>
    </row>
    <row r="5104" spans="5:5" ht="16.5">
      <c r="E5104" s="123"/>
    </row>
    <row r="5105" spans="5:5" ht="16.5">
      <c r="E5105" s="123"/>
    </row>
    <row r="5106" spans="5:5" ht="16.5">
      <c r="E5106" s="123"/>
    </row>
    <row r="5107" spans="5:5" ht="16.5">
      <c r="E5107" s="123"/>
    </row>
    <row r="5108" spans="5:5" ht="16.5">
      <c r="E5108" s="123"/>
    </row>
    <row r="5109" spans="5:5" ht="16.5">
      <c r="E5109" s="123"/>
    </row>
    <row r="5110" spans="5:5" ht="16.5">
      <c r="E5110" s="123"/>
    </row>
    <row r="5111" spans="5:5" ht="16.5">
      <c r="E5111" s="123"/>
    </row>
    <row r="5112" spans="5:5" ht="16.5">
      <c r="E5112" s="123"/>
    </row>
    <row r="5113" spans="5:5" ht="16.5">
      <c r="E5113" s="123"/>
    </row>
    <row r="5114" spans="5:5" ht="16.5">
      <c r="E5114" s="123"/>
    </row>
    <row r="5115" spans="5:5" ht="16.5">
      <c r="E5115" s="123"/>
    </row>
    <row r="5116" spans="5:5" ht="16.5">
      <c r="E5116" s="123"/>
    </row>
    <row r="5117" spans="5:5" ht="16.5">
      <c r="E5117" s="123"/>
    </row>
    <row r="5118" spans="5:5" ht="16.5">
      <c r="E5118" s="123"/>
    </row>
    <row r="5119" spans="5:5" ht="16.5">
      <c r="E5119" s="123"/>
    </row>
    <row r="5120" spans="5:5" ht="16.5">
      <c r="E5120" s="123"/>
    </row>
    <row r="5121" spans="5:5" ht="16.5">
      <c r="E5121" s="123"/>
    </row>
    <row r="5122" spans="5:5" ht="16.5">
      <c r="E5122" s="123"/>
    </row>
    <row r="5123" spans="5:5" ht="16.5">
      <c r="E5123" s="123"/>
    </row>
    <row r="5124" spans="5:5" ht="16.5">
      <c r="E5124" s="123"/>
    </row>
    <row r="5125" spans="5:5" ht="16.5">
      <c r="E5125" s="123"/>
    </row>
    <row r="5126" spans="5:5" ht="16.5">
      <c r="E5126" s="123"/>
    </row>
    <row r="5127" spans="5:5" ht="16.5">
      <c r="E5127" s="123"/>
    </row>
    <row r="5128" spans="5:5" ht="16.5">
      <c r="E5128" s="123"/>
    </row>
    <row r="5129" spans="5:5" ht="16.5">
      <c r="E5129" s="123"/>
    </row>
    <row r="5130" spans="5:5" ht="16.5">
      <c r="E5130" s="123"/>
    </row>
    <row r="5131" spans="5:5" ht="16.5">
      <c r="E5131" s="123"/>
    </row>
    <row r="5132" spans="5:5" ht="16.5">
      <c r="E5132" s="123"/>
    </row>
    <row r="5133" spans="5:5" ht="16.5">
      <c r="E5133" s="123"/>
    </row>
    <row r="5134" spans="5:5" ht="16.5">
      <c r="E5134" s="123"/>
    </row>
    <row r="5135" spans="5:5" ht="16.5">
      <c r="E5135" s="123"/>
    </row>
    <row r="5136" spans="5:5" ht="16.5">
      <c r="E5136" s="123"/>
    </row>
    <row r="5137" spans="5:5" ht="16.5">
      <c r="E5137" s="123"/>
    </row>
    <row r="5138" spans="5:5" ht="16.5">
      <c r="E5138" s="123"/>
    </row>
    <row r="5139" spans="5:5" ht="16.5">
      <c r="E5139" s="123"/>
    </row>
    <row r="5140" spans="5:5" ht="16.5">
      <c r="E5140" s="123"/>
    </row>
    <row r="5141" spans="5:5" ht="16.5">
      <c r="E5141" s="123"/>
    </row>
    <row r="5142" spans="5:5" ht="16.5">
      <c r="E5142" s="123"/>
    </row>
    <row r="5143" spans="5:5" ht="16.5">
      <c r="E5143" s="123"/>
    </row>
    <row r="5144" spans="5:5" ht="16.5">
      <c r="E5144" s="123"/>
    </row>
    <row r="5145" spans="5:5" ht="16.5">
      <c r="E5145" s="123"/>
    </row>
    <row r="5146" spans="5:5" ht="16.5">
      <c r="E5146" s="123"/>
    </row>
    <row r="5147" spans="5:5" ht="16.5">
      <c r="E5147" s="123"/>
    </row>
    <row r="5148" spans="5:5" ht="16.5">
      <c r="E5148" s="123"/>
    </row>
    <row r="5149" spans="5:5" ht="16.5">
      <c r="E5149" s="123"/>
    </row>
    <row r="5150" spans="5:5" ht="16.5">
      <c r="E5150" s="123"/>
    </row>
    <row r="5151" spans="5:5" ht="16.5">
      <c r="E5151" s="123"/>
    </row>
    <row r="5152" spans="5:5" ht="16.5">
      <c r="E5152" s="123"/>
    </row>
    <row r="5153" spans="5:5" ht="16.5">
      <c r="E5153" s="123"/>
    </row>
    <row r="5154" spans="5:5" ht="16.5">
      <c r="E5154" s="123"/>
    </row>
    <row r="5155" spans="5:5" ht="16.5">
      <c r="E5155" s="123"/>
    </row>
    <row r="5156" spans="5:5" ht="16.5">
      <c r="E5156" s="123"/>
    </row>
    <row r="5157" spans="5:5" ht="16.5">
      <c r="E5157" s="123"/>
    </row>
    <row r="5158" spans="5:5" ht="16.5">
      <c r="E5158" s="123"/>
    </row>
    <row r="5159" spans="5:5" ht="16.5">
      <c r="E5159" s="123"/>
    </row>
    <row r="5160" spans="5:5" ht="16.5">
      <c r="E5160" s="123"/>
    </row>
    <row r="5161" spans="5:5" ht="16.5">
      <c r="E5161" s="123"/>
    </row>
    <row r="5162" spans="5:5" ht="16.5">
      <c r="E5162" s="123"/>
    </row>
    <row r="5163" spans="5:5" ht="16.5">
      <c r="E5163" s="123"/>
    </row>
    <row r="5164" spans="5:5" ht="16.5">
      <c r="E5164" s="123"/>
    </row>
    <row r="5165" spans="5:5" ht="16.5">
      <c r="E5165" s="123"/>
    </row>
    <row r="5166" spans="5:5" ht="16.5">
      <c r="E5166" s="123"/>
    </row>
    <row r="5167" spans="5:5" ht="16.5">
      <c r="E5167" s="123"/>
    </row>
    <row r="5168" spans="5:5" ht="16.5">
      <c r="E5168" s="123"/>
    </row>
    <row r="5169" spans="5:5" ht="16.5">
      <c r="E5169" s="123"/>
    </row>
    <row r="5170" spans="5:5" ht="16.5">
      <c r="E5170" s="123"/>
    </row>
    <row r="5171" spans="5:5" ht="16.5">
      <c r="E5171" s="123"/>
    </row>
    <row r="5172" spans="5:5" ht="16.5">
      <c r="E5172" s="123"/>
    </row>
    <row r="5173" spans="5:5" ht="16.5">
      <c r="E5173" s="123"/>
    </row>
    <row r="5174" spans="5:5" ht="16.5">
      <c r="E5174" s="123"/>
    </row>
    <row r="5175" spans="5:5" ht="16.5">
      <c r="E5175" s="123"/>
    </row>
    <row r="5176" spans="5:5" ht="16.5">
      <c r="E5176" s="123"/>
    </row>
    <row r="5177" spans="5:5" ht="16.5">
      <c r="E5177" s="123"/>
    </row>
    <row r="5178" spans="5:5" ht="16.5">
      <c r="E5178" s="123"/>
    </row>
    <row r="5179" spans="5:5" ht="16.5">
      <c r="E5179" s="123"/>
    </row>
    <row r="5180" spans="5:5" ht="16.5">
      <c r="E5180" s="123"/>
    </row>
    <row r="5181" spans="5:5" ht="16.5">
      <c r="E5181" s="123"/>
    </row>
    <row r="5182" spans="5:5" ht="16.5">
      <c r="E5182" s="123"/>
    </row>
    <row r="5183" spans="5:5" ht="16.5">
      <c r="E5183" s="123"/>
    </row>
    <row r="5184" spans="5:5" ht="16.5">
      <c r="E5184" s="123"/>
    </row>
    <row r="5185" spans="5:5" ht="16.5">
      <c r="E5185" s="123"/>
    </row>
    <row r="5186" spans="5:5" ht="16.5">
      <c r="E5186" s="123"/>
    </row>
    <row r="5187" spans="5:5" ht="16.5">
      <c r="E5187" s="123"/>
    </row>
    <row r="5188" spans="5:5" ht="16.5">
      <c r="E5188" s="123"/>
    </row>
    <row r="5189" spans="5:5" ht="16.5">
      <c r="E5189" s="123"/>
    </row>
    <row r="5190" spans="5:5" ht="16.5">
      <c r="E5190" s="123"/>
    </row>
    <row r="5191" spans="5:5" ht="16.5">
      <c r="E5191" s="123"/>
    </row>
    <row r="5192" spans="5:5" ht="16.5">
      <c r="E5192" s="123"/>
    </row>
    <row r="5193" spans="5:5" ht="16.5">
      <c r="E5193" s="123"/>
    </row>
    <row r="5194" spans="5:5" ht="16.5">
      <c r="E5194" s="123"/>
    </row>
    <row r="5195" spans="5:5" ht="16.5">
      <c r="E5195" s="123"/>
    </row>
    <row r="5196" spans="5:5" ht="16.5">
      <c r="E5196" s="123"/>
    </row>
    <row r="5197" spans="5:5" ht="16.5">
      <c r="E5197" s="123"/>
    </row>
    <row r="5198" spans="5:5" ht="16.5">
      <c r="E5198" s="123"/>
    </row>
    <row r="5199" spans="5:5" ht="16.5">
      <c r="E5199" s="123"/>
    </row>
    <row r="5200" spans="5:5" ht="16.5">
      <c r="E5200" s="123"/>
    </row>
    <row r="5201" spans="5:5" ht="16.5">
      <c r="E5201" s="123"/>
    </row>
    <row r="5202" spans="5:5" ht="16.5">
      <c r="E5202" s="123"/>
    </row>
    <row r="5203" spans="5:5" ht="16.5">
      <c r="E5203" s="123"/>
    </row>
    <row r="5204" spans="5:5" ht="16.5">
      <c r="E5204" s="123"/>
    </row>
    <row r="5205" spans="5:5" ht="16.5">
      <c r="E5205" s="123"/>
    </row>
    <row r="5206" spans="5:5" ht="16.5">
      <c r="E5206" s="123"/>
    </row>
    <row r="5207" spans="5:5" ht="16.5">
      <c r="E5207" s="123"/>
    </row>
    <row r="5208" spans="5:5" ht="16.5">
      <c r="E5208" s="123"/>
    </row>
    <row r="5209" spans="5:5" ht="16.5">
      <c r="E5209" s="123"/>
    </row>
    <row r="5210" spans="5:5" ht="16.5">
      <c r="E5210" s="123"/>
    </row>
    <row r="5211" spans="5:5" ht="16.5">
      <c r="E5211" s="123"/>
    </row>
    <row r="5212" spans="5:5" ht="16.5">
      <c r="E5212" s="123"/>
    </row>
    <row r="5213" spans="5:5" ht="16.5">
      <c r="E5213" s="123"/>
    </row>
    <row r="5214" spans="5:5" ht="16.5">
      <c r="E5214" s="123"/>
    </row>
    <row r="5215" spans="5:5" ht="16.5">
      <c r="E5215" s="123"/>
    </row>
    <row r="5216" spans="5:5" ht="16.5">
      <c r="E5216" s="123"/>
    </row>
    <row r="5217" spans="5:5" ht="16.5">
      <c r="E5217" s="123"/>
    </row>
    <row r="5218" spans="5:5" ht="16.5">
      <c r="E5218" s="123"/>
    </row>
    <row r="5219" spans="5:5" ht="16.5">
      <c r="E5219" s="123"/>
    </row>
    <row r="5220" spans="5:5" ht="16.5">
      <c r="E5220" s="123"/>
    </row>
    <row r="5221" spans="5:5" ht="16.5">
      <c r="E5221" s="123"/>
    </row>
    <row r="5222" spans="5:5" ht="16.5">
      <c r="E5222" s="123"/>
    </row>
    <row r="5223" spans="5:5" ht="16.5">
      <c r="E5223" s="123"/>
    </row>
    <row r="5224" spans="5:5" ht="16.5">
      <c r="E5224" s="123"/>
    </row>
    <row r="5225" spans="5:5" ht="16.5">
      <c r="E5225" s="123"/>
    </row>
    <row r="5226" spans="5:5" ht="16.5">
      <c r="E5226" s="123"/>
    </row>
    <row r="5227" spans="5:5" ht="16.5">
      <c r="E5227" s="123"/>
    </row>
    <row r="5228" spans="5:5" ht="16.5">
      <c r="E5228" s="123"/>
    </row>
    <row r="5229" spans="5:5" ht="16.5">
      <c r="E5229" s="123"/>
    </row>
    <row r="5230" spans="5:5" ht="16.5">
      <c r="E5230" s="123"/>
    </row>
    <row r="5231" spans="5:5" ht="16.5">
      <c r="E5231" s="123"/>
    </row>
    <row r="5232" spans="5:5" ht="16.5">
      <c r="E5232" s="123"/>
    </row>
    <row r="5233" spans="5:5" ht="16.5">
      <c r="E5233" s="123"/>
    </row>
    <row r="5234" spans="5:5" ht="16.5">
      <c r="E5234" s="123"/>
    </row>
    <row r="5235" spans="5:5" ht="16.5">
      <c r="E5235" s="123"/>
    </row>
    <row r="5236" spans="5:5" ht="16.5">
      <c r="E5236" s="123"/>
    </row>
    <row r="5237" spans="5:5" ht="16.5">
      <c r="E5237" s="123"/>
    </row>
    <row r="5238" spans="5:5" ht="16.5">
      <c r="E5238" s="123"/>
    </row>
    <row r="5239" spans="5:5" ht="16.5">
      <c r="E5239" s="123"/>
    </row>
    <row r="5240" spans="5:5" ht="16.5">
      <c r="E5240" s="123"/>
    </row>
    <row r="5241" spans="5:5" ht="16.5">
      <c r="E5241" s="123"/>
    </row>
    <row r="5242" spans="5:5" ht="16.5">
      <c r="E5242" s="123"/>
    </row>
    <row r="5243" spans="5:5" ht="16.5">
      <c r="E5243" s="123"/>
    </row>
    <row r="5244" spans="5:5" ht="16.5">
      <c r="E5244" s="123"/>
    </row>
    <row r="5245" spans="5:5" ht="16.5">
      <c r="E5245" s="123"/>
    </row>
    <row r="5246" spans="5:5" ht="16.5">
      <c r="E5246" s="123"/>
    </row>
    <row r="5247" spans="5:5" ht="16.5">
      <c r="E5247" s="123"/>
    </row>
    <row r="5248" spans="5:5" ht="16.5">
      <c r="E5248" s="123"/>
    </row>
    <row r="5249" spans="5:5" ht="16.5">
      <c r="E5249" s="123"/>
    </row>
    <row r="5250" spans="5:5" ht="16.5">
      <c r="E5250" s="123"/>
    </row>
    <row r="5251" spans="5:5" ht="16.5">
      <c r="E5251" s="123"/>
    </row>
    <row r="5252" spans="5:5" ht="16.5">
      <c r="E5252" s="123"/>
    </row>
    <row r="5253" spans="5:5" ht="16.5">
      <c r="E5253" s="123"/>
    </row>
    <row r="5254" spans="5:5" ht="16.5">
      <c r="E5254" s="123"/>
    </row>
    <row r="5255" spans="5:5" ht="16.5">
      <c r="E5255" s="123"/>
    </row>
    <row r="5256" spans="5:5" ht="16.5">
      <c r="E5256" s="123"/>
    </row>
    <row r="5257" spans="5:5" ht="16.5">
      <c r="E5257" s="123"/>
    </row>
    <row r="5258" spans="5:5" ht="16.5">
      <c r="E5258" s="123"/>
    </row>
    <row r="5259" spans="5:5" ht="16.5">
      <c r="E5259" s="123"/>
    </row>
    <row r="5260" spans="5:5" ht="16.5">
      <c r="E5260" s="123"/>
    </row>
    <row r="5261" spans="5:5" ht="16.5">
      <c r="E5261" s="123"/>
    </row>
    <row r="5262" spans="5:5" ht="16.5">
      <c r="E5262" s="123"/>
    </row>
    <row r="5263" spans="5:5" ht="16.5">
      <c r="E5263" s="123"/>
    </row>
    <row r="5264" spans="5:5" ht="16.5">
      <c r="E5264" s="123"/>
    </row>
    <row r="5265" spans="5:5" ht="16.5">
      <c r="E5265" s="123"/>
    </row>
    <row r="5266" spans="5:5" ht="16.5">
      <c r="E5266" s="123"/>
    </row>
    <row r="5267" spans="5:5" ht="16.5">
      <c r="E5267" s="123"/>
    </row>
    <row r="5268" spans="5:5" ht="16.5">
      <c r="E5268" s="123"/>
    </row>
    <row r="5269" spans="5:5" ht="16.5">
      <c r="E5269" s="123"/>
    </row>
    <row r="5270" spans="5:5" ht="16.5">
      <c r="E5270" s="123"/>
    </row>
    <row r="5271" spans="5:5" ht="16.5">
      <c r="E5271" s="123"/>
    </row>
    <row r="5272" spans="5:5" ht="16.5">
      <c r="E5272" s="123"/>
    </row>
    <row r="5273" spans="5:5" ht="16.5">
      <c r="E5273" s="123"/>
    </row>
    <row r="5274" spans="5:5" ht="16.5">
      <c r="E5274" s="123"/>
    </row>
    <row r="5275" spans="5:5" ht="16.5">
      <c r="E5275" s="123"/>
    </row>
    <row r="5276" spans="5:5" ht="16.5">
      <c r="E5276" s="123"/>
    </row>
    <row r="5277" spans="5:5" ht="16.5">
      <c r="E5277" s="123"/>
    </row>
    <row r="5278" spans="5:5" ht="16.5">
      <c r="E5278" s="123"/>
    </row>
    <row r="5279" spans="5:5" ht="16.5">
      <c r="E5279" s="123"/>
    </row>
    <row r="5280" spans="5:5" ht="16.5">
      <c r="E5280" s="123"/>
    </row>
    <row r="5281" spans="5:5" ht="16.5">
      <c r="E5281" s="123"/>
    </row>
    <row r="5282" spans="5:5" ht="16.5">
      <c r="E5282" s="123"/>
    </row>
    <row r="5283" spans="5:5" ht="16.5">
      <c r="E5283" s="123"/>
    </row>
    <row r="5284" spans="5:5" ht="16.5">
      <c r="E5284" s="123"/>
    </row>
    <row r="5285" spans="5:5" ht="16.5">
      <c r="E5285" s="123"/>
    </row>
    <row r="5286" spans="5:5" ht="16.5">
      <c r="E5286" s="123"/>
    </row>
    <row r="5287" spans="5:5" ht="16.5">
      <c r="E5287" s="123"/>
    </row>
    <row r="5288" spans="5:5" ht="16.5">
      <c r="E5288" s="123"/>
    </row>
    <row r="5289" spans="5:5" ht="16.5">
      <c r="E5289" s="123"/>
    </row>
    <row r="5290" spans="5:5" ht="16.5">
      <c r="E5290" s="123"/>
    </row>
    <row r="5291" spans="5:5" ht="16.5">
      <c r="E5291" s="123"/>
    </row>
    <row r="5292" spans="5:5" ht="16.5">
      <c r="E5292" s="123"/>
    </row>
    <row r="5293" spans="5:5" ht="16.5">
      <c r="E5293" s="123"/>
    </row>
    <row r="5294" spans="5:5" ht="16.5">
      <c r="E5294" s="123"/>
    </row>
    <row r="5295" spans="5:5" ht="16.5">
      <c r="E5295" s="123"/>
    </row>
    <row r="5296" spans="5:5" ht="16.5">
      <c r="E5296" s="123"/>
    </row>
    <row r="5297" spans="5:5" ht="16.5">
      <c r="E5297" s="123"/>
    </row>
    <row r="5298" spans="5:5" ht="16.5">
      <c r="E5298" s="123"/>
    </row>
    <row r="5299" spans="5:5" ht="16.5">
      <c r="E5299" s="123"/>
    </row>
    <row r="5300" spans="5:5" ht="16.5">
      <c r="E5300" s="123"/>
    </row>
    <row r="5301" spans="5:5" ht="16.5">
      <c r="E5301" s="123"/>
    </row>
    <row r="5302" spans="5:5" ht="16.5">
      <c r="E5302" s="123"/>
    </row>
    <row r="5303" spans="5:5" ht="16.5">
      <c r="E5303" s="123"/>
    </row>
    <row r="5304" spans="5:5" ht="16.5">
      <c r="E5304" s="123"/>
    </row>
    <row r="5305" spans="5:5" ht="16.5">
      <c r="E5305" s="123"/>
    </row>
    <row r="5306" spans="5:5" ht="16.5">
      <c r="E5306" s="123"/>
    </row>
    <row r="5307" spans="5:5" ht="16.5">
      <c r="E5307" s="123"/>
    </row>
    <row r="5308" spans="5:5" ht="16.5">
      <c r="E5308" s="123"/>
    </row>
    <row r="5309" spans="5:5" ht="16.5">
      <c r="E5309" s="123"/>
    </row>
    <row r="5310" spans="5:5" ht="16.5">
      <c r="E5310" s="123"/>
    </row>
    <row r="5311" spans="5:5" ht="16.5">
      <c r="E5311" s="123"/>
    </row>
    <row r="5312" spans="5:5" ht="16.5">
      <c r="E5312" s="123"/>
    </row>
    <row r="5313" spans="5:5" ht="16.5">
      <c r="E5313" s="123"/>
    </row>
    <row r="5314" spans="5:5" ht="16.5">
      <c r="E5314" s="123"/>
    </row>
    <row r="5315" spans="5:5" ht="16.5">
      <c r="E5315" s="123"/>
    </row>
    <row r="5316" spans="5:5" ht="16.5">
      <c r="E5316" s="123"/>
    </row>
    <row r="5317" spans="5:5" ht="16.5">
      <c r="E5317" s="123"/>
    </row>
    <row r="5318" spans="5:5" ht="16.5">
      <c r="E5318" s="123"/>
    </row>
    <row r="5319" spans="5:5" ht="16.5">
      <c r="E5319" s="123"/>
    </row>
    <row r="5320" spans="5:5" ht="16.5">
      <c r="E5320" s="123"/>
    </row>
    <row r="5321" spans="5:5" ht="16.5">
      <c r="E5321" s="123"/>
    </row>
    <row r="5322" spans="5:5" ht="16.5">
      <c r="E5322" s="123"/>
    </row>
    <row r="5323" spans="5:5" ht="16.5">
      <c r="E5323" s="123"/>
    </row>
    <row r="5324" spans="5:5" ht="16.5">
      <c r="E5324" s="123"/>
    </row>
    <row r="5325" spans="5:5" ht="16.5">
      <c r="E5325" s="123"/>
    </row>
    <row r="5326" spans="5:5" ht="16.5">
      <c r="E5326" s="123"/>
    </row>
    <row r="5327" spans="5:5" ht="16.5">
      <c r="E5327" s="123"/>
    </row>
    <row r="5328" spans="5:5" ht="16.5">
      <c r="E5328" s="123"/>
    </row>
    <row r="5329" spans="5:5" ht="16.5">
      <c r="E5329" s="123"/>
    </row>
    <row r="5330" spans="5:5" ht="16.5">
      <c r="E5330" s="123"/>
    </row>
    <row r="5331" spans="5:5" ht="16.5">
      <c r="E5331" s="123"/>
    </row>
    <row r="5332" spans="5:5" ht="16.5">
      <c r="E5332" s="123"/>
    </row>
    <row r="5333" spans="5:5" ht="16.5">
      <c r="E5333" s="123"/>
    </row>
    <row r="5334" spans="5:5" ht="16.5">
      <c r="E5334" s="123"/>
    </row>
    <row r="5335" spans="5:5" ht="16.5">
      <c r="E5335" s="123"/>
    </row>
    <row r="5336" spans="5:5" ht="16.5">
      <c r="E5336" s="123"/>
    </row>
    <row r="5337" spans="5:5" ht="16.5">
      <c r="E5337" s="123"/>
    </row>
    <row r="5338" spans="5:5" ht="16.5">
      <c r="E5338" s="123"/>
    </row>
    <row r="5339" spans="5:5" ht="16.5">
      <c r="E5339" s="123"/>
    </row>
    <row r="5340" spans="5:5" ht="16.5">
      <c r="E5340" s="123"/>
    </row>
    <row r="5341" spans="5:5" ht="16.5">
      <c r="E5341" s="123"/>
    </row>
    <row r="5342" spans="5:5" ht="16.5">
      <c r="E5342" s="123"/>
    </row>
    <row r="5343" spans="5:5" ht="16.5">
      <c r="E5343" s="123"/>
    </row>
    <row r="5344" spans="5:5" ht="16.5">
      <c r="E5344" s="123"/>
    </row>
    <row r="5345" spans="5:5" ht="16.5">
      <c r="E5345" s="123"/>
    </row>
    <row r="5346" spans="5:5" ht="16.5">
      <c r="E5346" s="123"/>
    </row>
    <row r="5347" spans="5:5" ht="16.5">
      <c r="E5347" s="123"/>
    </row>
    <row r="5348" spans="5:5" ht="16.5">
      <c r="E5348" s="123"/>
    </row>
    <row r="5349" spans="5:5" ht="16.5">
      <c r="E5349" s="123"/>
    </row>
    <row r="5350" spans="5:5" ht="16.5">
      <c r="E5350" s="123"/>
    </row>
    <row r="5351" spans="5:5" ht="16.5">
      <c r="E5351" s="123"/>
    </row>
    <row r="5352" spans="5:5" ht="16.5">
      <c r="E5352" s="123"/>
    </row>
    <row r="5353" spans="5:5" ht="16.5">
      <c r="E5353" s="123"/>
    </row>
    <row r="5354" spans="5:5" ht="16.5">
      <c r="E5354" s="123"/>
    </row>
    <row r="5355" spans="5:5" ht="16.5">
      <c r="E5355" s="123"/>
    </row>
    <row r="5356" spans="5:5" ht="16.5">
      <c r="E5356" s="123"/>
    </row>
    <row r="5357" spans="5:5" ht="16.5">
      <c r="E5357" s="123"/>
    </row>
    <row r="5358" spans="5:5" ht="16.5">
      <c r="E5358" s="123"/>
    </row>
    <row r="5359" spans="5:5" ht="16.5">
      <c r="E5359" s="123"/>
    </row>
    <row r="5360" spans="5:5" ht="16.5">
      <c r="E5360" s="123"/>
    </row>
    <row r="5361" spans="5:5" ht="16.5">
      <c r="E5361" s="123"/>
    </row>
    <row r="5362" spans="5:5" ht="16.5">
      <c r="E5362" s="123"/>
    </row>
    <row r="5363" spans="5:5" ht="16.5">
      <c r="E5363" s="123"/>
    </row>
    <row r="5364" spans="5:5" ht="16.5">
      <c r="E5364" s="123"/>
    </row>
    <row r="5365" spans="5:5" ht="16.5">
      <c r="E5365" s="123"/>
    </row>
    <row r="5366" spans="5:5" ht="16.5">
      <c r="E5366" s="123"/>
    </row>
    <row r="5367" spans="5:5" ht="16.5">
      <c r="E5367" s="123"/>
    </row>
    <row r="5368" spans="5:5" ht="16.5">
      <c r="E5368" s="123"/>
    </row>
    <row r="5369" spans="5:5" ht="16.5">
      <c r="E5369" s="123"/>
    </row>
    <row r="5370" spans="5:5" ht="16.5">
      <c r="E5370" s="123"/>
    </row>
    <row r="5371" spans="5:5" ht="16.5">
      <c r="E5371" s="123"/>
    </row>
    <row r="5372" spans="5:5" ht="16.5">
      <c r="E5372" s="123"/>
    </row>
    <row r="5373" spans="5:5" ht="16.5">
      <c r="E5373" s="123"/>
    </row>
    <row r="5374" spans="5:5" ht="16.5">
      <c r="E5374" s="123"/>
    </row>
    <row r="5375" spans="5:5" ht="16.5">
      <c r="E5375" s="123"/>
    </row>
    <row r="5376" spans="5:5" ht="16.5">
      <c r="E5376" s="123"/>
    </row>
    <row r="5377" spans="5:5" ht="16.5">
      <c r="E5377" s="123"/>
    </row>
    <row r="5378" spans="5:5" ht="16.5">
      <c r="E5378" s="123"/>
    </row>
    <row r="5379" spans="5:5" ht="16.5">
      <c r="E5379" s="123"/>
    </row>
    <row r="5380" spans="5:5" ht="16.5">
      <c r="E5380" s="123"/>
    </row>
    <row r="5381" spans="5:5" ht="16.5">
      <c r="E5381" s="123"/>
    </row>
    <row r="5382" spans="5:5" ht="16.5">
      <c r="E5382" s="123"/>
    </row>
    <row r="5383" spans="5:5" ht="16.5">
      <c r="E5383" s="123"/>
    </row>
    <row r="5384" spans="5:5" ht="16.5">
      <c r="E5384" s="123"/>
    </row>
    <row r="5385" spans="5:5" ht="16.5">
      <c r="E5385" s="123"/>
    </row>
    <row r="5386" spans="5:5" ht="16.5">
      <c r="E5386" s="123"/>
    </row>
    <row r="5387" spans="5:5" ht="16.5">
      <c r="E5387" s="123"/>
    </row>
    <row r="5388" spans="5:5" ht="16.5">
      <c r="E5388" s="123"/>
    </row>
    <row r="5389" spans="5:5" ht="16.5">
      <c r="E5389" s="123"/>
    </row>
    <row r="5390" spans="5:5" ht="16.5">
      <c r="E5390" s="123"/>
    </row>
    <row r="5391" spans="5:5" ht="16.5">
      <c r="E5391" s="123"/>
    </row>
    <row r="5392" spans="5:5" ht="16.5">
      <c r="E5392" s="123"/>
    </row>
    <row r="5393" spans="5:5" ht="16.5">
      <c r="E5393" s="123"/>
    </row>
    <row r="5394" spans="5:5" ht="16.5">
      <c r="E5394" s="123"/>
    </row>
    <row r="5395" spans="5:5" ht="16.5">
      <c r="E5395" s="123"/>
    </row>
    <row r="5396" spans="5:5" ht="16.5">
      <c r="E5396" s="123"/>
    </row>
    <row r="5397" spans="5:5" ht="16.5">
      <c r="E5397" s="123"/>
    </row>
    <row r="5398" spans="5:5" ht="16.5">
      <c r="E5398" s="123"/>
    </row>
    <row r="5399" spans="5:5" ht="16.5">
      <c r="E5399" s="123"/>
    </row>
    <row r="5400" spans="5:5" ht="16.5">
      <c r="E5400" s="123"/>
    </row>
    <row r="5401" spans="5:5" ht="16.5">
      <c r="E5401" s="123"/>
    </row>
    <row r="5402" spans="5:5" ht="16.5">
      <c r="E5402" s="123"/>
    </row>
    <row r="5403" spans="5:5" ht="16.5">
      <c r="E5403" s="123"/>
    </row>
    <row r="5404" spans="5:5" ht="16.5">
      <c r="E5404" s="123"/>
    </row>
    <row r="5405" spans="5:5" ht="16.5">
      <c r="E5405" s="123"/>
    </row>
    <row r="5406" spans="5:5" ht="16.5">
      <c r="E5406" s="123"/>
    </row>
    <row r="5407" spans="5:5" ht="16.5">
      <c r="E5407" s="123"/>
    </row>
    <row r="5408" spans="5:5" ht="16.5">
      <c r="E5408" s="123"/>
    </row>
    <row r="5409" spans="5:5" ht="16.5">
      <c r="E5409" s="123"/>
    </row>
    <row r="5410" spans="5:5" ht="16.5">
      <c r="E5410" s="123"/>
    </row>
    <row r="5411" spans="5:5" ht="16.5">
      <c r="E5411" s="123"/>
    </row>
    <row r="5412" spans="5:5" ht="16.5">
      <c r="E5412" s="123"/>
    </row>
    <row r="5413" spans="5:5" ht="16.5">
      <c r="E5413" s="123"/>
    </row>
    <row r="5414" spans="5:5" ht="16.5">
      <c r="E5414" s="123"/>
    </row>
    <row r="5415" spans="5:5" ht="16.5">
      <c r="E5415" s="123"/>
    </row>
    <row r="5416" spans="5:5" ht="16.5">
      <c r="E5416" s="123"/>
    </row>
    <row r="5417" spans="5:5" ht="16.5">
      <c r="E5417" s="123"/>
    </row>
    <row r="5418" spans="5:5" ht="16.5">
      <c r="E5418" s="123"/>
    </row>
    <row r="5419" spans="5:5" ht="16.5">
      <c r="E5419" s="123"/>
    </row>
    <row r="5420" spans="5:5" ht="16.5">
      <c r="E5420" s="123"/>
    </row>
    <row r="5421" spans="5:5" ht="16.5">
      <c r="E5421" s="123"/>
    </row>
    <row r="5422" spans="5:5" ht="16.5">
      <c r="E5422" s="123"/>
    </row>
    <row r="5423" spans="5:5" ht="16.5">
      <c r="E5423" s="123"/>
    </row>
    <row r="5424" spans="5:5" ht="16.5">
      <c r="E5424" s="123"/>
    </row>
    <row r="5425" spans="5:5" ht="16.5">
      <c r="E5425" s="123"/>
    </row>
    <row r="5426" spans="5:5" ht="16.5">
      <c r="E5426" s="123"/>
    </row>
    <row r="5427" spans="5:5" ht="16.5">
      <c r="E5427" s="123"/>
    </row>
    <row r="5428" spans="5:5" ht="16.5">
      <c r="E5428" s="123"/>
    </row>
    <row r="5429" spans="5:5" ht="16.5">
      <c r="E5429" s="123"/>
    </row>
    <row r="5430" spans="5:5" ht="16.5">
      <c r="E5430" s="123"/>
    </row>
    <row r="5431" spans="5:5" ht="16.5">
      <c r="E5431" s="123"/>
    </row>
    <row r="5432" spans="5:5" ht="16.5">
      <c r="E5432" s="123"/>
    </row>
    <row r="5433" spans="5:5" ht="16.5">
      <c r="E5433" s="123"/>
    </row>
    <row r="5434" spans="5:5" ht="16.5">
      <c r="E5434" s="123"/>
    </row>
    <row r="5435" spans="5:5" ht="16.5">
      <c r="E5435" s="123"/>
    </row>
    <row r="5436" spans="5:5" ht="16.5">
      <c r="E5436" s="123"/>
    </row>
    <row r="5437" spans="5:5" ht="16.5">
      <c r="E5437" s="123"/>
    </row>
    <row r="5438" spans="5:5" ht="16.5">
      <c r="E5438" s="123"/>
    </row>
    <row r="5439" spans="5:5" ht="16.5">
      <c r="E5439" s="123"/>
    </row>
    <row r="5440" spans="5:5" ht="16.5">
      <c r="E5440" s="123"/>
    </row>
    <row r="5441" spans="5:5" ht="16.5">
      <c r="E5441" s="123"/>
    </row>
    <row r="5442" spans="5:5" ht="16.5">
      <c r="E5442" s="123"/>
    </row>
    <row r="5443" spans="5:5" ht="16.5">
      <c r="E5443" s="123"/>
    </row>
    <row r="5444" spans="5:5" ht="16.5">
      <c r="E5444" s="123"/>
    </row>
    <row r="5445" spans="5:5" ht="16.5">
      <c r="E5445" s="123"/>
    </row>
    <row r="5446" spans="5:5" ht="16.5">
      <c r="E5446" s="123"/>
    </row>
    <row r="5447" spans="5:5" ht="16.5">
      <c r="E5447" s="123"/>
    </row>
    <row r="5448" spans="5:5" ht="16.5">
      <c r="E5448" s="123"/>
    </row>
    <row r="5449" spans="5:5" ht="16.5">
      <c r="E5449" s="123"/>
    </row>
    <row r="5450" spans="5:5" ht="16.5">
      <c r="E5450" s="123"/>
    </row>
    <row r="5451" spans="5:5" ht="16.5">
      <c r="E5451" s="123"/>
    </row>
    <row r="5452" spans="5:5" ht="16.5">
      <c r="E5452" s="123"/>
    </row>
    <row r="5453" spans="5:5" ht="16.5">
      <c r="E5453" s="123"/>
    </row>
    <row r="5454" spans="5:5" ht="16.5">
      <c r="E5454" s="123"/>
    </row>
    <row r="5455" spans="5:5" ht="16.5">
      <c r="E5455" s="123"/>
    </row>
    <row r="5456" spans="5:5" ht="16.5">
      <c r="E5456" s="123"/>
    </row>
    <row r="5457" spans="5:5" ht="16.5">
      <c r="E5457" s="123"/>
    </row>
    <row r="5458" spans="5:5" ht="16.5">
      <c r="E5458" s="123"/>
    </row>
    <row r="5459" spans="5:5" ht="16.5">
      <c r="E5459" s="123"/>
    </row>
    <row r="5460" spans="5:5" ht="16.5">
      <c r="E5460" s="123"/>
    </row>
    <row r="5461" spans="5:5" ht="16.5">
      <c r="E5461" s="123"/>
    </row>
    <row r="5462" spans="5:5" ht="16.5">
      <c r="E5462" s="123"/>
    </row>
    <row r="5463" spans="5:5" ht="16.5">
      <c r="E5463" s="123"/>
    </row>
    <row r="5464" spans="5:5" ht="16.5">
      <c r="E5464" s="123"/>
    </row>
    <row r="5465" spans="5:5" ht="16.5">
      <c r="E5465" s="123"/>
    </row>
    <row r="5466" spans="5:5" ht="16.5">
      <c r="E5466" s="123"/>
    </row>
    <row r="5467" spans="5:5" ht="16.5">
      <c r="E5467" s="123"/>
    </row>
    <row r="5468" spans="5:5" ht="16.5">
      <c r="E5468" s="123"/>
    </row>
    <row r="5469" spans="5:5" ht="16.5">
      <c r="E5469" s="123"/>
    </row>
    <row r="5470" spans="5:5" ht="16.5">
      <c r="E5470" s="123"/>
    </row>
    <row r="5471" spans="5:5" ht="16.5">
      <c r="E5471" s="123"/>
    </row>
    <row r="5472" spans="5:5" ht="16.5">
      <c r="E5472" s="123"/>
    </row>
    <row r="5473" spans="5:5" ht="16.5">
      <c r="E5473" s="123"/>
    </row>
    <row r="5474" spans="5:5" ht="16.5">
      <c r="E5474" s="123"/>
    </row>
    <row r="5475" spans="5:5" ht="16.5">
      <c r="E5475" s="123"/>
    </row>
    <row r="5476" spans="5:5" ht="16.5">
      <c r="E5476" s="123"/>
    </row>
    <row r="5477" spans="5:5" ht="16.5">
      <c r="E5477" s="123"/>
    </row>
    <row r="5478" spans="5:5" ht="16.5">
      <c r="E5478" s="123"/>
    </row>
    <row r="5479" spans="5:5" ht="16.5">
      <c r="E5479" s="123"/>
    </row>
    <row r="5480" spans="5:5" ht="16.5">
      <c r="E5480" s="123"/>
    </row>
    <row r="5481" spans="5:5" ht="16.5">
      <c r="E5481" s="123"/>
    </row>
    <row r="5482" spans="5:5" ht="16.5">
      <c r="E5482" s="123"/>
    </row>
    <row r="5483" spans="5:5" ht="16.5">
      <c r="E5483" s="123"/>
    </row>
    <row r="5484" spans="5:5" ht="16.5">
      <c r="E5484" s="123"/>
    </row>
    <row r="5485" spans="5:5" ht="16.5">
      <c r="E5485" s="123"/>
    </row>
    <row r="5486" spans="5:5" ht="16.5">
      <c r="E5486" s="123"/>
    </row>
    <row r="5487" spans="5:5" ht="16.5">
      <c r="E5487" s="123"/>
    </row>
    <row r="5488" spans="5:5" ht="16.5">
      <c r="E5488" s="123"/>
    </row>
    <row r="5489" spans="5:5" ht="16.5">
      <c r="E5489" s="123"/>
    </row>
    <row r="5490" spans="5:5" ht="16.5">
      <c r="E5490" s="123"/>
    </row>
    <row r="5491" spans="5:5" ht="16.5">
      <c r="E5491" s="123"/>
    </row>
    <row r="5492" spans="5:5" ht="16.5">
      <c r="E5492" s="123"/>
    </row>
    <row r="5493" spans="5:5" ht="16.5">
      <c r="E5493" s="123"/>
    </row>
    <row r="5494" spans="5:5" ht="16.5">
      <c r="E5494" s="123"/>
    </row>
    <row r="5495" spans="5:5" ht="16.5">
      <c r="E5495" s="123"/>
    </row>
    <row r="5496" spans="5:5" ht="16.5">
      <c r="E5496" s="123"/>
    </row>
    <row r="5497" spans="5:5" ht="16.5">
      <c r="E5497" s="123"/>
    </row>
    <row r="5498" spans="5:5" ht="16.5">
      <c r="E5498" s="123"/>
    </row>
    <row r="5499" spans="5:5" ht="16.5">
      <c r="E5499" s="123"/>
    </row>
    <row r="5500" spans="5:5" ht="16.5">
      <c r="E5500" s="123"/>
    </row>
    <row r="5501" spans="5:5" ht="16.5">
      <c r="E5501" s="123"/>
    </row>
    <row r="5502" spans="5:5" ht="16.5">
      <c r="E5502" s="123"/>
    </row>
    <row r="5503" spans="5:5" ht="16.5">
      <c r="E5503" s="123"/>
    </row>
    <row r="5504" spans="5:5" ht="16.5">
      <c r="E5504" s="123"/>
    </row>
    <row r="5505" spans="5:5" ht="16.5">
      <c r="E5505" s="123"/>
    </row>
    <row r="5506" spans="5:5" ht="16.5">
      <c r="E5506" s="123"/>
    </row>
    <row r="5507" spans="5:5" ht="16.5">
      <c r="E5507" s="123"/>
    </row>
    <row r="5508" spans="5:5" ht="16.5">
      <c r="E5508" s="123"/>
    </row>
    <row r="5509" spans="5:5" ht="16.5">
      <c r="E5509" s="123"/>
    </row>
    <row r="5510" spans="5:5" ht="16.5">
      <c r="E5510" s="123"/>
    </row>
    <row r="5511" spans="5:5" ht="16.5">
      <c r="E5511" s="123"/>
    </row>
    <row r="5512" spans="5:5" ht="16.5">
      <c r="E5512" s="123"/>
    </row>
    <row r="5513" spans="5:5" ht="16.5">
      <c r="E5513" s="123"/>
    </row>
    <row r="5514" spans="5:5" ht="16.5">
      <c r="E5514" s="123"/>
    </row>
    <row r="5515" spans="5:5" ht="16.5">
      <c r="E5515" s="123"/>
    </row>
    <row r="5516" spans="5:5" ht="16.5">
      <c r="E5516" s="123"/>
    </row>
    <row r="5517" spans="5:5" ht="16.5">
      <c r="E5517" s="123"/>
    </row>
    <row r="5518" spans="5:5" ht="16.5">
      <c r="E5518" s="123"/>
    </row>
    <row r="5519" spans="5:5" ht="16.5">
      <c r="E5519" s="123"/>
    </row>
    <row r="5520" spans="5:5" ht="16.5">
      <c r="E5520" s="123"/>
    </row>
    <row r="5521" spans="5:5" ht="16.5">
      <c r="E5521" s="123"/>
    </row>
    <row r="5522" spans="5:5" ht="16.5">
      <c r="E5522" s="123"/>
    </row>
    <row r="5523" spans="5:5" ht="16.5">
      <c r="E5523" s="123"/>
    </row>
    <row r="5524" spans="5:5" ht="16.5">
      <c r="E5524" s="123"/>
    </row>
    <row r="5525" spans="5:5" ht="16.5">
      <c r="E5525" s="123"/>
    </row>
    <row r="5526" spans="5:5" ht="16.5">
      <c r="E5526" s="123"/>
    </row>
    <row r="5527" spans="5:5" ht="16.5">
      <c r="E5527" s="123"/>
    </row>
    <row r="5528" spans="5:5" ht="16.5">
      <c r="E5528" s="123"/>
    </row>
    <row r="5529" spans="5:5" ht="16.5">
      <c r="E5529" s="123"/>
    </row>
    <row r="5530" spans="5:5" ht="16.5">
      <c r="E5530" s="123"/>
    </row>
    <row r="5531" spans="5:5" ht="16.5">
      <c r="E5531" s="123"/>
    </row>
    <row r="5532" spans="5:5" ht="16.5">
      <c r="E5532" s="123"/>
    </row>
    <row r="5533" spans="5:5" ht="16.5">
      <c r="E5533" s="123"/>
    </row>
    <row r="5534" spans="5:5" ht="16.5">
      <c r="E5534" s="123"/>
    </row>
    <row r="5535" spans="5:5" ht="16.5">
      <c r="E5535" s="123"/>
    </row>
    <row r="5536" spans="5:5" ht="16.5">
      <c r="E5536" s="123"/>
    </row>
    <row r="5537" spans="5:5" ht="16.5">
      <c r="E5537" s="123"/>
    </row>
    <row r="5538" spans="5:5" ht="16.5">
      <c r="E5538" s="123"/>
    </row>
    <row r="5539" spans="5:5" ht="16.5">
      <c r="E5539" s="123"/>
    </row>
    <row r="5540" spans="5:5" ht="16.5">
      <c r="E5540" s="123"/>
    </row>
    <row r="5541" spans="5:5" ht="16.5">
      <c r="E5541" s="123"/>
    </row>
    <row r="5542" spans="5:5" ht="16.5">
      <c r="E5542" s="123"/>
    </row>
    <row r="5543" spans="5:5" ht="16.5">
      <c r="E5543" s="123"/>
    </row>
    <row r="5544" spans="5:5" ht="16.5">
      <c r="E5544" s="123"/>
    </row>
    <row r="5545" spans="5:5" ht="16.5">
      <c r="E5545" s="123"/>
    </row>
    <row r="5546" spans="5:5" ht="16.5">
      <c r="E5546" s="123"/>
    </row>
    <row r="5547" spans="5:5" ht="16.5">
      <c r="E5547" s="123"/>
    </row>
    <row r="5548" spans="5:5" ht="16.5">
      <c r="E5548" s="123"/>
    </row>
    <row r="5549" spans="5:5" ht="16.5">
      <c r="E5549" s="123"/>
    </row>
    <row r="5550" spans="5:5" ht="16.5">
      <c r="E5550" s="123"/>
    </row>
    <row r="5551" spans="5:5" ht="16.5">
      <c r="E5551" s="123"/>
    </row>
    <row r="5552" spans="5:5" ht="16.5">
      <c r="E5552" s="123"/>
    </row>
    <row r="5553" spans="5:5" ht="16.5">
      <c r="E5553" s="123"/>
    </row>
    <row r="5554" spans="5:5" ht="16.5">
      <c r="E5554" s="123"/>
    </row>
    <row r="5555" spans="5:5" ht="16.5">
      <c r="E5555" s="123"/>
    </row>
    <row r="5556" spans="5:5" ht="16.5">
      <c r="E5556" s="123"/>
    </row>
    <row r="5557" spans="5:5" ht="16.5">
      <c r="E5557" s="123"/>
    </row>
    <row r="5558" spans="5:5" ht="16.5">
      <c r="E5558" s="123"/>
    </row>
    <row r="5559" spans="5:5" ht="16.5">
      <c r="E5559" s="123"/>
    </row>
    <row r="5560" spans="5:5" ht="16.5">
      <c r="E5560" s="123"/>
    </row>
    <row r="5561" spans="5:5" ht="16.5">
      <c r="E5561" s="123"/>
    </row>
    <row r="5562" spans="5:5" ht="16.5">
      <c r="E5562" s="123"/>
    </row>
    <row r="5563" spans="5:5" ht="16.5">
      <c r="E5563" s="123"/>
    </row>
    <row r="5564" spans="5:5" ht="16.5">
      <c r="E5564" s="123"/>
    </row>
    <row r="5565" spans="5:5" ht="16.5">
      <c r="E5565" s="123"/>
    </row>
    <row r="5566" spans="5:5" ht="16.5">
      <c r="E5566" s="123"/>
    </row>
    <row r="5567" spans="5:5" ht="16.5">
      <c r="E5567" s="123"/>
    </row>
    <row r="5568" spans="5:5" ht="16.5">
      <c r="E5568" s="123"/>
    </row>
    <row r="5569" spans="5:5" ht="16.5">
      <c r="E5569" s="123"/>
    </row>
    <row r="5570" spans="5:5" ht="16.5">
      <c r="E5570" s="123"/>
    </row>
    <row r="5571" spans="5:5" ht="16.5">
      <c r="E5571" s="123"/>
    </row>
    <row r="5572" spans="5:5" ht="16.5">
      <c r="E5572" s="123"/>
    </row>
    <row r="5573" spans="5:5" ht="16.5">
      <c r="E5573" s="123"/>
    </row>
    <row r="5574" spans="5:5" ht="16.5">
      <c r="E5574" s="123"/>
    </row>
    <row r="5575" spans="5:5" ht="16.5">
      <c r="E5575" s="123"/>
    </row>
    <row r="5576" spans="5:5" ht="16.5">
      <c r="E5576" s="123"/>
    </row>
    <row r="5577" spans="5:5" ht="16.5">
      <c r="E5577" s="123"/>
    </row>
    <row r="5578" spans="5:5" ht="16.5">
      <c r="E5578" s="123"/>
    </row>
    <row r="5579" spans="5:5" ht="16.5">
      <c r="E5579" s="123"/>
    </row>
    <row r="5580" spans="5:5" ht="16.5">
      <c r="E5580" s="123"/>
    </row>
    <row r="5581" spans="5:5" ht="16.5">
      <c r="E5581" s="123"/>
    </row>
    <row r="5582" spans="5:5" ht="16.5">
      <c r="E5582" s="123"/>
    </row>
    <row r="5583" spans="5:5" ht="16.5">
      <c r="E5583" s="123"/>
    </row>
    <row r="5584" spans="5:5" ht="16.5">
      <c r="E5584" s="123"/>
    </row>
    <row r="5585" spans="5:5" ht="16.5">
      <c r="E5585" s="123"/>
    </row>
    <row r="5586" spans="5:5" ht="16.5">
      <c r="E5586" s="123"/>
    </row>
    <row r="5587" spans="5:5" ht="16.5">
      <c r="E5587" s="123"/>
    </row>
    <row r="5588" spans="5:5" ht="16.5">
      <c r="E5588" s="123"/>
    </row>
    <row r="5589" spans="5:5" ht="16.5">
      <c r="E5589" s="123"/>
    </row>
    <row r="5590" spans="5:5" ht="16.5">
      <c r="E5590" s="123"/>
    </row>
    <row r="5591" spans="5:5" ht="16.5">
      <c r="E5591" s="123"/>
    </row>
    <row r="5592" spans="5:5" ht="16.5">
      <c r="E5592" s="123"/>
    </row>
    <row r="5593" spans="5:5" ht="16.5">
      <c r="E5593" s="123"/>
    </row>
    <row r="5594" spans="5:5" ht="16.5">
      <c r="E5594" s="123"/>
    </row>
    <row r="5595" spans="5:5" ht="16.5">
      <c r="E5595" s="123"/>
    </row>
    <row r="5596" spans="5:5" ht="16.5">
      <c r="E5596" s="123"/>
    </row>
    <row r="5597" spans="5:5" ht="16.5">
      <c r="E5597" s="123"/>
    </row>
    <row r="5598" spans="5:5" ht="16.5">
      <c r="E5598" s="123"/>
    </row>
    <row r="5599" spans="5:5" ht="16.5">
      <c r="E5599" s="123"/>
    </row>
    <row r="5600" spans="5:5" ht="16.5">
      <c r="E5600" s="123"/>
    </row>
    <row r="5601" spans="5:5" ht="16.5">
      <c r="E5601" s="123"/>
    </row>
    <row r="5602" spans="5:5" ht="16.5">
      <c r="E5602" s="123"/>
    </row>
    <row r="5603" spans="5:5" ht="16.5">
      <c r="E5603" s="123"/>
    </row>
    <row r="5604" spans="5:5" ht="16.5">
      <c r="E5604" s="123"/>
    </row>
    <row r="5605" spans="5:5" ht="16.5">
      <c r="E5605" s="123"/>
    </row>
    <row r="5606" spans="5:5" ht="16.5">
      <c r="E5606" s="123"/>
    </row>
    <row r="5607" spans="5:5" ht="16.5">
      <c r="E5607" s="123"/>
    </row>
    <row r="5608" spans="5:5" ht="16.5">
      <c r="E5608" s="123"/>
    </row>
    <row r="5609" spans="5:5" ht="16.5">
      <c r="E5609" s="123"/>
    </row>
    <row r="5610" spans="5:5" ht="16.5">
      <c r="E5610" s="123"/>
    </row>
    <row r="5611" spans="5:5" ht="16.5">
      <c r="E5611" s="123"/>
    </row>
    <row r="5612" spans="5:5" ht="16.5">
      <c r="E5612" s="123"/>
    </row>
    <row r="5613" spans="5:5" ht="16.5">
      <c r="E5613" s="123"/>
    </row>
    <row r="5614" spans="5:5" ht="16.5">
      <c r="E5614" s="123"/>
    </row>
    <row r="5615" spans="5:5" ht="16.5">
      <c r="E5615" s="123"/>
    </row>
    <row r="5616" spans="5:5" ht="16.5">
      <c r="E5616" s="123"/>
    </row>
    <row r="5617" spans="5:5" ht="16.5">
      <c r="E5617" s="123"/>
    </row>
    <row r="5618" spans="5:5" ht="16.5">
      <c r="E5618" s="123"/>
    </row>
    <row r="5619" spans="5:5" ht="16.5">
      <c r="E5619" s="123"/>
    </row>
    <row r="5620" spans="5:5" ht="16.5">
      <c r="E5620" s="123"/>
    </row>
    <row r="5621" spans="5:5" ht="16.5">
      <c r="E5621" s="123"/>
    </row>
    <row r="5622" spans="5:5" ht="16.5">
      <c r="E5622" s="123"/>
    </row>
    <row r="5623" spans="5:5" ht="16.5">
      <c r="E5623" s="123"/>
    </row>
    <row r="5624" spans="5:5" ht="16.5">
      <c r="E5624" s="123"/>
    </row>
    <row r="5625" spans="5:5" ht="16.5">
      <c r="E5625" s="123"/>
    </row>
    <row r="5626" spans="5:5" ht="16.5">
      <c r="E5626" s="123"/>
    </row>
    <row r="5627" spans="5:5" ht="16.5">
      <c r="E5627" s="123"/>
    </row>
    <row r="5628" spans="5:5" ht="16.5">
      <c r="E5628" s="123"/>
    </row>
    <row r="5629" spans="5:5" ht="16.5">
      <c r="E5629" s="123"/>
    </row>
    <row r="5630" spans="5:5" ht="16.5">
      <c r="E5630" s="123"/>
    </row>
    <row r="5631" spans="5:5" ht="16.5">
      <c r="E5631" s="123"/>
    </row>
    <row r="5632" spans="5:5" ht="16.5">
      <c r="E5632" s="123"/>
    </row>
    <row r="5633" spans="5:5" ht="16.5">
      <c r="E5633" s="123"/>
    </row>
    <row r="5634" spans="5:5" ht="16.5">
      <c r="E5634" s="123"/>
    </row>
    <row r="5635" spans="5:5" ht="16.5">
      <c r="E5635" s="123"/>
    </row>
    <row r="5636" spans="5:5" ht="16.5">
      <c r="E5636" s="123"/>
    </row>
    <row r="5637" spans="5:5" ht="16.5">
      <c r="E5637" s="123"/>
    </row>
    <row r="5638" spans="5:5" ht="16.5">
      <c r="E5638" s="123"/>
    </row>
    <row r="5639" spans="5:5" ht="16.5">
      <c r="E5639" s="123"/>
    </row>
    <row r="5640" spans="5:5" ht="16.5">
      <c r="E5640" s="123"/>
    </row>
    <row r="5641" spans="5:5" ht="16.5">
      <c r="E5641" s="123"/>
    </row>
    <row r="5642" spans="5:5" ht="16.5">
      <c r="E5642" s="123"/>
    </row>
    <row r="5643" spans="5:5" ht="16.5">
      <c r="E5643" s="123"/>
    </row>
    <row r="5644" spans="5:5" ht="16.5">
      <c r="E5644" s="123"/>
    </row>
    <row r="5645" spans="5:5" ht="16.5">
      <c r="E5645" s="123"/>
    </row>
    <row r="5646" spans="5:5" ht="16.5">
      <c r="E5646" s="123"/>
    </row>
    <row r="5647" spans="5:5" ht="16.5">
      <c r="E5647" s="123"/>
    </row>
    <row r="5648" spans="5:5" ht="16.5">
      <c r="E5648" s="123"/>
    </row>
    <row r="5649" spans="5:5" ht="16.5">
      <c r="E5649" s="123"/>
    </row>
    <row r="5650" spans="5:5" ht="16.5">
      <c r="E5650" s="123"/>
    </row>
    <row r="5651" spans="5:5" ht="16.5">
      <c r="E5651" s="123"/>
    </row>
    <row r="5652" spans="5:5" ht="16.5">
      <c r="E5652" s="123"/>
    </row>
    <row r="5653" spans="5:5" ht="16.5">
      <c r="E5653" s="123"/>
    </row>
    <row r="5654" spans="5:5" ht="16.5">
      <c r="E5654" s="123"/>
    </row>
    <row r="5655" spans="5:5" ht="16.5">
      <c r="E5655" s="123"/>
    </row>
    <row r="5656" spans="5:5" ht="16.5">
      <c r="E5656" s="123"/>
    </row>
    <row r="5657" spans="5:5" ht="16.5">
      <c r="E5657" s="123"/>
    </row>
    <row r="5658" spans="5:5" ht="16.5">
      <c r="E5658" s="123"/>
    </row>
    <row r="5659" spans="5:5" ht="16.5">
      <c r="E5659" s="123"/>
    </row>
    <row r="5660" spans="5:5" ht="16.5">
      <c r="E5660" s="123"/>
    </row>
    <row r="5661" spans="5:5" ht="16.5">
      <c r="E5661" s="123"/>
    </row>
    <row r="5662" spans="5:5" ht="16.5">
      <c r="E5662" s="123"/>
    </row>
    <row r="5663" spans="5:5" ht="16.5">
      <c r="E5663" s="123"/>
    </row>
    <row r="5664" spans="5:5" ht="16.5">
      <c r="E5664" s="123"/>
    </row>
    <row r="5665" spans="5:5" ht="16.5">
      <c r="E5665" s="123"/>
    </row>
    <row r="5666" spans="5:5" ht="16.5">
      <c r="E5666" s="123"/>
    </row>
    <row r="5667" spans="5:5" ht="16.5">
      <c r="E5667" s="123"/>
    </row>
    <row r="5668" spans="5:5" ht="16.5">
      <c r="E5668" s="123"/>
    </row>
    <row r="5669" spans="5:5" ht="16.5">
      <c r="E5669" s="123"/>
    </row>
    <row r="5670" spans="5:5" ht="16.5">
      <c r="E5670" s="123"/>
    </row>
    <row r="5671" spans="5:5" ht="16.5">
      <c r="E5671" s="123"/>
    </row>
    <row r="5672" spans="5:5" ht="16.5">
      <c r="E5672" s="123"/>
    </row>
    <row r="5673" spans="5:5" ht="16.5">
      <c r="E5673" s="123"/>
    </row>
    <row r="5674" spans="5:5" ht="16.5">
      <c r="E5674" s="123"/>
    </row>
    <row r="5675" spans="5:5" ht="16.5">
      <c r="E5675" s="123"/>
    </row>
    <row r="5676" spans="5:5" ht="16.5">
      <c r="E5676" s="123"/>
    </row>
    <row r="5677" spans="5:5" ht="16.5">
      <c r="E5677" s="123"/>
    </row>
    <row r="5678" spans="5:5" ht="16.5">
      <c r="E5678" s="123"/>
    </row>
    <row r="5679" spans="5:5" ht="16.5">
      <c r="E5679" s="123"/>
    </row>
    <row r="5680" spans="5:5" ht="16.5">
      <c r="E5680" s="123"/>
    </row>
    <row r="5681" spans="5:5" ht="16.5">
      <c r="E5681" s="123"/>
    </row>
    <row r="5682" spans="5:5" ht="16.5">
      <c r="E5682" s="123"/>
    </row>
    <row r="5683" spans="5:5" ht="16.5">
      <c r="E5683" s="123"/>
    </row>
    <row r="5684" spans="5:5" ht="16.5">
      <c r="E5684" s="123"/>
    </row>
    <row r="5685" spans="5:5" ht="16.5">
      <c r="E5685" s="123"/>
    </row>
    <row r="5686" spans="5:5" ht="16.5">
      <c r="E5686" s="123"/>
    </row>
    <row r="5687" spans="5:5" ht="16.5">
      <c r="E5687" s="123"/>
    </row>
    <row r="5688" spans="5:5" ht="16.5">
      <c r="E5688" s="123"/>
    </row>
    <row r="5689" spans="5:5" ht="16.5">
      <c r="E5689" s="123"/>
    </row>
    <row r="5690" spans="5:5" ht="16.5">
      <c r="E5690" s="123"/>
    </row>
    <row r="5691" spans="5:5" ht="16.5">
      <c r="E5691" s="123"/>
    </row>
    <row r="5692" spans="5:5" ht="16.5">
      <c r="E5692" s="123"/>
    </row>
    <row r="5693" spans="5:5" ht="16.5">
      <c r="E5693" s="123"/>
    </row>
    <row r="5694" spans="5:5" ht="16.5">
      <c r="E5694" s="123"/>
    </row>
    <row r="5695" spans="5:5" ht="16.5">
      <c r="E5695" s="123"/>
    </row>
    <row r="5696" spans="5:5" ht="16.5">
      <c r="E5696" s="123"/>
    </row>
    <row r="5697" spans="5:5" ht="16.5">
      <c r="E5697" s="123"/>
    </row>
    <row r="5698" spans="5:5" ht="16.5">
      <c r="E5698" s="123"/>
    </row>
    <row r="5699" spans="5:5" ht="16.5">
      <c r="E5699" s="123"/>
    </row>
    <row r="5700" spans="5:5" ht="16.5">
      <c r="E5700" s="123"/>
    </row>
    <row r="5701" spans="5:5" ht="16.5">
      <c r="E5701" s="123"/>
    </row>
    <row r="5702" spans="5:5" ht="16.5">
      <c r="E5702" s="123"/>
    </row>
    <row r="5703" spans="5:5" ht="16.5">
      <c r="E5703" s="123"/>
    </row>
    <row r="5704" spans="5:5" ht="16.5">
      <c r="E5704" s="123"/>
    </row>
    <row r="5705" spans="5:5" ht="16.5">
      <c r="E5705" s="123"/>
    </row>
    <row r="5706" spans="5:5" ht="16.5">
      <c r="E5706" s="123"/>
    </row>
    <row r="5707" spans="5:5" ht="16.5">
      <c r="E5707" s="123"/>
    </row>
    <row r="5708" spans="5:5" ht="16.5">
      <c r="E5708" s="123"/>
    </row>
    <row r="5709" spans="5:5" ht="16.5">
      <c r="E5709" s="123"/>
    </row>
    <row r="5710" spans="5:5" ht="16.5">
      <c r="E5710" s="123"/>
    </row>
    <row r="5711" spans="5:5" ht="16.5">
      <c r="E5711" s="123"/>
    </row>
    <row r="5712" spans="5:5" ht="16.5">
      <c r="E5712" s="123"/>
    </row>
    <row r="5713" spans="5:5" ht="16.5">
      <c r="E5713" s="123"/>
    </row>
    <row r="5714" spans="5:5" ht="16.5">
      <c r="E5714" s="123"/>
    </row>
    <row r="5715" spans="5:5" ht="16.5">
      <c r="E5715" s="123"/>
    </row>
    <row r="5716" spans="5:5" ht="16.5">
      <c r="E5716" s="123"/>
    </row>
    <row r="5717" spans="5:5" ht="16.5">
      <c r="E5717" s="123"/>
    </row>
    <row r="5718" spans="5:5" ht="16.5">
      <c r="E5718" s="123"/>
    </row>
    <row r="5719" spans="5:5" ht="16.5">
      <c r="E5719" s="123"/>
    </row>
    <row r="5720" spans="5:5" ht="16.5">
      <c r="E5720" s="123"/>
    </row>
    <row r="5721" spans="5:5" ht="16.5">
      <c r="E5721" s="123"/>
    </row>
    <row r="5722" spans="5:5" ht="16.5">
      <c r="E5722" s="123"/>
    </row>
    <row r="5723" spans="5:5" ht="16.5">
      <c r="E5723" s="123"/>
    </row>
    <row r="5724" spans="5:5" ht="16.5">
      <c r="E5724" s="123"/>
    </row>
    <row r="5725" spans="5:5" ht="16.5">
      <c r="E5725" s="123"/>
    </row>
    <row r="5726" spans="5:5" ht="16.5">
      <c r="E5726" s="123"/>
    </row>
    <row r="5727" spans="5:5" ht="16.5">
      <c r="E5727" s="123"/>
    </row>
    <row r="5728" spans="5:5" ht="16.5">
      <c r="E5728" s="123"/>
    </row>
    <row r="5729" spans="5:5" ht="16.5">
      <c r="E5729" s="123"/>
    </row>
    <row r="5730" spans="5:5" ht="16.5">
      <c r="E5730" s="123"/>
    </row>
    <row r="5731" spans="5:5" ht="16.5">
      <c r="E5731" s="123"/>
    </row>
    <row r="5732" spans="5:5" ht="16.5">
      <c r="E5732" s="123"/>
    </row>
    <row r="5733" spans="5:5" ht="16.5">
      <c r="E5733" s="123"/>
    </row>
    <row r="5734" spans="5:5" ht="16.5">
      <c r="E5734" s="123"/>
    </row>
    <row r="5735" spans="5:5" ht="16.5">
      <c r="E5735" s="123"/>
    </row>
    <row r="5736" spans="5:5" ht="16.5">
      <c r="E5736" s="123"/>
    </row>
    <row r="5737" spans="5:5" ht="16.5">
      <c r="E5737" s="123"/>
    </row>
    <row r="5738" spans="5:5" ht="16.5">
      <c r="E5738" s="123"/>
    </row>
    <row r="5739" spans="5:5" ht="16.5">
      <c r="E5739" s="123"/>
    </row>
    <row r="5740" spans="5:5" ht="16.5">
      <c r="E5740" s="123"/>
    </row>
    <row r="5741" spans="5:5" ht="16.5">
      <c r="E5741" s="123"/>
    </row>
    <row r="5742" spans="5:5" ht="16.5">
      <c r="E5742" s="123"/>
    </row>
    <row r="5743" spans="5:5" ht="16.5">
      <c r="E5743" s="123"/>
    </row>
    <row r="5744" spans="5:5" ht="16.5">
      <c r="E5744" s="123"/>
    </row>
    <row r="5745" spans="5:5" ht="16.5">
      <c r="E5745" s="123"/>
    </row>
    <row r="5746" spans="5:5" ht="16.5">
      <c r="E5746" s="123"/>
    </row>
    <row r="5747" spans="5:5" ht="16.5">
      <c r="E5747" s="123"/>
    </row>
    <row r="5748" spans="5:5" ht="16.5">
      <c r="E5748" s="123"/>
    </row>
    <row r="5749" spans="5:5" ht="16.5">
      <c r="E5749" s="123"/>
    </row>
    <row r="5750" spans="5:5" ht="16.5">
      <c r="E5750" s="123"/>
    </row>
    <row r="5751" spans="5:5" ht="16.5">
      <c r="E5751" s="123"/>
    </row>
    <row r="5752" spans="5:5" ht="16.5">
      <c r="E5752" s="123"/>
    </row>
    <row r="5753" spans="5:5" ht="16.5">
      <c r="E5753" s="123"/>
    </row>
    <row r="5754" spans="5:5" ht="16.5">
      <c r="E5754" s="123"/>
    </row>
    <row r="5755" spans="5:5" ht="16.5">
      <c r="E5755" s="123"/>
    </row>
    <row r="5756" spans="5:5" ht="16.5">
      <c r="E5756" s="123"/>
    </row>
    <row r="5757" spans="5:5" ht="16.5">
      <c r="E5757" s="123"/>
    </row>
    <row r="5758" spans="5:5" ht="16.5">
      <c r="E5758" s="123"/>
    </row>
    <row r="5759" spans="5:5" ht="16.5">
      <c r="E5759" s="123"/>
    </row>
    <row r="5760" spans="5:5" ht="16.5">
      <c r="E5760" s="123"/>
    </row>
    <row r="5761" spans="5:5" ht="16.5">
      <c r="E5761" s="123"/>
    </row>
    <row r="5762" spans="5:5" ht="16.5">
      <c r="E5762" s="123"/>
    </row>
    <row r="5763" spans="5:5" ht="16.5">
      <c r="E5763" s="123"/>
    </row>
    <row r="5764" spans="5:5" ht="16.5">
      <c r="E5764" s="123"/>
    </row>
    <row r="5765" spans="5:5" ht="16.5">
      <c r="E5765" s="123"/>
    </row>
    <row r="5766" spans="5:5" ht="16.5">
      <c r="E5766" s="123"/>
    </row>
    <row r="5767" spans="5:5" ht="16.5">
      <c r="E5767" s="123"/>
    </row>
    <row r="5768" spans="5:5" ht="16.5">
      <c r="E5768" s="123"/>
    </row>
    <row r="5769" spans="5:5" ht="16.5">
      <c r="E5769" s="123"/>
    </row>
    <row r="5770" spans="5:5" ht="16.5">
      <c r="E5770" s="123"/>
    </row>
    <row r="5771" spans="5:5" ht="16.5">
      <c r="E5771" s="123"/>
    </row>
    <row r="5772" spans="5:5" ht="16.5">
      <c r="E5772" s="123"/>
    </row>
    <row r="5773" spans="5:5" ht="16.5">
      <c r="E5773" s="123"/>
    </row>
    <row r="5774" spans="5:5" ht="16.5">
      <c r="E5774" s="123"/>
    </row>
    <row r="5775" spans="5:5" ht="16.5">
      <c r="E5775" s="123"/>
    </row>
    <row r="5776" spans="5:5" ht="16.5">
      <c r="E5776" s="123"/>
    </row>
    <row r="5777" spans="5:5" ht="16.5">
      <c r="E5777" s="123"/>
    </row>
    <row r="5778" spans="5:5" ht="16.5">
      <c r="E5778" s="123"/>
    </row>
    <row r="5779" spans="5:5" ht="16.5">
      <c r="E5779" s="123"/>
    </row>
    <row r="5780" spans="5:5" ht="16.5">
      <c r="E5780" s="123"/>
    </row>
    <row r="5781" spans="5:5" ht="16.5">
      <c r="E5781" s="123"/>
    </row>
    <row r="5782" spans="5:5" ht="16.5">
      <c r="E5782" s="123"/>
    </row>
    <row r="5783" spans="5:5" ht="16.5">
      <c r="E5783" s="123"/>
    </row>
    <row r="5784" spans="5:5" ht="16.5">
      <c r="E5784" s="123"/>
    </row>
    <row r="5785" spans="5:5" ht="16.5">
      <c r="E5785" s="123"/>
    </row>
    <row r="5786" spans="5:5" ht="16.5">
      <c r="E5786" s="123"/>
    </row>
    <row r="5787" spans="5:5" ht="16.5">
      <c r="E5787" s="123"/>
    </row>
    <row r="5788" spans="5:5" ht="16.5">
      <c r="E5788" s="123"/>
    </row>
    <row r="5789" spans="5:5" ht="16.5">
      <c r="E5789" s="123"/>
    </row>
    <row r="5790" spans="5:5" ht="16.5">
      <c r="E5790" s="123"/>
    </row>
    <row r="5791" spans="5:5" ht="16.5">
      <c r="E5791" s="123"/>
    </row>
    <row r="5792" spans="5:5" ht="16.5">
      <c r="E5792" s="123"/>
    </row>
    <row r="5793" spans="5:5" ht="16.5">
      <c r="E5793" s="123"/>
    </row>
    <row r="5794" spans="5:5" ht="16.5">
      <c r="E5794" s="123"/>
    </row>
    <row r="5795" spans="5:5" ht="16.5">
      <c r="E5795" s="123"/>
    </row>
    <row r="5796" spans="5:5" ht="16.5">
      <c r="E5796" s="123"/>
    </row>
    <row r="5797" spans="5:5" ht="16.5">
      <c r="E5797" s="123"/>
    </row>
    <row r="5798" spans="5:5" ht="16.5">
      <c r="E5798" s="123"/>
    </row>
    <row r="5799" spans="5:5" ht="16.5">
      <c r="E5799" s="123"/>
    </row>
    <row r="5800" spans="5:5" ht="16.5">
      <c r="E5800" s="123"/>
    </row>
    <row r="5801" spans="5:5" ht="16.5">
      <c r="E5801" s="123"/>
    </row>
    <row r="5802" spans="5:5" ht="16.5">
      <c r="E5802" s="123"/>
    </row>
    <row r="5803" spans="5:5" ht="16.5">
      <c r="E5803" s="123"/>
    </row>
    <row r="5804" spans="5:5" ht="16.5">
      <c r="E5804" s="123"/>
    </row>
    <row r="5805" spans="5:5" ht="16.5">
      <c r="E5805" s="123"/>
    </row>
    <row r="5806" spans="5:5" ht="16.5">
      <c r="E5806" s="123"/>
    </row>
    <row r="5807" spans="5:5" ht="16.5">
      <c r="E5807" s="123"/>
    </row>
    <row r="5808" spans="5:5" ht="16.5">
      <c r="E5808" s="123"/>
    </row>
    <row r="5809" spans="5:5" ht="16.5">
      <c r="E5809" s="123"/>
    </row>
    <row r="5810" spans="5:5" ht="16.5">
      <c r="E5810" s="123"/>
    </row>
    <row r="5811" spans="5:5" ht="16.5">
      <c r="E5811" s="123"/>
    </row>
    <row r="5812" spans="5:5" ht="16.5">
      <c r="E5812" s="123"/>
    </row>
    <row r="5813" spans="5:5" ht="16.5">
      <c r="E5813" s="123"/>
    </row>
    <row r="5814" spans="5:5" ht="16.5">
      <c r="E5814" s="123"/>
    </row>
    <row r="5815" spans="5:5" ht="16.5">
      <c r="E5815" s="123"/>
    </row>
    <row r="5816" spans="5:5" ht="16.5">
      <c r="E5816" s="123"/>
    </row>
    <row r="5817" spans="5:5" ht="16.5">
      <c r="E5817" s="123"/>
    </row>
    <row r="5818" spans="5:5" ht="16.5">
      <c r="E5818" s="123"/>
    </row>
    <row r="5819" spans="5:5" ht="16.5">
      <c r="E5819" s="123"/>
    </row>
    <row r="5820" spans="5:5" ht="16.5">
      <c r="E5820" s="123"/>
    </row>
    <row r="5821" spans="5:5" ht="16.5">
      <c r="E5821" s="123"/>
    </row>
    <row r="5822" spans="5:5" ht="16.5">
      <c r="E5822" s="123"/>
    </row>
    <row r="5823" spans="5:5" ht="16.5">
      <c r="E5823" s="123"/>
    </row>
    <row r="5824" spans="5:5" ht="16.5">
      <c r="E5824" s="123"/>
    </row>
    <row r="5825" spans="5:5" ht="16.5">
      <c r="E5825" s="123"/>
    </row>
    <row r="5826" spans="5:5" ht="16.5">
      <c r="E5826" s="123"/>
    </row>
    <row r="5827" spans="5:5" ht="16.5">
      <c r="E5827" s="123"/>
    </row>
    <row r="5828" spans="5:5" ht="16.5">
      <c r="E5828" s="123"/>
    </row>
    <row r="5829" spans="5:5" ht="16.5">
      <c r="E5829" s="123"/>
    </row>
    <row r="5830" spans="5:5" ht="16.5">
      <c r="E5830" s="123"/>
    </row>
    <row r="5831" spans="5:5" ht="16.5">
      <c r="E5831" s="123"/>
    </row>
    <row r="5832" spans="5:5" ht="16.5">
      <c r="E5832" s="123"/>
    </row>
    <row r="5833" spans="5:5" ht="16.5">
      <c r="E5833" s="123"/>
    </row>
    <row r="5834" spans="5:5" ht="16.5">
      <c r="E5834" s="123"/>
    </row>
    <row r="5835" spans="5:5" ht="16.5">
      <c r="E5835" s="123"/>
    </row>
    <row r="5836" spans="5:5" ht="16.5">
      <c r="E5836" s="123"/>
    </row>
    <row r="5837" spans="5:5" ht="16.5">
      <c r="E5837" s="123"/>
    </row>
    <row r="5838" spans="5:5" ht="16.5">
      <c r="E5838" s="123"/>
    </row>
    <row r="5839" spans="5:5" ht="16.5">
      <c r="E5839" s="123"/>
    </row>
    <row r="5840" spans="5:5" ht="16.5">
      <c r="E5840" s="123"/>
    </row>
    <row r="5841" spans="5:5" ht="16.5">
      <c r="E5841" s="123"/>
    </row>
    <row r="5842" spans="5:5" ht="16.5">
      <c r="E5842" s="123"/>
    </row>
    <row r="5843" spans="5:5" ht="16.5">
      <c r="E5843" s="123"/>
    </row>
    <row r="5844" spans="5:5" ht="16.5">
      <c r="E5844" s="123"/>
    </row>
    <row r="5845" spans="5:5" ht="16.5">
      <c r="E5845" s="123"/>
    </row>
    <row r="5846" spans="5:5" ht="16.5">
      <c r="E5846" s="123"/>
    </row>
    <row r="5847" spans="5:5" ht="16.5">
      <c r="E5847" s="123"/>
    </row>
    <row r="5848" spans="5:5" ht="16.5">
      <c r="E5848" s="123"/>
    </row>
    <row r="5849" spans="5:5" ht="16.5">
      <c r="E5849" s="123"/>
    </row>
    <row r="5850" spans="5:5" ht="16.5">
      <c r="E5850" s="123"/>
    </row>
    <row r="5851" spans="5:5" ht="16.5">
      <c r="E5851" s="123"/>
    </row>
    <row r="5852" spans="5:5" ht="16.5">
      <c r="E5852" s="123"/>
    </row>
    <row r="5853" spans="5:5" ht="16.5">
      <c r="E5853" s="123"/>
    </row>
    <row r="5854" spans="5:5" ht="16.5">
      <c r="E5854" s="123"/>
    </row>
    <row r="5855" spans="5:5" ht="16.5">
      <c r="E5855" s="123"/>
    </row>
    <row r="5856" spans="5:5" ht="16.5">
      <c r="E5856" s="123"/>
    </row>
    <row r="5857" spans="5:5" ht="16.5">
      <c r="E5857" s="123"/>
    </row>
    <row r="5858" spans="5:5" ht="16.5">
      <c r="E5858" s="123"/>
    </row>
    <row r="5859" spans="5:5" ht="16.5">
      <c r="E5859" s="123"/>
    </row>
    <row r="5860" spans="5:5" ht="16.5">
      <c r="E5860" s="123"/>
    </row>
    <row r="5861" spans="5:5" ht="16.5">
      <c r="E5861" s="123"/>
    </row>
    <row r="5862" spans="5:5" ht="16.5">
      <c r="E5862" s="123"/>
    </row>
    <row r="5863" spans="5:5" ht="16.5">
      <c r="E5863" s="123"/>
    </row>
    <row r="5864" spans="5:5" ht="16.5">
      <c r="E5864" s="123"/>
    </row>
    <row r="5865" spans="5:5" ht="16.5">
      <c r="E5865" s="123"/>
    </row>
    <row r="5866" spans="5:5" ht="16.5">
      <c r="E5866" s="123"/>
    </row>
    <row r="5867" spans="5:5" ht="16.5">
      <c r="E5867" s="123"/>
    </row>
    <row r="5868" spans="5:5" ht="16.5">
      <c r="E5868" s="123"/>
    </row>
    <row r="5869" spans="5:5" ht="16.5">
      <c r="E5869" s="123"/>
    </row>
    <row r="5870" spans="5:5" ht="16.5">
      <c r="E5870" s="123"/>
    </row>
    <row r="5871" spans="5:5" ht="16.5">
      <c r="E5871" s="123"/>
    </row>
    <row r="5872" spans="5:5" ht="16.5">
      <c r="E5872" s="123"/>
    </row>
    <row r="5873" spans="5:5" ht="16.5">
      <c r="E5873" s="123"/>
    </row>
    <row r="5874" spans="5:5" ht="16.5">
      <c r="E5874" s="123"/>
    </row>
    <row r="5875" spans="5:5" ht="16.5">
      <c r="E5875" s="123"/>
    </row>
    <row r="5876" spans="5:5" ht="16.5">
      <c r="E5876" s="123"/>
    </row>
    <row r="5877" spans="5:5" ht="16.5">
      <c r="E5877" s="123"/>
    </row>
    <row r="5878" spans="5:5" ht="16.5">
      <c r="E5878" s="123"/>
    </row>
    <row r="5879" spans="5:5" ht="16.5">
      <c r="E5879" s="123"/>
    </row>
    <row r="5880" spans="5:5" ht="16.5">
      <c r="E5880" s="123"/>
    </row>
    <row r="5881" spans="5:5" ht="16.5">
      <c r="E5881" s="123"/>
    </row>
    <row r="5882" spans="5:5" ht="16.5">
      <c r="E5882" s="123"/>
    </row>
    <row r="5883" spans="5:5" ht="16.5">
      <c r="E5883" s="123"/>
    </row>
    <row r="5884" spans="5:5" ht="16.5">
      <c r="E5884" s="123"/>
    </row>
    <row r="5885" spans="5:5" ht="16.5">
      <c r="E5885" s="123"/>
    </row>
    <row r="5886" spans="5:5" ht="16.5">
      <c r="E5886" s="123"/>
    </row>
    <row r="5887" spans="5:5" ht="16.5">
      <c r="E5887" s="123"/>
    </row>
    <row r="5888" spans="5:5" ht="16.5">
      <c r="E5888" s="123"/>
    </row>
    <row r="5889" spans="5:5" ht="16.5">
      <c r="E5889" s="123"/>
    </row>
    <row r="5890" spans="5:5" ht="16.5">
      <c r="E5890" s="123"/>
    </row>
    <row r="5891" spans="5:5" ht="16.5">
      <c r="E5891" s="123"/>
    </row>
    <row r="5892" spans="5:5" ht="16.5">
      <c r="E5892" s="123"/>
    </row>
    <row r="5893" spans="5:5" ht="16.5">
      <c r="E5893" s="123"/>
    </row>
    <row r="5894" spans="5:5" ht="16.5">
      <c r="E5894" s="123"/>
    </row>
    <row r="5895" spans="5:5" ht="16.5">
      <c r="E5895" s="123"/>
    </row>
    <row r="5896" spans="5:5" ht="16.5">
      <c r="E5896" s="123"/>
    </row>
    <row r="5897" spans="5:5" ht="16.5">
      <c r="E5897" s="123"/>
    </row>
    <row r="5898" spans="5:5" ht="16.5">
      <c r="E5898" s="123"/>
    </row>
    <row r="5899" spans="5:5" ht="16.5">
      <c r="E5899" s="123"/>
    </row>
    <row r="5900" spans="5:5" ht="16.5">
      <c r="E5900" s="123"/>
    </row>
    <row r="5901" spans="5:5" ht="16.5">
      <c r="E5901" s="123"/>
    </row>
    <row r="5902" spans="5:5" ht="16.5">
      <c r="E5902" s="123"/>
    </row>
    <row r="5903" spans="5:5" ht="16.5">
      <c r="E5903" s="123"/>
    </row>
    <row r="5904" spans="5:5" ht="16.5">
      <c r="E5904" s="123"/>
    </row>
    <row r="5905" spans="5:5" ht="16.5">
      <c r="E5905" s="123"/>
    </row>
    <row r="5906" spans="5:5" ht="16.5">
      <c r="E5906" s="123"/>
    </row>
    <row r="5907" spans="5:5" ht="16.5">
      <c r="E5907" s="123"/>
    </row>
    <row r="5908" spans="5:5" ht="16.5">
      <c r="E5908" s="123"/>
    </row>
    <row r="5909" spans="5:5" ht="16.5">
      <c r="E5909" s="123"/>
    </row>
    <row r="5910" spans="5:5" ht="16.5">
      <c r="E5910" s="123"/>
    </row>
    <row r="5911" spans="5:5" ht="16.5">
      <c r="E5911" s="123"/>
    </row>
    <row r="5912" spans="5:5" ht="16.5">
      <c r="E5912" s="123"/>
    </row>
    <row r="5913" spans="5:5" ht="16.5">
      <c r="E5913" s="123"/>
    </row>
    <row r="5914" spans="5:5" ht="16.5">
      <c r="E5914" s="123"/>
    </row>
    <row r="5915" spans="5:5" ht="16.5">
      <c r="E5915" s="123"/>
    </row>
    <row r="5916" spans="5:5" ht="16.5">
      <c r="E5916" s="123"/>
    </row>
    <row r="5917" spans="5:5" ht="16.5">
      <c r="E5917" s="123"/>
    </row>
    <row r="5918" spans="5:5" ht="16.5">
      <c r="E5918" s="123"/>
    </row>
    <row r="5919" spans="5:5" ht="16.5">
      <c r="E5919" s="123"/>
    </row>
    <row r="5920" spans="5:5" ht="16.5">
      <c r="E5920" s="123"/>
    </row>
    <row r="5921" spans="5:5" ht="16.5">
      <c r="E5921" s="123"/>
    </row>
    <row r="5922" spans="5:5" ht="16.5">
      <c r="E5922" s="123"/>
    </row>
    <row r="5923" spans="5:5" ht="16.5">
      <c r="E5923" s="123"/>
    </row>
    <row r="5924" spans="5:5" ht="16.5">
      <c r="E5924" s="123"/>
    </row>
    <row r="5925" spans="5:5" ht="16.5">
      <c r="E5925" s="123"/>
    </row>
    <row r="5926" spans="5:5" ht="16.5">
      <c r="E5926" s="123"/>
    </row>
    <row r="5927" spans="5:5" ht="16.5">
      <c r="E5927" s="123"/>
    </row>
    <row r="5928" spans="5:5" ht="16.5">
      <c r="E5928" s="123"/>
    </row>
    <row r="5929" spans="5:5" ht="16.5">
      <c r="E5929" s="123"/>
    </row>
    <row r="5930" spans="5:5" ht="16.5">
      <c r="E5930" s="123"/>
    </row>
    <row r="5931" spans="5:5" ht="16.5">
      <c r="E5931" s="123"/>
    </row>
    <row r="5932" spans="5:5" ht="16.5">
      <c r="E5932" s="123"/>
    </row>
    <row r="5933" spans="5:5" ht="16.5">
      <c r="E5933" s="123"/>
    </row>
    <row r="5934" spans="5:5" ht="16.5">
      <c r="E5934" s="123"/>
    </row>
    <row r="5935" spans="5:5" ht="16.5">
      <c r="E5935" s="123"/>
    </row>
    <row r="5936" spans="5:5" ht="16.5">
      <c r="E5936" s="123"/>
    </row>
    <row r="5937" spans="5:5" ht="16.5">
      <c r="E5937" s="123"/>
    </row>
    <row r="5938" spans="5:5" ht="16.5">
      <c r="E5938" s="123"/>
    </row>
    <row r="5939" spans="5:5" ht="16.5">
      <c r="E5939" s="123"/>
    </row>
    <row r="5940" spans="5:5" ht="16.5">
      <c r="E5940" s="123"/>
    </row>
    <row r="5941" spans="5:5" ht="16.5">
      <c r="E5941" s="123"/>
    </row>
    <row r="5942" spans="5:5" ht="16.5">
      <c r="E5942" s="123"/>
    </row>
    <row r="5943" spans="5:5" ht="16.5">
      <c r="E5943" s="123"/>
    </row>
    <row r="5944" spans="5:5" ht="16.5">
      <c r="E5944" s="123"/>
    </row>
    <row r="5945" spans="5:5" ht="16.5">
      <c r="E5945" s="123"/>
    </row>
    <row r="5946" spans="5:5" ht="16.5">
      <c r="E5946" s="123"/>
    </row>
    <row r="5947" spans="5:5" ht="16.5">
      <c r="E5947" s="123"/>
    </row>
    <row r="5948" spans="5:5" ht="16.5">
      <c r="E5948" s="123"/>
    </row>
    <row r="5949" spans="5:5" ht="16.5">
      <c r="E5949" s="123"/>
    </row>
    <row r="5950" spans="5:5" ht="16.5">
      <c r="E5950" s="123"/>
    </row>
    <row r="5951" spans="5:5" ht="16.5">
      <c r="E5951" s="123"/>
    </row>
    <row r="5952" spans="5:5" ht="16.5">
      <c r="E5952" s="123"/>
    </row>
    <row r="5953" spans="5:5" ht="16.5">
      <c r="E5953" s="123"/>
    </row>
    <row r="5954" spans="5:5" ht="16.5">
      <c r="E5954" s="123"/>
    </row>
    <row r="5955" spans="5:5" ht="16.5">
      <c r="E5955" s="123"/>
    </row>
    <row r="5956" spans="5:5" ht="16.5">
      <c r="E5956" s="123"/>
    </row>
    <row r="5957" spans="5:5" ht="16.5">
      <c r="E5957" s="123"/>
    </row>
    <row r="5958" spans="5:5" ht="16.5">
      <c r="E5958" s="123"/>
    </row>
    <row r="5959" spans="5:5" ht="16.5">
      <c r="E5959" s="123"/>
    </row>
    <row r="5960" spans="5:5" ht="16.5">
      <c r="E5960" s="123"/>
    </row>
    <row r="5961" spans="5:5" ht="16.5">
      <c r="E5961" s="123"/>
    </row>
    <row r="5962" spans="5:5" ht="16.5">
      <c r="E5962" s="123"/>
    </row>
    <row r="5963" spans="5:5" ht="16.5">
      <c r="E5963" s="123"/>
    </row>
    <row r="5964" spans="5:5" ht="16.5">
      <c r="E5964" s="123"/>
    </row>
    <row r="5965" spans="5:5" ht="16.5">
      <c r="E5965" s="123"/>
    </row>
    <row r="5966" spans="5:5" ht="16.5">
      <c r="E5966" s="123"/>
    </row>
    <row r="5967" spans="5:5" ht="16.5">
      <c r="E5967" s="123"/>
    </row>
    <row r="5968" spans="5:5" ht="16.5">
      <c r="E5968" s="123"/>
    </row>
    <row r="5969" spans="5:5" ht="16.5">
      <c r="E5969" s="123"/>
    </row>
    <row r="5970" spans="5:5" ht="16.5">
      <c r="E5970" s="123"/>
    </row>
    <row r="5971" spans="5:5" ht="16.5">
      <c r="E5971" s="123"/>
    </row>
    <row r="5972" spans="5:5" ht="16.5">
      <c r="E5972" s="123"/>
    </row>
    <row r="5973" spans="5:5" ht="16.5">
      <c r="E5973" s="123"/>
    </row>
    <row r="5974" spans="5:5" ht="16.5">
      <c r="E5974" s="123"/>
    </row>
    <row r="5975" spans="5:5" ht="16.5">
      <c r="E5975" s="123"/>
    </row>
    <row r="5976" spans="5:5" ht="16.5">
      <c r="E5976" s="123"/>
    </row>
    <row r="5977" spans="5:5" ht="16.5">
      <c r="E5977" s="123"/>
    </row>
    <row r="5978" spans="5:5" ht="16.5">
      <c r="E5978" s="123"/>
    </row>
    <row r="5979" spans="5:5" ht="16.5">
      <c r="E5979" s="123"/>
    </row>
    <row r="5980" spans="5:5" ht="16.5">
      <c r="E5980" s="123"/>
    </row>
    <row r="5981" spans="5:5" ht="16.5">
      <c r="E5981" s="123"/>
    </row>
    <row r="5982" spans="5:5" ht="16.5">
      <c r="E5982" s="123"/>
    </row>
    <row r="5983" spans="5:5" ht="16.5">
      <c r="E5983" s="123"/>
    </row>
    <row r="5984" spans="5:5" ht="16.5">
      <c r="E5984" s="123"/>
    </row>
    <row r="5985" spans="5:5" ht="16.5">
      <c r="E5985" s="123"/>
    </row>
    <row r="5986" spans="5:5" ht="16.5">
      <c r="E5986" s="123"/>
    </row>
    <row r="5987" spans="5:5" ht="16.5">
      <c r="E5987" s="123"/>
    </row>
    <row r="5988" spans="5:5" ht="16.5">
      <c r="E5988" s="123"/>
    </row>
    <row r="5989" spans="5:5" ht="16.5">
      <c r="E5989" s="123"/>
    </row>
    <row r="5990" spans="5:5" ht="16.5">
      <c r="E5990" s="123"/>
    </row>
    <row r="5991" spans="5:5" ht="16.5">
      <c r="E5991" s="123"/>
    </row>
    <row r="5992" spans="5:5" ht="16.5">
      <c r="E5992" s="123"/>
    </row>
    <row r="5993" spans="5:5" ht="16.5">
      <c r="E5993" s="123"/>
    </row>
    <row r="5994" spans="5:5" ht="16.5">
      <c r="E5994" s="123"/>
    </row>
    <row r="5995" spans="5:5" ht="16.5">
      <c r="E5995" s="123"/>
    </row>
    <row r="5996" spans="5:5" ht="16.5">
      <c r="E5996" s="123"/>
    </row>
    <row r="5997" spans="5:5" ht="16.5">
      <c r="E5997" s="123"/>
    </row>
    <row r="5998" spans="5:5" ht="16.5">
      <c r="E5998" s="123"/>
    </row>
    <row r="5999" spans="5:5" ht="16.5">
      <c r="E5999" s="123"/>
    </row>
    <row r="6000" spans="5:5" ht="16.5">
      <c r="E6000" s="123"/>
    </row>
    <row r="6001" spans="5:5" ht="16.5">
      <c r="E6001" s="123"/>
    </row>
    <row r="6002" spans="5:5" ht="16.5">
      <c r="E6002" s="123"/>
    </row>
    <row r="6003" spans="5:5" ht="16.5">
      <c r="E6003" s="123"/>
    </row>
    <row r="6004" spans="5:5" ht="16.5">
      <c r="E6004" s="123"/>
    </row>
    <row r="6005" spans="5:5" ht="16.5">
      <c r="E6005" s="123"/>
    </row>
    <row r="6006" spans="5:5" ht="16.5">
      <c r="E6006" s="123"/>
    </row>
    <row r="6007" spans="5:5" ht="16.5">
      <c r="E6007" s="123"/>
    </row>
    <row r="6008" spans="5:5" ht="16.5">
      <c r="E6008" s="123"/>
    </row>
    <row r="6009" spans="5:5" ht="16.5">
      <c r="E6009" s="123"/>
    </row>
    <row r="6010" spans="5:5" ht="16.5">
      <c r="E6010" s="123"/>
    </row>
    <row r="6011" spans="5:5" ht="16.5">
      <c r="E6011" s="123"/>
    </row>
    <row r="6012" spans="5:5" ht="16.5">
      <c r="E6012" s="123"/>
    </row>
    <row r="6013" spans="5:5" ht="16.5">
      <c r="E6013" s="123"/>
    </row>
    <row r="6014" spans="5:5" ht="16.5">
      <c r="E6014" s="123"/>
    </row>
    <row r="6015" spans="5:5" ht="16.5">
      <c r="E6015" s="123"/>
    </row>
    <row r="6016" spans="5:5" ht="16.5">
      <c r="E6016" s="123"/>
    </row>
    <row r="6017" spans="5:5" ht="16.5">
      <c r="E6017" s="123"/>
    </row>
    <row r="6018" spans="5:5" ht="16.5">
      <c r="E6018" s="123"/>
    </row>
    <row r="6019" spans="5:5" ht="16.5">
      <c r="E6019" s="123"/>
    </row>
    <row r="6020" spans="5:5" ht="16.5">
      <c r="E6020" s="123"/>
    </row>
    <row r="6021" spans="5:5" ht="16.5">
      <c r="E6021" s="123"/>
    </row>
    <row r="6022" spans="5:5" ht="16.5">
      <c r="E6022" s="123"/>
    </row>
    <row r="6023" spans="5:5" ht="16.5">
      <c r="E6023" s="123"/>
    </row>
    <row r="6024" spans="5:5" ht="16.5">
      <c r="E6024" s="123"/>
    </row>
    <row r="6025" spans="5:5" ht="16.5">
      <c r="E6025" s="123"/>
    </row>
    <row r="6026" spans="5:5" ht="16.5">
      <c r="E6026" s="123"/>
    </row>
    <row r="6027" spans="5:5" ht="16.5">
      <c r="E6027" s="123"/>
    </row>
    <row r="6028" spans="5:5" ht="16.5">
      <c r="E6028" s="123"/>
    </row>
    <row r="6029" spans="5:5" ht="16.5">
      <c r="E6029" s="123"/>
    </row>
    <row r="6030" spans="5:5" ht="16.5">
      <c r="E6030" s="123"/>
    </row>
    <row r="6031" spans="5:5" ht="16.5">
      <c r="E6031" s="123"/>
    </row>
    <row r="6032" spans="5:5" ht="16.5">
      <c r="E6032" s="123"/>
    </row>
    <row r="6033" spans="5:5" ht="16.5">
      <c r="E6033" s="123"/>
    </row>
    <row r="6034" spans="5:5" ht="16.5">
      <c r="E6034" s="123"/>
    </row>
    <row r="6035" spans="5:5" ht="16.5">
      <c r="E6035" s="123"/>
    </row>
    <row r="6036" spans="5:5" ht="16.5">
      <c r="E6036" s="123"/>
    </row>
    <row r="6037" spans="5:5" ht="16.5">
      <c r="E6037" s="123"/>
    </row>
    <row r="6038" spans="5:5" ht="16.5">
      <c r="E6038" s="123"/>
    </row>
    <row r="6039" spans="5:5" ht="16.5">
      <c r="E6039" s="123"/>
    </row>
    <row r="6040" spans="5:5" ht="16.5">
      <c r="E6040" s="123"/>
    </row>
    <row r="6041" spans="5:5" ht="16.5">
      <c r="E6041" s="123"/>
    </row>
    <row r="6042" spans="5:5" ht="16.5">
      <c r="E6042" s="123"/>
    </row>
    <row r="6043" spans="5:5" ht="16.5">
      <c r="E6043" s="123"/>
    </row>
    <row r="6044" spans="5:5" ht="16.5">
      <c r="E6044" s="123"/>
    </row>
    <row r="6045" spans="5:5" ht="16.5">
      <c r="E6045" s="123"/>
    </row>
    <row r="6046" spans="5:5" ht="16.5">
      <c r="E6046" s="123"/>
    </row>
    <row r="6047" spans="5:5" ht="16.5">
      <c r="E6047" s="123"/>
    </row>
    <row r="6048" spans="5:5" ht="16.5">
      <c r="E6048" s="123"/>
    </row>
    <row r="6049" spans="5:5" ht="16.5">
      <c r="E6049" s="123"/>
    </row>
    <row r="6050" spans="5:5" ht="16.5">
      <c r="E6050" s="123"/>
    </row>
    <row r="6051" spans="5:5" ht="16.5">
      <c r="E6051" s="123"/>
    </row>
    <row r="6052" spans="5:5" ht="16.5">
      <c r="E6052" s="123"/>
    </row>
    <row r="6053" spans="5:5" ht="16.5">
      <c r="E6053" s="123"/>
    </row>
    <row r="6054" spans="5:5" ht="16.5">
      <c r="E6054" s="123"/>
    </row>
    <row r="6055" spans="5:5" ht="16.5">
      <c r="E6055" s="123"/>
    </row>
    <row r="6056" spans="5:5" ht="16.5">
      <c r="E6056" s="123"/>
    </row>
    <row r="6057" spans="5:5" ht="16.5">
      <c r="E6057" s="123"/>
    </row>
    <row r="6058" spans="5:5" ht="16.5">
      <c r="E6058" s="123"/>
    </row>
    <row r="6059" spans="5:5" ht="16.5">
      <c r="E6059" s="123"/>
    </row>
    <row r="6060" spans="5:5" ht="16.5">
      <c r="E6060" s="123"/>
    </row>
    <row r="6061" spans="5:5" ht="16.5">
      <c r="E6061" s="123"/>
    </row>
    <row r="6062" spans="5:5" ht="16.5">
      <c r="E6062" s="123"/>
    </row>
    <row r="6063" spans="5:5" ht="16.5">
      <c r="E6063" s="123"/>
    </row>
    <row r="6064" spans="5:5" ht="16.5">
      <c r="E6064" s="123"/>
    </row>
    <row r="6065" spans="5:5" ht="16.5">
      <c r="E6065" s="123"/>
    </row>
    <row r="6066" spans="5:5" ht="16.5">
      <c r="E6066" s="123"/>
    </row>
    <row r="6067" spans="5:5" ht="16.5">
      <c r="E6067" s="123"/>
    </row>
    <row r="6068" spans="5:5" ht="16.5">
      <c r="E6068" s="123"/>
    </row>
    <row r="6069" spans="5:5" ht="16.5">
      <c r="E6069" s="123"/>
    </row>
    <row r="6070" spans="5:5" ht="16.5">
      <c r="E6070" s="123"/>
    </row>
    <row r="6071" spans="5:5" ht="16.5">
      <c r="E6071" s="123"/>
    </row>
    <row r="6072" spans="5:5" ht="16.5">
      <c r="E6072" s="123"/>
    </row>
    <row r="6073" spans="5:5" ht="16.5">
      <c r="E6073" s="123"/>
    </row>
    <row r="6074" spans="5:5" ht="16.5">
      <c r="E6074" s="123"/>
    </row>
    <row r="6075" spans="5:5" ht="16.5">
      <c r="E6075" s="123"/>
    </row>
    <row r="6076" spans="5:5" ht="16.5">
      <c r="E6076" s="123"/>
    </row>
    <row r="6077" spans="5:5" ht="16.5">
      <c r="E6077" s="123"/>
    </row>
    <row r="6078" spans="5:5" ht="16.5">
      <c r="E6078" s="123"/>
    </row>
    <row r="6079" spans="5:5" ht="16.5">
      <c r="E6079" s="123"/>
    </row>
    <row r="6080" spans="5:5" ht="16.5">
      <c r="E6080" s="123"/>
    </row>
    <row r="6081" spans="5:5" ht="16.5">
      <c r="E6081" s="123"/>
    </row>
    <row r="6082" spans="5:5" ht="16.5">
      <c r="E6082" s="123"/>
    </row>
    <row r="6083" spans="5:5" ht="16.5">
      <c r="E6083" s="123"/>
    </row>
    <row r="6084" spans="5:5" ht="16.5">
      <c r="E6084" s="123"/>
    </row>
    <row r="6085" spans="5:5" ht="16.5">
      <c r="E6085" s="123"/>
    </row>
    <row r="6086" spans="5:5" ht="16.5">
      <c r="E6086" s="123"/>
    </row>
    <row r="6087" spans="5:5" ht="16.5">
      <c r="E6087" s="123"/>
    </row>
    <row r="6088" spans="5:5" ht="16.5">
      <c r="E6088" s="123"/>
    </row>
    <row r="6089" spans="5:5" ht="16.5">
      <c r="E6089" s="123"/>
    </row>
    <row r="6090" spans="5:5" ht="16.5">
      <c r="E6090" s="123"/>
    </row>
    <row r="6091" spans="5:5" ht="16.5">
      <c r="E6091" s="123"/>
    </row>
    <row r="6092" spans="5:5" ht="16.5">
      <c r="E6092" s="123"/>
    </row>
    <row r="6093" spans="5:5" ht="16.5">
      <c r="E6093" s="123"/>
    </row>
    <row r="6094" spans="5:5" ht="16.5">
      <c r="E6094" s="123"/>
    </row>
    <row r="6095" spans="5:5" ht="16.5">
      <c r="E6095" s="123"/>
    </row>
    <row r="6096" spans="5:5" ht="16.5">
      <c r="E6096" s="123"/>
    </row>
    <row r="6097" spans="5:5" ht="16.5">
      <c r="E6097" s="123"/>
    </row>
    <row r="6098" spans="5:5" ht="16.5">
      <c r="E6098" s="123"/>
    </row>
    <row r="6099" spans="5:5" ht="16.5">
      <c r="E6099" s="123"/>
    </row>
    <row r="6100" spans="5:5" ht="16.5">
      <c r="E6100" s="123"/>
    </row>
    <row r="6101" spans="5:5" ht="16.5">
      <c r="E6101" s="123"/>
    </row>
    <row r="6102" spans="5:5" ht="16.5">
      <c r="E6102" s="123"/>
    </row>
    <row r="6103" spans="5:5" ht="16.5">
      <c r="E6103" s="123"/>
    </row>
    <row r="6104" spans="5:5" ht="16.5">
      <c r="E6104" s="123"/>
    </row>
    <row r="6105" spans="5:5" ht="16.5">
      <c r="E6105" s="123"/>
    </row>
    <row r="6106" spans="5:5" ht="16.5">
      <c r="E6106" s="123"/>
    </row>
    <row r="6107" spans="5:5" ht="16.5">
      <c r="E6107" s="123"/>
    </row>
    <row r="6108" spans="5:5" ht="16.5">
      <c r="E6108" s="123"/>
    </row>
    <row r="6109" spans="5:5" ht="16.5">
      <c r="E6109" s="123"/>
    </row>
    <row r="6110" spans="5:5" ht="16.5">
      <c r="E6110" s="123"/>
    </row>
    <row r="6111" spans="5:5" ht="16.5">
      <c r="E6111" s="123"/>
    </row>
    <row r="6112" spans="5:5" ht="16.5">
      <c r="E6112" s="123"/>
    </row>
    <row r="6113" spans="5:5" ht="16.5">
      <c r="E6113" s="123"/>
    </row>
    <row r="6114" spans="5:5" ht="16.5">
      <c r="E6114" s="123"/>
    </row>
    <row r="6115" spans="5:5" ht="16.5">
      <c r="E6115" s="123"/>
    </row>
    <row r="6116" spans="5:5" ht="16.5">
      <c r="E6116" s="123"/>
    </row>
    <row r="6117" spans="5:5" ht="16.5">
      <c r="E6117" s="123"/>
    </row>
    <row r="6118" spans="5:5" ht="16.5">
      <c r="E6118" s="123"/>
    </row>
    <row r="6119" spans="5:5" ht="16.5">
      <c r="E6119" s="123"/>
    </row>
    <row r="6120" spans="5:5" ht="16.5">
      <c r="E6120" s="123"/>
    </row>
    <row r="6121" spans="5:5" ht="16.5">
      <c r="E6121" s="123"/>
    </row>
    <row r="6122" spans="5:5" ht="16.5">
      <c r="E6122" s="123"/>
    </row>
    <row r="6123" spans="5:5" ht="16.5">
      <c r="E6123" s="123"/>
    </row>
    <row r="6124" spans="5:5" ht="16.5">
      <c r="E6124" s="123"/>
    </row>
    <row r="6125" spans="5:5" ht="16.5">
      <c r="E6125" s="123"/>
    </row>
    <row r="6126" spans="5:5" ht="16.5">
      <c r="E6126" s="123"/>
    </row>
    <row r="6127" spans="5:5" ht="16.5">
      <c r="E6127" s="123"/>
    </row>
    <row r="6128" spans="5:5" ht="16.5">
      <c r="E6128" s="123"/>
    </row>
    <row r="6129" spans="5:5" ht="16.5">
      <c r="E6129" s="123"/>
    </row>
    <row r="6130" spans="5:5" ht="16.5">
      <c r="E6130" s="123"/>
    </row>
    <row r="6131" spans="5:5" ht="16.5">
      <c r="E6131" s="123"/>
    </row>
    <row r="6132" spans="5:5" ht="16.5">
      <c r="E6132" s="123"/>
    </row>
    <row r="6133" spans="5:5" ht="16.5">
      <c r="E6133" s="123"/>
    </row>
    <row r="6134" spans="5:5" ht="16.5">
      <c r="E6134" s="123"/>
    </row>
    <row r="6135" spans="5:5" ht="16.5">
      <c r="E6135" s="123"/>
    </row>
    <row r="6136" spans="5:5" ht="16.5">
      <c r="E6136" s="123"/>
    </row>
    <row r="6137" spans="5:5" ht="16.5">
      <c r="E6137" s="123"/>
    </row>
    <row r="6138" spans="5:5" ht="16.5">
      <c r="E6138" s="123"/>
    </row>
    <row r="6139" spans="5:5" ht="16.5">
      <c r="E6139" s="123"/>
    </row>
    <row r="6140" spans="5:5" ht="16.5">
      <c r="E6140" s="123"/>
    </row>
    <row r="6141" spans="5:5" ht="16.5">
      <c r="E6141" s="123"/>
    </row>
    <row r="6142" spans="5:5" ht="16.5">
      <c r="E6142" s="123"/>
    </row>
    <row r="6143" spans="5:5" ht="16.5">
      <c r="E6143" s="123"/>
    </row>
    <row r="6144" spans="5:5" ht="16.5">
      <c r="E6144" s="123"/>
    </row>
    <row r="6145" spans="5:5" ht="16.5">
      <c r="E6145" s="123"/>
    </row>
    <row r="6146" spans="5:5" ht="16.5">
      <c r="E6146" s="123"/>
    </row>
    <row r="6147" spans="5:5" ht="16.5">
      <c r="E6147" s="123"/>
    </row>
    <row r="6148" spans="5:5" ht="16.5">
      <c r="E6148" s="123"/>
    </row>
    <row r="6149" spans="5:5" ht="16.5">
      <c r="E6149" s="123"/>
    </row>
    <row r="6150" spans="5:5" ht="16.5">
      <c r="E6150" s="123"/>
    </row>
    <row r="6151" spans="5:5" ht="16.5">
      <c r="E6151" s="123"/>
    </row>
    <row r="6152" spans="5:5" ht="16.5">
      <c r="E6152" s="123"/>
    </row>
    <row r="6153" spans="5:5" ht="16.5">
      <c r="E6153" s="123"/>
    </row>
    <row r="6154" spans="5:5" ht="16.5">
      <c r="E6154" s="123"/>
    </row>
    <row r="6155" spans="5:5" ht="16.5">
      <c r="E6155" s="123"/>
    </row>
    <row r="6156" spans="5:5" ht="16.5">
      <c r="E6156" s="123"/>
    </row>
    <row r="6157" spans="5:5" ht="16.5">
      <c r="E6157" s="123"/>
    </row>
    <row r="6158" spans="5:5" ht="16.5">
      <c r="E6158" s="123"/>
    </row>
    <row r="6159" spans="5:5" ht="16.5">
      <c r="E6159" s="123"/>
    </row>
    <row r="6160" spans="5:5" ht="16.5">
      <c r="E6160" s="123"/>
    </row>
    <row r="6161" spans="5:5" ht="16.5">
      <c r="E6161" s="123"/>
    </row>
    <row r="6162" spans="5:5" ht="16.5">
      <c r="E6162" s="123"/>
    </row>
    <row r="6163" spans="5:5" ht="16.5">
      <c r="E6163" s="123"/>
    </row>
    <row r="6164" spans="5:5" ht="16.5">
      <c r="E6164" s="123"/>
    </row>
    <row r="6165" spans="5:5" ht="16.5">
      <c r="E6165" s="123"/>
    </row>
    <row r="6166" spans="5:5" ht="16.5">
      <c r="E6166" s="123"/>
    </row>
    <row r="6167" spans="5:5" ht="16.5">
      <c r="E6167" s="123"/>
    </row>
    <row r="6168" spans="5:5" ht="16.5">
      <c r="E6168" s="123"/>
    </row>
    <row r="6169" spans="5:5" ht="16.5">
      <c r="E6169" s="123"/>
    </row>
    <row r="6170" spans="5:5" ht="16.5">
      <c r="E6170" s="123"/>
    </row>
    <row r="6171" spans="5:5" ht="16.5">
      <c r="E6171" s="123"/>
    </row>
    <row r="6172" spans="5:5" ht="16.5">
      <c r="E6172" s="123"/>
    </row>
    <row r="6173" spans="5:5" ht="16.5">
      <c r="E6173" s="123"/>
    </row>
    <row r="6174" spans="5:5" ht="16.5">
      <c r="E6174" s="123"/>
    </row>
    <row r="6175" spans="5:5" ht="16.5">
      <c r="E6175" s="123"/>
    </row>
    <row r="6176" spans="5:5" ht="16.5">
      <c r="E6176" s="123"/>
    </row>
    <row r="6177" spans="5:5" ht="16.5">
      <c r="E6177" s="123"/>
    </row>
    <row r="6178" spans="5:5" ht="16.5">
      <c r="E6178" s="123"/>
    </row>
    <row r="6179" spans="5:5" ht="16.5">
      <c r="E6179" s="123"/>
    </row>
    <row r="6180" spans="5:5" ht="16.5">
      <c r="E6180" s="123"/>
    </row>
    <row r="6181" spans="5:5" ht="16.5">
      <c r="E6181" s="123"/>
    </row>
    <row r="6182" spans="5:5" ht="16.5">
      <c r="E6182" s="123"/>
    </row>
    <row r="6183" spans="5:5" ht="16.5">
      <c r="E6183" s="123"/>
    </row>
    <row r="6184" spans="5:5" ht="16.5">
      <c r="E6184" s="123"/>
    </row>
    <row r="6185" spans="5:5" ht="16.5">
      <c r="E6185" s="123"/>
    </row>
    <row r="6186" spans="5:5" ht="16.5">
      <c r="E6186" s="123"/>
    </row>
    <row r="6187" spans="5:5" ht="16.5">
      <c r="E6187" s="123"/>
    </row>
    <row r="6188" spans="5:5" ht="16.5">
      <c r="E6188" s="123"/>
    </row>
    <row r="6189" spans="5:5" ht="16.5">
      <c r="E6189" s="123"/>
    </row>
    <row r="6190" spans="5:5" ht="16.5">
      <c r="E6190" s="123"/>
    </row>
    <row r="6191" spans="5:5" ht="16.5">
      <c r="E6191" s="123"/>
    </row>
    <row r="6192" spans="5:5" ht="16.5">
      <c r="E6192" s="123"/>
    </row>
    <row r="6193" spans="5:5" ht="16.5">
      <c r="E6193" s="123"/>
    </row>
    <row r="6194" spans="5:5" ht="16.5">
      <c r="E6194" s="123"/>
    </row>
    <row r="6195" spans="5:5" ht="16.5">
      <c r="E6195" s="123"/>
    </row>
    <row r="6196" spans="5:5" ht="16.5">
      <c r="E6196" s="123"/>
    </row>
    <row r="6197" spans="5:5" ht="16.5">
      <c r="E6197" s="123"/>
    </row>
    <row r="6198" spans="5:5" ht="16.5">
      <c r="E6198" s="123"/>
    </row>
    <row r="6199" spans="5:5" ht="16.5">
      <c r="E6199" s="123"/>
    </row>
    <row r="6200" spans="5:5" ht="16.5">
      <c r="E6200" s="123"/>
    </row>
    <row r="6201" spans="5:5" ht="16.5">
      <c r="E6201" s="123"/>
    </row>
    <row r="6202" spans="5:5" ht="16.5">
      <c r="E6202" s="123"/>
    </row>
    <row r="6203" spans="5:5" ht="16.5">
      <c r="E6203" s="123"/>
    </row>
    <row r="6204" spans="5:5" ht="16.5">
      <c r="E6204" s="123"/>
    </row>
    <row r="6205" spans="5:5" ht="16.5">
      <c r="E6205" s="123"/>
    </row>
    <row r="6206" spans="5:5" ht="16.5">
      <c r="E6206" s="123"/>
    </row>
    <row r="6207" spans="5:5" ht="16.5">
      <c r="E6207" s="123"/>
    </row>
    <row r="6208" spans="5:5" ht="16.5">
      <c r="E6208" s="123"/>
    </row>
    <row r="6209" spans="5:5" ht="16.5">
      <c r="E6209" s="123"/>
    </row>
    <row r="6210" spans="5:5" ht="16.5">
      <c r="E6210" s="123"/>
    </row>
    <row r="6211" spans="5:5" ht="16.5">
      <c r="E6211" s="123"/>
    </row>
    <row r="6212" spans="5:5" ht="16.5">
      <c r="E6212" s="123"/>
    </row>
    <row r="6213" spans="5:5" ht="16.5">
      <c r="E6213" s="123"/>
    </row>
    <row r="6214" spans="5:5" ht="16.5">
      <c r="E6214" s="123"/>
    </row>
    <row r="6215" spans="5:5" ht="16.5">
      <c r="E6215" s="123"/>
    </row>
    <row r="6216" spans="5:5" ht="16.5">
      <c r="E6216" s="123"/>
    </row>
    <row r="6217" spans="5:5" ht="16.5">
      <c r="E6217" s="123"/>
    </row>
    <row r="6218" spans="5:5" ht="16.5">
      <c r="E6218" s="123"/>
    </row>
    <row r="6219" spans="5:5" ht="16.5">
      <c r="E6219" s="123"/>
    </row>
    <row r="6220" spans="5:5" ht="16.5">
      <c r="E6220" s="123"/>
    </row>
    <row r="6221" spans="5:5" ht="16.5">
      <c r="E6221" s="123"/>
    </row>
    <row r="6222" spans="5:5" ht="16.5">
      <c r="E6222" s="123"/>
    </row>
    <row r="6223" spans="5:5" ht="16.5">
      <c r="E6223" s="123"/>
    </row>
    <row r="6224" spans="5:5" ht="16.5">
      <c r="E6224" s="123"/>
    </row>
    <row r="6225" spans="5:5" ht="16.5">
      <c r="E6225" s="123"/>
    </row>
    <row r="6226" spans="5:5" ht="16.5">
      <c r="E6226" s="123"/>
    </row>
    <row r="6227" spans="5:5" ht="16.5">
      <c r="E6227" s="123"/>
    </row>
    <row r="6228" spans="5:5" ht="16.5">
      <c r="E6228" s="123"/>
    </row>
    <row r="6229" spans="5:5" ht="16.5">
      <c r="E6229" s="123"/>
    </row>
    <row r="6230" spans="5:5" ht="16.5">
      <c r="E6230" s="123"/>
    </row>
    <row r="6231" spans="5:5" ht="16.5">
      <c r="E6231" s="123"/>
    </row>
    <row r="6232" spans="5:5" ht="16.5">
      <c r="E6232" s="123"/>
    </row>
    <row r="6233" spans="5:5" ht="16.5">
      <c r="E6233" s="123"/>
    </row>
    <row r="6234" spans="5:5" ht="16.5">
      <c r="E6234" s="123"/>
    </row>
    <row r="6235" spans="5:5" ht="16.5">
      <c r="E6235" s="123"/>
    </row>
    <row r="6236" spans="5:5" ht="16.5">
      <c r="E6236" s="123"/>
    </row>
    <row r="6237" spans="5:5" ht="16.5">
      <c r="E6237" s="123"/>
    </row>
    <row r="6238" spans="5:5" ht="16.5">
      <c r="E6238" s="123"/>
    </row>
    <row r="6239" spans="5:5" ht="16.5">
      <c r="E6239" s="123"/>
    </row>
    <row r="6240" spans="5:5" ht="16.5">
      <c r="E6240" s="123"/>
    </row>
    <row r="6241" spans="5:5" ht="16.5">
      <c r="E6241" s="123"/>
    </row>
    <row r="6242" spans="5:5" ht="16.5">
      <c r="E6242" s="123"/>
    </row>
    <row r="6243" spans="5:5" ht="16.5">
      <c r="E6243" s="123"/>
    </row>
    <row r="6244" spans="5:5" ht="16.5">
      <c r="E6244" s="123"/>
    </row>
    <row r="6245" spans="5:5" ht="16.5">
      <c r="E6245" s="123"/>
    </row>
    <row r="6246" spans="5:5" ht="16.5">
      <c r="E6246" s="123"/>
    </row>
    <row r="6247" spans="5:5" ht="16.5">
      <c r="E6247" s="123"/>
    </row>
    <row r="6248" spans="5:5" ht="16.5">
      <c r="E6248" s="123"/>
    </row>
    <row r="6249" spans="5:5" ht="16.5">
      <c r="E6249" s="123"/>
    </row>
    <row r="6250" spans="5:5" ht="16.5">
      <c r="E6250" s="123"/>
    </row>
    <row r="6251" spans="5:5" ht="16.5">
      <c r="E6251" s="123"/>
    </row>
    <row r="6252" spans="5:5" ht="16.5">
      <c r="E6252" s="123"/>
    </row>
    <row r="6253" spans="5:5" ht="16.5">
      <c r="E6253" s="123"/>
    </row>
    <row r="6254" spans="5:5" ht="16.5">
      <c r="E6254" s="123"/>
    </row>
    <row r="6255" spans="5:5" ht="16.5">
      <c r="E6255" s="123"/>
    </row>
    <row r="6256" spans="5:5" ht="16.5">
      <c r="E6256" s="123"/>
    </row>
    <row r="6257" spans="5:5" ht="16.5">
      <c r="E6257" s="123"/>
    </row>
    <row r="6258" spans="5:5" ht="16.5">
      <c r="E6258" s="123"/>
    </row>
    <row r="6259" spans="5:5" ht="16.5">
      <c r="E6259" s="123"/>
    </row>
    <row r="6260" spans="5:5" ht="16.5">
      <c r="E6260" s="123"/>
    </row>
    <row r="6261" spans="5:5" ht="16.5">
      <c r="E6261" s="123"/>
    </row>
    <row r="6262" spans="5:5" ht="16.5">
      <c r="E6262" s="123"/>
    </row>
    <row r="6263" spans="5:5" ht="16.5">
      <c r="E6263" s="123"/>
    </row>
    <row r="6264" spans="5:5" ht="16.5">
      <c r="E6264" s="123"/>
    </row>
    <row r="6265" spans="5:5" ht="16.5">
      <c r="E6265" s="123"/>
    </row>
    <row r="6266" spans="5:5" ht="16.5">
      <c r="E6266" s="123"/>
    </row>
    <row r="6267" spans="5:5" ht="16.5">
      <c r="E6267" s="123"/>
    </row>
    <row r="6268" spans="5:5" ht="16.5">
      <c r="E6268" s="123"/>
    </row>
    <row r="6269" spans="5:5" ht="16.5">
      <c r="E6269" s="123"/>
    </row>
    <row r="6270" spans="5:5" ht="16.5">
      <c r="E6270" s="123"/>
    </row>
    <row r="6271" spans="5:5" ht="16.5">
      <c r="E6271" s="123"/>
    </row>
    <row r="6272" spans="5:5" ht="16.5">
      <c r="E6272" s="123"/>
    </row>
    <row r="6273" spans="5:5" ht="16.5">
      <c r="E6273" s="123"/>
    </row>
    <row r="6274" spans="5:5" ht="16.5">
      <c r="E6274" s="123"/>
    </row>
    <row r="6275" spans="5:5" ht="16.5">
      <c r="E6275" s="123"/>
    </row>
    <row r="6276" spans="5:5" ht="16.5">
      <c r="E6276" s="123"/>
    </row>
    <row r="6277" spans="5:5" ht="16.5">
      <c r="E6277" s="123"/>
    </row>
    <row r="6278" spans="5:5" ht="16.5">
      <c r="E6278" s="123"/>
    </row>
    <row r="6279" spans="5:5" ht="16.5">
      <c r="E6279" s="123"/>
    </row>
    <row r="6280" spans="5:5" ht="16.5">
      <c r="E6280" s="123"/>
    </row>
    <row r="6281" spans="5:5" ht="16.5">
      <c r="E6281" s="123"/>
    </row>
    <row r="6282" spans="5:5" ht="16.5">
      <c r="E6282" s="123"/>
    </row>
    <row r="6283" spans="5:5" ht="16.5">
      <c r="E6283" s="123"/>
    </row>
    <row r="6284" spans="5:5" ht="16.5">
      <c r="E6284" s="123"/>
    </row>
    <row r="6285" spans="5:5" ht="16.5">
      <c r="E6285" s="123"/>
    </row>
    <row r="6286" spans="5:5" ht="16.5">
      <c r="E6286" s="123"/>
    </row>
    <row r="6287" spans="5:5" ht="16.5">
      <c r="E6287" s="123"/>
    </row>
    <row r="6288" spans="5:5" ht="16.5">
      <c r="E6288" s="123"/>
    </row>
    <row r="6289" spans="5:5" ht="16.5">
      <c r="E6289" s="123"/>
    </row>
    <row r="6290" spans="5:5" ht="16.5">
      <c r="E6290" s="123"/>
    </row>
    <row r="6291" spans="5:5" ht="16.5">
      <c r="E6291" s="123"/>
    </row>
    <row r="6292" spans="5:5" ht="16.5">
      <c r="E6292" s="123"/>
    </row>
    <row r="6293" spans="5:5" ht="16.5">
      <c r="E6293" s="123"/>
    </row>
    <row r="6294" spans="5:5" ht="16.5">
      <c r="E6294" s="123"/>
    </row>
    <row r="6295" spans="5:5" ht="16.5">
      <c r="E6295" s="123"/>
    </row>
    <row r="6296" spans="5:5" ht="16.5">
      <c r="E6296" s="123"/>
    </row>
    <row r="6297" spans="5:5" ht="16.5">
      <c r="E6297" s="123"/>
    </row>
    <row r="6298" spans="5:5" ht="16.5">
      <c r="E6298" s="123"/>
    </row>
    <row r="6299" spans="5:5" ht="16.5">
      <c r="E6299" s="123"/>
    </row>
    <row r="6300" spans="5:5" ht="16.5">
      <c r="E6300" s="123"/>
    </row>
    <row r="6301" spans="5:5" ht="16.5">
      <c r="E6301" s="123"/>
    </row>
    <row r="6302" spans="5:5" ht="16.5">
      <c r="E6302" s="123"/>
    </row>
    <row r="6303" spans="5:5" ht="16.5">
      <c r="E6303" s="123"/>
    </row>
    <row r="6304" spans="5:5" ht="16.5">
      <c r="E6304" s="123"/>
    </row>
    <row r="6305" spans="5:5" ht="16.5">
      <c r="E6305" s="123"/>
    </row>
    <row r="6306" spans="5:5" ht="16.5">
      <c r="E6306" s="123"/>
    </row>
    <row r="6307" spans="5:5" ht="16.5">
      <c r="E6307" s="123"/>
    </row>
    <row r="6308" spans="5:5" ht="16.5">
      <c r="E6308" s="123"/>
    </row>
    <row r="6309" spans="5:5" ht="16.5">
      <c r="E6309" s="123"/>
    </row>
    <row r="6310" spans="5:5" ht="16.5">
      <c r="E6310" s="123"/>
    </row>
    <row r="6311" spans="5:5" ht="16.5">
      <c r="E6311" s="123"/>
    </row>
    <row r="6312" spans="5:5" ht="16.5">
      <c r="E6312" s="123"/>
    </row>
    <row r="6313" spans="5:5" ht="16.5">
      <c r="E6313" s="123"/>
    </row>
    <row r="6314" spans="5:5" ht="16.5">
      <c r="E6314" s="123"/>
    </row>
    <row r="6315" spans="5:5" ht="16.5">
      <c r="E6315" s="123"/>
    </row>
    <row r="6316" spans="5:5" ht="16.5">
      <c r="E6316" s="123"/>
    </row>
    <row r="6317" spans="5:5" ht="16.5">
      <c r="E6317" s="123"/>
    </row>
    <row r="6318" spans="5:5" ht="16.5">
      <c r="E6318" s="123"/>
    </row>
    <row r="6319" spans="5:5" ht="16.5">
      <c r="E6319" s="123"/>
    </row>
    <row r="6320" spans="5:5" ht="16.5">
      <c r="E6320" s="123"/>
    </row>
    <row r="6321" spans="5:5" ht="16.5">
      <c r="E6321" s="123"/>
    </row>
    <row r="6322" spans="5:5" ht="16.5">
      <c r="E6322" s="123"/>
    </row>
    <row r="6323" spans="5:5" ht="16.5">
      <c r="E6323" s="123"/>
    </row>
    <row r="6324" spans="5:5" ht="16.5">
      <c r="E6324" s="123"/>
    </row>
    <row r="6325" spans="5:5" ht="16.5">
      <c r="E6325" s="123"/>
    </row>
    <row r="6326" spans="5:5" ht="16.5">
      <c r="E6326" s="123"/>
    </row>
    <row r="6327" spans="5:5" ht="16.5">
      <c r="E6327" s="123"/>
    </row>
    <row r="6328" spans="5:5" ht="16.5">
      <c r="E6328" s="123"/>
    </row>
    <row r="6329" spans="5:5" ht="16.5">
      <c r="E6329" s="123"/>
    </row>
    <row r="6330" spans="5:5" ht="16.5">
      <c r="E6330" s="123"/>
    </row>
    <row r="6331" spans="5:5" ht="16.5">
      <c r="E6331" s="123"/>
    </row>
    <row r="6332" spans="5:5" ht="16.5">
      <c r="E6332" s="123"/>
    </row>
    <row r="6333" spans="5:5" ht="16.5">
      <c r="E6333" s="123"/>
    </row>
    <row r="6334" spans="5:5" ht="16.5">
      <c r="E6334" s="123"/>
    </row>
    <row r="6335" spans="5:5" ht="16.5">
      <c r="E6335" s="123"/>
    </row>
    <row r="6336" spans="5:5" ht="16.5">
      <c r="E6336" s="123"/>
    </row>
    <row r="6337" spans="5:5" ht="16.5">
      <c r="E6337" s="123"/>
    </row>
    <row r="6338" spans="5:5" ht="16.5">
      <c r="E6338" s="123"/>
    </row>
    <row r="6339" spans="5:5" ht="16.5">
      <c r="E6339" s="123"/>
    </row>
    <row r="6340" spans="5:5" ht="16.5">
      <c r="E6340" s="123"/>
    </row>
    <row r="6341" spans="5:5" ht="16.5">
      <c r="E6341" s="123"/>
    </row>
    <row r="6342" spans="5:5" ht="16.5">
      <c r="E6342" s="123"/>
    </row>
    <row r="6343" spans="5:5" ht="16.5">
      <c r="E6343" s="123"/>
    </row>
    <row r="6344" spans="5:5" ht="16.5">
      <c r="E6344" s="123"/>
    </row>
    <row r="6345" spans="5:5" ht="16.5">
      <c r="E6345" s="123"/>
    </row>
    <row r="6346" spans="5:5" ht="16.5">
      <c r="E6346" s="123"/>
    </row>
    <row r="6347" spans="5:5" ht="16.5">
      <c r="E6347" s="123"/>
    </row>
    <row r="6348" spans="5:5" ht="16.5">
      <c r="E6348" s="123"/>
    </row>
    <row r="6349" spans="5:5" ht="16.5">
      <c r="E6349" s="123"/>
    </row>
    <row r="6350" spans="5:5" ht="16.5">
      <c r="E6350" s="123"/>
    </row>
    <row r="6351" spans="5:5" ht="16.5">
      <c r="E6351" s="123"/>
    </row>
    <row r="6352" spans="5:5" ht="16.5">
      <c r="E6352" s="123"/>
    </row>
    <row r="6353" spans="5:5" ht="16.5">
      <c r="E6353" s="123"/>
    </row>
    <row r="6354" spans="5:5" ht="16.5">
      <c r="E6354" s="123"/>
    </row>
    <row r="6355" spans="5:5" ht="16.5">
      <c r="E6355" s="123"/>
    </row>
    <row r="6356" spans="5:5" ht="16.5">
      <c r="E6356" s="123"/>
    </row>
    <row r="6357" spans="5:5" ht="16.5">
      <c r="E6357" s="123"/>
    </row>
    <row r="6358" spans="5:5" ht="16.5">
      <c r="E6358" s="123"/>
    </row>
    <row r="6359" spans="5:5" ht="16.5">
      <c r="E6359" s="123"/>
    </row>
    <row r="6360" spans="5:5" ht="16.5">
      <c r="E6360" s="123"/>
    </row>
    <row r="6361" spans="5:5" ht="16.5">
      <c r="E6361" s="123"/>
    </row>
    <row r="6362" spans="5:5" ht="16.5">
      <c r="E6362" s="123"/>
    </row>
    <row r="6363" spans="5:5" ht="16.5">
      <c r="E6363" s="123"/>
    </row>
    <row r="6364" spans="5:5" ht="16.5">
      <c r="E6364" s="123"/>
    </row>
    <row r="6365" spans="5:5" ht="16.5">
      <c r="E6365" s="123"/>
    </row>
    <row r="6366" spans="5:5" ht="16.5">
      <c r="E6366" s="123"/>
    </row>
    <row r="6367" spans="5:5" ht="16.5">
      <c r="E6367" s="123"/>
    </row>
    <row r="6368" spans="5:5" ht="16.5">
      <c r="E6368" s="123"/>
    </row>
    <row r="6369" spans="5:5" ht="16.5">
      <c r="E6369" s="123"/>
    </row>
    <row r="6370" spans="5:5" ht="16.5">
      <c r="E6370" s="123"/>
    </row>
    <row r="6371" spans="5:5" ht="16.5">
      <c r="E6371" s="123"/>
    </row>
    <row r="6372" spans="5:5" ht="16.5">
      <c r="E6372" s="123"/>
    </row>
    <row r="6373" spans="5:5" ht="16.5">
      <c r="E6373" s="123"/>
    </row>
    <row r="6374" spans="5:5" ht="16.5">
      <c r="E6374" s="123"/>
    </row>
    <row r="6375" spans="5:5" ht="16.5">
      <c r="E6375" s="123"/>
    </row>
    <row r="6376" spans="5:5" ht="16.5">
      <c r="E6376" s="123"/>
    </row>
    <row r="6377" spans="5:5" ht="16.5">
      <c r="E6377" s="123"/>
    </row>
    <row r="6378" spans="5:5" ht="16.5">
      <c r="E6378" s="123"/>
    </row>
    <row r="6379" spans="5:5" ht="16.5">
      <c r="E6379" s="123"/>
    </row>
    <row r="6380" spans="5:5" ht="16.5">
      <c r="E6380" s="123"/>
    </row>
    <row r="6381" spans="5:5" ht="16.5">
      <c r="E6381" s="123"/>
    </row>
    <row r="6382" spans="5:5" ht="16.5">
      <c r="E6382" s="123"/>
    </row>
    <row r="6383" spans="5:5" ht="16.5">
      <c r="E6383" s="123"/>
    </row>
    <row r="6384" spans="5:5" ht="16.5">
      <c r="E6384" s="123"/>
    </row>
    <row r="6385" spans="5:5" ht="16.5">
      <c r="E6385" s="123"/>
    </row>
    <row r="6386" spans="5:5" ht="16.5">
      <c r="E6386" s="123"/>
    </row>
    <row r="6387" spans="5:5" ht="16.5">
      <c r="E6387" s="123"/>
    </row>
    <row r="6388" spans="5:5" ht="16.5">
      <c r="E6388" s="123"/>
    </row>
    <row r="6389" spans="5:5" ht="16.5">
      <c r="E6389" s="123"/>
    </row>
    <row r="6390" spans="5:5" ht="16.5">
      <c r="E6390" s="123"/>
    </row>
    <row r="6391" spans="5:5" ht="16.5">
      <c r="E6391" s="123"/>
    </row>
    <row r="6392" spans="5:5" ht="16.5">
      <c r="E6392" s="123"/>
    </row>
    <row r="6393" spans="5:5" ht="16.5">
      <c r="E6393" s="123"/>
    </row>
    <row r="6394" spans="5:5" ht="16.5">
      <c r="E6394" s="123"/>
    </row>
    <row r="6395" spans="5:5" ht="16.5">
      <c r="E6395" s="123"/>
    </row>
    <row r="6396" spans="5:5" ht="16.5">
      <c r="E6396" s="123"/>
    </row>
    <row r="6397" spans="5:5" ht="16.5">
      <c r="E6397" s="123"/>
    </row>
    <row r="6398" spans="5:5" ht="16.5">
      <c r="E6398" s="123"/>
    </row>
    <row r="6399" spans="5:5" ht="16.5">
      <c r="E6399" s="123"/>
    </row>
    <row r="6400" spans="5:5" ht="16.5">
      <c r="E6400" s="123"/>
    </row>
    <row r="6401" spans="5:5" ht="16.5">
      <c r="E6401" s="123"/>
    </row>
    <row r="6402" spans="5:5" ht="16.5">
      <c r="E6402" s="123"/>
    </row>
    <row r="6403" spans="5:5" ht="16.5">
      <c r="E6403" s="123"/>
    </row>
    <row r="6404" spans="5:5" ht="16.5">
      <c r="E6404" s="123"/>
    </row>
    <row r="6405" spans="5:5" ht="16.5">
      <c r="E6405" s="123"/>
    </row>
    <row r="6406" spans="5:5" ht="16.5">
      <c r="E6406" s="123"/>
    </row>
    <row r="6407" spans="5:5" ht="16.5">
      <c r="E6407" s="123"/>
    </row>
    <row r="6408" spans="5:5" ht="16.5">
      <c r="E6408" s="123"/>
    </row>
    <row r="6409" spans="5:5" ht="16.5">
      <c r="E6409" s="123"/>
    </row>
    <row r="6410" spans="5:5" ht="16.5">
      <c r="E6410" s="123"/>
    </row>
    <row r="6411" spans="5:5" ht="16.5">
      <c r="E6411" s="123"/>
    </row>
    <row r="6412" spans="5:5" ht="16.5">
      <c r="E6412" s="123"/>
    </row>
    <row r="6413" spans="5:5" ht="16.5">
      <c r="E6413" s="123"/>
    </row>
    <row r="6414" spans="5:5" ht="16.5">
      <c r="E6414" s="123"/>
    </row>
    <row r="6415" spans="5:5" ht="16.5">
      <c r="E6415" s="123"/>
    </row>
    <row r="6416" spans="5:5" ht="16.5">
      <c r="E6416" s="123"/>
    </row>
    <row r="6417" spans="5:5" ht="16.5">
      <c r="E6417" s="123"/>
    </row>
    <row r="6418" spans="5:5" ht="16.5">
      <c r="E6418" s="123"/>
    </row>
    <row r="6419" spans="5:5" ht="16.5">
      <c r="E6419" s="123"/>
    </row>
    <row r="6420" spans="5:5" ht="16.5">
      <c r="E6420" s="123"/>
    </row>
    <row r="6421" spans="5:5" ht="16.5">
      <c r="E6421" s="123"/>
    </row>
    <row r="6422" spans="5:5" ht="16.5">
      <c r="E6422" s="123"/>
    </row>
    <row r="6423" spans="5:5" ht="16.5">
      <c r="E6423" s="123"/>
    </row>
    <row r="6424" spans="5:5" ht="16.5">
      <c r="E6424" s="123"/>
    </row>
    <row r="6425" spans="5:5" ht="16.5">
      <c r="E6425" s="123"/>
    </row>
    <row r="6426" spans="5:5" ht="16.5">
      <c r="E6426" s="123"/>
    </row>
    <row r="6427" spans="5:5" ht="16.5">
      <c r="E6427" s="123"/>
    </row>
    <row r="6428" spans="5:5" ht="16.5">
      <c r="E6428" s="123"/>
    </row>
    <row r="6429" spans="5:5" ht="16.5">
      <c r="E6429" s="123"/>
    </row>
    <row r="6430" spans="5:5" ht="16.5">
      <c r="E6430" s="123"/>
    </row>
    <row r="6431" spans="5:5" ht="16.5">
      <c r="E6431" s="123"/>
    </row>
    <row r="6432" spans="5:5" ht="16.5">
      <c r="E6432" s="123"/>
    </row>
    <row r="6433" spans="5:5" ht="16.5">
      <c r="E6433" s="123"/>
    </row>
    <row r="6434" spans="5:5" ht="16.5">
      <c r="E6434" s="123"/>
    </row>
    <row r="6435" spans="5:5" ht="16.5">
      <c r="E6435" s="123"/>
    </row>
    <row r="6436" spans="5:5" ht="16.5">
      <c r="E6436" s="123"/>
    </row>
    <row r="6437" spans="5:5" ht="16.5">
      <c r="E6437" s="123"/>
    </row>
    <row r="6438" spans="5:5" ht="16.5">
      <c r="E6438" s="123"/>
    </row>
    <row r="6439" spans="5:5" ht="16.5">
      <c r="E6439" s="123"/>
    </row>
    <row r="6440" spans="5:5" ht="16.5">
      <c r="E6440" s="123"/>
    </row>
    <row r="6441" spans="5:5" ht="16.5">
      <c r="E6441" s="123"/>
    </row>
    <row r="6442" spans="5:5" ht="16.5">
      <c r="E6442" s="123"/>
    </row>
    <row r="6443" spans="5:5" ht="16.5">
      <c r="E6443" s="123"/>
    </row>
    <row r="6444" spans="5:5" ht="16.5">
      <c r="E6444" s="123"/>
    </row>
    <row r="6445" spans="5:5" ht="16.5">
      <c r="E6445" s="123"/>
    </row>
    <row r="6446" spans="5:5" ht="16.5">
      <c r="E6446" s="123"/>
    </row>
    <row r="6447" spans="5:5" ht="16.5">
      <c r="E6447" s="123"/>
    </row>
    <row r="6448" spans="5:5" ht="16.5">
      <c r="E6448" s="123"/>
    </row>
    <row r="6449" spans="5:5" ht="16.5">
      <c r="E6449" s="123"/>
    </row>
    <row r="6450" spans="5:5" ht="16.5">
      <c r="E6450" s="123"/>
    </row>
    <row r="6451" spans="5:5" ht="16.5">
      <c r="E6451" s="123"/>
    </row>
    <row r="6452" spans="5:5" ht="16.5">
      <c r="E6452" s="123"/>
    </row>
    <row r="6453" spans="5:5" ht="16.5">
      <c r="E6453" s="123"/>
    </row>
    <row r="6454" spans="5:5" ht="16.5">
      <c r="E6454" s="123"/>
    </row>
    <row r="6455" spans="5:5" ht="16.5">
      <c r="E6455" s="123"/>
    </row>
    <row r="6456" spans="5:5" ht="16.5">
      <c r="E6456" s="123"/>
    </row>
    <row r="6457" spans="5:5" ht="16.5">
      <c r="E6457" s="123"/>
    </row>
    <row r="6458" spans="5:5" ht="16.5">
      <c r="E6458" s="123"/>
    </row>
    <row r="6459" spans="5:5" ht="16.5">
      <c r="E6459" s="123"/>
    </row>
    <row r="6460" spans="5:5" ht="16.5">
      <c r="E6460" s="123"/>
    </row>
    <row r="6461" spans="5:5" ht="16.5">
      <c r="E6461" s="123"/>
    </row>
    <row r="6462" spans="5:5" ht="16.5">
      <c r="E6462" s="123"/>
    </row>
    <row r="6463" spans="5:5" ht="16.5">
      <c r="E6463" s="123"/>
    </row>
    <row r="6464" spans="5:5" ht="16.5">
      <c r="E6464" s="123"/>
    </row>
    <row r="6465" spans="5:5" ht="16.5">
      <c r="E6465" s="123"/>
    </row>
    <row r="6466" spans="5:5" ht="16.5">
      <c r="E6466" s="123"/>
    </row>
    <row r="6467" spans="5:5" ht="16.5">
      <c r="E6467" s="123"/>
    </row>
    <row r="6468" spans="5:5" ht="16.5">
      <c r="E6468" s="123"/>
    </row>
    <row r="6469" spans="5:5" ht="16.5">
      <c r="E6469" s="123"/>
    </row>
    <row r="6470" spans="5:5" ht="16.5">
      <c r="E6470" s="123"/>
    </row>
    <row r="6471" spans="5:5" ht="16.5">
      <c r="E6471" s="123"/>
    </row>
    <row r="6472" spans="5:5" ht="16.5">
      <c r="E6472" s="123"/>
    </row>
    <row r="6473" spans="5:5" ht="16.5">
      <c r="E6473" s="123"/>
    </row>
    <row r="6474" spans="5:5" ht="16.5">
      <c r="E6474" s="123"/>
    </row>
    <row r="6475" spans="5:5" ht="16.5">
      <c r="E6475" s="123"/>
    </row>
    <row r="6476" spans="5:5" ht="16.5">
      <c r="E6476" s="123"/>
    </row>
    <row r="6477" spans="5:5" ht="16.5">
      <c r="E6477" s="123"/>
    </row>
    <row r="6478" spans="5:5" ht="16.5">
      <c r="E6478" s="123"/>
    </row>
    <row r="6479" spans="5:5" ht="16.5">
      <c r="E6479" s="123"/>
    </row>
    <row r="6480" spans="5:5" ht="16.5">
      <c r="E6480" s="123"/>
    </row>
    <row r="6481" spans="5:5" ht="16.5">
      <c r="E6481" s="123"/>
    </row>
    <row r="6482" spans="5:5" ht="16.5">
      <c r="E6482" s="123"/>
    </row>
    <row r="6483" spans="5:5" ht="16.5">
      <c r="E6483" s="123"/>
    </row>
    <row r="6484" spans="5:5" ht="16.5">
      <c r="E6484" s="123"/>
    </row>
    <row r="6485" spans="5:5" ht="16.5">
      <c r="E6485" s="123"/>
    </row>
    <row r="6486" spans="5:5" ht="16.5">
      <c r="E6486" s="123"/>
    </row>
    <row r="6487" spans="5:5" ht="16.5">
      <c r="E6487" s="123"/>
    </row>
    <row r="6488" spans="5:5" ht="16.5">
      <c r="E6488" s="123"/>
    </row>
    <row r="6489" spans="5:5" ht="16.5">
      <c r="E6489" s="123"/>
    </row>
    <row r="6490" spans="5:5" ht="16.5">
      <c r="E6490" s="123"/>
    </row>
    <row r="6491" spans="5:5" ht="16.5">
      <c r="E6491" s="123"/>
    </row>
    <row r="6492" spans="5:5" ht="16.5">
      <c r="E6492" s="123"/>
    </row>
    <row r="6493" spans="5:5" ht="16.5">
      <c r="E6493" s="123"/>
    </row>
    <row r="6494" spans="5:5" ht="16.5">
      <c r="E6494" s="123"/>
    </row>
    <row r="6495" spans="5:5" ht="16.5">
      <c r="E6495" s="123"/>
    </row>
    <row r="6496" spans="5:5" ht="16.5">
      <c r="E6496" s="123"/>
    </row>
    <row r="6497" spans="5:5" ht="16.5">
      <c r="E6497" s="123"/>
    </row>
    <row r="6498" spans="5:5" ht="16.5">
      <c r="E6498" s="123"/>
    </row>
    <row r="6499" spans="5:5" ht="16.5">
      <c r="E6499" s="123"/>
    </row>
    <row r="6500" spans="5:5" ht="16.5">
      <c r="E6500" s="123"/>
    </row>
    <row r="6501" spans="5:5" ht="16.5">
      <c r="E6501" s="123"/>
    </row>
    <row r="6502" spans="5:5" ht="16.5">
      <c r="E6502" s="123"/>
    </row>
    <row r="6503" spans="5:5" ht="16.5">
      <c r="E6503" s="123"/>
    </row>
    <row r="6504" spans="5:5" ht="16.5">
      <c r="E6504" s="123"/>
    </row>
    <row r="6505" spans="5:5" ht="16.5">
      <c r="E6505" s="123"/>
    </row>
    <row r="6506" spans="5:5" ht="16.5">
      <c r="E6506" s="123"/>
    </row>
    <row r="6507" spans="5:5" ht="16.5">
      <c r="E6507" s="123"/>
    </row>
    <row r="6508" spans="5:5" ht="16.5">
      <c r="E6508" s="123"/>
    </row>
    <row r="6509" spans="5:5" ht="16.5">
      <c r="E6509" s="123"/>
    </row>
    <row r="6510" spans="5:5" ht="16.5">
      <c r="E6510" s="123"/>
    </row>
    <row r="6511" spans="5:5" ht="16.5">
      <c r="E6511" s="123"/>
    </row>
    <row r="6512" spans="5:5" ht="16.5">
      <c r="E6512" s="123"/>
    </row>
    <row r="6513" spans="5:5" ht="16.5">
      <c r="E6513" s="123"/>
    </row>
    <row r="6514" spans="5:5" ht="16.5">
      <c r="E6514" s="123"/>
    </row>
    <row r="6515" spans="5:5" ht="16.5">
      <c r="E6515" s="123"/>
    </row>
    <row r="6516" spans="5:5" ht="16.5">
      <c r="E6516" s="123"/>
    </row>
    <row r="6517" spans="5:5" ht="16.5">
      <c r="E6517" s="123"/>
    </row>
    <row r="6518" spans="5:5" ht="16.5">
      <c r="E6518" s="123"/>
    </row>
    <row r="6519" spans="5:5" ht="16.5">
      <c r="E6519" s="123"/>
    </row>
    <row r="6520" spans="5:5" ht="16.5">
      <c r="E6520" s="123"/>
    </row>
    <row r="6521" spans="5:5" ht="16.5">
      <c r="E6521" s="123"/>
    </row>
    <row r="6522" spans="5:5" ht="16.5">
      <c r="E6522" s="123"/>
    </row>
    <row r="6523" spans="5:5" ht="16.5">
      <c r="E6523" s="123"/>
    </row>
    <row r="6524" spans="5:5" ht="16.5">
      <c r="E6524" s="123"/>
    </row>
    <row r="6525" spans="5:5" ht="16.5">
      <c r="E6525" s="123"/>
    </row>
    <row r="6526" spans="5:5" ht="16.5">
      <c r="E6526" s="123"/>
    </row>
    <row r="6527" spans="5:5" ht="16.5">
      <c r="E6527" s="123"/>
    </row>
    <row r="6528" spans="5:5" ht="16.5">
      <c r="E6528" s="123"/>
    </row>
    <row r="6529" spans="5:5" ht="16.5">
      <c r="E6529" s="123"/>
    </row>
    <row r="6530" spans="5:5" ht="16.5">
      <c r="E6530" s="123"/>
    </row>
    <row r="6531" spans="5:5" ht="16.5">
      <c r="E6531" s="123"/>
    </row>
    <row r="6532" spans="5:5" ht="16.5">
      <c r="E6532" s="123"/>
    </row>
    <row r="6533" spans="5:5" ht="16.5">
      <c r="E6533" s="123"/>
    </row>
    <row r="6534" spans="5:5" ht="16.5">
      <c r="E6534" s="123"/>
    </row>
    <row r="6535" spans="5:5" ht="16.5">
      <c r="E6535" s="123"/>
    </row>
    <row r="6536" spans="5:5" ht="16.5">
      <c r="E6536" s="123"/>
    </row>
    <row r="6537" spans="5:5" ht="16.5">
      <c r="E6537" s="123"/>
    </row>
    <row r="6538" spans="5:5" ht="16.5">
      <c r="E6538" s="123"/>
    </row>
    <row r="6539" spans="5:5" ht="16.5">
      <c r="E6539" s="123"/>
    </row>
    <row r="6540" spans="5:5" ht="16.5">
      <c r="E6540" s="123"/>
    </row>
    <row r="6541" spans="5:5" ht="16.5">
      <c r="E6541" s="123"/>
    </row>
    <row r="6542" spans="5:5" ht="16.5">
      <c r="E6542" s="123"/>
    </row>
    <row r="6543" spans="5:5" ht="16.5">
      <c r="E6543" s="123"/>
    </row>
    <row r="6544" spans="5:5" ht="16.5">
      <c r="E6544" s="123"/>
    </row>
    <row r="6545" spans="5:5" ht="16.5">
      <c r="E6545" s="123"/>
    </row>
    <row r="6546" spans="5:5" ht="16.5">
      <c r="E6546" s="123"/>
    </row>
    <row r="6547" spans="5:5" ht="16.5">
      <c r="E6547" s="123"/>
    </row>
    <row r="6548" spans="5:5" ht="16.5">
      <c r="E6548" s="123"/>
    </row>
    <row r="6549" spans="5:5" ht="16.5">
      <c r="E6549" s="123"/>
    </row>
    <row r="6550" spans="5:5" ht="16.5">
      <c r="E6550" s="123"/>
    </row>
    <row r="6551" spans="5:5" ht="16.5">
      <c r="E6551" s="123"/>
    </row>
    <row r="6552" spans="5:5" ht="16.5">
      <c r="E6552" s="123"/>
    </row>
    <row r="6553" spans="5:5" ht="16.5">
      <c r="E6553" s="123"/>
    </row>
    <row r="6554" spans="5:5" ht="16.5">
      <c r="E6554" s="123"/>
    </row>
    <row r="6555" spans="5:5" ht="16.5">
      <c r="E6555" s="123"/>
    </row>
    <row r="6556" spans="5:5" ht="16.5">
      <c r="E6556" s="123"/>
    </row>
    <row r="6557" spans="5:5" ht="16.5">
      <c r="E6557" s="123"/>
    </row>
    <row r="6558" spans="5:5" ht="16.5">
      <c r="E6558" s="123"/>
    </row>
    <row r="6559" spans="5:5" ht="16.5">
      <c r="E6559" s="123"/>
    </row>
    <row r="6560" spans="5:5" ht="16.5">
      <c r="E6560" s="123"/>
    </row>
    <row r="6561" spans="5:5" ht="16.5">
      <c r="E6561" s="123"/>
    </row>
    <row r="6562" spans="5:5" ht="16.5">
      <c r="E6562" s="123"/>
    </row>
    <row r="6563" spans="5:5" ht="16.5">
      <c r="E6563" s="123"/>
    </row>
    <row r="6564" spans="5:5" ht="16.5">
      <c r="E6564" s="123"/>
    </row>
    <row r="6565" spans="5:5" ht="16.5">
      <c r="E6565" s="123"/>
    </row>
    <row r="6566" spans="5:5" ht="16.5">
      <c r="E6566" s="123"/>
    </row>
    <row r="6567" spans="5:5" ht="16.5">
      <c r="E6567" s="123"/>
    </row>
    <row r="6568" spans="5:5" ht="16.5">
      <c r="E6568" s="123"/>
    </row>
    <row r="6569" spans="5:5" ht="16.5">
      <c r="E6569" s="123"/>
    </row>
    <row r="6570" spans="5:5" ht="16.5">
      <c r="E6570" s="123"/>
    </row>
    <row r="6571" spans="5:5" ht="16.5">
      <c r="E6571" s="123"/>
    </row>
    <row r="6572" spans="5:5" ht="16.5">
      <c r="E6572" s="123"/>
    </row>
    <row r="6573" spans="5:5" ht="16.5">
      <c r="E6573" s="123"/>
    </row>
    <row r="6574" spans="5:5" ht="16.5">
      <c r="E6574" s="123"/>
    </row>
    <row r="6575" spans="5:5" ht="16.5">
      <c r="E6575" s="123"/>
    </row>
    <row r="6576" spans="5:5" ht="16.5">
      <c r="E6576" s="123"/>
    </row>
    <row r="6577" spans="5:5" ht="16.5">
      <c r="E6577" s="123"/>
    </row>
    <row r="6578" spans="5:5" ht="16.5">
      <c r="E6578" s="123"/>
    </row>
    <row r="6579" spans="5:5" ht="16.5">
      <c r="E6579" s="123"/>
    </row>
    <row r="6580" spans="5:5" ht="16.5">
      <c r="E6580" s="123"/>
    </row>
    <row r="6581" spans="5:5" ht="16.5">
      <c r="E6581" s="123"/>
    </row>
    <row r="6582" spans="5:5" ht="16.5">
      <c r="E6582" s="123"/>
    </row>
    <row r="6583" spans="5:5" ht="16.5">
      <c r="E6583" s="123"/>
    </row>
    <row r="6584" spans="5:5" ht="16.5">
      <c r="E6584" s="123"/>
    </row>
    <row r="6585" spans="5:5" ht="16.5">
      <c r="E6585" s="123"/>
    </row>
    <row r="6586" spans="5:5" ht="16.5">
      <c r="E6586" s="123"/>
    </row>
    <row r="6587" spans="5:5" ht="16.5">
      <c r="E6587" s="123"/>
    </row>
    <row r="6588" spans="5:5" ht="16.5">
      <c r="E6588" s="123"/>
    </row>
    <row r="6589" spans="5:5" ht="16.5">
      <c r="E6589" s="123"/>
    </row>
    <row r="6590" spans="5:5" ht="16.5">
      <c r="E6590" s="123"/>
    </row>
    <row r="6591" spans="5:5" ht="16.5">
      <c r="E6591" s="123"/>
    </row>
    <row r="6592" spans="5:5" ht="16.5">
      <c r="E6592" s="123"/>
    </row>
    <row r="6593" spans="5:5" ht="16.5">
      <c r="E6593" s="123"/>
    </row>
    <row r="6594" spans="5:5" ht="16.5">
      <c r="E6594" s="123"/>
    </row>
    <row r="6595" spans="5:5" ht="16.5">
      <c r="E6595" s="123"/>
    </row>
    <row r="6596" spans="5:5" ht="16.5">
      <c r="E6596" s="123"/>
    </row>
    <row r="6597" spans="5:5" ht="16.5">
      <c r="E6597" s="123"/>
    </row>
    <row r="6598" spans="5:5" ht="16.5">
      <c r="E6598" s="123"/>
    </row>
    <row r="6599" spans="5:5" ht="16.5">
      <c r="E6599" s="123"/>
    </row>
    <row r="6600" spans="5:5" ht="16.5">
      <c r="E6600" s="123"/>
    </row>
    <row r="6601" spans="5:5" ht="16.5">
      <c r="E6601" s="123"/>
    </row>
    <row r="6602" spans="5:5" ht="16.5">
      <c r="E6602" s="123"/>
    </row>
    <row r="6603" spans="5:5" ht="16.5">
      <c r="E6603" s="123"/>
    </row>
    <row r="6604" spans="5:5" ht="16.5">
      <c r="E6604" s="123"/>
    </row>
    <row r="6605" spans="5:5" ht="16.5">
      <c r="E6605" s="123"/>
    </row>
    <row r="6606" spans="5:5" ht="16.5">
      <c r="E6606" s="123"/>
    </row>
    <row r="6607" spans="5:5" ht="16.5">
      <c r="E6607" s="123"/>
    </row>
    <row r="6608" spans="5:5" ht="16.5">
      <c r="E6608" s="123"/>
    </row>
    <row r="6609" spans="5:5" ht="16.5">
      <c r="E6609" s="123"/>
    </row>
    <row r="6610" spans="5:5" ht="16.5">
      <c r="E6610" s="123"/>
    </row>
    <row r="6611" spans="5:5" ht="16.5">
      <c r="E6611" s="123"/>
    </row>
    <row r="6612" spans="5:5" ht="16.5">
      <c r="E6612" s="123"/>
    </row>
    <row r="6613" spans="5:5" ht="16.5">
      <c r="E6613" s="123"/>
    </row>
    <row r="6614" spans="5:5" ht="16.5">
      <c r="E6614" s="123"/>
    </row>
    <row r="6615" spans="5:5" ht="16.5">
      <c r="E6615" s="123"/>
    </row>
    <row r="6616" spans="5:5" ht="16.5">
      <c r="E6616" s="123"/>
    </row>
    <row r="6617" spans="5:5" ht="16.5">
      <c r="E6617" s="123"/>
    </row>
    <row r="6618" spans="5:5" ht="16.5">
      <c r="E6618" s="123"/>
    </row>
    <row r="6619" spans="5:5" ht="16.5">
      <c r="E6619" s="123"/>
    </row>
    <row r="6620" spans="5:5" ht="16.5">
      <c r="E6620" s="123"/>
    </row>
    <row r="6621" spans="5:5" ht="16.5">
      <c r="E6621" s="123"/>
    </row>
    <row r="6622" spans="5:5" ht="16.5">
      <c r="E6622" s="123"/>
    </row>
    <row r="6623" spans="5:5" ht="16.5">
      <c r="E6623" s="123"/>
    </row>
    <row r="6624" spans="5:5" ht="16.5">
      <c r="E6624" s="123"/>
    </row>
    <row r="6625" spans="5:5" ht="16.5">
      <c r="E6625" s="123"/>
    </row>
    <row r="6626" spans="5:5" ht="16.5">
      <c r="E6626" s="123"/>
    </row>
    <row r="6627" spans="5:5" ht="16.5">
      <c r="E6627" s="123"/>
    </row>
    <row r="6628" spans="5:5" ht="16.5">
      <c r="E6628" s="123"/>
    </row>
    <row r="6629" spans="5:5" ht="16.5">
      <c r="E6629" s="123"/>
    </row>
    <row r="6630" spans="5:5" ht="16.5">
      <c r="E6630" s="123"/>
    </row>
    <row r="6631" spans="5:5" ht="16.5">
      <c r="E6631" s="123"/>
    </row>
    <row r="6632" spans="5:5" ht="16.5">
      <c r="E6632" s="123"/>
    </row>
    <row r="6633" spans="5:5" ht="16.5">
      <c r="E6633" s="123"/>
    </row>
    <row r="6634" spans="5:5" ht="16.5">
      <c r="E6634" s="123"/>
    </row>
    <row r="6635" spans="5:5" ht="16.5">
      <c r="E6635" s="123"/>
    </row>
    <row r="6636" spans="5:5" ht="16.5">
      <c r="E6636" s="123"/>
    </row>
    <row r="6637" spans="5:5" ht="16.5">
      <c r="E6637" s="123"/>
    </row>
    <row r="6638" spans="5:5" ht="16.5">
      <c r="E6638" s="123"/>
    </row>
    <row r="6639" spans="5:5" ht="16.5">
      <c r="E6639" s="123"/>
    </row>
    <row r="6640" spans="5:5" ht="16.5">
      <c r="E6640" s="123"/>
    </row>
    <row r="6641" spans="5:5" ht="16.5">
      <c r="E6641" s="123"/>
    </row>
    <row r="6642" spans="5:5" ht="16.5">
      <c r="E6642" s="123"/>
    </row>
    <row r="6643" spans="5:5" ht="16.5">
      <c r="E6643" s="123"/>
    </row>
    <row r="6644" spans="5:5" ht="16.5">
      <c r="E6644" s="123"/>
    </row>
    <row r="6645" spans="5:5" ht="16.5">
      <c r="E6645" s="123"/>
    </row>
    <row r="6646" spans="5:5" ht="16.5">
      <c r="E6646" s="123"/>
    </row>
    <row r="6647" spans="5:5" ht="16.5">
      <c r="E6647" s="123"/>
    </row>
    <row r="6648" spans="5:5" ht="16.5">
      <c r="E6648" s="123"/>
    </row>
    <row r="6649" spans="5:5" ht="16.5">
      <c r="E6649" s="123"/>
    </row>
    <row r="6650" spans="5:5" ht="16.5">
      <c r="E6650" s="123"/>
    </row>
    <row r="6651" spans="5:5" ht="16.5">
      <c r="E6651" s="123"/>
    </row>
    <row r="6652" spans="5:5" ht="16.5">
      <c r="E6652" s="123"/>
    </row>
    <row r="6653" spans="5:5" ht="16.5">
      <c r="E6653" s="123"/>
    </row>
    <row r="6654" spans="5:5" ht="16.5">
      <c r="E6654" s="123"/>
    </row>
    <row r="6655" spans="5:5" ht="16.5">
      <c r="E6655" s="123"/>
    </row>
    <row r="6656" spans="5:5" ht="16.5">
      <c r="E6656" s="123"/>
    </row>
    <row r="6657" spans="5:5" ht="16.5">
      <c r="E6657" s="123"/>
    </row>
    <row r="6658" spans="5:5" ht="16.5">
      <c r="E6658" s="123"/>
    </row>
    <row r="6659" spans="5:5" ht="16.5">
      <c r="E6659" s="123"/>
    </row>
    <row r="6660" spans="5:5" ht="16.5">
      <c r="E6660" s="123"/>
    </row>
    <row r="6661" spans="5:5" ht="16.5">
      <c r="E6661" s="123"/>
    </row>
    <row r="6662" spans="5:5" ht="16.5">
      <c r="E6662" s="123"/>
    </row>
    <row r="6663" spans="5:5" ht="16.5">
      <c r="E6663" s="123"/>
    </row>
    <row r="6664" spans="5:5" ht="16.5">
      <c r="E6664" s="123"/>
    </row>
    <row r="6665" spans="5:5" ht="16.5">
      <c r="E6665" s="123"/>
    </row>
    <row r="6666" spans="5:5" ht="16.5">
      <c r="E6666" s="123"/>
    </row>
    <row r="6667" spans="5:5" ht="16.5">
      <c r="E6667" s="123"/>
    </row>
    <row r="6668" spans="5:5" ht="16.5">
      <c r="E6668" s="123"/>
    </row>
    <row r="6669" spans="5:5" ht="16.5">
      <c r="E6669" s="123"/>
    </row>
    <row r="6670" spans="5:5" ht="16.5">
      <c r="E6670" s="123"/>
    </row>
    <row r="6671" spans="5:5" ht="16.5">
      <c r="E6671" s="123"/>
    </row>
    <row r="6672" spans="5:5" ht="16.5">
      <c r="E6672" s="123"/>
    </row>
    <row r="6673" spans="5:5" ht="16.5">
      <c r="E6673" s="123"/>
    </row>
    <row r="6674" spans="5:5" ht="16.5">
      <c r="E6674" s="123"/>
    </row>
    <row r="6675" spans="5:5" ht="16.5">
      <c r="E6675" s="123"/>
    </row>
    <row r="6676" spans="5:5" ht="16.5">
      <c r="E6676" s="123"/>
    </row>
    <row r="6677" spans="5:5" ht="16.5">
      <c r="E6677" s="123"/>
    </row>
    <row r="6678" spans="5:5" ht="16.5">
      <c r="E6678" s="123"/>
    </row>
    <row r="6679" spans="5:5" ht="16.5">
      <c r="E6679" s="123"/>
    </row>
    <row r="6680" spans="5:5" ht="16.5">
      <c r="E6680" s="123"/>
    </row>
    <row r="6681" spans="5:5" ht="16.5">
      <c r="E6681" s="123"/>
    </row>
    <row r="6682" spans="5:5" ht="16.5">
      <c r="E6682" s="123"/>
    </row>
    <row r="6683" spans="5:5" ht="16.5">
      <c r="E6683" s="123"/>
    </row>
    <row r="6684" spans="5:5" ht="16.5">
      <c r="E6684" s="123"/>
    </row>
    <row r="6685" spans="5:5" ht="16.5">
      <c r="E6685" s="123"/>
    </row>
    <row r="6686" spans="5:5" ht="16.5">
      <c r="E6686" s="123"/>
    </row>
    <row r="6687" spans="5:5" ht="16.5">
      <c r="E6687" s="123"/>
    </row>
    <row r="6688" spans="5:5" ht="16.5">
      <c r="E6688" s="123"/>
    </row>
    <row r="6689" spans="5:5" ht="16.5">
      <c r="E6689" s="123"/>
    </row>
    <row r="6690" spans="5:5" ht="16.5">
      <c r="E6690" s="123"/>
    </row>
    <row r="6691" spans="5:5" ht="16.5">
      <c r="E6691" s="123"/>
    </row>
    <row r="6692" spans="5:5" ht="16.5">
      <c r="E6692" s="123"/>
    </row>
    <row r="6693" spans="5:5" ht="16.5">
      <c r="E6693" s="123"/>
    </row>
    <row r="6694" spans="5:5" ht="16.5">
      <c r="E6694" s="123"/>
    </row>
    <row r="6695" spans="5:5" ht="16.5">
      <c r="E6695" s="123"/>
    </row>
    <row r="6696" spans="5:5" ht="16.5">
      <c r="E6696" s="123"/>
    </row>
    <row r="6697" spans="5:5" ht="16.5">
      <c r="E6697" s="123"/>
    </row>
    <row r="6698" spans="5:5" ht="16.5">
      <c r="E6698" s="123"/>
    </row>
    <row r="6699" spans="5:5" ht="16.5">
      <c r="E6699" s="123"/>
    </row>
    <row r="6700" spans="5:5" ht="16.5">
      <c r="E6700" s="123"/>
    </row>
    <row r="6701" spans="5:5" ht="16.5">
      <c r="E6701" s="123"/>
    </row>
    <row r="6702" spans="5:5" ht="16.5">
      <c r="E6702" s="123"/>
    </row>
    <row r="6703" spans="5:5" ht="16.5">
      <c r="E6703" s="123"/>
    </row>
    <row r="6704" spans="5:5" ht="16.5">
      <c r="E6704" s="123"/>
    </row>
    <row r="6705" spans="5:5" ht="16.5">
      <c r="E6705" s="123"/>
    </row>
    <row r="6706" spans="5:5" ht="16.5">
      <c r="E6706" s="123"/>
    </row>
    <row r="6707" spans="5:5" ht="16.5">
      <c r="E6707" s="123"/>
    </row>
    <row r="6708" spans="5:5" ht="16.5">
      <c r="E6708" s="123"/>
    </row>
    <row r="6709" spans="5:5" ht="16.5">
      <c r="E6709" s="123"/>
    </row>
    <row r="6710" spans="5:5" ht="16.5">
      <c r="E6710" s="123"/>
    </row>
    <row r="6711" spans="5:5" ht="16.5">
      <c r="E6711" s="123"/>
    </row>
    <row r="6712" spans="5:5" ht="16.5">
      <c r="E6712" s="123"/>
    </row>
    <row r="6713" spans="5:5" ht="16.5">
      <c r="E6713" s="123"/>
    </row>
    <row r="6714" spans="5:5" ht="16.5">
      <c r="E6714" s="123"/>
    </row>
    <row r="6715" spans="5:5" ht="16.5">
      <c r="E6715" s="123"/>
    </row>
    <row r="6716" spans="5:5" ht="16.5">
      <c r="E6716" s="123"/>
    </row>
    <row r="6717" spans="5:5" ht="16.5">
      <c r="E6717" s="123"/>
    </row>
    <row r="6718" spans="5:5" ht="16.5">
      <c r="E6718" s="123"/>
    </row>
    <row r="6719" spans="5:5" ht="16.5">
      <c r="E6719" s="123"/>
    </row>
    <row r="6720" spans="5:5" ht="16.5">
      <c r="E6720" s="123"/>
    </row>
    <row r="6721" spans="5:5" ht="16.5">
      <c r="E6721" s="123"/>
    </row>
    <row r="6722" spans="5:5" ht="16.5">
      <c r="E6722" s="123"/>
    </row>
    <row r="6723" spans="5:5" ht="16.5">
      <c r="E6723" s="123"/>
    </row>
    <row r="6724" spans="5:5" ht="16.5">
      <c r="E6724" s="123"/>
    </row>
    <row r="6725" spans="5:5" ht="16.5">
      <c r="E6725" s="123"/>
    </row>
    <row r="6726" spans="5:5" ht="16.5">
      <c r="E6726" s="123"/>
    </row>
    <row r="6727" spans="5:5" ht="16.5">
      <c r="E6727" s="123"/>
    </row>
    <row r="6728" spans="5:5" ht="16.5">
      <c r="E6728" s="123"/>
    </row>
    <row r="6729" spans="5:5" ht="16.5">
      <c r="E6729" s="123"/>
    </row>
    <row r="6730" spans="5:5" ht="16.5">
      <c r="E6730" s="123"/>
    </row>
    <row r="6731" spans="5:5" ht="16.5">
      <c r="E6731" s="123"/>
    </row>
    <row r="6732" spans="5:5" ht="16.5">
      <c r="E6732" s="123"/>
    </row>
    <row r="6733" spans="5:5" ht="16.5">
      <c r="E6733" s="123"/>
    </row>
    <row r="6734" spans="5:5" ht="16.5">
      <c r="E6734" s="123"/>
    </row>
    <row r="6735" spans="5:5" ht="16.5">
      <c r="E6735" s="123"/>
    </row>
    <row r="6736" spans="5:5" ht="16.5">
      <c r="E6736" s="123"/>
    </row>
    <row r="6737" spans="5:5" ht="16.5">
      <c r="E6737" s="123"/>
    </row>
    <row r="6738" spans="5:5" ht="16.5">
      <c r="E6738" s="123"/>
    </row>
    <row r="6739" spans="5:5" ht="16.5">
      <c r="E6739" s="123"/>
    </row>
    <row r="6740" spans="5:5" ht="16.5">
      <c r="E6740" s="123"/>
    </row>
    <row r="6741" spans="5:5" ht="16.5">
      <c r="E6741" s="123"/>
    </row>
    <row r="6742" spans="5:5" ht="16.5">
      <c r="E6742" s="123"/>
    </row>
    <row r="6743" spans="5:5" ht="16.5">
      <c r="E6743" s="123"/>
    </row>
    <row r="6744" spans="5:5" ht="16.5">
      <c r="E6744" s="123"/>
    </row>
    <row r="6745" spans="5:5" ht="16.5">
      <c r="E6745" s="123"/>
    </row>
    <row r="6746" spans="5:5" ht="16.5">
      <c r="E6746" s="123"/>
    </row>
    <row r="6747" spans="5:5" ht="16.5">
      <c r="E6747" s="123"/>
    </row>
    <row r="6748" spans="5:5" ht="16.5">
      <c r="E6748" s="123"/>
    </row>
    <row r="6749" spans="5:5" ht="16.5">
      <c r="E6749" s="123"/>
    </row>
    <row r="6750" spans="5:5" ht="16.5">
      <c r="E6750" s="123"/>
    </row>
    <row r="6751" spans="5:5" ht="16.5">
      <c r="E6751" s="123"/>
    </row>
    <row r="6752" spans="5:5" ht="16.5">
      <c r="E6752" s="123"/>
    </row>
    <row r="6753" spans="5:5" ht="16.5">
      <c r="E6753" s="123"/>
    </row>
    <row r="6754" spans="5:5" ht="16.5">
      <c r="E6754" s="123"/>
    </row>
    <row r="6755" spans="5:5" ht="16.5">
      <c r="E6755" s="123"/>
    </row>
    <row r="6756" spans="5:5" ht="16.5">
      <c r="E6756" s="123"/>
    </row>
    <row r="6757" spans="5:5" ht="16.5">
      <c r="E6757" s="123"/>
    </row>
    <row r="6758" spans="5:5" ht="16.5">
      <c r="E6758" s="123"/>
    </row>
    <row r="6759" spans="5:5" ht="16.5">
      <c r="E6759" s="123"/>
    </row>
    <row r="6760" spans="5:5" ht="16.5">
      <c r="E6760" s="123"/>
    </row>
    <row r="6761" spans="5:5" ht="16.5">
      <c r="E6761" s="123"/>
    </row>
    <row r="6762" spans="5:5" ht="16.5">
      <c r="E6762" s="123"/>
    </row>
    <row r="6763" spans="5:5" ht="16.5">
      <c r="E6763" s="123"/>
    </row>
    <row r="6764" spans="5:5" ht="16.5">
      <c r="E6764" s="123"/>
    </row>
    <row r="6765" spans="5:5" ht="16.5">
      <c r="E6765" s="123"/>
    </row>
    <row r="6766" spans="5:5" ht="16.5">
      <c r="E6766" s="123"/>
    </row>
    <row r="6767" spans="5:5" ht="16.5">
      <c r="E6767" s="123"/>
    </row>
    <row r="6768" spans="5:5" ht="16.5">
      <c r="E6768" s="123"/>
    </row>
    <row r="6769" spans="5:5" ht="16.5">
      <c r="E6769" s="123"/>
    </row>
    <row r="6770" spans="5:5" ht="16.5">
      <c r="E6770" s="123"/>
    </row>
    <row r="6771" spans="5:5" ht="16.5">
      <c r="E6771" s="123"/>
    </row>
    <row r="6772" spans="5:5" ht="16.5">
      <c r="E6772" s="123"/>
    </row>
    <row r="6773" spans="5:5" ht="16.5">
      <c r="E6773" s="123"/>
    </row>
    <row r="6774" spans="5:5" ht="16.5">
      <c r="E6774" s="123"/>
    </row>
    <row r="6775" spans="5:5" ht="16.5">
      <c r="E6775" s="123"/>
    </row>
    <row r="6776" spans="5:5" ht="16.5">
      <c r="E6776" s="123"/>
    </row>
    <row r="6777" spans="5:5" ht="16.5">
      <c r="E6777" s="123"/>
    </row>
    <row r="6778" spans="5:5" ht="16.5">
      <c r="E6778" s="123"/>
    </row>
    <row r="6779" spans="5:5" ht="16.5">
      <c r="E6779" s="123"/>
    </row>
    <row r="6780" spans="5:5" ht="16.5">
      <c r="E6780" s="123"/>
    </row>
    <row r="6781" spans="5:5" ht="16.5">
      <c r="E6781" s="123"/>
    </row>
    <row r="6782" spans="5:5" ht="16.5">
      <c r="E6782" s="123"/>
    </row>
    <row r="6783" spans="5:5" ht="16.5">
      <c r="E6783" s="123"/>
    </row>
    <row r="6784" spans="5:5" ht="16.5">
      <c r="E6784" s="123"/>
    </row>
    <row r="6785" spans="5:5" ht="16.5">
      <c r="E6785" s="123"/>
    </row>
    <row r="6786" spans="5:5" ht="16.5">
      <c r="E6786" s="123"/>
    </row>
    <row r="6787" spans="5:5" ht="16.5">
      <c r="E6787" s="123"/>
    </row>
    <row r="6788" spans="5:5" ht="16.5">
      <c r="E6788" s="123"/>
    </row>
    <row r="6789" spans="5:5" ht="16.5">
      <c r="E6789" s="123"/>
    </row>
    <row r="6790" spans="5:5" ht="16.5">
      <c r="E6790" s="123"/>
    </row>
    <row r="6791" spans="5:5" ht="16.5">
      <c r="E6791" s="123"/>
    </row>
    <row r="6792" spans="5:5" ht="16.5">
      <c r="E6792" s="123"/>
    </row>
    <row r="6793" spans="5:5" ht="16.5">
      <c r="E6793" s="123"/>
    </row>
    <row r="6794" spans="5:5" ht="16.5">
      <c r="E6794" s="123"/>
    </row>
    <row r="6795" spans="5:5" ht="16.5">
      <c r="E6795" s="123"/>
    </row>
    <row r="6796" spans="5:5" ht="16.5">
      <c r="E6796" s="123"/>
    </row>
    <row r="6797" spans="5:5" ht="16.5">
      <c r="E6797" s="123"/>
    </row>
    <row r="6798" spans="5:5" ht="16.5">
      <c r="E6798" s="123"/>
    </row>
    <row r="6799" spans="5:5" ht="16.5">
      <c r="E6799" s="123"/>
    </row>
    <row r="6800" spans="5:5" ht="16.5">
      <c r="E6800" s="123"/>
    </row>
    <row r="6801" spans="5:5" ht="16.5">
      <c r="E6801" s="123"/>
    </row>
    <row r="6802" spans="5:5" ht="16.5">
      <c r="E6802" s="123"/>
    </row>
    <row r="6803" spans="5:5" ht="16.5">
      <c r="E6803" s="123"/>
    </row>
    <row r="6804" spans="5:5" ht="16.5">
      <c r="E6804" s="123"/>
    </row>
    <row r="6805" spans="5:5" ht="16.5">
      <c r="E6805" s="123"/>
    </row>
    <row r="6806" spans="5:5" ht="16.5">
      <c r="E6806" s="123"/>
    </row>
    <row r="6807" spans="5:5" ht="16.5">
      <c r="E6807" s="123"/>
    </row>
    <row r="6808" spans="5:5" ht="16.5">
      <c r="E6808" s="123"/>
    </row>
    <row r="6809" spans="5:5" ht="16.5">
      <c r="E6809" s="123"/>
    </row>
    <row r="6810" spans="5:5" ht="16.5">
      <c r="E6810" s="123"/>
    </row>
    <row r="6811" spans="5:5" ht="16.5">
      <c r="E6811" s="123"/>
    </row>
    <row r="6812" spans="5:5" ht="16.5">
      <c r="E6812" s="123"/>
    </row>
    <row r="6813" spans="5:5" ht="16.5">
      <c r="E6813" s="123"/>
    </row>
    <row r="6814" spans="5:5" ht="16.5">
      <c r="E6814" s="123"/>
    </row>
    <row r="6815" spans="5:5" ht="16.5">
      <c r="E6815" s="123"/>
    </row>
    <row r="6816" spans="5:5" ht="16.5">
      <c r="E6816" s="123"/>
    </row>
    <row r="6817" spans="5:5" ht="16.5">
      <c r="E6817" s="123"/>
    </row>
    <row r="6818" spans="5:5" ht="16.5">
      <c r="E6818" s="123"/>
    </row>
    <row r="6819" spans="5:5" ht="16.5">
      <c r="E6819" s="123"/>
    </row>
    <row r="6820" spans="5:5" ht="16.5">
      <c r="E6820" s="123"/>
    </row>
    <row r="6821" spans="5:5" ht="16.5">
      <c r="E6821" s="123"/>
    </row>
    <row r="6822" spans="5:5" ht="16.5">
      <c r="E6822" s="123"/>
    </row>
    <row r="6823" spans="5:5" ht="16.5">
      <c r="E6823" s="123"/>
    </row>
    <row r="6824" spans="5:5" ht="16.5">
      <c r="E6824" s="123"/>
    </row>
    <row r="6825" spans="5:5" ht="16.5">
      <c r="E6825" s="123"/>
    </row>
    <row r="6826" spans="5:5" ht="16.5">
      <c r="E6826" s="123"/>
    </row>
    <row r="6827" spans="5:5" ht="16.5">
      <c r="E6827" s="123"/>
    </row>
    <row r="6828" spans="5:5" ht="16.5">
      <c r="E6828" s="123"/>
    </row>
    <row r="6829" spans="5:5" ht="16.5">
      <c r="E6829" s="123"/>
    </row>
    <row r="6830" spans="5:5" ht="16.5">
      <c r="E6830" s="123"/>
    </row>
    <row r="6831" spans="5:5" ht="16.5">
      <c r="E6831" s="123"/>
    </row>
    <row r="6832" spans="5:5" ht="16.5">
      <c r="E6832" s="123"/>
    </row>
    <row r="6833" spans="5:5" ht="16.5">
      <c r="E6833" s="123"/>
    </row>
    <row r="6834" spans="5:5" ht="16.5">
      <c r="E6834" s="123"/>
    </row>
    <row r="6835" spans="5:5" ht="16.5">
      <c r="E6835" s="123"/>
    </row>
    <row r="6836" spans="5:5" ht="16.5">
      <c r="E6836" s="123"/>
    </row>
    <row r="6837" spans="5:5" ht="16.5">
      <c r="E6837" s="123"/>
    </row>
    <row r="6838" spans="5:5" ht="16.5">
      <c r="E6838" s="123"/>
    </row>
    <row r="6839" spans="5:5" ht="16.5">
      <c r="E6839" s="123"/>
    </row>
    <row r="6840" spans="5:5" ht="16.5">
      <c r="E6840" s="123"/>
    </row>
    <row r="6841" spans="5:5" ht="16.5">
      <c r="E6841" s="123"/>
    </row>
    <row r="6842" spans="5:5" ht="16.5">
      <c r="E6842" s="123"/>
    </row>
    <row r="6843" spans="5:5" ht="16.5">
      <c r="E6843" s="123"/>
    </row>
    <row r="6844" spans="5:5" ht="16.5">
      <c r="E6844" s="123"/>
    </row>
    <row r="6845" spans="5:5" ht="16.5">
      <c r="E6845" s="123"/>
    </row>
    <row r="6846" spans="5:5" ht="16.5">
      <c r="E6846" s="123"/>
    </row>
    <row r="6847" spans="5:5" ht="16.5">
      <c r="E6847" s="123"/>
    </row>
    <row r="6848" spans="5:5" ht="16.5">
      <c r="E6848" s="123"/>
    </row>
    <row r="6849" spans="5:5" ht="16.5">
      <c r="E6849" s="123"/>
    </row>
    <row r="6850" spans="5:5" ht="16.5">
      <c r="E6850" s="123"/>
    </row>
    <row r="6851" spans="5:5" ht="16.5">
      <c r="E6851" s="123"/>
    </row>
    <row r="6852" spans="5:5" ht="16.5">
      <c r="E6852" s="123"/>
    </row>
    <row r="6853" spans="5:5" ht="16.5">
      <c r="E6853" s="123"/>
    </row>
    <row r="6854" spans="5:5" ht="16.5">
      <c r="E6854" s="123"/>
    </row>
    <row r="6855" spans="5:5" ht="16.5">
      <c r="E6855" s="123"/>
    </row>
    <row r="6856" spans="5:5" ht="16.5">
      <c r="E6856" s="123"/>
    </row>
    <row r="6857" spans="5:5" ht="16.5">
      <c r="E6857" s="123"/>
    </row>
    <row r="6858" spans="5:5" ht="16.5">
      <c r="E6858" s="123"/>
    </row>
    <row r="6859" spans="5:5" ht="16.5">
      <c r="E6859" s="123"/>
    </row>
    <row r="6860" spans="5:5" ht="16.5">
      <c r="E6860" s="123"/>
    </row>
    <row r="6861" spans="5:5" ht="16.5">
      <c r="E6861" s="123"/>
    </row>
    <row r="6862" spans="5:5" ht="16.5">
      <c r="E6862" s="123"/>
    </row>
    <row r="6863" spans="5:5" ht="16.5">
      <c r="E6863" s="123"/>
    </row>
    <row r="6864" spans="5:5" ht="16.5">
      <c r="E6864" s="123"/>
    </row>
    <row r="6865" spans="5:5" ht="16.5">
      <c r="E6865" s="123"/>
    </row>
    <row r="6866" spans="5:5" ht="16.5">
      <c r="E6866" s="123"/>
    </row>
    <row r="6867" spans="5:5" ht="16.5">
      <c r="E6867" s="123"/>
    </row>
    <row r="6868" spans="5:5" ht="16.5">
      <c r="E6868" s="123"/>
    </row>
    <row r="6869" spans="5:5" ht="16.5">
      <c r="E6869" s="123"/>
    </row>
    <row r="6870" spans="5:5" ht="16.5">
      <c r="E6870" s="123"/>
    </row>
    <row r="6871" spans="5:5" ht="16.5">
      <c r="E6871" s="123"/>
    </row>
    <row r="6872" spans="5:5" ht="16.5">
      <c r="E6872" s="123"/>
    </row>
    <row r="6873" spans="5:5" ht="16.5">
      <c r="E6873" s="123"/>
    </row>
    <row r="6874" spans="5:5" ht="16.5">
      <c r="E6874" s="123"/>
    </row>
    <row r="6875" spans="5:5" ht="16.5">
      <c r="E6875" s="123"/>
    </row>
    <row r="6876" spans="5:5" ht="16.5">
      <c r="E6876" s="123"/>
    </row>
    <row r="6877" spans="5:5" ht="16.5">
      <c r="E6877" s="123"/>
    </row>
    <row r="6878" spans="5:5" ht="16.5">
      <c r="E6878" s="123"/>
    </row>
    <row r="6879" spans="5:5" ht="16.5">
      <c r="E6879" s="123"/>
    </row>
    <row r="6880" spans="5:5" ht="16.5">
      <c r="E6880" s="123"/>
    </row>
    <row r="6881" spans="5:5" ht="16.5">
      <c r="E6881" s="123"/>
    </row>
    <row r="6882" spans="5:5" ht="16.5">
      <c r="E6882" s="123"/>
    </row>
    <row r="6883" spans="5:5" ht="16.5">
      <c r="E6883" s="123"/>
    </row>
    <row r="6884" spans="5:5" ht="16.5">
      <c r="E6884" s="123"/>
    </row>
    <row r="6885" spans="5:5" ht="16.5">
      <c r="E6885" s="123"/>
    </row>
    <row r="6886" spans="5:5" ht="16.5">
      <c r="E6886" s="123"/>
    </row>
    <row r="6887" spans="5:5" ht="16.5">
      <c r="E6887" s="123"/>
    </row>
    <row r="6888" spans="5:5" ht="16.5">
      <c r="E6888" s="123"/>
    </row>
    <row r="6889" spans="5:5" ht="16.5">
      <c r="E6889" s="123"/>
    </row>
    <row r="6890" spans="5:5" ht="16.5">
      <c r="E6890" s="123"/>
    </row>
    <row r="6891" spans="5:5" ht="16.5">
      <c r="E6891" s="123"/>
    </row>
    <row r="6892" spans="5:5" ht="16.5">
      <c r="E6892" s="123"/>
    </row>
    <row r="6893" spans="5:5" ht="16.5">
      <c r="E6893" s="123"/>
    </row>
    <row r="6894" spans="5:5" ht="16.5">
      <c r="E6894" s="123"/>
    </row>
    <row r="6895" spans="5:5" ht="16.5">
      <c r="E6895" s="123"/>
    </row>
    <row r="6896" spans="5:5" ht="16.5">
      <c r="E6896" s="123"/>
    </row>
    <row r="6897" spans="5:5" ht="16.5">
      <c r="E6897" s="123"/>
    </row>
    <row r="6898" spans="5:5" ht="16.5">
      <c r="E6898" s="123"/>
    </row>
    <row r="6899" spans="5:5" ht="16.5">
      <c r="E6899" s="123"/>
    </row>
    <row r="6900" spans="5:5" ht="16.5">
      <c r="E6900" s="123"/>
    </row>
    <row r="6901" spans="5:5" ht="16.5">
      <c r="E6901" s="123"/>
    </row>
    <row r="6902" spans="5:5" ht="16.5">
      <c r="E6902" s="123"/>
    </row>
    <row r="6903" spans="5:5" ht="16.5">
      <c r="E6903" s="123"/>
    </row>
    <row r="6904" spans="5:5" ht="16.5">
      <c r="E6904" s="123"/>
    </row>
    <row r="6905" spans="5:5" ht="16.5">
      <c r="E6905" s="123"/>
    </row>
    <row r="6906" spans="5:5" ht="16.5">
      <c r="E6906" s="123"/>
    </row>
    <row r="6907" spans="5:5" ht="16.5">
      <c r="E6907" s="123"/>
    </row>
    <row r="6908" spans="5:5" ht="16.5">
      <c r="E6908" s="123"/>
    </row>
    <row r="6909" spans="5:5" ht="16.5">
      <c r="E6909" s="123"/>
    </row>
    <row r="6910" spans="5:5" ht="16.5">
      <c r="E6910" s="123"/>
    </row>
    <row r="6911" spans="5:5" ht="16.5">
      <c r="E6911" s="123"/>
    </row>
    <row r="6912" spans="5:5" ht="16.5">
      <c r="E6912" s="123"/>
    </row>
    <row r="6913" spans="5:5" ht="16.5">
      <c r="E6913" s="123"/>
    </row>
    <row r="6914" spans="5:5" ht="16.5">
      <c r="E6914" s="123"/>
    </row>
    <row r="6915" spans="5:5" ht="16.5">
      <c r="E6915" s="123"/>
    </row>
    <row r="6916" spans="5:5" ht="16.5">
      <c r="E6916" s="123"/>
    </row>
    <row r="6917" spans="5:5" ht="16.5">
      <c r="E6917" s="123"/>
    </row>
    <row r="6918" spans="5:5" ht="16.5">
      <c r="E6918" s="123"/>
    </row>
    <row r="6919" spans="5:5" ht="16.5">
      <c r="E6919" s="123"/>
    </row>
    <row r="6920" spans="5:5" ht="16.5">
      <c r="E6920" s="123"/>
    </row>
    <row r="6921" spans="5:5" ht="16.5">
      <c r="E6921" s="123"/>
    </row>
    <row r="6922" spans="5:5" ht="16.5">
      <c r="E6922" s="123"/>
    </row>
    <row r="6923" spans="5:5" ht="16.5">
      <c r="E6923" s="123"/>
    </row>
    <row r="6924" spans="5:5" ht="16.5">
      <c r="E6924" s="123"/>
    </row>
    <row r="6925" spans="5:5" ht="16.5">
      <c r="E6925" s="123"/>
    </row>
    <row r="6926" spans="5:5" ht="16.5">
      <c r="E6926" s="123"/>
    </row>
    <row r="6927" spans="5:5" ht="16.5">
      <c r="E6927" s="123"/>
    </row>
    <row r="6928" spans="5:5" ht="16.5">
      <c r="E6928" s="123"/>
    </row>
    <row r="6929" spans="5:5" ht="16.5">
      <c r="E6929" s="123"/>
    </row>
    <row r="6930" spans="5:5" ht="16.5">
      <c r="E6930" s="123"/>
    </row>
    <row r="6931" spans="5:5" ht="16.5">
      <c r="E6931" s="123"/>
    </row>
    <row r="6932" spans="5:5" ht="16.5">
      <c r="E6932" s="123"/>
    </row>
    <row r="6933" spans="5:5" ht="16.5">
      <c r="E6933" s="123"/>
    </row>
    <row r="6934" spans="5:5" ht="16.5">
      <c r="E6934" s="123"/>
    </row>
    <row r="6935" spans="5:5" ht="16.5">
      <c r="E6935" s="123"/>
    </row>
    <row r="6936" spans="5:5" ht="16.5">
      <c r="E6936" s="123"/>
    </row>
    <row r="6937" spans="5:5" ht="16.5">
      <c r="E6937" s="123"/>
    </row>
    <row r="6938" spans="5:5" ht="16.5">
      <c r="E6938" s="123"/>
    </row>
    <row r="6939" spans="5:5" ht="16.5">
      <c r="E6939" s="123"/>
    </row>
    <row r="6940" spans="5:5" ht="16.5">
      <c r="E6940" s="123"/>
    </row>
    <row r="6941" spans="5:5" ht="16.5">
      <c r="E6941" s="123"/>
    </row>
    <row r="6942" spans="5:5" ht="16.5">
      <c r="E6942" s="123"/>
    </row>
    <row r="6943" spans="5:5" ht="16.5">
      <c r="E6943" s="123"/>
    </row>
    <row r="6944" spans="5:5" ht="16.5">
      <c r="E6944" s="123"/>
    </row>
    <row r="6945" spans="5:5" ht="16.5">
      <c r="E6945" s="123"/>
    </row>
    <row r="6946" spans="5:5" ht="16.5">
      <c r="E6946" s="123"/>
    </row>
    <row r="6947" spans="5:5" ht="16.5">
      <c r="E6947" s="123"/>
    </row>
    <row r="6948" spans="5:5" ht="16.5">
      <c r="E6948" s="123"/>
    </row>
    <row r="6949" spans="5:5" ht="16.5">
      <c r="E6949" s="123"/>
    </row>
    <row r="6950" spans="5:5" ht="16.5">
      <c r="E6950" s="123"/>
    </row>
    <row r="6951" spans="5:5" ht="16.5">
      <c r="E6951" s="123"/>
    </row>
    <row r="6952" spans="5:5" ht="16.5">
      <c r="E6952" s="123"/>
    </row>
    <row r="6953" spans="5:5" ht="16.5">
      <c r="E6953" s="123"/>
    </row>
    <row r="6954" spans="5:5" ht="16.5">
      <c r="E6954" s="123"/>
    </row>
    <row r="6955" spans="5:5" ht="16.5">
      <c r="E6955" s="123"/>
    </row>
    <row r="6956" spans="5:5" ht="16.5">
      <c r="E6956" s="123"/>
    </row>
    <row r="6957" spans="5:5" ht="16.5">
      <c r="E6957" s="123"/>
    </row>
    <row r="6958" spans="5:5" ht="16.5">
      <c r="E6958" s="123"/>
    </row>
    <row r="6959" spans="5:5" ht="16.5">
      <c r="E6959" s="123"/>
    </row>
    <row r="6960" spans="5:5" ht="16.5">
      <c r="E6960" s="123"/>
    </row>
    <row r="6961" spans="5:5" ht="16.5">
      <c r="E6961" s="123"/>
    </row>
    <row r="6962" spans="5:5" ht="16.5">
      <c r="E6962" s="123"/>
    </row>
    <row r="6963" spans="5:5" ht="16.5">
      <c r="E6963" s="123"/>
    </row>
    <row r="6964" spans="5:5" ht="16.5">
      <c r="E6964" s="123"/>
    </row>
    <row r="6965" spans="5:5" ht="16.5">
      <c r="E6965" s="123"/>
    </row>
    <row r="6966" spans="5:5" ht="16.5">
      <c r="E6966" s="123"/>
    </row>
    <row r="6967" spans="5:5" ht="16.5">
      <c r="E6967" s="123"/>
    </row>
    <row r="6968" spans="5:5" ht="16.5">
      <c r="E6968" s="123"/>
    </row>
    <row r="6969" spans="5:5" ht="16.5">
      <c r="E6969" s="123"/>
    </row>
    <row r="6970" spans="5:5" ht="16.5">
      <c r="E6970" s="123"/>
    </row>
    <row r="6971" spans="5:5" ht="16.5">
      <c r="E6971" s="123"/>
    </row>
    <row r="6972" spans="5:5" ht="16.5">
      <c r="E6972" s="123"/>
    </row>
    <row r="6973" spans="5:5" ht="16.5">
      <c r="E6973" s="123"/>
    </row>
    <row r="6974" spans="5:5" ht="16.5">
      <c r="E6974" s="123"/>
    </row>
    <row r="6975" spans="5:5" ht="16.5">
      <c r="E6975" s="123"/>
    </row>
    <row r="6976" spans="5:5" ht="16.5">
      <c r="E6976" s="123"/>
    </row>
    <row r="6977" spans="5:5" ht="16.5">
      <c r="E6977" s="123"/>
    </row>
    <row r="6978" spans="5:5" ht="16.5">
      <c r="E6978" s="123"/>
    </row>
    <row r="6979" spans="5:5" ht="16.5">
      <c r="E6979" s="123"/>
    </row>
    <row r="6980" spans="5:5" ht="16.5">
      <c r="E6980" s="123"/>
    </row>
    <row r="6981" spans="5:5" ht="16.5">
      <c r="E6981" s="123"/>
    </row>
    <row r="6982" spans="5:5" ht="16.5">
      <c r="E6982" s="123"/>
    </row>
    <row r="6983" spans="5:5" ht="16.5">
      <c r="E6983" s="123"/>
    </row>
    <row r="6984" spans="5:5" ht="16.5">
      <c r="E6984" s="123"/>
    </row>
    <row r="6985" spans="5:5" ht="16.5">
      <c r="E6985" s="123"/>
    </row>
    <row r="6986" spans="5:5" ht="16.5">
      <c r="E6986" s="123"/>
    </row>
    <row r="6987" spans="5:5" ht="16.5">
      <c r="E6987" s="123"/>
    </row>
    <row r="6988" spans="5:5" ht="16.5">
      <c r="E6988" s="123"/>
    </row>
    <row r="6989" spans="5:5" ht="16.5">
      <c r="E6989" s="123"/>
    </row>
    <row r="6990" spans="5:5" ht="16.5">
      <c r="E6990" s="123"/>
    </row>
    <row r="6991" spans="5:5" ht="16.5">
      <c r="E6991" s="123"/>
    </row>
    <row r="6992" spans="5:5" ht="16.5">
      <c r="E6992" s="123"/>
    </row>
    <row r="6993" spans="5:5" ht="16.5">
      <c r="E6993" s="123"/>
    </row>
    <row r="6994" spans="5:5" ht="16.5">
      <c r="E6994" s="123"/>
    </row>
    <row r="6995" spans="5:5" ht="16.5">
      <c r="E6995" s="123"/>
    </row>
    <row r="6996" spans="5:5" ht="16.5">
      <c r="E6996" s="123"/>
    </row>
    <row r="6997" spans="5:5" ht="16.5">
      <c r="E6997" s="123"/>
    </row>
    <row r="6998" spans="5:5" ht="16.5">
      <c r="E6998" s="123"/>
    </row>
    <row r="6999" spans="5:5" ht="16.5">
      <c r="E6999" s="123"/>
    </row>
    <row r="7000" spans="5:5" ht="16.5">
      <c r="E7000" s="123"/>
    </row>
    <row r="7001" spans="5:5" ht="16.5">
      <c r="E7001" s="123"/>
    </row>
    <row r="7002" spans="5:5" ht="16.5">
      <c r="E7002" s="123"/>
    </row>
    <row r="7003" spans="5:5" ht="16.5">
      <c r="E7003" s="123"/>
    </row>
    <row r="7004" spans="5:5" ht="16.5">
      <c r="E7004" s="123"/>
    </row>
    <row r="7005" spans="5:5" ht="16.5">
      <c r="E7005" s="123"/>
    </row>
    <row r="7006" spans="5:5" ht="16.5">
      <c r="E7006" s="123"/>
    </row>
    <row r="7007" spans="5:5" ht="16.5">
      <c r="E7007" s="123"/>
    </row>
    <row r="7008" spans="5:5" ht="16.5">
      <c r="E7008" s="123"/>
    </row>
    <row r="7009" spans="5:5" ht="16.5">
      <c r="E7009" s="123"/>
    </row>
    <row r="7010" spans="5:5" ht="16.5">
      <c r="E7010" s="123"/>
    </row>
    <row r="7011" spans="5:5" ht="16.5">
      <c r="E7011" s="123"/>
    </row>
    <row r="7012" spans="5:5" ht="16.5">
      <c r="E7012" s="123"/>
    </row>
    <row r="7013" spans="5:5" ht="16.5">
      <c r="E7013" s="123"/>
    </row>
    <row r="7014" spans="5:5" ht="16.5">
      <c r="E7014" s="123"/>
    </row>
    <row r="7015" spans="5:5" ht="16.5">
      <c r="E7015" s="123"/>
    </row>
    <row r="7016" spans="5:5" ht="16.5">
      <c r="E7016" s="123"/>
    </row>
    <row r="7017" spans="5:5" ht="16.5">
      <c r="E7017" s="123"/>
    </row>
    <row r="7018" spans="5:5" ht="16.5">
      <c r="E7018" s="123"/>
    </row>
    <row r="7019" spans="5:5" ht="16.5">
      <c r="E7019" s="123"/>
    </row>
    <row r="7020" spans="5:5" ht="16.5">
      <c r="E7020" s="123"/>
    </row>
    <row r="7021" spans="5:5" ht="16.5">
      <c r="E7021" s="123"/>
    </row>
    <row r="7022" spans="5:5" ht="16.5">
      <c r="E7022" s="123"/>
    </row>
    <row r="7023" spans="5:5" ht="16.5">
      <c r="E7023" s="123"/>
    </row>
    <row r="7024" spans="5:5" ht="16.5">
      <c r="E7024" s="123"/>
    </row>
    <row r="7025" spans="5:5" ht="16.5">
      <c r="E7025" s="123"/>
    </row>
    <row r="7026" spans="5:5" ht="16.5">
      <c r="E7026" s="123"/>
    </row>
    <row r="7027" spans="5:5" ht="16.5">
      <c r="E7027" s="123"/>
    </row>
    <row r="7028" spans="5:5" ht="16.5">
      <c r="E7028" s="123"/>
    </row>
    <row r="7029" spans="5:5" ht="16.5">
      <c r="E7029" s="123"/>
    </row>
    <row r="7030" spans="5:5" ht="16.5">
      <c r="E7030" s="123"/>
    </row>
    <row r="7031" spans="5:5" ht="16.5">
      <c r="E7031" s="123"/>
    </row>
    <row r="7032" spans="5:5" ht="16.5">
      <c r="E7032" s="123"/>
    </row>
    <row r="7033" spans="5:5" ht="16.5">
      <c r="E7033" s="123"/>
    </row>
    <row r="7034" spans="5:5" ht="16.5">
      <c r="E7034" s="123"/>
    </row>
    <row r="7035" spans="5:5" ht="16.5">
      <c r="E7035" s="123"/>
    </row>
    <row r="7036" spans="5:5" ht="16.5">
      <c r="E7036" s="123"/>
    </row>
    <row r="7037" spans="5:5" ht="16.5">
      <c r="E7037" s="123"/>
    </row>
    <row r="7038" spans="5:5" ht="16.5">
      <c r="E7038" s="123"/>
    </row>
    <row r="7039" spans="5:5" ht="16.5">
      <c r="E7039" s="123"/>
    </row>
    <row r="7040" spans="5:5" ht="16.5">
      <c r="E7040" s="123"/>
    </row>
    <row r="7041" spans="5:5" ht="16.5">
      <c r="E7041" s="123"/>
    </row>
    <row r="7042" spans="5:5" ht="16.5">
      <c r="E7042" s="123"/>
    </row>
    <row r="7043" spans="5:5" ht="16.5">
      <c r="E7043" s="123"/>
    </row>
    <row r="7044" spans="5:5" ht="16.5">
      <c r="E7044" s="123"/>
    </row>
    <row r="7045" spans="5:5" ht="16.5">
      <c r="E7045" s="123"/>
    </row>
    <row r="7046" spans="5:5" ht="16.5">
      <c r="E7046" s="123"/>
    </row>
    <row r="7047" spans="5:5" ht="16.5">
      <c r="E7047" s="123"/>
    </row>
    <row r="7048" spans="5:5" ht="16.5">
      <c r="E7048" s="123"/>
    </row>
    <row r="7049" spans="5:5" ht="16.5">
      <c r="E7049" s="123"/>
    </row>
    <row r="7050" spans="5:5" ht="16.5">
      <c r="E7050" s="123"/>
    </row>
    <row r="7051" spans="5:5" ht="16.5">
      <c r="E7051" s="123"/>
    </row>
    <row r="7052" spans="5:5" ht="16.5">
      <c r="E7052" s="123"/>
    </row>
    <row r="7053" spans="5:5" ht="16.5">
      <c r="E7053" s="123"/>
    </row>
    <row r="7054" spans="5:5" ht="16.5">
      <c r="E7054" s="123"/>
    </row>
    <row r="7055" spans="5:5" ht="16.5">
      <c r="E7055" s="123"/>
    </row>
    <row r="7056" spans="5:5" ht="16.5">
      <c r="E7056" s="123"/>
    </row>
    <row r="7057" spans="5:5" ht="16.5">
      <c r="E7057" s="123"/>
    </row>
    <row r="7058" spans="5:5" ht="16.5">
      <c r="E7058" s="123"/>
    </row>
    <row r="7059" spans="5:5" ht="16.5">
      <c r="E7059" s="123"/>
    </row>
    <row r="7060" spans="5:5" ht="16.5">
      <c r="E7060" s="123"/>
    </row>
    <row r="7061" spans="5:5" ht="16.5">
      <c r="E7061" s="123"/>
    </row>
    <row r="7062" spans="5:5" ht="16.5">
      <c r="E7062" s="123"/>
    </row>
    <row r="7063" spans="5:5" ht="16.5">
      <c r="E7063" s="123"/>
    </row>
    <row r="7064" spans="5:5" ht="16.5">
      <c r="E7064" s="123"/>
    </row>
    <row r="7065" spans="5:5" ht="16.5">
      <c r="E7065" s="123"/>
    </row>
    <row r="7066" spans="5:5" ht="16.5">
      <c r="E7066" s="123"/>
    </row>
    <row r="7067" spans="5:5" ht="16.5">
      <c r="E7067" s="123"/>
    </row>
    <row r="7068" spans="5:5" ht="16.5">
      <c r="E7068" s="123"/>
    </row>
    <row r="7069" spans="5:5" ht="16.5">
      <c r="E7069" s="123"/>
    </row>
    <row r="7070" spans="5:5" ht="16.5">
      <c r="E7070" s="123"/>
    </row>
    <row r="7071" spans="5:5" ht="16.5">
      <c r="E7071" s="123"/>
    </row>
    <row r="7072" spans="5:5" ht="16.5">
      <c r="E7072" s="123"/>
    </row>
    <row r="7073" spans="5:5" ht="16.5">
      <c r="E7073" s="123"/>
    </row>
    <row r="7074" spans="5:5" ht="16.5">
      <c r="E7074" s="123"/>
    </row>
    <row r="7075" spans="5:5" ht="16.5">
      <c r="E7075" s="123"/>
    </row>
    <row r="7076" spans="5:5" ht="16.5">
      <c r="E7076" s="123"/>
    </row>
    <row r="7077" spans="5:5" ht="16.5">
      <c r="E7077" s="123"/>
    </row>
    <row r="7078" spans="5:5" ht="16.5">
      <c r="E7078" s="123"/>
    </row>
    <row r="7079" spans="5:5" ht="16.5">
      <c r="E7079" s="123"/>
    </row>
    <row r="7080" spans="5:5" ht="16.5">
      <c r="E7080" s="123"/>
    </row>
    <row r="7081" spans="5:5" ht="16.5">
      <c r="E7081" s="123"/>
    </row>
    <row r="7082" spans="5:5" ht="16.5">
      <c r="E7082" s="123"/>
    </row>
    <row r="7083" spans="5:5" ht="16.5">
      <c r="E7083" s="123"/>
    </row>
    <row r="7084" spans="5:5" ht="16.5">
      <c r="E7084" s="123"/>
    </row>
    <row r="7085" spans="5:5" ht="16.5">
      <c r="E7085" s="123"/>
    </row>
    <row r="7086" spans="5:5" ht="16.5">
      <c r="E7086" s="123"/>
    </row>
    <row r="7087" spans="5:5" ht="16.5">
      <c r="E7087" s="123"/>
    </row>
    <row r="7088" spans="5:5" ht="16.5">
      <c r="E7088" s="123"/>
    </row>
    <row r="7089" spans="5:5" ht="16.5">
      <c r="E7089" s="123"/>
    </row>
    <row r="7090" spans="5:5" ht="16.5">
      <c r="E7090" s="123"/>
    </row>
    <row r="7091" spans="5:5" ht="16.5">
      <c r="E7091" s="123"/>
    </row>
    <row r="7092" spans="5:5" ht="16.5">
      <c r="E7092" s="123"/>
    </row>
    <row r="7093" spans="5:5" ht="16.5">
      <c r="E7093" s="123"/>
    </row>
    <row r="7094" spans="5:5" ht="16.5">
      <c r="E7094" s="123"/>
    </row>
    <row r="7095" spans="5:5" ht="16.5">
      <c r="E7095" s="123"/>
    </row>
    <row r="7096" spans="5:5" ht="16.5">
      <c r="E7096" s="123"/>
    </row>
    <row r="7097" spans="5:5" ht="16.5">
      <c r="E7097" s="123"/>
    </row>
    <row r="7098" spans="5:5" ht="16.5">
      <c r="E7098" s="123"/>
    </row>
    <row r="7099" spans="5:5" ht="16.5">
      <c r="E7099" s="123"/>
    </row>
    <row r="7100" spans="5:5" ht="16.5">
      <c r="E7100" s="123"/>
    </row>
    <row r="7101" spans="5:5" ht="16.5">
      <c r="E7101" s="123"/>
    </row>
    <row r="7102" spans="5:5" ht="16.5">
      <c r="E7102" s="123"/>
    </row>
    <row r="7103" spans="5:5" ht="16.5">
      <c r="E7103" s="123"/>
    </row>
    <row r="7104" spans="5:5" ht="16.5">
      <c r="E7104" s="123"/>
    </row>
    <row r="7105" spans="5:5" ht="16.5">
      <c r="E7105" s="123"/>
    </row>
    <row r="7106" spans="5:5" ht="16.5">
      <c r="E7106" s="123"/>
    </row>
    <row r="7107" spans="5:5" ht="16.5">
      <c r="E7107" s="123"/>
    </row>
    <row r="7108" spans="5:5" ht="16.5">
      <c r="E7108" s="123"/>
    </row>
    <row r="7109" spans="5:5" ht="16.5">
      <c r="E7109" s="123"/>
    </row>
    <row r="7110" spans="5:5" ht="16.5">
      <c r="E7110" s="123"/>
    </row>
    <row r="7111" spans="5:5" ht="16.5">
      <c r="E7111" s="123"/>
    </row>
    <row r="7112" spans="5:5" ht="16.5">
      <c r="E7112" s="123"/>
    </row>
    <row r="7113" spans="5:5" ht="16.5">
      <c r="E7113" s="123"/>
    </row>
    <row r="7114" spans="5:5" ht="16.5">
      <c r="E7114" s="123"/>
    </row>
    <row r="7115" spans="5:5" ht="16.5">
      <c r="E7115" s="123"/>
    </row>
    <row r="7116" spans="5:5" ht="16.5">
      <c r="E7116" s="123"/>
    </row>
    <row r="7117" spans="5:5" ht="16.5">
      <c r="E7117" s="123"/>
    </row>
    <row r="7118" spans="5:5" ht="16.5">
      <c r="E7118" s="123"/>
    </row>
    <row r="7119" spans="5:5" ht="16.5">
      <c r="E7119" s="123"/>
    </row>
    <row r="7120" spans="5:5" ht="16.5">
      <c r="E7120" s="123"/>
    </row>
    <row r="7121" spans="5:5" ht="16.5">
      <c r="E7121" s="123"/>
    </row>
    <row r="7122" spans="5:5" ht="16.5">
      <c r="E7122" s="123"/>
    </row>
    <row r="7123" spans="5:5" ht="16.5">
      <c r="E7123" s="123"/>
    </row>
    <row r="7124" spans="5:5" ht="16.5">
      <c r="E7124" s="123"/>
    </row>
    <row r="7125" spans="5:5" ht="16.5">
      <c r="E7125" s="123"/>
    </row>
    <row r="7126" spans="5:5" ht="16.5">
      <c r="E7126" s="123"/>
    </row>
    <row r="7127" spans="5:5" ht="16.5">
      <c r="E7127" s="123"/>
    </row>
    <row r="7128" spans="5:5" ht="16.5">
      <c r="E7128" s="123"/>
    </row>
    <row r="7129" spans="5:5" ht="16.5">
      <c r="E7129" s="123"/>
    </row>
    <row r="7130" spans="5:5" ht="16.5">
      <c r="E7130" s="123"/>
    </row>
    <row r="7131" spans="5:5" ht="16.5">
      <c r="E7131" s="123"/>
    </row>
    <row r="7132" spans="5:5" ht="16.5">
      <c r="E7132" s="123"/>
    </row>
    <row r="7133" spans="5:5" ht="16.5">
      <c r="E7133" s="123"/>
    </row>
    <row r="7134" spans="5:5" ht="16.5">
      <c r="E7134" s="123"/>
    </row>
    <row r="7135" spans="5:5" ht="16.5">
      <c r="E7135" s="123"/>
    </row>
    <row r="7136" spans="5:5" ht="16.5">
      <c r="E7136" s="123"/>
    </row>
    <row r="7137" spans="5:5" ht="16.5">
      <c r="E7137" s="123"/>
    </row>
    <row r="7138" spans="5:5" ht="16.5">
      <c r="E7138" s="123"/>
    </row>
    <row r="7139" spans="5:5" ht="16.5">
      <c r="E7139" s="123"/>
    </row>
    <row r="7140" spans="5:5" ht="16.5">
      <c r="E7140" s="123"/>
    </row>
    <row r="7141" spans="5:5" ht="16.5">
      <c r="E7141" s="123"/>
    </row>
    <row r="7142" spans="5:5" ht="16.5">
      <c r="E7142" s="123"/>
    </row>
    <row r="7143" spans="5:5" ht="16.5">
      <c r="E7143" s="123"/>
    </row>
    <row r="7144" spans="5:5" ht="16.5">
      <c r="E7144" s="123"/>
    </row>
    <row r="7145" spans="5:5" ht="16.5">
      <c r="E7145" s="123"/>
    </row>
    <row r="7146" spans="5:5" ht="16.5">
      <c r="E7146" s="123"/>
    </row>
    <row r="7147" spans="5:5" ht="16.5">
      <c r="E7147" s="123"/>
    </row>
    <row r="7148" spans="5:5" ht="16.5">
      <c r="E7148" s="123"/>
    </row>
    <row r="7149" spans="5:5" ht="16.5">
      <c r="E7149" s="123"/>
    </row>
    <row r="7150" spans="5:5" ht="16.5">
      <c r="E7150" s="123"/>
    </row>
    <row r="7151" spans="5:5" ht="16.5">
      <c r="E7151" s="123"/>
    </row>
    <row r="7152" spans="5:5" ht="16.5">
      <c r="E7152" s="123"/>
    </row>
    <row r="7153" spans="5:5" ht="16.5">
      <c r="E7153" s="123"/>
    </row>
    <row r="7154" spans="5:5" ht="16.5">
      <c r="E7154" s="123"/>
    </row>
    <row r="7155" spans="5:5" ht="16.5">
      <c r="E7155" s="123"/>
    </row>
    <row r="7156" spans="5:5" ht="16.5">
      <c r="E7156" s="123"/>
    </row>
    <row r="7157" spans="5:5" ht="16.5">
      <c r="E7157" s="123"/>
    </row>
    <row r="7158" spans="5:5" ht="16.5">
      <c r="E7158" s="123"/>
    </row>
    <row r="7159" spans="5:5" ht="16.5">
      <c r="E7159" s="123"/>
    </row>
    <row r="7160" spans="5:5" ht="16.5">
      <c r="E7160" s="123"/>
    </row>
    <row r="7161" spans="5:5" ht="16.5">
      <c r="E7161" s="123"/>
    </row>
    <row r="7162" spans="5:5" ht="16.5">
      <c r="E7162" s="123"/>
    </row>
    <row r="7163" spans="5:5" ht="16.5">
      <c r="E7163" s="123"/>
    </row>
    <row r="7164" spans="5:5" ht="16.5">
      <c r="E7164" s="123"/>
    </row>
    <row r="7165" spans="5:5" ht="16.5">
      <c r="E7165" s="123"/>
    </row>
    <row r="7166" spans="5:5" ht="16.5">
      <c r="E7166" s="123"/>
    </row>
    <row r="7167" spans="5:5" ht="16.5">
      <c r="E7167" s="123"/>
    </row>
    <row r="7168" spans="5:5" ht="16.5">
      <c r="E7168" s="123"/>
    </row>
    <row r="7169" spans="5:5" ht="16.5">
      <c r="E7169" s="123"/>
    </row>
    <row r="7170" spans="5:5" ht="16.5">
      <c r="E7170" s="123"/>
    </row>
    <row r="7171" spans="5:5" ht="16.5">
      <c r="E7171" s="123"/>
    </row>
    <row r="7172" spans="5:5" ht="16.5">
      <c r="E7172" s="123"/>
    </row>
    <row r="7173" spans="5:5" ht="16.5">
      <c r="E7173" s="123"/>
    </row>
    <row r="7174" spans="5:5" ht="16.5">
      <c r="E7174" s="123"/>
    </row>
    <row r="7175" spans="5:5" ht="16.5">
      <c r="E7175" s="123"/>
    </row>
    <row r="7176" spans="5:5" ht="16.5">
      <c r="E7176" s="123"/>
    </row>
    <row r="7177" spans="5:5" ht="16.5">
      <c r="E7177" s="123"/>
    </row>
    <row r="7178" spans="5:5" ht="16.5">
      <c r="E7178" s="123"/>
    </row>
    <row r="7179" spans="5:5" ht="16.5">
      <c r="E7179" s="123"/>
    </row>
    <row r="7180" spans="5:5" ht="16.5">
      <c r="E7180" s="123"/>
    </row>
    <row r="7181" spans="5:5" ht="16.5">
      <c r="E7181" s="123"/>
    </row>
    <row r="7182" spans="5:5" ht="16.5">
      <c r="E7182" s="123"/>
    </row>
    <row r="7183" spans="5:5" ht="16.5">
      <c r="E7183" s="123"/>
    </row>
    <row r="7184" spans="5:5" ht="16.5">
      <c r="E7184" s="123"/>
    </row>
    <row r="7185" spans="5:5" ht="16.5">
      <c r="E7185" s="123"/>
    </row>
    <row r="7186" spans="5:5" ht="16.5">
      <c r="E7186" s="123"/>
    </row>
    <row r="7187" spans="5:5" ht="16.5">
      <c r="E7187" s="123"/>
    </row>
    <row r="7188" spans="5:5" ht="16.5">
      <c r="E7188" s="123"/>
    </row>
    <row r="7189" spans="5:5" ht="16.5">
      <c r="E7189" s="123"/>
    </row>
    <row r="7190" spans="5:5" ht="16.5">
      <c r="E7190" s="123"/>
    </row>
    <row r="7191" spans="5:5" ht="16.5">
      <c r="E7191" s="123"/>
    </row>
    <row r="7192" spans="5:5" ht="16.5">
      <c r="E7192" s="123"/>
    </row>
    <row r="7193" spans="5:5" ht="16.5">
      <c r="E7193" s="123"/>
    </row>
    <row r="7194" spans="5:5" ht="16.5">
      <c r="E7194" s="123"/>
    </row>
    <row r="7195" spans="5:5" ht="16.5">
      <c r="E7195" s="123"/>
    </row>
    <row r="7196" spans="5:5" ht="16.5">
      <c r="E7196" s="123"/>
    </row>
    <row r="7197" spans="5:5" ht="16.5">
      <c r="E7197" s="123"/>
    </row>
    <row r="7198" spans="5:5" ht="16.5">
      <c r="E7198" s="123"/>
    </row>
    <row r="7199" spans="5:5" ht="16.5">
      <c r="E7199" s="123"/>
    </row>
    <row r="7200" spans="5:5" ht="16.5">
      <c r="E7200" s="123"/>
    </row>
    <row r="7201" spans="5:5" ht="16.5">
      <c r="E7201" s="123"/>
    </row>
    <row r="7202" spans="5:5" ht="16.5">
      <c r="E7202" s="123"/>
    </row>
    <row r="7203" spans="5:5" ht="16.5">
      <c r="E7203" s="123"/>
    </row>
    <row r="7204" spans="5:5" ht="16.5">
      <c r="E7204" s="123"/>
    </row>
    <row r="7205" spans="5:5" ht="16.5">
      <c r="E7205" s="123"/>
    </row>
    <row r="7206" spans="5:5" ht="16.5">
      <c r="E7206" s="123"/>
    </row>
    <row r="7207" spans="5:5" ht="16.5">
      <c r="E7207" s="123"/>
    </row>
    <row r="7208" spans="5:5" ht="16.5">
      <c r="E7208" s="123"/>
    </row>
    <row r="7209" spans="5:5" ht="16.5">
      <c r="E7209" s="123"/>
    </row>
    <row r="7210" spans="5:5" ht="16.5">
      <c r="E7210" s="123"/>
    </row>
    <row r="7211" spans="5:5" ht="16.5">
      <c r="E7211" s="123"/>
    </row>
    <row r="7212" spans="5:5" ht="16.5">
      <c r="E7212" s="123"/>
    </row>
    <row r="7213" spans="5:5" ht="16.5">
      <c r="E7213" s="123"/>
    </row>
    <row r="7214" spans="5:5" ht="16.5">
      <c r="E7214" s="123"/>
    </row>
    <row r="7215" spans="5:5" ht="16.5">
      <c r="E7215" s="123"/>
    </row>
    <row r="7216" spans="5:5" ht="16.5">
      <c r="E7216" s="123"/>
    </row>
    <row r="7217" spans="5:5" ht="16.5">
      <c r="E7217" s="123"/>
    </row>
    <row r="7218" spans="5:5" ht="16.5">
      <c r="E7218" s="123"/>
    </row>
    <row r="7219" spans="5:5" ht="16.5">
      <c r="E7219" s="123"/>
    </row>
    <row r="7220" spans="5:5" ht="16.5">
      <c r="E7220" s="123"/>
    </row>
    <row r="7221" spans="5:5" ht="16.5">
      <c r="E7221" s="123"/>
    </row>
    <row r="7222" spans="5:5" ht="16.5">
      <c r="E7222" s="123"/>
    </row>
    <row r="7223" spans="5:5" ht="16.5">
      <c r="E7223" s="123"/>
    </row>
    <row r="7224" spans="5:5" ht="16.5">
      <c r="E7224" s="123"/>
    </row>
    <row r="7225" spans="5:5" ht="16.5">
      <c r="E7225" s="123"/>
    </row>
    <row r="7226" spans="5:5" ht="16.5">
      <c r="E7226" s="123"/>
    </row>
    <row r="7227" spans="5:5" ht="16.5">
      <c r="E7227" s="123"/>
    </row>
    <row r="7228" spans="5:5" ht="16.5">
      <c r="E7228" s="123"/>
    </row>
    <row r="7229" spans="5:5" ht="16.5">
      <c r="E7229" s="123"/>
    </row>
    <row r="7230" spans="5:5" ht="16.5">
      <c r="E7230" s="123"/>
    </row>
    <row r="7231" spans="5:5" ht="16.5">
      <c r="E7231" s="123"/>
    </row>
    <row r="7232" spans="5:5" ht="16.5">
      <c r="E7232" s="123"/>
    </row>
    <row r="7233" spans="5:5" ht="16.5">
      <c r="E7233" s="123"/>
    </row>
    <row r="7234" spans="5:5" ht="16.5">
      <c r="E7234" s="123"/>
    </row>
    <row r="7235" spans="5:5" ht="16.5">
      <c r="E7235" s="123"/>
    </row>
    <row r="7236" spans="5:5" ht="16.5">
      <c r="E7236" s="123"/>
    </row>
    <row r="7237" spans="5:5" ht="16.5">
      <c r="E7237" s="123"/>
    </row>
    <row r="7238" spans="5:5" ht="16.5">
      <c r="E7238" s="123"/>
    </row>
    <row r="7239" spans="5:5" ht="16.5">
      <c r="E7239" s="123"/>
    </row>
    <row r="7240" spans="5:5" ht="16.5">
      <c r="E7240" s="123"/>
    </row>
    <row r="7241" spans="5:5" ht="16.5">
      <c r="E7241" s="123"/>
    </row>
    <row r="7242" spans="5:5" ht="16.5">
      <c r="E7242" s="123"/>
    </row>
    <row r="7243" spans="5:5" ht="16.5">
      <c r="E7243" s="123"/>
    </row>
    <row r="7244" spans="5:5" ht="16.5">
      <c r="E7244" s="123"/>
    </row>
    <row r="7245" spans="5:5" ht="16.5">
      <c r="E7245" s="123"/>
    </row>
    <row r="7246" spans="5:5" ht="16.5">
      <c r="E7246" s="123"/>
    </row>
    <row r="7247" spans="5:5" ht="16.5">
      <c r="E7247" s="123"/>
    </row>
    <row r="7248" spans="5:5" ht="16.5">
      <c r="E7248" s="123"/>
    </row>
    <row r="7249" spans="5:5" ht="16.5">
      <c r="E7249" s="123"/>
    </row>
    <row r="7250" spans="5:5" ht="16.5">
      <c r="E7250" s="123"/>
    </row>
    <row r="7251" spans="5:5" ht="16.5">
      <c r="E7251" s="123"/>
    </row>
    <row r="7252" spans="5:5" ht="16.5">
      <c r="E7252" s="123"/>
    </row>
    <row r="7253" spans="5:5" ht="16.5">
      <c r="E7253" s="123"/>
    </row>
    <row r="7254" spans="5:5" ht="16.5">
      <c r="E7254" s="123"/>
    </row>
    <row r="7255" spans="5:5" ht="16.5">
      <c r="E7255" s="123"/>
    </row>
    <row r="7256" spans="5:5" ht="16.5">
      <c r="E7256" s="123"/>
    </row>
    <row r="7257" spans="5:5" ht="16.5">
      <c r="E7257" s="123"/>
    </row>
    <row r="7258" spans="5:5" ht="16.5">
      <c r="E7258" s="123"/>
    </row>
    <row r="7259" spans="5:5" ht="16.5">
      <c r="E7259" s="123"/>
    </row>
    <row r="7260" spans="5:5" ht="16.5">
      <c r="E7260" s="123"/>
    </row>
    <row r="7261" spans="5:5" ht="16.5">
      <c r="E7261" s="123"/>
    </row>
    <row r="7262" spans="5:5" ht="16.5">
      <c r="E7262" s="123"/>
    </row>
    <row r="7263" spans="5:5" ht="16.5">
      <c r="E7263" s="123"/>
    </row>
    <row r="7264" spans="5:5" ht="16.5">
      <c r="E7264" s="123"/>
    </row>
    <row r="7265" spans="5:5" ht="16.5">
      <c r="E7265" s="123"/>
    </row>
    <row r="7266" spans="5:5" ht="16.5">
      <c r="E7266" s="123"/>
    </row>
    <row r="7267" spans="5:5" ht="16.5">
      <c r="E7267" s="123"/>
    </row>
    <row r="7268" spans="5:5" ht="16.5">
      <c r="E7268" s="123"/>
    </row>
    <row r="7269" spans="5:5" ht="16.5">
      <c r="E7269" s="123"/>
    </row>
    <row r="7270" spans="5:5" ht="16.5">
      <c r="E7270" s="123"/>
    </row>
    <row r="7271" spans="5:5" ht="16.5">
      <c r="E7271" s="123"/>
    </row>
    <row r="7272" spans="5:5" ht="16.5">
      <c r="E7272" s="123"/>
    </row>
    <row r="7273" spans="5:5" ht="16.5">
      <c r="E7273" s="123"/>
    </row>
    <row r="7274" spans="5:5" ht="16.5">
      <c r="E7274" s="123"/>
    </row>
    <row r="7275" spans="5:5" ht="16.5">
      <c r="E7275" s="123"/>
    </row>
    <row r="7276" spans="5:5" ht="16.5">
      <c r="E7276" s="123"/>
    </row>
    <row r="7277" spans="5:5" ht="16.5">
      <c r="E7277" s="123"/>
    </row>
    <row r="7278" spans="5:5" ht="16.5">
      <c r="E7278" s="123"/>
    </row>
    <row r="7279" spans="5:5" ht="16.5">
      <c r="E7279" s="123"/>
    </row>
    <row r="7280" spans="5:5" ht="16.5">
      <c r="E7280" s="123"/>
    </row>
    <row r="7281" spans="5:5" ht="16.5">
      <c r="E7281" s="123"/>
    </row>
    <row r="7282" spans="5:5" ht="16.5">
      <c r="E7282" s="123"/>
    </row>
    <row r="7283" spans="5:5" ht="16.5">
      <c r="E7283" s="123"/>
    </row>
    <row r="7284" spans="5:5" ht="16.5">
      <c r="E7284" s="123"/>
    </row>
    <row r="7285" spans="5:5" ht="16.5">
      <c r="E7285" s="123"/>
    </row>
    <row r="7286" spans="5:5" ht="16.5">
      <c r="E7286" s="123"/>
    </row>
    <row r="7287" spans="5:5" ht="16.5">
      <c r="E7287" s="123"/>
    </row>
    <row r="7288" spans="5:5" ht="16.5">
      <c r="E7288" s="123"/>
    </row>
    <row r="7289" spans="5:5" ht="16.5">
      <c r="E7289" s="123"/>
    </row>
    <row r="7290" spans="5:5" ht="16.5">
      <c r="E7290" s="123"/>
    </row>
    <row r="7291" spans="5:5" ht="16.5">
      <c r="E7291" s="123"/>
    </row>
    <row r="7292" spans="5:5" ht="16.5">
      <c r="E7292" s="123"/>
    </row>
    <row r="7293" spans="5:5" ht="16.5">
      <c r="E7293" s="123"/>
    </row>
    <row r="7294" spans="5:5" ht="16.5">
      <c r="E7294" s="123"/>
    </row>
    <row r="7295" spans="5:5" ht="16.5">
      <c r="E7295" s="123"/>
    </row>
    <row r="7296" spans="5:5" ht="16.5">
      <c r="E7296" s="123"/>
    </row>
    <row r="7297" spans="5:5" ht="16.5">
      <c r="E7297" s="123"/>
    </row>
    <row r="7298" spans="5:5" ht="16.5">
      <c r="E7298" s="123"/>
    </row>
    <row r="7299" spans="5:5" ht="16.5">
      <c r="E7299" s="123"/>
    </row>
    <row r="7300" spans="5:5" ht="16.5">
      <c r="E7300" s="123"/>
    </row>
    <row r="7301" spans="5:5" ht="16.5">
      <c r="E7301" s="123"/>
    </row>
    <row r="7302" spans="5:5" ht="16.5">
      <c r="E7302" s="123"/>
    </row>
    <row r="7303" spans="5:5" ht="16.5">
      <c r="E7303" s="123"/>
    </row>
    <row r="7304" spans="5:5" ht="16.5">
      <c r="E7304" s="123"/>
    </row>
    <row r="7305" spans="5:5" ht="16.5">
      <c r="E7305" s="123"/>
    </row>
    <row r="7306" spans="5:5" ht="16.5">
      <c r="E7306" s="123"/>
    </row>
    <row r="7307" spans="5:5" ht="16.5">
      <c r="E7307" s="123"/>
    </row>
    <row r="7308" spans="5:5" ht="16.5">
      <c r="E7308" s="123"/>
    </row>
    <row r="7309" spans="5:5" ht="16.5">
      <c r="E7309" s="123"/>
    </row>
    <row r="7310" spans="5:5" ht="16.5">
      <c r="E7310" s="123"/>
    </row>
    <row r="7311" spans="5:5" ht="16.5">
      <c r="E7311" s="123"/>
    </row>
    <row r="7312" spans="5:5" ht="16.5">
      <c r="E7312" s="123"/>
    </row>
    <row r="7313" spans="5:5" ht="16.5">
      <c r="E7313" s="123"/>
    </row>
    <row r="7314" spans="5:5" ht="16.5">
      <c r="E7314" s="123"/>
    </row>
    <row r="7315" spans="5:5" ht="16.5">
      <c r="E7315" s="123"/>
    </row>
    <row r="7316" spans="5:5" ht="16.5">
      <c r="E7316" s="123"/>
    </row>
    <row r="7317" spans="5:5" ht="16.5">
      <c r="E7317" s="123"/>
    </row>
    <row r="7318" spans="5:5" ht="16.5">
      <c r="E7318" s="123"/>
    </row>
    <row r="7319" spans="5:5" ht="16.5">
      <c r="E7319" s="123"/>
    </row>
    <row r="7320" spans="5:5" ht="16.5">
      <c r="E7320" s="123"/>
    </row>
    <row r="7321" spans="5:5" ht="16.5">
      <c r="E7321" s="123"/>
    </row>
    <row r="7322" spans="5:5" ht="16.5">
      <c r="E7322" s="123"/>
    </row>
    <row r="7323" spans="5:5" ht="16.5">
      <c r="E7323" s="123"/>
    </row>
    <row r="7324" spans="5:5" ht="16.5">
      <c r="E7324" s="123"/>
    </row>
    <row r="7325" spans="5:5" ht="16.5">
      <c r="E7325" s="123"/>
    </row>
    <row r="7326" spans="5:5" ht="16.5">
      <c r="E7326" s="123"/>
    </row>
    <row r="7327" spans="5:5" ht="16.5">
      <c r="E7327" s="123"/>
    </row>
    <row r="7328" spans="5:5" ht="16.5">
      <c r="E7328" s="123"/>
    </row>
    <row r="7329" spans="5:5" ht="16.5">
      <c r="E7329" s="123"/>
    </row>
    <row r="7330" spans="5:5" ht="16.5">
      <c r="E7330" s="123"/>
    </row>
    <row r="7331" spans="5:5" ht="16.5">
      <c r="E7331" s="123"/>
    </row>
    <row r="7332" spans="5:5" ht="16.5">
      <c r="E7332" s="123"/>
    </row>
    <row r="7333" spans="5:5" ht="16.5">
      <c r="E7333" s="123"/>
    </row>
    <row r="7334" spans="5:5" ht="16.5">
      <c r="E7334" s="123"/>
    </row>
    <row r="7335" spans="5:5" ht="16.5">
      <c r="E7335" s="123"/>
    </row>
    <row r="7336" spans="5:5" ht="16.5">
      <c r="E7336" s="123"/>
    </row>
    <row r="7337" spans="5:5" ht="16.5">
      <c r="E7337" s="123"/>
    </row>
    <row r="7338" spans="5:5" ht="16.5">
      <c r="E7338" s="123"/>
    </row>
    <row r="7339" spans="5:5" ht="16.5">
      <c r="E7339" s="123"/>
    </row>
    <row r="7340" spans="5:5" ht="16.5">
      <c r="E7340" s="123"/>
    </row>
    <row r="7341" spans="5:5" ht="16.5">
      <c r="E7341" s="123"/>
    </row>
    <row r="7342" spans="5:5" ht="16.5">
      <c r="E7342" s="123"/>
    </row>
    <row r="7343" spans="5:5" ht="16.5">
      <c r="E7343" s="123"/>
    </row>
    <row r="7344" spans="5:5" ht="16.5">
      <c r="E7344" s="123"/>
    </row>
    <row r="7345" spans="5:5" ht="16.5">
      <c r="E7345" s="123"/>
    </row>
    <row r="7346" spans="5:5" ht="16.5">
      <c r="E7346" s="123"/>
    </row>
    <row r="7347" spans="5:5" ht="16.5">
      <c r="E7347" s="123"/>
    </row>
    <row r="7348" spans="5:5" ht="16.5">
      <c r="E7348" s="123"/>
    </row>
    <row r="7349" spans="5:5" ht="16.5">
      <c r="E7349" s="123"/>
    </row>
    <row r="7350" spans="5:5" ht="16.5">
      <c r="E7350" s="123"/>
    </row>
    <row r="7351" spans="5:5" ht="16.5">
      <c r="E7351" s="123"/>
    </row>
    <row r="7352" spans="5:5" ht="16.5">
      <c r="E7352" s="123"/>
    </row>
    <row r="7353" spans="5:5" ht="16.5">
      <c r="E7353" s="123"/>
    </row>
    <row r="7354" spans="5:5" ht="16.5">
      <c r="E7354" s="123"/>
    </row>
    <row r="7355" spans="5:5" ht="16.5">
      <c r="E7355" s="123"/>
    </row>
    <row r="7356" spans="5:5" ht="16.5">
      <c r="E7356" s="123"/>
    </row>
    <row r="7357" spans="5:5" ht="16.5">
      <c r="E7357" s="123"/>
    </row>
    <row r="7358" spans="5:5" ht="16.5">
      <c r="E7358" s="123"/>
    </row>
    <row r="7359" spans="5:5" ht="16.5">
      <c r="E7359" s="123"/>
    </row>
    <row r="7360" spans="5:5" ht="16.5">
      <c r="E7360" s="123"/>
    </row>
    <row r="7361" spans="5:5" ht="16.5">
      <c r="E7361" s="123"/>
    </row>
    <row r="7362" spans="5:5" ht="16.5">
      <c r="E7362" s="123"/>
    </row>
    <row r="7363" spans="5:5" ht="16.5">
      <c r="E7363" s="123"/>
    </row>
    <row r="7364" spans="5:5" ht="16.5">
      <c r="E7364" s="123"/>
    </row>
    <row r="7365" spans="5:5" ht="16.5">
      <c r="E7365" s="123"/>
    </row>
    <row r="7366" spans="5:5" ht="16.5">
      <c r="E7366" s="123"/>
    </row>
    <row r="7367" spans="5:5" ht="16.5">
      <c r="E7367" s="123"/>
    </row>
    <row r="7368" spans="5:5" ht="16.5">
      <c r="E7368" s="123"/>
    </row>
    <row r="7369" spans="5:5" ht="16.5">
      <c r="E7369" s="123"/>
    </row>
    <row r="7370" spans="5:5" ht="16.5">
      <c r="E7370" s="123"/>
    </row>
    <row r="7371" spans="5:5" ht="16.5">
      <c r="E7371" s="123"/>
    </row>
    <row r="7372" spans="5:5" ht="16.5">
      <c r="E7372" s="123"/>
    </row>
    <row r="7373" spans="5:5" ht="16.5">
      <c r="E7373" s="123"/>
    </row>
    <row r="7374" spans="5:5" ht="16.5">
      <c r="E7374" s="123"/>
    </row>
    <row r="7375" spans="5:5" ht="16.5">
      <c r="E7375" s="123"/>
    </row>
    <row r="7376" spans="5:5" ht="16.5">
      <c r="E7376" s="123"/>
    </row>
    <row r="7377" spans="5:5" ht="16.5">
      <c r="E7377" s="123"/>
    </row>
    <row r="7378" spans="5:5" ht="16.5">
      <c r="E7378" s="123"/>
    </row>
    <row r="7379" spans="5:5" ht="16.5">
      <c r="E7379" s="123"/>
    </row>
    <row r="7380" spans="5:5" ht="16.5">
      <c r="E7380" s="123"/>
    </row>
    <row r="7381" spans="5:5" ht="16.5">
      <c r="E7381" s="123"/>
    </row>
    <row r="7382" spans="5:5" ht="16.5">
      <c r="E7382" s="123"/>
    </row>
    <row r="7383" spans="5:5" ht="16.5">
      <c r="E7383" s="123"/>
    </row>
    <row r="7384" spans="5:5" ht="16.5">
      <c r="E7384" s="123"/>
    </row>
    <row r="7385" spans="5:5" ht="16.5">
      <c r="E7385" s="123"/>
    </row>
    <row r="7386" spans="5:5" ht="16.5">
      <c r="E7386" s="123"/>
    </row>
    <row r="7387" spans="5:5" ht="16.5">
      <c r="E7387" s="123"/>
    </row>
    <row r="7388" spans="5:5" ht="16.5">
      <c r="E7388" s="123"/>
    </row>
    <row r="7389" spans="5:5" ht="16.5">
      <c r="E7389" s="123"/>
    </row>
    <row r="7390" spans="5:5" ht="16.5">
      <c r="E7390" s="123"/>
    </row>
    <row r="7391" spans="5:5" ht="16.5">
      <c r="E7391" s="123"/>
    </row>
    <row r="7392" spans="5:5" ht="16.5">
      <c r="E7392" s="123"/>
    </row>
    <row r="7393" spans="5:5" ht="16.5">
      <c r="E7393" s="123"/>
    </row>
    <row r="7394" spans="5:5" ht="16.5">
      <c r="E7394" s="123"/>
    </row>
    <row r="7395" spans="5:5" ht="16.5">
      <c r="E7395" s="123"/>
    </row>
    <row r="7396" spans="5:5" ht="16.5">
      <c r="E7396" s="123"/>
    </row>
    <row r="7397" spans="5:5" ht="16.5">
      <c r="E7397" s="123"/>
    </row>
    <row r="7398" spans="5:5" ht="16.5">
      <c r="E7398" s="123"/>
    </row>
    <row r="7399" spans="5:5" ht="16.5">
      <c r="E7399" s="123"/>
    </row>
    <row r="7400" spans="5:5" ht="16.5">
      <c r="E7400" s="123"/>
    </row>
    <row r="7401" spans="5:5" ht="16.5">
      <c r="E7401" s="123"/>
    </row>
    <row r="7402" spans="5:5" ht="16.5">
      <c r="E7402" s="123"/>
    </row>
    <row r="7403" spans="5:5" ht="16.5">
      <c r="E7403" s="123"/>
    </row>
    <row r="7404" spans="5:5" ht="16.5">
      <c r="E7404" s="123"/>
    </row>
    <row r="7405" spans="5:5" ht="16.5">
      <c r="E7405" s="123"/>
    </row>
    <row r="7406" spans="5:5" ht="16.5">
      <c r="E7406" s="123"/>
    </row>
    <row r="7407" spans="5:5" ht="16.5">
      <c r="E7407" s="123"/>
    </row>
    <row r="7408" spans="5:5" ht="16.5">
      <c r="E7408" s="123"/>
    </row>
    <row r="7409" spans="5:5" ht="16.5">
      <c r="E7409" s="123"/>
    </row>
    <row r="7410" spans="5:5" ht="16.5">
      <c r="E7410" s="123"/>
    </row>
    <row r="7411" spans="5:5" ht="16.5">
      <c r="E7411" s="123"/>
    </row>
    <row r="7412" spans="5:5" ht="16.5">
      <c r="E7412" s="123"/>
    </row>
    <row r="7413" spans="5:5" ht="16.5">
      <c r="E7413" s="123"/>
    </row>
    <row r="7414" spans="5:5" ht="16.5">
      <c r="E7414" s="123"/>
    </row>
    <row r="7415" spans="5:5" ht="16.5">
      <c r="E7415" s="123"/>
    </row>
    <row r="7416" spans="5:5" ht="16.5">
      <c r="E7416" s="123"/>
    </row>
    <row r="7417" spans="5:5" ht="16.5">
      <c r="E7417" s="123"/>
    </row>
    <row r="7418" spans="5:5" ht="16.5">
      <c r="E7418" s="123"/>
    </row>
    <row r="7419" spans="5:5" ht="16.5">
      <c r="E7419" s="123"/>
    </row>
    <row r="7420" spans="5:5" ht="16.5">
      <c r="E7420" s="123"/>
    </row>
    <row r="7421" spans="5:5" ht="16.5">
      <c r="E7421" s="123"/>
    </row>
    <row r="7422" spans="5:5" ht="16.5">
      <c r="E7422" s="123"/>
    </row>
    <row r="7423" spans="5:5" ht="16.5">
      <c r="E7423" s="123"/>
    </row>
    <row r="7424" spans="5:5" ht="16.5">
      <c r="E7424" s="123"/>
    </row>
    <row r="7425" spans="5:5" ht="16.5">
      <c r="E7425" s="123"/>
    </row>
    <row r="7426" spans="5:5" ht="16.5">
      <c r="E7426" s="123"/>
    </row>
    <row r="7427" spans="5:5" ht="16.5">
      <c r="E7427" s="123"/>
    </row>
    <row r="7428" spans="5:5" ht="16.5">
      <c r="E7428" s="123"/>
    </row>
    <row r="7429" spans="5:5" ht="16.5">
      <c r="E7429" s="123"/>
    </row>
    <row r="7430" spans="5:5" ht="16.5">
      <c r="E7430" s="123"/>
    </row>
    <row r="7431" spans="5:5" ht="16.5">
      <c r="E7431" s="123"/>
    </row>
    <row r="7432" spans="5:5" ht="16.5">
      <c r="E7432" s="123"/>
    </row>
    <row r="7433" spans="5:5" ht="16.5">
      <c r="E7433" s="123"/>
    </row>
    <row r="7434" spans="5:5" ht="16.5">
      <c r="E7434" s="123"/>
    </row>
    <row r="7435" spans="5:5" ht="16.5">
      <c r="E7435" s="123"/>
    </row>
    <row r="7436" spans="5:5" ht="16.5">
      <c r="E7436" s="123"/>
    </row>
    <row r="7437" spans="5:5" ht="16.5">
      <c r="E7437" s="123"/>
    </row>
    <row r="7438" spans="5:5" ht="16.5">
      <c r="E7438" s="123"/>
    </row>
    <row r="7439" spans="5:5" ht="16.5">
      <c r="E7439" s="123"/>
    </row>
    <row r="7440" spans="5:5" ht="16.5">
      <c r="E7440" s="123"/>
    </row>
    <row r="7441" spans="5:5" ht="16.5">
      <c r="E7441" s="123"/>
    </row>
    <row r="7442" spans="5:5" ht="16.5">
      <c r="E7442" s="123"/>
    </row>
    <row r="7443" spans="5:5" ht="16.5">
      <c r="E7443" s="123"/>
    </row>
    <row r="7444" spans="5:5" ht="16.5">
      <c r="E7444" s="123"/>
    </row>
    <row r="7445" spans="5:5" ht="16.5">
      <c r="E7445" s="123"/>
    </row>
    <row r="7446" spans="5:5" ht="16.5">
      <c r="E7446" s="123"/>
    </row>
    <row r="7447" spans="5:5" ht="16.5">
      <c r="E7447" s="123"/>
    </row>
    <row r="7448" spans="5:5" ht="16.5">
      <c r="E7448" s="123"/>
    </row>
    <row r="7449" spans="5:5" ht="16.5">
      <c r="E7449" s="123"/>
    </row>
    <row r="7450" spans="5:5" ht="16.5">
      <c r="E7450" s="123"/>
    </row>
    <row r="7451" spans="5:5" ht="16.5">
      <c r="E7451" s="123"/>
    </row>
    <row r="7452" spans="5:5" ht="16.5">
      <c r="E7452" s="123"/>
    </row>
    <row r="7453" spans="5:5" ht="16.5">
      <c r="E7453" s="123"/>
    </row>
    <row r="7454" spans="5:5" ht="16.5">
      <c r="E7454" s="123"/>
    </row>
    <row r="7455" spans="5:5" ht="16.5">
      <c r="E7455" s="123"/>
    </row>
    <row r="7456" spans="5:5" ht="16.5">
      <c r="E7456" s="123"/>
    </row>
    <row r="7457" spans="5:5" ht="16.5">
      <c r="E7457" s="123"/>
    </row>
    <row r="7458" spans="5:5" ht="16.5">
      <c r="E7458" s="123"/>
    </row>
    <row r="7459" spans="5:5" ht="16.5">
      <c r="E7459" s="123"/>
    </row>
    <row r="7460" spans="5:5" ht="16.5">
      <c r="E7460" s="123"/>
    </row>
    <row r="7461" spans="5:5" ht="16.5">
      <c r="E7461" s="123"/>
    </row>
    <row r="7462" spans="5:5" ht="16.5">
      <c r="E7462" s="123"/>
    </row>
    <row r="7463" spans="5:5" ht="16.5">
      <c r="E7463" s="123"/>
    </row>
    <row r="7464" spans="5:5" ht="16.5">
      <c r="E7464" s="123"/>
    </row>
    <row r="7465" spans="5:5" ht="16.5">
      <c r="E7465" s="123"/>
    </row>
    <row r="7466" spans="5:5" ht="16.5">
      <c r="E7466" s="123"/>
    </row>
    <row r="7467" spans="5:5" ht="16.5">
      <c r="E7467" s="123"/>
    </row>
    <row r="7468" spans="5:5" ht="16.5">
      <c r="E7468" s="123"/>
    </row>
    <row r="7469" spans="5:5" ht="16.5">
      <c r="E7469" s="123"/>
    </row>
    <row r="7470" spans="5:5" ht="16.5">
      <c r="E7470" s="123"/>
    </row>
    <row r="7471" spans="5:5" ht="16.5">
      <c r="E7471" s="123"/>
    </row>
    <row r="7472" spans="5:5" ht="16.5">
      <c r="E7472" s="123"/>
    </row>
    <row r="7473" spans="5:5" ht="16.5">
      <c r="E7473" s="123"/>
    </row>
    <row r="7474" spans="5:5" ht="16.5">
      <c r="E7474" s="123"/>
    </row>
    <row r="7475" spans="5:5" ht="16.5">
      <c r="E7475" s="123"/>
    </row>
    <row r="7476" spans="5:5" ht="16.5">
      <c r="E7476" s="123"/>
    </row>
    <row r="7477" spans="5:5" ht="16.5">
      <c r="E7477" s="123"/>
    </row>
    <row r="7478" spans="5:5" ht="16.5">
      <c r="E7478" s="123"/>
    </row>
    <row r="7479" spans="5:5" ht="16.5">
      <c r="E7479" s="123"/>
    </row>
    <row r="7480" spans="5:5" ht="16.5">
      <c r="E7480" s="123"/>
    </row>
    <row r="7481" spans="5:5" ht="16.5">
      <c r="E7481" s="123"/>
    </row>
    <row r="7482" spans="5:5" ht="16.5">
      <c r="E7482" s="123"/>
    </row>
    <row r="7483" spans="5:5" ht="16.5">
      <c r="E7483" s="123"/>
    </row>
    <row r="7484" spans="5:5" ht="16.5">
      <c r="E7484" s="123"/>
    </row>
    <row r="7485" spans="5:5" ht="16.5">
      <c r="E7485" s="123"/>
    </row>
    <row r="7486" spans="5:5" ht="16.5">
      <c r="E7486" s="123"/>
    </row>
    <row r="7487" spans="5:5" ht="16.5">
      <c r="E7487" s="123"/>
    </row>
    <row r="7488" spans="5:5" ht="16.5">
      <c r="E7488" s="123"/>
    </row>
    <row r="7489" spans="5:5" ht="16.5">
      <c r="E7489" s="123"/>
    </row>
    <row r="7490" spans="5:5" ht="16.5">
      <c r="E7490" s="123"/>
    </row>
    <row r="7491" spans="5:5" ht="16.5">
      <c r="E7491" s="123"/>
    </row>
    <row r="7492" spans="5:5" ht="16.5">
      <c r="E7492" s="123"/>
    </row>
    <row r="7493" spans="5:5" ht="16.5">
      <c r="E7493" s="123"/>
    </row>
    <row r="7494" spans="5:5" ht="16.5">
      <c r="E7494" s="123"/>
    </row>
    <row r="7495" spans="5:5" ht="16.5">
      <c r="E7495" s="123"/>
    </row>
    <row r="7496" spans="5:5" ht="16.5">
      <c r="E7496" s="123"/>
    </row>
    <row r="7497" spans="5:5" ht="16.5">
      <c r="E7497" s="123"/>
    </row>
    <row r="7498" spans="5:5" ht="16.5">
      <c r="E7498" s="123"/>
    </row>
    <row r="7499" spans="5:5" ht="16.5">
      <c r="E7499" s="123"/>
    </row>
    <row r="7500" spans="5:5" ht="16.5">
      <c r="E7500" s="123"/>
    </row>
    <row r="7501" spans="5:5" ht="16.5">
      <c r="E7501" s="123"/>
    </row>
    <row r="7502" spans="5:5" ht="16.5">
      <c r="E7502" s="123"/>
    </row>
    <row r="7503" spans="5:5" ht="16.5">
      <c r="E7503" s="123"/>
    </row>
    <row r="7504" spans="5:5" ht="16.5">
      <c r="E7504" s="123"/>
    </row>
    <row r="7505" spans="5:5" ht="16.5">
      <c r="E7505" s="123"/>
    </row>
    <row r="7506" spans="5:5" ht="16.5">
      <c r="E7506" s="123"/>
    </row>
    <row r="7507" spans="5:5" ht="16.5">
      <c r="E7507" s="123"/>
    </row>
    <row r="7508" spans="5:5" ht="16.5">
      <c r="E7508" s="123"/>
    </row>
    <row r="7509" spans="5:5" ht="16.5">
      <c r="E7509" s="123"/>
    </row>
    <row r="7510" spans="5:5" ht="16.5">
      <c r="E7510" s="123"/>
    </row>
    <row r="7511" spans="5:5" ht="16.5">
      <c r="E7511" s="123"/>
    </row>
    <row r="7512" spans="5:5" ht="16.5">
      <c r="E7512" s="123"/>
    </row>
    <row r="7513" spans="5:5" ht="16.5">
      <c r="E7513" s="123"/>
    </row>
    <row r="7514" spans="5:5" ht="16.5">
      <c r="E7514" s="123"/>
    </row>
    <row r="7515" spans="5:5" ht="16.5">
      <c r="E7515" s="123"/>
    </row>
    <row r="7516" spans="5:5" ht="16.5">
      <c r="E7516" s="123"/>
    </row>
    <row r="7517" spans="5:5" ht="16.5">
      <c r="E7517" s="123"/>
    </row>
    <row r="7518" spans="5:5" ht="16.5">
      <c r="E7518" s="123"/>
    </row>
    <row r="7519" spans="5:5" ht="16.5">
      <c r="E7519" s="123"/>
    </row>
    <row r="7520" spans="5:5" ht="16.5">
      <c r="E7520" s="123"/>
    </row>
    <row r="7521" spans="5:5" ht="16.5">
      <c r="E7521" s="123"/>
    </row>
    <row r="7522" spans="5:5" ht="16.5">
      <c r="E7522" s="123"/>
    </row>
    <row r="7523" spans="5:5" ht="16.5">
      <c r="E7523" s="123"/>
    </row>
    <row r="7524" spans="5:5" ht="16.5">
      <c r="E7524" s="123"/>
    </row>
    <row r="7525" spans="5:5" ht="16.5">
      <c r="E7525" s="123"/>
    </row>
    <row r="7526" spans="5:5" ht="16.5">
      <c r="E7526" s="123"/>
    </row>
    <row r="7527" spans="5:5" ht="16.5">
      <c r="E7527" s="123"/>
    </row>
    <row r="7528" spans="5:5" ht="16.5">
      <c r="E7528" s="123"/>
    </row>
    <row r="7529" spans="5:5" ht="16.5">
      <c r="E7529" s="123"/>
    </row>
    <row r="7530" spans="5:5" ht="16.5">
      <c r="E7530" s="123"/>
    </row>
    <row r="7531" spans="5:5" ht="16.5">
      <c r="E7531" s="123"/>
    </row>
    <row r="7532" spans="5:5" ht="16.5">
      <c r="E7532" s="123"/>
    </row>
    <row r="7533" spans="5:5" ht="16.5">
      <c r="E7533" s="123"/>
    </row>
    <row r="7534" spans="5:5" ht="16.5">
      <c r="E7534" s="123"/>
    </row>
    <row r="7535" spans="5:5" ht="16.5">
      <c r="E7535" s="123"/>
    </row>
    <row r="7536" spans="5:5" ht="16.5">
      <c r="E7536" s="123"/>
    </row>
    <row r="7537" spans="5:5" ht="16.5">
      <c r="E7537" s="123"/>
    </row>
    <row r="7538" spans="5:5" ht="16.5">
      <c r="E7538" s="123"/>
    </row>
    <row r="7539" spans="5:5" ht="16.5">
      <c r="E7539" s="123"/>
    </row>
    <row r="7540" spans="5:5" ht="16.5">
      <c r="E7540" s="123"/>
    </row>
    <row r="7541" spans="5:5" ht="16.5">
      <c r="E7541" s="123"/>
    </row>
    <row r="7542" spans="5:5" ht="16.5">
      <c r="E7542" s="123"/>
    </row>
    <row r="7543" spans="5:5" ht="16.5">
      <c r="E7543" s="123"/>
    </row>
    <row r="7544" spans="5:5" ht="16.5">
      <c r="E7544" s="123"/>
    </row>
    <row r="7545" spans="5:5" ht="16.5">
      <c r="E7545" s="123"/>
    </row>
    <row r="7546" spans="5:5" ht="16.5">
      <c r="E7546" s="123"/>
    </row>
    <row r="7547" spans="5:5" ht="16.5">
      <c r="E7547" s="123"/>
    </row>
    <row r="7548" spans="5:5" ht="16.5">
      <c r="E7548" s="123"/>
    </row>
    <row r="7549" spans="5:5" ht="16.5">
      <c r="E7549" s="123"/>
    </row>
    <row r="7550" spans="5:5" ht="16.5">
      <c r="E7550" s="123"/>
    </row>
    <row r="7551" spans="5:5" ht="16.5">
      <c r="E7551" s="123"/>
    </row>
    <row r="7552" spans="5:5" ht="16.5">
      <c r="E7552" s="123"/>
    </row>
    <row r="7553" spans="5:5" ht="16.5">
      <c r="E7553" s="123"/>
    </row>
    <row r="7554" spans="5:5" ht="16.5">
      <c r="E7554" s="123"/>
    </row>
    <row r="7555" spans="5:5" ht="16.5">
      <c r="E7555" s="123"/>
    </row>
    <row r="7556" spans="5:5" ht="16.5">
      <c r="E7556" s="123"/>
    </row>
    <row r="7557" spans="5:5" ht="16.5">
      <c r="E7557" s="123"/>
    </row>
    <row r="7558" spans="5:5" ht="16.5">
      <c r="E7558" s="123"/>
    </row>
    <row r="7559" spans="5:5" ht="16.5">
      <c r="E7559" s="123"/>
    </row>
    <row r="7560" spans="5:5" ht="16.5">
      <c r="E7560" s="123"/>
    </row>
    <row r="7561" spans="5:5" ht="16.5">
      <c r="E7561" s="123"/>
    </row>
    <row r="7562" spans="5:5" ht="16.5">
      <c r="E7562" s="123"/>
    </row>
    <row r="7563" spans="5:5" ht="16.5">
      <c r="E7563" s="123"/>
    </row>
    <row r="7564" spans="5:5" ht="16.5">
      <c r="E7564" s="123"/>
    </row>
    <row r="7565" spans="5:5" ht="16.5">
      <c r="E7565" s="123"/>
    </row>
    <row r="7566" spans="5:5" ht="16.5">
      <c r="E7566" s="123"/>
    </row>
    <row r="7567" spans="5:5" ht="16.5">
      <c r="E7567" s="123"/>
    </row>
    <row r="7568" spans="5:5" ht="16.5">
      <c r="E7568" s="123"/>
    </row>
    <row r="7569" spans="5:5" ht="16.5">
      <c r="E7569" s="123"/>
    </row>
    <row r="7570" spans="5:5" ht="16.5">
      <c r="E7570" s="123"/>
    </row>
    <row r="7571" spans="5:5" ht="16.5">
      <c r="E7571" s="123"/>
    </row>
    <row r="7572" spans="5:5" ht="16.5">
      <c r="E7572" s="123"/>
    </row>
    <row r="7573" spans="5:5" ht="16.5">
      <c r="E7573" s="123"/>
    </row>
    <row r="7574" spans="5:5" ht="16.5">
      <c r="E7574" s="123"/>
    </row>
    <row r="7575" spans="5:5" ht="16.5">
      <c r="E7575" s="123"/>
    </row>
    <row r="7576" spans="5:5" ht="16.5">
      <c r="E7576" s="123"/>
    </row>
    <row r="7577" spans="5:5" ht="16.5">
      <c r="E7577" s="123"/>
    </row>
    <row r="7578" spans="5:5" ht="16.5">
      <c r="E7578" s="123"/>
    </row>
    <row r="7579" spans="5:5" ht="16.5">
      <c r="E7579" s="123"/>
    </row>
    <row r="7580" spans="5:5" ht="16.5">
      <c r="E7580" s="123"/>
    </row>
    <row r="7581" spans="5:5" ht="16.5">
      <c r="E7581" s="123"/>
    </row>
    <row r="7582" spans="5:5" ht="16.5">
      <c r="E7582" s="123"/>
    </row>
    <row r="7583" spans="5:5" ht="16.5">
      <c r="E7583" s="123"/>
    </row>
    <row r="7584" spans="5:5" ht="16.5">
      <c r="E7584" s="123"/>
    </row>
    <row r="7585" spans="5:5" ht="16.5">
      <c r="E7585" s="123"/>
    </row>
    <row r="7586" spans="5:5" ht="16.5">
      <c r="E7586" s="123"/>
    </row>
    <row r="7587" spans="5:5" ht="16.5">
      <c r="E7587" s="123"/>
    </row>
    <row r="7588" spans="5:5" ht="16.5">
      <c r="E7588" s="123"/>
    </row>
    <row r="7589" spans="5:5" ht="16.5">
      <c r="E7589" s="123"/>
    </row>
    <row r="7590" spans="5:5" ht="16.5">
      <c r="E7590" s="123"/>
    </row>
    <row r="7591" spans="5:5" ht="16.5">
      <c r="E7591" s="123"/>
    </row>
    <row r="7592" spans="5:5" ht="16.5">
      <c r="E7592" s="123"/>
    </row>
    <row r="7593" spans="5:5" ht="16.5">
      <c r="E7593" s="123"/>
    </row>
    <row r="7594" spans="5:5" ht="16.5">
      <c r="E7594" s="123"/>
    </row>
    <row r="7595" spans="5:5" ht="16.5">
      <c r="E7595" s="123"/>
    </row>
    <row r="7596" spans="5:5" ht="16.5">
      <c r="E7596" s="123"/>
    </row>
    <row r="7597" spans="5:5" ht="16.5">
      <c r="E7597" s="123"/>
    </row>
    <row r="7598" spans="5:5" ht="16.5">
      <c r="E7598" s="123"/>
    </row>
    <row r="7599" spans="5:5" ht="16.5">
      <c r="E7599" s="123"/>
    </row>
    <row r="7600" spans="5:5" ht="16.5">
      <c r="E7600" s="123"/>
    </row>
    <row r="7601" spans="5:5" ht="16.5">
      <c r="E7601" s="123"/>
    </row>
    <row r="7602" spans="5:5" ht="16.5">
      <c r="E7602" s="123"/>
    </row>
    <row r="7603" spans="5:5" ht="16.5">
      <c r="E7603" s="123"/>
    </row>
    <row r="7604" spans="5:5" ht="16.5">
      <c r="E7604" s="123"/>
    </row>
    <row r="7605" spans="5:5" ht="16.5">
      <c r="E7605" s="123"/>
    </row>
    <row r="7606" spans="5:5" ht="16.5">
      <c r="E7606" s="123"/>
    </row>
    <row r="7607" spans="5:5" ht="16.5">
      <c r="E7607" s="123"/>
    </row>
    <row r="7608" spans="5:5" ht="16.5">
      <c r="E7608" s="123"/>
    </row>
    <row r="7609" spans="5:5" ht="16.5">
      <c r="E7609" s="123"/>
    </row>
    <row r="7610" spans="5:5" ht="16.5">
      <c r="E7610" s="123"/>
    </row>
    <row r="7611" spans="5:5" ht="16.5">
      <c r="E7611" s="123"/>
    </row>
    <row r="7612" spans="5:5" ht="16.5">
      <c r="E7612" s="123"/>
    </row>
    <row r="7613" spans="5:5" ht="16.5">
      <c r="E7613" s="123"/>
    </row>
    <row r="7614" spans="5:5" ht="16.5">
      <c r="E7614" s="123"/>
    </row>
    <row r="7615" spans="5:5" ht="16.5">
      <c r="E7615" s="123"/>
    </row>
    <row r="7616" spans="5:5" ht="16.5">
      <c r="E7616" s="123"/>
    </row>
    <row r="7617" spans="5:5" ht="16.5">
      <c r="E7617" s="123"/>
    </row>
    <row r="7618" spans="5:5" ht="16.5">
      <c r="E7618" s="123"/>
    </row>
    <row r="7619" spans="5:5" ht="16.5">
      <c r="E7619" s="123"/>
    </row>
    <row r="7620" spans="5:5" ht="16.5">
      <c r="E7620" s="123"/>
    </row>
    <row r="7621" spans="5:5" ht="16.5">
      <c r="E7621" s="123"/>
    </row>
    <row r="7622" spans="5:5" ht="16.5">
      <c r="E7622" s="123"/>
    </row>
    <row r="7623" spans="5:5" ht="16.5">
      <c r="E7623" s="123"/>
    </row>
    <row r="7624" spans="5:5" ht="16.5">
      <c r="E7624" s="123"/>
    </row>
    <row r="7625" spans="5:5" ht="16.5">
      <c r="E7625" s="123"/>
    </row>
    <row r="7626" spans="5:5" ht="16.5">
      <c r="E7626" s="123"/>
    </row>
    <row r="7627" spans="5:5" ht="16.5">
      <c r="E7627" s="123"/>
    </row>
    <row r="7628" spans="5:5" ht="16.5">
      <c r="E7628" s="123"/>
    </row>
    <row r="7629" spans="5:5" ht="16.5">
      <c r="E7629" s="123"/>
    </row>
    <row r="7630" spans="5:5" ht="16.5">
      <c r="E7630" s="123"/>
    </row>
    <row r="7631" spans="5:5" ht="16.5">
      <c r="E7631" s="123"/>
    </row>
    <row r="7632" spans="5:5" ht="16.5">
      <c r="E7632" s="123"/>
    </row>
    <row r="7633" spans="5:5" ht="16.5">
      <c r="E7633" s="123"/>
    </row>
    <row r="7634" spans="5:5" ht="16.5">
      <c r="E7634" s="123"/>
    </row>
    <row r="7635" spans="5:5" ht="16.5">
      <c r="E7635" s="123"/>
    </row>
    <row r="7636" spans="5:5" ht="16.5">
      <c r="E7636" s="123"/>
    </row>
    <row r="7637" spans="5:5" ht="16.5">
      <c r="E7637" s="123"/>
    </row>
    <row r="7638" spans="5:5" ht="16.5">
      <c r="E7638" s="123"/>
    </row>
    <row r="7639" spans="5:5" ht="16.5">
      <c r="E7639" s="123"/>
    </row>
    <row r="7640" spans="5:5" ht="16.5">
      <c r="E7640" s="123"/>
    </row>
    <row r="7641" spans="5:5" ht="16.5">
      <c r="E7641" s="123"/>
    </row>
    <row r="7642" spans="5:5" ht="16.5">
      <c r="E7642" s="123"/>
    </row>
    <row r="7643" spans="5:5" ht="16.5">
      <c r="E7643" s="123"/>
    </row>
    <row r="7644" spans="5:5" ht="16.5">
      <c r="E7644" s="123"/>
    </row>
    <row r="7645" spans="5:5" ht="16.5">
      <c r="E7645" s="123"/>
    </row>
    <row r="7646" spans="5:5" ht="16.5">
      <c r="E7646" s="123"/>
    </row>
    <row r="7647" spans="5:5" ht="16.5">
      <c r="E7647" s="123"/>
    </row>
    <row r="7648" spans="5:5" ht="16.5">
      <c r="E7648" s="123"/>
    </row>
    <row r="7649" spans="5:5" ht="16.5">
      <c r="E7649" s="123"/>
    </row>
    <row r="7650" spans="5:5" ht="16.5">
      <c r="E7650" s="123"/>
    </row>
    <row r="7651" spans="5:5" ht="16.5">
      <c r="E7651" s="123"/>
    </row>
    <row r="7652" spans="5:5" ht="16.5">
      <c r="E7652" s="123"/>
    </row>
    <row r="7653" spans="5:5" ht="16.5">
      <c r="E7653" s="123"/>
    </row>
    <row r="7654" spans="5:5" ht="16.5">
      <c r="E7654" s="123"/>
    </row>
    <row r="7655" spans="5:5" ht="16.5">
      <c r="E7655" s="123"/>
    </row>
    <row r="7656" spans="5:5" ht="16.5">
      <c r="E7656" s="123"/>
    </row>
    <row r="7657" spans="5:5" ht="16.5">
      <c r="E7657" s="123"/>
    </row>
    <row r="7658" spans="5:5" ht="16.5">
      <c r="E7658" s="123"/>
    </row>
    <row r="7659" spans="5:5" ht="16.5">
      <c r="E7659" s="123"/>
    </row>
    <row r="7660" spans="5:5" ht="16.5">
      <c r="E7660" s="123"/>
    </row>
    <row r="7661" spans="5:5" ht="16.5">
      <c r="E7661" s="123"/>
    </row>
    <row r="7662" spans="5:5" ht="16.5">
      <c r="E7662" s="123"/>
    </row>
    <row r="7663" spans="5:5" ht="16.5">
      <c r="E7663" s="123"/>
    </row>
    <row r="7664" spans="5:5" ht="16.5">
      <c r="E7664" s="123"/>
    </row>
    <row r="7665" spans="5:5" ht="16.5">
      <c r="E7665" s="123"/>
    </row>
    <row r="7666" spans="5:5" ht="16.5">
      <c r="E7666" s="123"/>
    </row>
    <row r="7667" spans="5:5" ht="16.5">
      <c r="E7667" s="123"/>
    </row>
    <row r="7668" spans="5:5" ht="16.5">
      <c r="E7668" s="123"/>
    </row>
    <row r="7669" spans="5:5" ht="16.5">
      <c r="E7669" s="123"/>
    </row>
    <row r="7670" spans="5:5" ht="16.5">
      <c r="E7670" s="123"/>
    </row>
    <row r="7671" spans="5:5" ht="16.5">
      <c r="E7671" s="123"/>
    </row>
    <row r="7672" spans="5:5" ht="16.5">
      <c r="E7672" s="123"/>
    </row>
    <row r="7673" spans="5:5" ht="16.5">
      <c r="E7673" s="123"/>
    </row>
    <row r="7674" spans="5:5" ht="16.5">
      <c r="E7674" s="123"/>
    </row>
    <row r="7675" spans="5:5" ht="16.5">
      <c r="E7675" s="123"/>
    </row>
    <row r="7676" spans="5:5" ht="16.5">
      <c r="E7676" s="123"/>
    </row>
    <row r="7677" spans="5:5" ht="16.5">
      <c r="E7677" s="123"/>
    </row>
    <row r="7678" spans="5:5" ht="16.5">
      <c r="E7678" s="123"/>
    </row>
    <row r="7679" spans="5:5" ht="16.5">
      <c r="E7679" s="123"/>
    </row>
    <row r="7680" spans="5:5" ht="16.5">
      <c r="E7680" s="123"/>
    </row>
    <row r="7681" spans="5:5" ht="16.5">
      <c r="E7681" s="123"/>
    </row>
    <row r="7682" spans="5:5" ht="16.5">
      <c r="E7682" s="123"/>
    </row>
    <row r="7683" spans="5:5" ht="16.5">
      <c r="E7683" s="123"/>
    </row>
    <row r="7684" spans="5:5" ht="16.5">
      <c r="E7684" s="123"/>
    </row>
    <row r="7685" spans="5:5" ht="16.5">
      <c r="E7685" s="123"/>
    </row>
    <row r="7686" spans="5:5" ht="16.5">
      <c r="E7686" s="123"/>
    </row>
    <row r="7687" spans="5:5" ht="16.5">
      <c r="E7687" s="123"/>
    </row>
    <row r="7688" spans="5:5" ht="16.5">
      <c r="E7688" s="123"/>
    </row>
    <row r="7689" spans="5:5" ht="16.5">
      <c r="E7689" s="123"/>
    </row>
    <row r="7690" spans="5:5" ht="16.5">
      <c r="E7690" s="123"/>
    </row>
    <row r="7691" spans="5:5" ht="16.5">
      <c r="E7691" s="123"/>
    </row>
    <row r="7692" spans="5:5" ht="16.5">
      <c r="E7692" s="123"/>
    </row>
    <row r="7693" spans="5:5" ht="16.5">
      <c r="E7693" s="123"/>
    </row>
    <row r="7694" spans="5:5" ht="16.5">
      <c r="E7694" s="123"/>
    </row>
    <row r="7695" spans="5:5" ht="16.5">
      <c r="E7695" s="123"/>
    </row>
    <row r="7696" spans="5:5" ht="16.5">
      <c r="E7696" s="123"/>
    </row>
    <row r="7697" spans="5:5" ht="16.5">
      <c r="E7697" s="123"/>
    </row>
    <row r="7698" spans="5:5" ht="16.5">
      <c r="E7698" s="123"/>
    </row>
    <row r="7699" spans="5:5" ht="16.5">
      <c r="E7699" s="123"/>
    </row>
    <row r="7700" spans="5:5" ht="16.5">
      <c r="E7700" s="123"/>
    </row>
    <row r="7701" spans="5:5" ht="16.5">
      <c r="E7701" s="123"/>
    </row>
    <row r="7702" spans="5:5" ht="16.5">
      <c r="E7702" s="123"/>
    </row>
    <row r="7703" spans="5:5" ht="16.5">
      <c r="E7703" s="123"/>
    </row>
    <row r="7704" spans="5:5" ht="16.5">
      <c r="E7704" s="123"/>
    </row>
    <row r="7705" spans="5:5" ht="16.5">
      <c r="E7705" s="123"/>
    </row>
    <row r="7706" spans="5:5" ht="16.5">
      <c r="E7706" s="123"/>
    </row>
    <row r="7707" spans="5:5" ht="16.5">
      <c r="E7707" s="123"/>
    </row>
    <row r="7708" spans="5:5" ht="16.5">
      <c r="E7708" s="123"/>
    </row>
    <row r="7709" spans="5:5" ht="16.5">
      <c r="E7709" s="123"/>
    </row>
    <row r="7710" spans="5:5" ht="16.5">
      <c r="E7710" s="123"/>
    </row>
    <row r="7711" spans="5:5" ht="16.5">
      <c r="E7711" s="123"/>
    </row>
    <row r="7712" spans="5:5" ht="16.5">
      <c r="E7712" s="123"/>
    </row>
    <row r="7713" spans="5:5" ht="16.5">
      <c r="E7713" s="123"/>
    </row>
    <row r="7714" spans="5:5" ht="16.5">
      <c r="E7714" s="123"/>
    </row>
    <row r="7715" spans="5:5" ht="16.5">
      <c r="E7715" s="123"/>
    </row>
    <row r="7716" spans="5:5" ht="16.5">
      <c r="E7716" s="123"/>
    </row>
    <row r="7717" spans="5:5" ht="16.5">
      <c r="E7717" s="123"/>
    </row>
    <row r="7718" spans="5:5" ht="16.5">
      <c r="E7718" s="123"/>
    </row>
    <row r="7719" spans="5:5" ht="16.5">
      <c r="E7719" s="123"/>
    </row>
    <row r="7720" spans="5:5" ht="16.5">
      <c r="E7720" s="123"/>
    </row>
    <row r="7721" spans="5:5" ht="16.5">
      <c r="E7721" s="123"/>
    </row>
    <row r="7722" spans="5:5" ht="16.5">
      <c r="E7722" s="123"/>
    </row>
    <row r="7723" spans="5:5" ht="16.5">
      <c r="E7723" s="123"/>
    </row>
    <row r="7724" spans="5:5" ht="16.5">
      <c r="E7724" s="123"/>
    </row>
    <row r="7725" spans="5:5" ht="16.5">
      <c r="E7725" s="123"/>
    </row>
    <row r="7726" spans="5:5" ht="16.5">
      <c r="E7726" s="123"/>
    </row>
    <row r="7727" spans="5:5" ht="16.5">
      <c r="E7727" s="123"/>
    </row>
    <row r="7728" spans="5:5" ht="16.5">
      <c r="E7728" s="123"/>
    </row>
    <row r="7729" spans="5:5" ht="16.5">
      <c r="E7729" s="123"/>
    </row>
    <row r="7730" spans="5:5" ht="16.5">
      <c r="E7730" s="123"/>
    </row>
    <row r="7731" spans="5:5" ht="16.5">
      <c r="E7731" s="123"/>
    </row>
    <row r="7732" spans="5:5" ht="16.5">
      <c r="E7732" s="123"/>
    </row>
    <row r="7733" spans="5:5" ht="16.5">
      <c r="E7733" s="123"/>
    </row>
    <row r="7734" spans="5:5" ht="16.5">
      <c r="E7734" s="123"/>
    </row>
    <row r="7735" spans="5:5" ht="16.5">
      <c r="E7735" s="123"/>
    </row>
    <row r="7736" spans="5:5" ht="16.5">
      <c r="E7736" s="123"/>
    </row>
    <row r="7737" spans="5:5" ht="16.5">
      <c r="E7737" s="123"/>
    </row>
    <row r="7738" spans="5:5" ht="16.5">
      <c r="E7738" s="123"/>
    </row>
    <row r="7739" spans="5:5" ht="16.5">
      <c r="E7739" s="123"/>
    </row>
    <row r="7740" spans="5:5" ht="16.5">
      <c r="E7740" s="123"/>
    </row>
    <row r="7741" spans="5:5" ht="16.5">
      <c r="E7741" s="123"/>
    </row>
    <row r="7742" spans="5:5" ht="16.5">
      <c r="E7742" s="123"/>
    </row>
    <row r="7743" spans="5:5" ht="16.5">
      <c r="E7743" s="123"/>
    </row>
    <row r="7744" spans="5:5" ht="16.5">
      <c r="E7744" s="123"/>
    </row>
    <row r="7745" spans="5:5" ht="16.5">
      <c r="E7745" s="123"/>
    </row>
    <row r="7746" spans="5:5" ht="16.5">
      <c r="E7746" s="123"/>
    </row>
    <row r="7747" spans="5:5" ht="16.5">
      <c r="E7747" s="123"/>
    </row>
    <row r="7748" spans="5:5" ht="16.5">
      <c r="E7748" s="123"/>
    </row>
    <row r="7749" spans="5:5" ht="16.5">
      <c r="E7749" s="123"/>
    </row>
    <row r="7750" spans="5:5" ht="16.5">
      <c r="E7750" s="123"/>
    </row>
    <row r="7751" spans="5:5" ht="16.5">
      <c r="E7751" s="123"/>
    </row>
    <row r="7752" spans="5:5" ht="16.5">
      <c r="E7752" s="123"/>
    </row>
    <row r="7753" spans="5:5" ht="16.5">
      <c r="E7753" s="123"/>
    </row>
    <row r="7754" spans="5:5" ht="16.5">
      <c r="E7754" s="123"/>
    </row>
    <row r="7755" spans="5:5" ht="16.5">
      <c r="E7755" s="123"/>
    </row>
    <row r="7756" spans="5:5" ht="16.5">
      <c r="E7756" s="123"/>
    </row>
    <row r="7757" spans="5:5" ht="16.5">
      <c r="E7757" s="123"/>
    </row>
    <row r="7758" spans="5:5" ht="16.5">
      <c r="E7758" s="123"/>
    </row>
    <row r="7759" spans="5:5" ht="16.5">
      <c r="E7759" s="123"/>
    </row>
    <row r="7760" spans="5:5" ht="16.5">
      <c r="E7760" s="123"/>
    </row>
    <row r="7761" spans="5:5" ht="16.5">
      <c r="E7761" s="123"/>
    </row>
    <row r="7762" spans="5:5" ht="16.5">
      <c r="E7762" s="123"/>
    </row>
    <row r="7763" spans="5:5" ht="16.5">
      <c r="E7763" s="123"/>
    </row>
    <row r="7764" spans="5:5" ht="16.5">
      <c r="E7764" s="123"/>
    </row>
    <row r="7765" spans="5:5" ht="16.5">
      <c r="E7765" s="123"/>
    </row>
    <row r="7766" spans="5:5" ht="16.5">
      <c r="E7766" s="123"/>
    </row>
    <row r="7767" spans="5:5" ht="16.5">
      <c r="E7767" s="123"/>
    </row>
    <row r="7768" spans="5:5" ht="16.5">
      <c r="E7768" s="123"/>
    </row>
    <row r="7769" spans="5:5" ht="16.5">
      <c r="E7769" s="123"/>
    </row>
    <row r="7770" spans="5:5" ht="16.5">
      <c r="E7770" s="123"/>
    </row>
    <row r="7771" spans="5:5" ht="16.5">
      <c r="E7771" s="123"/>
    </row>
    <row r="7772" spans="5:5" ht="16.5">
      <c r="E7772" s="123"/>
    </row>
    <row r="7773" spans="5:5" ht="16.5">
      <c r="E7773" s="123"/>
    </row>
    <row r="7774" spans="5:5" ht="16.5">
      <c r="E7774" s="123"/>
    </row>
    <row r="7775" spans="5:5" ht="16.5">
      <c r="E7775" s="123"/>
    </row>
    <row r="7776" spans="5:5" ht="16.5">
      <c r="E7776" s="123"/>
    </row>
    <row r="7777" spans="5:5" ht="16.5">
      <c r="E7777" s="123"/>
    </row>
    <row r="7778" spans="5:5" ht="16.5">
      <c r="E7778" s="123"/>
    </row>
    <row r="7779" spans="5:5" ht="16.5">
      <c r="E7779" s="123"/>
    </row>
    <row r="7780" spans="5:5" ht="16.5">
      <c r="E7780" s="123"/>
    </row>
    <row r="7781" spans="5:5" ht="16.5">
      <c r="E7781" s="123"/>
    </row>
    <row r="7782" spans="5:5" ht="16.5">
      <c r="E7782" s="123"/>
    </row>
    <row r="7783" spans="5:5" ht="16.5">
      <c r="E7783" s="123"/>
    </row>
    <row r="7784" spans="5:5" ht="16.5">
      <c r="E7784" s="123"/>
    </row>
    <row r="7785" spans="5:5" ht="16.5">
      <c r="E7785" s="123"/>
    </row>
    <row r="7786" spans="5:5" ht="16.5">
      <c r="E7786" s="123"/>
    </row>
    <row r="7787" spans="5:5" ht="16.5">
      <c r="E7787" s="123"/>
    </row>
    <row r="7788" spans="5:5" ht="16.5">
      <c r="E7788" s="123"/>
    </row>
    <row r="7789" spans="5:5" ht="16.5">
      <c r="E7789" s="123"/>
    </row>
    <row r="7790" spans="5:5" ht="16.5">
      <c r="E7790" s="123"/>
    </row>
    <row r="7791" spans="5:5" ht="16.5">
      <c r="E7791" s="123"/>
    </row>
    <row r="7792" spans="5:5" ht="16.5">
      <c r="E7792" s="123"/>
    </row>
    <row r="7793" spans="5:5" ht="16.5">
      <c r="E7793" s="123"/>
    </row>
    <row r="7794" spans="5:5" ht="16.5">
      <c r="E7794" s="123"/>
    </row>
    <row r="7795" spans="5:5" ht="16.5">
      <c r="E7795" s="123"/>
    </row>
    <row r="7796" spans="5:5" ht="16.5">
      <c r="E7796" s="123"/>
    </row>
    <row r="7797" spans="5:5" ht="16.5">
      <c r="E7797" s="123"/>
    </row>
    <row r="7798" spans="5:5" ht="16.5">
      <c r="E7798" s="123"/>
    </row>
    <row r="7799" spans="5:5" ht="16.5">
      <c r="E7799" s="123"/>
    </row>
    <row r="7800" spans="5:5" ht="16.5">
      <c r="E7800" s="123"/>
    </row>
    <row r="7801" spans="5:5" ht="16.5">
      <c r="E7801" s="123"/>
    </row>
    <row r="7802" spans="5:5" ht="16.5">
      <c r="E7802" s="123"/>
    </row>
    <row r="7803" spans="5:5" ht="16.5">
      <c r="E7803" s="123"/>
    </row>
    <row r="7804" spans="5:5" ht="16.5">
      <c r="E7804" s="123"/>
    </row>
    <row r="7805" spans="5:5" ht="16.5">
      <c r="E7805" s="123"/>
    </row>
    <row r="7806" spans="5:5" ht="16.5">
      <c r="E7806" s="123"/>
    </row>
    <row r="7807" spans="5:5" ht="16.5">
      <c r="E7807" s="123"/>
    </row>
    <row r="7808" spans="5:5" ht="16.5">
      <c r="E7808" s="123"/>
    </row>
    <row r="7809" spans="5:5" ht="16.5">
      <c r="E7809" s="123"/>
    </row>
    <row r="7810" spans="5:5" ht="16.5">
      <c r="E7810" s="123"/>
    </row>
    <row r="7811" spans="5:5" ht="16.5">
      <c r="E7811" s="123"/>
    </row>
    <row r="7812" spans="5:5" ht="16.5">
      <c r="E7812" s="123"/>
    </row>
    <row r="7813" spans="5:5" ht="16.5">
      <c r="E7813" s="123"/>
    </row>
    <row r="7814" spans="5:5" ht="16.5">
      <c r="E7814" s="123"/>
    </row>
    <row r="7815" spans="5:5" ht="16.5">
      <c r="E7815" s="123"/>
    </row>
    <row r="7816" spans="5:5" ht="16.5">
      <c r="E7816" s="123"/>
    </row>
    <row r="7817" spans="5:5" ht="16.5">
      <c r="E7817" s="123"/>
    </row>
    <row r="7818" spans="5:5" ht="16.5">
      <c r="E7818" s="123"/>
    </row>
    <row r="7819" spans="5:5" ht="16.5">
      <c r="E7819" s="123"/>
    </row>
    <row r="7820" spans="5:5" ht="16.5">
      <c r="E7820" s="123"/>
    </row>
    <row r="7821" spans="5:5" ht="16.5">
      <c r="E7821" s="123"/>
    </row>
    <row r="7822" spans="5:5" ht="16.5">
      <c r="E7822" s="123"/>
    </row>
    <row r="7823" spans="5:5" ht="16.5">
      <c r="E7823" s="123"/>
    </row>
    <row r="7824" spans="5:5" ht="16.5">
      <c r="E7824" s="123"/>
    </row>
    <row r="7825" spans="5:5" ht="16.5">
      <c r="E7825" s="123"/>
    </row>
    <row r="7826" spans="5:5" ht="16.5">
      <c r="E7826" s="123"/>
    </row>
    <row r="7827" spans="5:5" ht="16.5">
      <c r="E7827" s="123"/>
    </row>
    <row r="7828" spans="5:5" ht="16.5">
      <c r="E7828" s="123"/>
    </row>
    <row r="7829" spans="5:5" ht="16.5">
      <c r="E7829" s="123"/>
    </row>
    <row r="7830" spans="5:5" ht="16.5">
      <c r="E7830" s="123"/>
    </row>
    <row r="7831" spans="5:5" ht="16.5">
      <c r="E7831" s="123"/>
    </row>
    <row r="7832" spans="5:5" ht="16.5">
      <c r="E7832" s="123"/>
    </row>
    <row r="7833" spans="5:5" ht="16.5">
      <c r="E7833" s="123"/>
    </row>
    <row r="7834" spans="5:5" ht="16.5">
      <c r="E7834" s="123"/>
    </row>
    <row r="7835" spans="5:5" ht="16.5">
      <c r="E7835" s="123"/>
    </row>
    <row r="7836" spans="5:5" ht="16.5">
      <c r="E7836" s="123"/>
    </row>
    <row r="7837" spans="5:5" ht="16.5">
      <c r="E7837" s="123"/>
    </row>
    <row r="7838" spans="5:5" ht="16.5">
      <c r="E7838" s="123"/>
    </row>
    <row r="7839" spans="5:5" ht="16.5">
      <c r="E7839" s="123"/>
    </row>
    <row r="7840" spans="5:5" ht="16.5">
      <c r="E7840" s="123"/>
    </row>
    <row r="7841" spans="5:5" ht="16.5">
      <c r="E7841" s="123"/>
    </row>
    <row r="7842" spans="5:5" ht="16.5">
      <c r="E7842" s="123"/>
    </row>
    <row r="7843" spans="5:5" ht="16.5">
      <c r="E7843" s="123"/>
    </row>
    <row r="7844" spans="5:5" ht="16.5">
      <c r="E7844" s="123"/>
    </row>
    <row r="7845" spans="5:5" ht="16.5">
      <c r="E7845" s="123"/>
    </row>
    <row r="7846" spans="5:5" ht="16.5">
      <c r="E7846" s="123"/>
    </row>
    <row r="7847" spans="5:5" ht="16.5">
      <c r="E7847" s="123"/>
    </row>
    <row r="7848" spans="5:5" ht="16.5">
      <c r="E7848" s="123"/>
    </row>
    <row r="7849" spans="5:5" ht="16.5">
      <c r="E7849" s="123"/>
    </row>
    <row r="7850" spans="5:5" ht="16.5">
      <c r="E7850" s="123"/>
    </row>
    <row r="7851" spans="5:5" ht="16.5">
      <c r="E7851" s="123"/>
    </row>
    <row r="7852" spans="5:5" ht="16.5">
      <c r="E7852" s="123"/>
    </row>
    <row r="7853" spans="5:5" ht="16.5">
      <c r="E7853" s="123"/>
    </row>
    <row r="7854" spans="5:5" ht="16.5">
      <c r="E7854" s="123"/>
    </row>
    <row r="7855" spans="5:5" ht="16.5">
      <c r="E7855" s="123"/>
    </row>
    <row r="7856" spans="5:5" ht="16.5">
      <c r="E7856" s="123"/>
    </row>
    <row r="7857" spans="5:5" ht="16.5">
      <c r="E7857" s="123"/>
    </row>
    <row r="7858" spans="5:5" ht="16.5">
      <c r="E7858" s="123"/>
    </row>
    <row r="7859" spans="5:5" ht="16.5">
      <c r="E7859" s="123"/>
    </row>
    <row r="7860" spans="5:5" ht="16.5">
      <c r="E7860" s="123"/>
    </row>
    <row r="7861" spans="5:5" ht="16.5">
      <c r="E7861" s="123"/>
    </row>
    <row r="7862" spans="5:5" ht="16.5">
      <c r="E7862" s="123"/>
    </row>
    <row r="7863" spans="5:5" ht="16.5">
      <c r="E7863" s="123"/>
    </row>
    <row r="7864" spans="5:5" ht="16.5">
      <c r="E7864" s="123"/>
    </row>
    <row r="7865" spans="5:5" ht="16.5">
      <c r="E7865" s="123"/>
    </row>
    <row r="7866" spans="5:5" ht="16.5">
      <c r="E7866" s="123"/>
    </row>
    <row r="7867" spans="5:5" ht="16.5">
      <c r="E7867" s="123"/>
    </row>
    <row r="7868" spans="5:5" ht="16.5">
      <c r="E7868" s="123"/>
    </row>
    <row r="7869" spans="5:5" ht="16.5">
      <c r="E7869" s="123"/>
    </row>
    <row r="7870" spans="5:5" ht="16.5">
      <c r="E7870" s="123"/>
    </row>
    <row r="7871" spans="5:5" ht="16.5">
      <c r="E7871" s="123"/>
    </row>
    <row r="7872" spans="5:5" ht="16.5">
      <c r="E7872" s="123"/>
    </row>
    <row r="7873" spans="5:5" ht="16.5">
      <c r="E7873" s="123"/>
    </row>
    <row r="7874" spans="5:5" ht="16.5">
      <c r="E7874" s="123"/>
    </row>
    <row r="7875" spans="5:5" ht="16.5">
      <c r="E7875" s="123"/>
    </row>
    <row r="7876" spans="5:5" ht="16.5">
      <c r="E7876" s="123"/>
    </row>
    <row r="7877" spans="5:5" ht="16.5">
      <c r="E7877" s="123"/>
    </row>
    <row r="7878" spans="5:5" ht="16.5">
      <c r="E7878" s="123"/>
    </row>
    <row r="7879" spans="5:5" ht="16.5">
      <c r="E7879" s="123"/>
    </row>
    <row r="7880" spans="5:5" ht="16.5">
      <c r="E7880" s="123"/>
    </row>
    <row r="7881" spans="5:5" ht="16.5">
      <c r="E7881" s="123"/>
    </row>
    <row r="7882" spans="5:5" ht="16.5">
      <c r="E7882" s="123"/>
    </row>
    <row r="7883" spans="5:5" ht="16.5">
      <c r="E7883" s="123"/>
    </row>
    <row r="7884" spans="5:5" ht="16.5">
      <c r="E7884" s="123"/>
    </row>
    <row r="7885" spans="5:5" ht="16.5">
      <c r="E7885" s="123"/>
    </row>
    <row r="7886" spans="5:5" ht="16.5">
      <c r="E7886" s="123"/>
    </row>
    <row r="7887" spans="5:5" ht="16.5">
      <c r="E7887" s="123"/>
    </row>
    <row r="7888" spans="5:5" ht="16.5">
      <c r="E7888" s="123"/>
    </row>
    <row r="7889" spans="5:5" ht="16.5">
      <c r="E7889" s="123"/>
    </row>
    <row r="7890" spans="5:5" ht="16.5">
      <c r="E7890" s="123"/>
    </row>
    <row r="7891" spans="5:5" ht="16.5">
      <c r="E7891" s="123"/>
    </row>
    <row r="7892" spans="5:5" ht="16.5">
      <c r="E7892" s="123"/>
    </row>
    <row r="7893" spans="5:5" ht="16.5">
      <c r="E7893" s="123"/>
    </row>
    <row r="7894" spans="5:5" ht="16.5">
      <c r="E7894" s="123"/>
    </row>
    <row r="7895" spans="5:5" ht="16.5">
      <c r="E7895" s="123"/>
    </row>
    <row r="7896" spans="5:5" ht="16.5">
      <c r="E7896" s="123"/>
    </row>
    <row r="7897" spans="5:5" ht="16.5">
      <c r="E7897" s="123"/>
    </row>
    <row r="7898" spans="5:5" ht="16.5">
      <c r="E7898" s="123"/>
    </row>
    <row r="7899" spans="5:5" ht="16.5">
      <c r="E7899" s="123"/>
    </row>
    <row r="7900" spans="5:5" ht="16.5">
      <c r="E7900" s="123"/>
    </row>
    <row r="7901" spans="5:5" ht="16.5">
      <c r="E7901" s="123"/>
    </row>
    <row r="7902" spans="5:5" ht="16.5">
      <c r="E7902" s="123"/>
    </row>
    <row r="7903" spans="5:5" ht="16.5">
      <c r="E7903" s="123"/>
    </row>
    <row r="7904" spans="5:5" ht="16.5">
      <c r="E7904" s="123"/>
    </row>
    <row r="7905" spans="5:5" ht="16.5">
      <c r="E7905" s="123"/>
    </row>
    <row r="7906" spans="5:5" ht="16.5">
      <c r="E7906" s="123"/>
    </row>
    <row r="7907" spans="5:5" ht="16.5">
      <c r="E7907" s="123"/>
    </row>
    <row r="7908" spans="5:5" ht="16.5">
      <c r="E7908" s="123"/>
    </row>
    <row r="7909" spans="5:5" ht="16.5">
      <c r="E7909" s="123"/>
    </row>
    <row r="7910" spans="5:5" ht="16.5">
      <c r="E7910" s="123"/>
    </row>
    <row r="7911" spans="5:5" ht="16.5">
      <c r="E7911" s="123"/>
    </row>
    <row r="7912" spans="5:5" ht="16.5">
      <c r="E7912" s="123"/>
    </row>
    <row r="7913" spans="5:5" ht="16.5">
      <c r="E7913" s="123"/>
    </row>
    <row r="7914" spans="5:5" ht="16.5">
      <c r="E7914" s="123"/>
    </row>
    <row r="7915" spans="5:5" ht="16.5">
      <c r="E7915" s="123"/>
    </row>
    <row r="7916" spans="5:5" ht="16.5">
      <c r="E7916" s="123"/>
    </row>
    <row r="7917" spans="5:5" ht="16.5">
      <c r="E7917" s="123"/>
    </row>
    <row r="7918" spans="5:5" ht="16.5">
      <c r="E7918" s="123"/>
    </row>
    <row r="7919" spans="5:5" ht="16.5">
      <c r="E7919" s="123"/>
    </row>
    <row r="7920" spans="5:5" ht="16.5">
      <c r="E7920" s="123"/>
    </row>
    <row r="7921" spans="5:5" ht="16.5">
      <c r="E7921" s="123"/>
    </row>
    <row r="7922" spans="5:5" ht="16.5">
      <c r="E7922" s="123"/>
    </row>
    <row r="7923" spans="5:5" ht="16.5">
      <c r="E7923" s="123"/>
    </row>
    <row r="7924" spans="5:5" ht="16.5">
      <c r="E7924" s="123"/>
    </row>
    <row r="7925" spans="5:5" ht="16.5">
      <c r="E7925" s="123"/>
    </row>
    <row r="7926" spans="5:5" ht="16.5">
      <c r="E7926" s="123"/>
    </row>
    <row r="7927" spans="5:5" ht="16.5">
      <c r="E7927" s="123"/>
    </row>
    <row r="7928" spans="5:5" ht="16.5">
      <c r="E7928" s="123"/>
    </row>
    <row r="7929" spans="5:5" ht="16.5">
      <c r="E7929" s="123"/>
    </row>
    <row r="7930" spans="5:5" ht="16.5">
      <c r="E7930" s="123"/>
    </row>
    <row r="7931" spans="5:5" ht="16.5">
      <c r="E7931" s="123"/>
    </row>
    <row r="7932" spans="5:5" ht="16.5">
      <c r="E7932" s="123"/>
    </row>
    <row r="7933" spans="5:5" ht="16.5">
      <c r="E7933" s="123"/>
    </row>
    <row r="7934" spans="5:5" ht="16.5">
      <c r="E7934" s="123"/>
    </row>
    <row r="7935" spans="5:5" ht="16.5">
      <c r="E7935" s="123"/>
    </row>
    <row r="7936" spans="5:5" ht="16.5">
      <c r="E7936" s="123"/>
    </row>
    <row r="7937" spans="5:5" ht="16.5">
      <c r="E7937" s="123"/>
    </row>
    <row r="7938" spans="5:5" ht="16.5">
      <c r="E7938" s="123"/>
    </row>
    <row r="7939" spans="5:5" ht="16.5">
      <c r="E7939" s="123"/>
    </row>
    <row r="7940" spans="5:5" ht="16.5">
      <c r="E7940" s="123"/>
    </row>
    <row r="7941" spans="5:5" ht="16.5">
      <c r="E7941" s="123"/>
    </row>
    <row r="7942" spans="5:5" ht="16.5">
      <c r="E7942" s="123"/>
    </row>
    <row r="7943" spans="5:5" ht="16.5">
      <c r="E7943" s="123"/>
    </row>
    <row r="7944" spans="5:5" ht="16.5">
      <c r="E7944" s="123"/>
    </row>
    <row r="7945" spans="5:5" ht="16.5">
      <c r="E7945" s="123"/>
    </row>
    <row r="7946" spans="5:5" ht="16.5">
      <c r="E7946" s="123"/>
    </row>
    <row r="7947" spans="5:5" ht="16.5">
      <c r="E7947" s="123"/>
    </row>
    <row r="7948" spans="5:5" ht="16.5">
      <c r="E7948" s="123"/>
    </row>
    <row r="7949" spans="5:5" ht="16.5">
      <c r="E7949" s="123"/>
    </row>
    <row r="7950" spans="5:5" ht="16.5">
      <c r="E7950" s="123"/>
    </row>
    <row r="7951" spans="5:5" ht="16.5">
      <c r="E7951" s="123"/>
    </row>
    <row r="7952" spans="5:5" ht="16.5">
      <c r="E7952" s="123"/>
    </row>
    <row r="7953" spans="5:5" ht="16.5">
      <c r="E7953" s="123"/>
    </row>
    <row r="7954" spans="5:5" ht="16.5">
      <c r="E7954" s="123"/>
    </row>
    <row r="7955" spans="5:5" ht="16.5">
      <c r="E7955" s="123"/>
    </row>
    <row r="7956" spans="5:5" ht="16.5">
      <c r="E7956" s="123"/>
    </row>
    <row r="7957" spans="5:5" ht="16.5">
      <c r="E7957" s="123"/>
    </row>
    <row r="7958" spans="5:5" ht="16.5">
      <c r="E7958" s="123"/>
    </row>
    <row r="7959" spans="5:5" ht="16.5">
      <c r="E7959" s="123"/>
    </row>
    <row r="7960" spans="5:5" ht="16.5">
      <c r="E7960" s="123"/>
    </row>
    <row r="7961" spans="5:5" ht="16.5">
      <c r="E7961" s="123"/>
    </row>
    <row r="7962" spans="5:5" ht="16.5">
      <c r="E7962" s="123"/>
    </row>
    <row r="7963" spans="5:5" ht="16.5">
      <c r="E7963" s="123"/>
    </row>
    <row r="7964" spans="5:5" ht="16.5">
      <c r="E7964" s="123"/>
    </row>
    <row r="7965" spans="5:5" ht="16.5">
      <c r="E7965" s="123"/>
    </row>
    <row r="7966" spans="5:5" ht="16.5">
      <c r="E7966" s="123"/>
    </row>
    <row r="7967" spans="5:5" ht="16.5">
      <c r="E7967" s="123"/>
    </row>
    <row r="7968" spans="5:5" ht="16.5">
      <c r="E7968" s="123"/>
    </row>
    <row r="7969" spans="5:5" ht="16.5">
      <c r="E7969" s="123"/>
    </row>
    <row r="7970" spans="5:5" ht="16.5">
      <c r="E7970" s="123"/>
    </row>
    <row r="7971" spans="5:5" ht="16.5">
      <c r="E7971" s="123"/>
    </row>
    <row r="7972" spans="5:5" ht="16.5">
      <c r="E7972" s="123"/>
    </row>
    <row r="7973" spans="5:5" ht="16.5">
      <c r="E7973" s="123"/>
    </row>
    <row r="7974" spans="5:5" ht="16.5">
      <c r="E7974" s="123"/>
    </row>
    <row r="7975" spans="5:5" ht="16.5">
      <c r="E7975" s="123"/>
    </row>
    <row r="7976" spans="5:5" ht="16.5">
      <c r="E7976" s="123"/>
    </row>
    <row r="7977" spans="5:5" ht="16.5">
      <c r="E7977" s="123"/>
    </row>
    <row r="7978" spans="5:5" ht="16.5">
      <c r="E7978" s="123"/>
    </row>
    <row r="7979" spans="5:5" ht="16.5">
      <c r="E7979" s="123"/>
    </row>
    <row r="7980" spans="5:5" ht="16.5">
      <c r="E7980" s="123"/>
    </row>
    <row r="7981" spans="5:5" ht="16.5">
      <c r="E7981" s="123"/>
    </row>
    <row r="7982" spans="5:5" ht="16.5">
      <c r="E7982" s="123"/>
    </row>
    <row r="7983" spans="5:5" ht="16.5">
      <c r="E7983" s="123"/>
    </row>
    <row r="7984" spans="5:5" ht="16.5">
      <c r="E7984" s="123"/>
    </row>
    <row r="7985" spans="5:5" ht="16.5">
      <c r="E7985" s="123"/>
    </row>
    <row r="7986" spans="5:5" ht="16.5">
      <c r="E7986" s="123"/>
    </row>
    <row r="7987" spans="5:5" ht="16.5">
      <c r="E7987" s="123"/>
    </row>
    <row r="7988" spans="5:5" ht="16.5">
      <c r="E7988" s="123"/>
    </row>
    <row r="7989" spans="5:5" ht="16.5">
      <c r="E7989" s="123"/>
    </row>
    <row r="7990" spans="5:5" ht="16.5">
      <c r="E7990" s="123"/>
    </row>
    <row r="7991" spans="5:5" ht="16.5">
      <c r="E7991" s="123"/>
    </row>
    <row r="7992" spans="5:5" ht="16.5">
      <c r="E7992" s="123"/>
    </row>
    <row r="7993" spans="5:5" ht="16.5">
      <c r="E7993" s="123"/>
    </row>
    <row r="7994" spans="5:5" ht="16.5">
      <c r="E7994" s="123"/>
    </row>
    <row r="7995" spans="5:5" ht="16.5">
      <c r="E7995" s="123"/>
    </row>
    <row r="7996" spans="5:5" ht="16.5">
      <c r="E7996" s="123"/>
    </row>
    <row r="7997" spans="5:5" ht="16.5">
      <c r="E7997" s="123"/>
    </row>
    <row r="7998" spans="5:5" ht="16.5">
      <c r="E7998" s="123"/>
    </row>
    <row r="7999" spans="5:5" ht="16.5">
      <c r="E7999" s="123"/>
    </row>
    <row r="8000" spans="5:5" ht="16.5">
      <c r="E8000" s="123"/>
    </row>
    <row r="8001" spans="5:5" ht="16.5">
      <c r="E8001" s="123"/>
    </row>
    <row r="8002" spans="5:5" ht="16.5">
      <c r="E8002" s="123"/>
    </row>
    <row r="8003" spans="5:5" ht="16.5">
      <c r="E8003" s="123"/>
    </row>
    <row r="8004" spans="5:5" ht="16.5">
      <c r="E8004" s="123"/>
    </row>
    <row r="8005" spans="5:5" ht="16.5">
      <c r="E8005" s="123"/>
    </row>
    <row r="8006" spans="5:5" ht="16.5">
      <c r="E8006" s="123"/>
    </row>
    <row r="8007" spans="5:5" ht="16.5">
      <c r="E8007" s="123"/>
    </row>
    <row r="8008" spans="5:5" ht="16.5">
      <c r="E8008" s="123"/>
    </row>
    <row r="8009" spans="5:5" ht="16.5">
      <c r="E8009" s="123"/>
    </row>
    <row r="8010" spans="5:5" ht="16.5">
      <c r="E8010" s="123"/>
    </row>
    <row r="8011" spans="5:5" ht="16.5">
      <c r="E8011" s="123"/>
    </row>
    <row r="8012" spans="5:5" ht="16.5">
      <c r="E8012" s="123"/>
    </row>
    <row r="8013" spans="5:5" ht="16.5">
      <c r="E8013" s="123"/>
    </row>
    <row r="8014" spans="5:5" ht="16.5">
      <c r="E8014" s="123"/>
    </row>
    <row r="8015" spans="5:5" ht="16.5">
      <c r="E8015" s="123"/>
    </row>
    <row r="8016" spans="5:5" ht="16.5">
      <c r="E8016" s="123"/>
    </row>
    <row r="8017" spans="5:5" ht="16.5">
      <c r="E8017" s="123"/>
    </row>
    <row r="8018" spans="5:5" ht="16.5">
      <c r="E8018" s="123"/>
    </row>
    <row r="8019" spans="5:5" ht="16.5">
      <c r="E8019" s="123"/>
    </row>
    <row r="8020" spans="5:5" ht="16.5">
      <c r="E8020" s="123"/>
    </row>
    <row r="8021" spans="5:5" ht="16.5">
      <c r="E8021" s="123"/>
    </row>
    <row r="8022" spans="5:5" ht="16.5">
      <c r="E8022" s="123"/>
    </row>
    <row r="8023" spans="5:5" ht="16.5">
      <c r="E8023" s="123"/>
    </row>
    <row r="8024" spans="5:5" ht="16.5">
      <c r="E8024" s="123"/>
    </row>
    <row r="8025" spans="5:5" ht="16.5">
      <c r="E8025" s="123"/>
    </row>
    <row r="8026" spans="5:5" ht="16.5">
      <c r="E8026" s="123"/>
    </row>
    <row r="8027" spans="5:5" ht="16.5">
      <c r="E8027" s="123"/>
    </row>
    <row r="8028" spans="5:5" ht="16.5">
      <c r="E8028" s="123"/>
    </row>
    <row r="8029" spans="5:5" ht="16.5">
      <c r="E8029" s="123"/>
    </row>
    <row r="8030" spans="5:5" ht="16.5">
      <c r="E8030" s="123"/>
    </row>
    <row r="8031" spans="5:5" ht="16.5">
      <c r="E8031" s="123"/>
    </row>
    <row r="8032" spans="5:5" ht="16.5">
      <c r="E8032" s="123"/>
    </row>
    <row r="8033" spans="5:5" ht="16.5">
      <c r="E8033" s="123"/>
    </row>
    <row r="8034" spans="5:5" ht="16.5">
      <c r="E8034" s="123"/>
    </row>
    <row r="8035" spans="5:5" ht="16.5">
      <c r="E8035" s="123"/>
    </row>
    <row r="8036" spans="5:5" ht="16.5">
      <c r="E8036" s="123"/>
    </row>
    <row r="8037" spans="5:5" ht="16.5">
      <c r="E8037" s="123"/>
    </row>
    <row r="8038" spans="5:5" ht="16.5">
      <c r="E8038" s="123"/>
    </row>
    <row r="8039" spans="5:5" ht="16.5">
      <c r="E8039" s="123"/>
    </row>
    <row r="8040" spans="5:5" ht="16.5">
      <c r="E8040" s="123"/>
    </row>
    <row r="8041" spans="5:5" ht="16.5">
      <c r="E8041" s="123"/>
    </row>
    <row r="8042" spans="5:5" ht="16.5">
      <c r="E8042" s="123"/>
    </row>
    <row r="8043" spans="5:5" ht="16.5">
      <c r="E8043" s="123"/>
    </row>
    <row r="8044" spans="5:5" ht="16.5">
      <c r="E8044" s="123"/>
    </row>
    <row r="8045" spans="5:5" ht="16.5">
      <c r="E8045" s="123"/>
    </row>
    <row r="8046" spans="5:5" ht="16.5">
      <c r="E8046" s="123"/>
    </row>
    <row r="8047" spans="5:5" ht="16.5">
      <c r="E8047" s="123"/>
    </row>
    <row r="8048" spans="5:5" ht="16.5">
      <c r="E8048" s="123"/>
    </row>
    <row r="8049" spans="5:5" ht="16.5">
      <c r="E8049" s="123"/>
    </row>
    <row r="8050" spans="5:5" ht="16.5">
      <c r="E8050" s="123"/>
    </row>
    <row r="8051" spans="5:5" ht="16.5">
      <c r="E8051" s="123"/>
    </row>
    <row r="8052" spans="5:5" ht="16.5">
      <c r="E8052" s="123"/>
    </row>
    <row r="8053" spans="5:5" ht="16.5">
      <c r="E8053" s="123"/>
    </row>
    <row r="8054" spans="5:5" ht="16.5">
      <c r="E8054" s="123"/>
    </row>
    <row r="8055" spans="5:5" ht="16.5">
      <c r="E8055" s="123"/>
    </row>
    <row r="8056" spans="5:5" ht="16.5">
      <c r="E8056" s="123"/>
    </row>
    <row r="8057" spans="5:5" ht="16.5">
      <c r="E8057" s="123"/>
    </row>
    <row r="8058" spans="5:5" ht="16.5">
      <c r="E8058" s="123"/>
    </row>
    <row r="8059" spans="5:5" ht="16.5">
      <c r="E8059" s="123"/>
    </row>
    <row r="8060" spans="5:5" ht="16.5">
      <c r="E8060" s="123"/>
    </row>
    <row r="8061" spans="5:5" ht="16.5">
      <c r="E8061" s="123"/>
    </row>
    <row r="8062" spans="5:5" ht="16.5">
      <c r="E8062" s="123"/>
    </row>
    <row r="8063" spans="5:5" ht="16.5">
      <c r="E8063" s="123"/>
    </row>
    <row r="8064" spans="5:5" ht="16.5">
      <c r="E8064" s="123"/>
    </row>
    <row r="8065" spans="5:5" ht="16.5">
      <c r="E8065" s="123"/>
    </row>
    <row r="8066" spans="5:5" ht="16.5">
      <c r="E8066" s="123"/>
    </row>
    <row r="8067" spans="5:5" ht="16.5">
      <c r="E8067" s="123"/>
    </row>
    <row r="8068" spans="5:5" ht="16.5">
      <c r="E8068" s="123"/>
    </row>
    <row r="8069" spans="5:5" ht="16.5">
      <c r="E8069" s="123"/>
    </row>
    <row r="8070" spans="5:5" ht="16.5">
      <c r="E8070" s="123"/>
    </row>
    <row r="8071" spans="5:5" ht="16.5">
      <c r="E8071" s="123"/>
    </row>
    <row r="8072" spans="5:5" ht="16.5">
      <c r="E8072" s="123"/>
    </row>
    <row r="8073" spans="5:5" ht="16.5">
      <c r="E8073" s="123"/>
    </row>
    <row r="8074" spans="5:5" ht="16.5">
      <c r="E8074" s="123"/>
    </row>
    <row r="8075" spans="5:5" ht="16.5">
      <c r="E8075" s="123"/>
    </row>
    <row r="8076" spans="5:5" ht="16.5">
      <c r="E8076" s="123"/>
    </row>
    <row r="8077" spans="5:5" ht="16.5">
      <c r="E8077" s="123"/>
    </row>
    <row r="8078" spans="5:5" ht="16.5">
      <c r="E8078" s="123"/>
    </row>
    <row r="8079" spans="5:5" ht="16.5">
      <c r="E8079" s="123"/>
    </row>
    <row r="8080" spans="5:5" ht="16.5">
      <c r="E8080" s="123"/>
    </row>
    <row r="8081" spans="5:5" ht="16.5">
      <c r="E8081" s="123"/>
    </row>
    <row r="8082" spans="5:5" ht="16.5">
      <c r="E8082" s="123"/>
    </row>
    <row r="8083" spans="5:5" ht="16.5">
      <c r="E8083" s="123"/>
    </row>
    <row r="8084" spans="5:5" ht="16.5">
      <c r="E8084" s="123"/>
    </row>
    <row r="8085" spans="5:5" ht="16.5">
      <c r="E8085" s="123"/>
    </row>
    <row r="8086" spans="5:5" ht="16.5">
      <c r="E8086" s="123"/>
    </row>
    <row r="8087" spans="5:5" ht="16.5">
      <c r="E8087" s="123"/>
    </row>
    <row r="8088" spans="5:5" ht="16.5">
      <c r="E8088" s="123"/>
    </row>
    <row r="8089" spans="5:5" ht="16.5">
      <c r="E8089" s="123"/>
    </row>
    <row r="8090" spans="5:5" ht="16.5">
      <c r="E8090" s="123"/>
    </row>
    <row r="8091" spans="5:5" ht="16.5">
      <c r="E8091" s="123"/>
    </row>
    <row r="8092" spans="5:5" ht="16.5">
      <c r="E8092" s="123"/>
    </row>
    <row r="8093" spans="5:5" ht="16.5">
      <c r="E8093" s="123"/>
    </row>
    <row r="8094" spans="5:5" ht="16.5">
      <c r="E8094" s="123"/>
    </row>
    <row r="8095" spans="5:5" ht="16.5">
      <c r="E8095" s="123"/>
    </row>
    <row r="8096" spans="5:5" ht="16.5">
      <c r="E8096" s="123"/>
    </row>
    <row r="8097" spans="5:5" ht="16.5">
      <c r="E8097" s="123"/>
    </row>
    <row r="8098" spans="5:5" ht="16.5">
      <c r="E8098" s="123"/>
    </row>
    <row r="8099" spans="5:5" ht="16.5">
      <c r="E8099" s="123"/>
    </row>
    <row r="8100" spans="5:5" ht="16.5">
      <c r="E8100" s="123"/>
    </row>
    <row r="8101" spans="5:5" ht="16.5">
      <c r="E8101" s="123"/>
    </row>
    <row r="8102" spans="5:5" ht="16.5">
      <c r="E8102" s="123"/>
    </row>
    <row r="8103" spans="5:5" ht="16.5">
      <c r="E8103" s="123"/>
    </row>
    <row r="8104" spans="5:5" ht="16.5">
      <c r="E8104" s="123"/>
    </row>
    <row r="8105" spans="5:5" ht="16.5">
      <c r="E8105" s="123"/>
    </row>
    <row r="8106" spans="5:5" ht="16.5">
      <c r="E8106" s="123"/>
    </row>
    <row r="8107" spans="5:5" ht="16.5">
      <c r="E8107" s="123"/>
    </row>
    <row r="8108" spans="5:5" ht="16.5">
      <c r="E8108" s="123"/>
    </row>
    <row r="8109" spans="5:5" ht="16.5">
      <c r="E8109" s="123"/>
    </row>
    <row r="8110" spans="5:5" ht="16.5">
      <c r="E8110" s="123"/>
    </row>
    <row r="8111" spans="5:5" ht="16.5">
      <c r="E8111" s="123"/>
    </row>
    <row r="8112" spans="5:5" ht="16.5">
      <c r="E8112" s="123"/>
    </row>
    <row r="8113" spans="5:5" ht="16.5">
      <c r="E8113" s="123"/>
    </row>
    <row r="8114" spans="5:5" ht="16.5">
      <c r="E8114" s="123"/>
    </row>
    <row r="8115" spans="5:5" ht="16.5">
      <c r="E8115" s="123"/>
    </row>
    <row r="8116" spans="5:5" ht="16.5">
      <c r="E8116" s="123"/>
    </row>
    <row r="8117" spans="5:5" ht="16.5">
      <c r="E8117" s="123"/>
    </row>
    <row r="8118" spans="5:5" ht="16.5">
      <c r="E8118" s="123"/>
    </row>
    <row r="8119" spans="5:5" ht="16.5">
      <c r="E8119" s="123"/>
    </row>
    <row r="8120" spans="5:5" ht="16.5">
      <c r="E8120" s="123"/>
    </row>
    <row r="8121" spans="5:5" ht="16.5">
      <c r="E8121" s="123"/>
    </row>
    <row r="8122" spans="5:5" ht="16.5">
      <c r="E8122" s="123"/>
    </row>
    <row r="8123" spans="5:5" ht="16.5">
      <c r="E8123" s="123"/>
    </row>
    <row r="8124" spans="5:5" ht="16.5">
      <c r="E8124" s="123"/>
    </row>
    <row r="8125" spans="5:5" ht="16.5">
      <c r="E8125" s="123"/>
    </row>
    <row r="8126" spans="5:5" ht="16.5">
      <c r="E8126" s="123"/>
    </row>
    <row r="8127" spans="5:5" ht="16.5">
      <c r="E8127" s="123"/>
    </row>
    <row r="8128" spans="5:5" ht="16.5">
      <c r="E8128" s="123"/>
    </row>
    <row r="8129" spans="5:5" ht="16.5">
      <c r="E8129" s="123"/>
    </row>
    <row r="8130" spans="5:5" ht="16.5">
      <c r="E8130" s="123"/>
    </row>
    <row r="8131" spans="5:5" ht="16.5">
      <c r="E8131" s="123"/>
    </row>
    <row r="8132" spans="5:5" ht="16.5">
      <c r="E8132" s="123"/>
    </row>
    <row r="8133" spans="5:5" ht="16.5">
      <c r="E8133" s="123"/>
    </row>
    <row r="8134" spans="5:5" ht="16.5">
      <c r="E8134" s="123"/>
    </row>
    <row r="8135" spans="5:5" ht="16.5">
      <c r="E8135" s="123"/>
    </row>
    <row r="8136" spans="5:5" ht="16.5">
      <c r="E8136" s="123"/>
    </row>
    <row r="8137" spans="5:5" ht="16.5">
      <c r="E8137" s="123"/>
    </row>
    <row r="8138" spans="5:5" ht="16.5">
      <c r="E8138" s="123"/>
    </row>
    <row r="8139" spans="5:5" ht="16.5">
      <c r="E8139" s="123"/>
    </row>
    <row r="8140" spans="5:5" ht="16.5">
      <c r="E8140" s="123"/>
    </row>
    <row r="8141" spans="5:5" ht="16.5">
      <c r="E8141" s="123"/>
    </row>
    <row r="8142" spans="5:5" ht="16.5">
      <c r="E8142" s="123"/>
    </row>
    <row r="8143" spans="5:5" ht="16.5">
      <c r="E8143" s="123"/>
    </row>
    <row r="8144" spans="5:5" ht="16.5">
      <c r="E8144" s="123"/>
    </row>
    <row r="8145" spans="5:5" ht="16.5">
      <c r="E8145" s="123"/>
    </row>
    <row r="8146" spans="5:5" ht="16.5">
      <c r="E8146" s="123"/>
    </row>
    <row r="8147" spans="5:5" ht="16.5">
      <c r="E8147" s="123"/>
    </row>
    <row r="8148" spans="5:5" ht="16.5">
      <c r="E8148" s="123"/>
    </row>
    <row r="8149" spans="5:5" ht="16.5">
      <c r="E8149" s="123"/>
    </row>
    <row r="8150" spans="5:5" ht="16.5">
      <c r="E8150" s="123"/>
    </row>
    <row r="8151" spans="5:5" ht="16.5">
      <c r="E8151" s="123"/>
    </row>
    <row r="8152" spans="5:5" ht="16.5">
      <c r="E8152" s="123"/>
    </row>
    <row r="8153" spans="5:5" ht="16.5">
      <c r="E8153" s="123"/>
    </row>
    <row r="8154" spans="5:5" ht="16.5">
      <c r="E8154" s="123"/>
    </row>
    <row r="8155" spans="5:5" ht="16.5">
      <c r="E8155" s="123"/>
    </row>
    <row r="8156" spans="5:5" ht="16.5">
      <c r="E8156" s="123"/>
    </row>
    <row r="8157" spans="5:5" ht="16.5">
      <c r="E8157" s="123"/>
    </row>
    <row r="8158" spans="5:5" ht="16.5">
      <c r="E8158" s="123"/>
    </row>
    <row r="8159" spans="5:5" ht="16.5">
      <c r="E8159" s="123"/>
    </row>
    <row r="8160" spans="5:5" ht="16.5">
      <c r="E8160" s="123"/>
    </row>
    <row r="8161" spans="5:5" ht="16.5">
      <c r="E8161" s="123"/>
    </row>
    <row r="8162" spans="5:5" ht="16.5">
      <c r="E8162" s="123"/>
    </row>
    <row r="8163" spans="5:5" ht="16.5">
      <c r="E8163" s="123"/>
    </row>
    <row r="8164" spans="5:5" ht="16.5">
      <c r="E8164" s="123"/>
    </row>
    <row r="8165" spans="5:5" ht="16.5">
      <c r="E8165" s="123"/>
    </row>
    <row r="8166" spans="5:5" ht="16.5">
      <c r="E8166" s="123"/>
    </row>
    <row r="8167" spans="5:5" ht="16.5">
      <c r="E8167" s="123"/>
    </row>
    <row r="8168" spans="5:5" ht="16.5">
      <c r="E8168" s="123"/>
    </row>
    <row r="8169" spans="5:5" ht="16.5">
      <c r="E8169" s="123"/>
    </row>
    <row r="8170" spans="5:5" ht="16.5">
      <c r="E8170" s="123"/>
    </row>
    <row r="8171" spans="5:5" ht="16.5">
      <c r="E8171" s="123"/>
    </row>
    <row r="8172" spans="5:5" ht="16.5">
      <c r="E8172" s="123"/>
    </row>
    <row r="8173" spans="5:5" ht="16.5">
      <c r="E8173" s="123"/>
    </row>
    <row r="8174" spans="5:5" ht="16.5">
      <c r="E8174" s="123"/>
    </row>
    <row r="8175" spans="5:5" ht="16.5">
      <c r="E8175" s="123"/>
    </row>
    <row r="8176" spans="5:5" ht="16.5">
      <c r="E8176" s="123"/>
    </row>
    <row r="8177" spans="5:5" ht="16.5">
      <c r="E8177" s="123"/>
    </row>
    <row r="8178" spans="5:5" ht="16.5">
      <c r="E8178" s="123"/>
    </row>
    <row r="8179" spans="5:5" ht="16.5">
      <c r="E8179" s="123"/>
    </row>
    <row r="8180" spans="5:5" ht="16.5">
      <c r="E8180" s="123"/>
    </row>
    <row r="8181" spans="5:5" ht="16.5">
      <c r="E8181" s="123"/>
    </row>
    <row r="8182" spans="5:5" ht="16.5">
      <c r="E8182" s="123"/>
    </row>
    <row r="8183" spans="5:5" ht="16.5">
      <c r="E8183" s="123"/>
    </row>
    <row r="8184" spans="5:5" ht="16.5">
      <c r="E8184" s="123"/>
    </row>
    <row r="8185" spans="5:5" ht="16.5">
      <c r="E8185" s="123"/>
    </row>
    <row r="8186" spans="5:5" ht="16.5">
      <c r="E8186" s="123"/>
    </row>
    <row r="8187" spans="5:5" ht="16.5">
      <c r="E8187" s="123"/>
    </row>
    <row r="8188" spans="5:5" ht="16.5">
      <c r="E8188" s="123"/>
    </row>
    <row r="8189" spans="5:5" ht="16.5">
      <c r="E8189" s="123"/>
    </row>
    <row r="8190" spans="5:5" ht="16.5">
      <c r="E8190" s="123"/>
    </row>
    <row r="8191" spans="5:5" ht="16.5">
      <c r="E8191" s="123"/>
    </row>
    <row r="8192" spans="5:5" ht="16.5">
      <c r="E8192" s="123"/>
    </row>
    <row r="8193" spans="5:5" ht="16.5">
      <c r="E8193" s="123"/>
    </row>
    <row r="8194" spans="5:5" ht="16.5">
      <c r="E8194" s="123"/>
    </row>
    <row r="8195" spans="5:5" ht="16.5">
      <c r="E8195" s="123"/>
    </row>
    <row r="8196" spans="5:5" ht="16.5">
      <c r="E8196" s="123"/>
    </row>
    <row r="8197" spans="5:5" ht="16.5">
      <c r="E8197" s="123"/>
    </row>
    <row r="8198" spans="5:5" ht="16.5">
      <c r="E8198" s="123"/>
    </row>
    <row r="8199" spans="5:5" ht="16.5">
      <c r="E8199" s="123"/>
    </row>
    <row r="8200" spans="5:5" ht="16.5">
      <c r="E8200" s="123"/>
    </row>
    <row r="8201" spans="5:5" ht="16.5">
      <c r="E8201" s="123"/>
    </row>
    <row r="8202" spans="5:5" ht="16.5">
      <c r="E8202" s="123"/>
    </row>
    <row r="8203" spans="5:5" ht="16.5">
      <c r="E8203" s="123"/>
    </row>
    <row r="8204" spans="5:5" ht="16.5">
      <c r="E8204" s="123"/>
    </row>
    <row r="8205" spans="5:5" ht="16.5">
      <c r="E8205" s="123"/>
    </row>
    <row r="8206" spans="5:5" ht="16.5">
      <c r="E8206" s="123"/>
    </row>
    <row r="8207" spans="5:5" ht="16.5">
      <c r="E8207" s="123"/>
    </row>
    <row r="8208" spans="5:5" ht="16.5">
      <c r="E8208" s="123"/>
    </row>
    <row r="8209" spans="5:5" ht="16.5">
      <c r="E8209" s="123"/>
    </row>
    <row r="8210" spans="5:5" ht="16.5">
      <c r="E8210" s="123"/>
    </row>
    <row r="8211" spans="5:5" ht="16.5">
      <c r="E8211" s="123"/>
    </row>
    <row r="8212" spans="5:5" ht="16.5">
      <c r="E8212" s="123"/>
    </row>
    <row r="8213" spans="5:5" ht="16.5">
      <c r="E8213" s="123"/>
    </row>
    <row r="8214" spans="5:5" ht="16.5">
      <c r="E8214" s="123"/>
    </row>
    <row r="8215" spans="5:5" ht="16.5">
      <c r="E8215" s="123"/>
    </row>
    <row r="8216" spans="5:5" ht="16.5">
      <c r="E8216" s="123"/>
    </row>
    <row r="8217" spans="5:5" ht="16.5">
      <c r="E8217" s="123"/>
    </row>
    <row r="8218" spans="5:5" ht="16.5">
      <c r="E8218" s="123"/>
    </row>
    <row r="8219" spans="5:5" ht="16.5">
      <c r="E8219" s="123"/>
    </row>
    <row r="8220" spans="5:5" ht="16.5">
      <c r="E8220" s="123"/>
    </row>
    <row r="8221" spans="5:5" ht="16.5">
      <c r="E8221" s="123"/>
    </row>
    <row r="8222" spans="5:5" ht="16.5">
      <c r="E8222" s="123"/>
    </row>
    <row r="8223" spans="5:5" ht="16.5">
      <c r="E8223" s="123"/>
    </row>
    <row r="8224" spans="5:5" ht="16.5">
      <c r="E8224" s="123"/>
    </row>
    <row r="8225" spans="5:5" ht="16.5">
      <c r="E8225" s="123"/>
    </row>
    <row r="8226" spans="5:5" ht="16.5">
      <c r="E8226" s="123"/>
    </row>
    <row r="8227" spans="5:5" ht="16.5">
      <c r="E8227" s="123"/>
    </row>
    <row r="8228" spans="5:5" ht="16.5">
      <c r="E8228" s="123"/>
    </row>
    <row r="8229" spans="5:5" ht="16.5">
      <c r="E8229" s="123"/>
    </row>
    <row r="8230" spans="5:5" ht="16.5">
      <c r="E8230" s="123"/>
    </row>
    <row r="8231" spans="5:5" ht="16.5">
      <c r="E8231" s="123"/>
    </row>
    <row r="8232" spans="5:5" ht="16.5">
      <c r="E8232" s="123"/>
    </row>
    <row r="8233" spans="5:5" ht="16.5">
      <c r="E8233" s="123"/>
    </row>
    <row r="8234" spans="5:5" ht="16.5">
      <c r="E8234" s="123"/>
    </row>
    <row r="8235" spans="5:5" ht="16.5">
      <c r="E8235" s="123"/>
    </row>
    <row r="8236" spans="5:5" ht="16.5">
      <c r="E8236" s="123"/>
    </row>
    <row r="8237" spans="5:5" ht="16.5">
      <c r="E8237" s="123"/>
    </row>
    <row r="8238" spans="5:5" ht="16.5">
      <c r="E8238" s="123"/>
    </row>
    <row r="8239" spans="5:5" ht="16.5">
      <c r="E8239" s="123"/>
    </row>
    <row r="8240" spans="5:5" ht="16.5">
      <c r="E8240" s="123"/>
    </row>
    <row r="8241" spans="5:5" ht="16.5">
      <c r="E8241" s="123"/>
    </row>
    <row r="8242" spans="5:5" ht="16.5">
      <c r="E8242" s="123"/>
    </row>
    <row r="8243" spans="5:5" ht="16.5">
      <c r="E8243" s="123"/>
    </row>
    <row r="8244" spans="5:5" ht="16.5">
      <c r="E8244" s="123"/>
    </row>
    <row r="8245" spans="5:5" ht="16.5">
      <c r="E8245" s="123"/>
    </row>
    <row r="8246" spans="5:5" ht="16.5">
      <c r="E8246" s="123"/>
    </row>
    <row r="8247" spans="5:5" ht="16.5">
      <c r="E8247" s="123"/>
    </row>
    <row r="8248" spans="5:5" ht="16.5">
      <c r="E8248" s="123"/>
    </row>
    <row r="8249" spans="5:5" ht="16.5">
      <c r="E8249" s="123"/>
    </row>
    <row r="8250" spans="5:5" ht="16.5">
      <c r="E8250" s="123"/>
    </row>
    <row r="8251" spans="5:5" ht="16.5">
      <c r="E8251" s="123"/>
    </row>
    <row r="8252" spans="5:5" ht="16.5">
      <c r="E8252" s="123"/>
    </row>
    <row r="8253" spans="5:5" ht="16.5">
      <c r="E8253" s="123"/>
    </row>
    <row r="8254" spans="5:5" ht="16.5">
      <c r="E8254" s="123"/>
    </row>
    <row r="8255" spans="5:5" ht="16.5">
      <c r="E8255" s="123"/>
    </row>
    <row r="8256" spans="5:5" ht="16.5">
      <c r="E8256" s="123"/>
    </row>
    <row r="8257" spans="5:5" ht="16.5">
      <c r="E8257" s="123"/>
    </row>
    <row r="8258" spans="5:5" ht="16.5">
      <c r="E8258" s="123"/>
    </row>
    <row r="8259" spans="5:5" ht="16.5">
      <c r="E8259" s="123"/>
    </row>
    <row r="8260" spans="5:5" ht="16.5">
      <c r="E8260" s="123"/>
    </row>
    <row r="8261" spans="5:5" ht="16.5">
      <c r="E8261" s="123"/>
    </row>
    <row r="8262" spans="5:5" ht="16.5">
      <c r="E8262" s="123"/>
    </row>
    <row r="8263" spans="5:5" ht="16.5">
      <c r="E8263" s="123"/>
    </row>
    <row r="8264" spans="5:5" ht="16.5">
      <c r="E8264" s="123"/>
    </row>
    <row r="8265" spans="5:5" ht="16.5">
      <c r="E8265" s="123"/>
    </row>
    <row r="8266" spans="5:5" ht="16.5">
      <c r="E8266" s="123"/>
    </row>
    <row r="8267" spans="5:5" ht="16.5">
      <c r="E8267" s="123"/>
    </row>
    <row r="8268" spans="5:5" ht="16.5">
      <c r="E8268" s="123"/>
    </row>
    <row r="8269" spans="5:5" ht="16.5">
      <c r="E8269" s="123"/>
    </row>
    <row r="8270" spans="5:5" ht="16.5">
      <c r="E8270" s="123"/>
    </row>
    <row r="8271" spans="5:5" ht="16.5">
      <c r="E8271" s="123"/>
    </row>
    <row r="8272" spans="5:5" ht="16.5">
      <c r="E8272" s="123"/>
    </row>
    <row r="8273" spans="5:5" ht="16.5">
      <c r="E8273" s="123"/>
    </row>
    <row r="8274" spans="5:5" ht="16.5">
      <c r="E8274" s="123"/>
    </row>
    <row r="8275" spans="5:5" ht="16.5">
      <c r="E8275" s="123"/>
    </row>
    <row r="8276" spans="5:5" ht="16.5">
      <c r="E8276" s="123"/>
    </row>
    <row r="8277" spans="5:5" ht="16.5">
      <c r="E8277" s="123"/>
    </row>
    <row r="8278" spans="5:5" ht="16.5">
      <c r="E8278" s="123"/>
    </row>
    <row r="8279" spans="5:5" ht="16.5">
      <c r="E8279" s="123"/>
    </row>
    <row r="8280" spans="5:5" ht="16.5">
      <c r="E8280" s="123"/>
    </row>
    <row r="8281" spans="5:5" ht="16.5">
      <c r="E8281" s="123"/>
    </row>
    <row r="8282" spans="5:5" ht="16.5">
      <c r="E8282" s="123"/>
    </row>
    <row r="8283" spans="5:5" ht="16.5">
      <c r="E8283" s="123"/>
    </row>
    <row r="8284" spans="5:5" ht="16.5">
      <c r="E8284" s="123"/>
    </row>
    <row r="8285" spans="5:5" ht="16.5">
      <c r="E8285" s="123"/>
    </row>
    <row r="8286" spans="5:5" ht="16.5">
      <c r="E8286" s="123"/>
    </row>
    <row r="8287" spans="5:5" ht="16.5">
      <c r="E8287" s="123"/>
    </row>
    <row r="8288" spans="5:5" ht="16.5">
      <c r="E8288" s="123"/>
    </row>
    <row r="8289" spans="5:5" ht="16.5">
      <c r="E8289" s="123"/>
    </row>
    <row r="8290" spans="5:5" ht="16.5">
      <c r="E8290" s="123"/>
    </row>
    <row r="8291" spans="5:5" ht="16.5">
      <c r="E8291" s="123"/>
    </row>
    <row r="8292" spans="5:5" ht="16.5">
      <c r="E8292" s="123"/>
    </row>
    <row r="8293" spans="5:5" ht="16.5">
      <c r="E8293" s="123"/>
    </row>
    <row r="8294" spans="5:5" ht="16.5">
      <c r="E8294" s="123"/>
    </row>
    <row r="8295" spans="5:5" ht="16.5">
      <c r="E8295" s="123"/>
    </row>
    <row r="8296" spans="5:5" ht="16.5">
      <c r="E8296" s="123"/>
    </row>
    <row r="8297" spans="5:5" ht="16.5">
      <c r="E8297" s="123"/>
    </row>
    <row r="8298" spans="5:5" ht="16.5">
      <c r="E8298" s="123"/>
    </row>
    <row r="8299" spans="5:5" ht="16.5">
      <c r="E8299" s="123"/>
    </row>
    <row r="8300" spans="5:5" ht="16.5">
      <c r="E8300" s="123"/>
    </row>
    <row r="8301" spans="5:5" ht="16.5">
      <c r="E8301" s="123"/>
    </row>
    <row r="8302" spans="5:5" ht="16.5">
      <c r="E8302" s="123"/>
    </row>
    <row r="8303" spans="5:5" ht="16.5">
      <c r="E8303" s="123"/>
    </row>
    <row r="8304" spans="5:5" ht="16.5">
      <c r="E8304" s="123"/>
    </row>
    <row r="8305" spans="5:5" ht="16.5">
      <c r="E8305" s="123"/>
    </row>
    <row r="8306" spans="5:5" ht="16.5">
      <c r="E8306" s="123"/>
    </row>
    <row r="8307" spans="5:5" ht="16.5">
      <c r="E8307" s="123"/>
    </row>
    <row r="8308" spans="5:5" ht="16.5">
      <c r="E8308" s="123"/>
    </row>
    <row r="8309" spans="5:5" ht="16.5">
      <c r="E8309" s="123"/>
    </row>
    <row r="8310" spans="5:5" ht="16.5">
      <c r="E8310" s="123"/>
    </row>
    <row r="8311" spans="5:5" ht="16.5">
      <c r="E8311" s="123"/>
    </row>
    <row r="8312" spans="5:5" ht="16.5">
      <c r="E8312" s="123"/>
    </row>
    <row r="8313" spans="5:5" ht="16.5">
      <c r="E8313" s="123"/>
    </row>
    <row r="8314" spans="5:5" ht="16.5">
      <c r="E8314" s="123"/>
    </row>
    <row r="8315" spans="5:5" ht="16.5">
      <c r="E8315" s="123"/>
    </row>
    <row r="8316" spans="5:5" ht="16.5">
      <c r="E8316" s="123"/>
    </row>
    <row r="8317" spans="5:5" ht="16.5">
      <c r="E8317" s="123"/>
    </row>
    <row r="8318" spans="5:5" ht="16.5">
      <c r="E8318" s="123"/>
    </row>
    <row r="8319" spans="5:5" ht="16.5">
      <c r="E8319" s="123"/>
    </row>
    <row r="8320" spans="5:5" ht="16.5">
      <c r="E8320" s="123"/>
    </row>
    <row r="8321" spans="5:5" ht="16.5">
      <c r="E8321" s="123"/>
    </row>
    <row r="8322" spans="5:5" ht="16.5">
      <c r="E8322" s="123"/>
    </row>
    <row r="8323" spans="5:5" ht="16.5">
      <c r="E8323" s="123"/>
    </row>
    <row r="8324" spans="5:5" ht="16.5">
      <c r="E8324" s="123"/>
    </row>
    <row r="8325" spans="5:5" ht="16.5">
      <c r="E8325" s="123"/>
    </row>
    <row r="8326" spans="5:5" ht="16.5">
      <c r="E8326" s="123"/>
    </row>
    <row r="8327" spans="5:5" ht="16.5">
      <c r="E8327" s="123"/>
    </row>
    <row r="8328" spans="5:5" ht="16.5">
      <c r="E8328" s="123"/>
    </row>
    <row r="8329" spans="5:5" ht="16.5">
      <c r="E8329" s="123"/>
    </row>
    <row r="8330" spans="5:5" ht="16.5">
      <c r="E8330" s="123"/>
    </row>
    <row r="8331" spans="5:5" ht="16.5">
      <c r="E8331" s="123"/>
    </row>
    <row r="8332" spans="5:5" ht="16.5">
      <c r="E8332" s="123"/>
    </row>
    <row r="8333" spans="5:5" ht="16.5">
      <c r="E8333" s="123"/>
    </row>
    <row r="8334" spans="5:5" ht="16.5">
      <c r="E8334" s="123"/>
    </row>
    <row r="8335" spans="5:5" ht="16.5">
      <c r="E8335" s="123"/>
    </row>
    <row r="8336" spans="5:5" ht="16.5">
      <c r="E8336" s="123"/>
    </row>
    <row r="8337" spans="5:5" ht="16.5">
      <c r="E8337" s="123"/>
    </row>
    <row r="8338" spans="5:5" ht="16.5">
      <c r="E8338" s="123"/>
    </row>
    <row r="8339" spans="5:5" ht="16.5">
      <c r="E8339" s="123"/>
    </row>
    <row r="8340" spans="5:5" ht="16.5">
      <c r="E8340" s="123"/>
    </row>
    <row r="8341" spans="5:5" ht="16.5">
      <c r="E8341" s="123"/>
    </row>
    <row r="8342" spans="5:5" ht="16.5">
      <c r="E8342" s="123"/>
    </row>
    <row r="8343" spans="5:5" ht="16.5">
      <c r="E8343" s="123"/>
    </row>
    <row r="8344" spans="5:5" ht="16.5">
      <c r="E8344" s="123"/>
    </row>
    <row r="8345" spans="5:5" ht="16.5">
      <c r="E8345" s="123"/>
    </row>
    <row r="8346" spans="5:5" ht="16.5">
      <c r="E8346" s="123"/>
    </row>
    <row r="8347" spans="5:5" ht="16.5">
      <c r="E8347" s="123"/>
    </row>
    <row r="8348" spans="5:5" ht="16.5">
      <c r="E8348" s="123"/>
    </row>
    <row r="8349" spans="5:5" ht="16.5">
      <c r="E8349" s="123"/>
    </row>
    <row r="8350" spans="5:5" ht="16.5">
      <c r="E8350" s="123"/>
    </row>
    <row r="8351" spans="5:5" ht="16.5">
      <c r="E8351" s="123"/>
    </row>
    <row r="8352" spans="5:5" ht="16.5">
      <c r="E8352" s="123"/>
    </row>
    <row r="8353" spans="5:5" ht="16.5">
      <c r="E8353" s="123"/>
    </row>
    <row r="8354" spans="5:5" ht="16.5">
      <c r="E8354" s="123"/>
    </row>
    <row r="8355" spans="5:5" ht="16.5">
      <c r="E8355" s="123"/>
    </row>
    <row r="8356" spans="5:5" ht="16.5">
      <c r="E8356" s="123"/>
    </row>
    <row r="8357" spans="5:5" ht="16.5">
      <c r="E8357" s="123"/>
    </row>
    <row r="8358" spans="5:5" ht="16.5">
      <c r="E8358" s="123"/>
    </row>
    <row r="8359" spans="5:5" ht="16.5">
      <c r="E8359" s="123"/>
    </row>
    <row r="8360" spans="5:5" ht="16.5">
      <c r="E8360" s="123"/>
    </row>
    <row r="8361" spans="5:5" ht="16.5">
      <c r="E8361" s="123"/>
    </row>
    <row r="8362" spans="5:5" ht="16.5">
      <c r="E8362" s="123"/>
    </row>
    <row r="8363" spans="5:5" ht="16.5">
      <c r="E8363" s="123"/>
    </row>
    <row r="8364" spans="5:5" ht="16.5">
      <c r="E8364" s="123"/>
    </row>
    <row r="8365" spans="5:5" ht="16.5">
      <c r="E8365" s="123"/>
    </row>
    <row r="8366" spans="5:5" ht="16.5">
      <c r="E8366" s="123"/>
    </row>
    <row r="8367" spans="5:5" ht="16.5">
      <c r="E8367" s="123"/>
    </row>
    <row r="8368" spans="5:5" ht="16.5">
      <c r="E8368" s="123"/>
    </row>
    <row r="8369" spans="5:5" ht="16.5">
      <c r="E8369" s="123"/>
    </row>
    <row r="8370" spans="5:5" ht="16.5">
      <c r="E8370" s="123"/>
    </row>
    <row r="8371" spans="5:5" ht="16.5">
      <c r="E8371" s="123"/>
    </row>
    <row r="8372" spans="5:5" ht="16.5">
      <c r="E8372" s="123"/>
    </row>
    <row r="8373" spans="5:5" ht="16.5">
      <c r="E8373" s="123"/>
    </row>
    <row r="8374" spans="5:5" ht="16.5">
      <c r="E8374" s="123"/>
    </row>
    <row r="8375" spans="5:5" ht="16.5">
      <c r="E8375" s="123"/>
    </row>
    <row r="8376" spans="5:5" ht="16.5">
      <c r="E8376" s="123"/>
    </row>
    <row r="8377" spans="5:5" ht="16.5">
      <c r="E8377" s="123"/>
    </row>
    <row r="8378" spans="5:5" ht="16.5">
      <c r="E8378" s="123"/>
    </row>
    <row r="8379" spans="5:5" ht="16.5">
      <c r="E8379" s="123"/>
    </row>
    <row r="8380" spans="5:5" ht="16.5">
      <c r="E8380" s="123"/>
    </row>
    <row r="8381" spans="5:5" ht="16.5">
      <c r="E8381" s="123"/>
    </row>
    <row r="8382" spans="5:5" ht="16.5">
      <c r="E8382" s="123"/>
    </row>
    <row r="8383" spans="5:5" ht="16.5">
      <c r="E8383" s="123"/>
    </row>
    <row r="8384" spans="5:5" ht="16.5">
      <c r="E8384" s="123"/>
    </row>
    <row r="8385" spans="5:5" ht="16.5">
      <c r="E8385" s="123"/>
    </row>
    <row r="8386" spans="5:5" ht="16.5">
      <c r="E8386" s="123"/>
    </row>
    <row r="8387" spans="5:5" ht="16.5">
      <c r="E8387" s="123"/>
    </row>
    <row r="8388" spans="5:5" ht="16.5">
      <c r="E8388" s="123"/>
    </row>
    <row r="8389" spans="5:5" ht="16.5">
      <c r="E8389" s="123"/>
    </row>
    <row r="8390" spans="5:5" ht="16.5">
      <c r="E8390" s="123"/>
    </row>
    <row r="8391" spans="5:5" ht="16.5">
      <c r="E8391" s="123"/>
    </row>
    <row r="8392" spans="5:5" ht="16.5">
      <c r="E8392" s="123"/>
    </row>
    <row r="8393" spans="5:5" ht="16.5">
      <c r="E8393" s="123"/>
    </row>
    <row r="8394" spans="5:5" ht="16.5">
      <c r="E8394" s="123"/>
    </row>
    <row r="8395" spans="5:5" ht="16.5">
      <c r="E8395" s="123"/>
    </row>
    <row r="8396" spans="5:5" ht="16.5">
      <c r="E8396" s="123"/>
    </row>
    <row r="8397" spans="5:5" ht="16.5">
      <c r="E8397" s="123"/>
    </row>
    <row r="8398" spans="5:5" ht="16.5">
      <c r="E8398" s="123"/>
    </row>
    <row r="8399" spans="5:5" ht="16.5">
      <c r="E8399" s="123"/>
    </row>
    <row r="8400" spans="5:5" ht="16.5">
      <c r="E8400" s="123"/>
    </row>
    <row r="8401" spans="5:5" ht="16.5">
      <c r="E8401" s="123"/>
    </row>
    <row r="8402" spans="5:5" ht="16.5">
      <c r="E8402" s="123"/>
    </row>
    <row r="8403" spans="5:5" ht="16.5">
      <c r="E8403" s="123"/>
    </row>
    <row r="8404" spans="5:5" ht="16.5">
      <c r="E8404" s="123"/>
    </row>
    <row r="8405" spans="5:5" ht="16.5">
      <c r="E8405" s="123"/>
    </row>
    <row r="8406" spans="5:5" ht="16.5">
      <c r="E8406" s="123"/>
    </row>
    <row r="8407" spans="5:5" ht="16.5">
      <c r="E8407" s="123"/>
    </row>
    <row r="8408" spans="5:5" ht="16.5">
      <c r="E8408" s="123"/>
    </row>
    <row r="8409" spans="5:5" ht="16.5">
      <c r="E8409" s="123"/>
    </row>
    <row r="8410" spans="5:5" ht="16.5">
      <c r="E8410" s="123"/>
    </row>
    <row r="8411" spans="5:5" ht="16.5">
      <c r="E8411" s="123"/>
    </row>
    <row r="8412" spans="5:5" ht="16.5">
      <c r="E8412" s="123"/>
    </row>
    <row r="8413" spans="5:5" ht="16.5">
      <c r="E8413" s="123"/>
    </row>
    <row r="8414" spans="5:5" ht="16.5">
      <c r="E8414" s="123"/>
    </row>
    <row r="8415" spans="5:5" ht="16.5">
      <c r="E8415" s="123"/>
    </row>
    <row r="8416" spans="5:5" ht="16.5">
      <c r="E8416" s="123"/>
    </row>
    <row r="8417" spans="5:5" ht="16.5">
      <c r="E8417" s="123"/>
    </row>
    <row r="8418" spans="5:5" ht="16.5">
      <c r="E8418" s="123"/>
    </row>
    <row r="8419" spans="5:5" ht="16.5">
      <c r="E8419" s="123"/>
    </row>
    <row r="8420" spans="5:5" ht="16.5">
      <c r="E8420" s="123"/>
    </row>
    <row r="8421" spans="5:5" ht="16.5">
      <c r="E8421" s="123"/>
    </row>
    <row r="8422" spans="5:5" ht="16.5">
      <c r="E8422" s="123"/>
    </row>
    <row r="8423" spans="5:5" ht="16.5">
      <c r="E8423" s="123"/>
    </row>
    <row r="8424" spans="5:5" ht="16.5">
      <c r="E8424" s="123"/>
    </row>
    <row r="8425" spans="5:5" ht="16.5">
      <c r="E8425" s="123"/>
    </row>
    <row r="8426" spans="5:5" ht="16.5">
      <c r="E8426" s="123"/>
    </row>
    <row r="8427" spans="5:5" ht="16.5">
      <c r="E8427" s="123"/>
    </row>
    <row r="8428" spans="5:5" ht="16.5">
      <c r="E8428" s="123"/>
    </row>
    <row r="8429" spans="5:5" ht="16.5">
      <c r="E8429" s="123"/>
    </row>
    <row r="8430" spans="5:5" ht="16.5">
      <c r="E8430" s="123"/>
    </row>
    <row r="8431" spans="5:5" ht="16.5">
      <c r="E8431" s="123"/>
    </row>
    <row r="8432" spans="5:5" ht="16.5">
      <c r="E8432" s="123"/>
    </row>
    <row r="8433" spans="5:5" ht="16.5">
      <c r="E8433" s="123"/>
    </row>
    <row r="8434" spans="5:5" ht="16.5">
      <c r="E8434" s="123"/>
    </row>
    <row r="8435" spans="5:5" ht="16.5">
      <c r="E8435" s="123"/>
    </row>
    <row r="8436" spans="5:5" ht="16.5">
      <c r="E8436" s="123"/>
    </row>
    <row r="8437" spans="5:5" ht="16.5">
      <c r="E8437" s="123"/>
    </row>
    <row r="8438" spans="5:5" ht="16.5">
      <c r="E8438" s="123"/>
    </row>
    <row r="8439" spans="5:5" ht="16.5">
      <c r="E8439" s="123"/>
    </row>
    <row r="8440" spans="5:5" ht="16.5">
      <c r="E8440" s="123"/>
    </row>
    <row r="8441" spans="5:5" ht="16.5">
      <c r="E8441" s="123"/>
    </row>
    <row r="8442" spans="5:5" ht="16.5">
      <c r="E8442" s="123"/>
    </row>
    <row r="8443" spans="5:5" ht="16.5">
      <c r="E8443" s="123"/>
    </row>
    <row r="8444" spans="5:5" ht="16.5">
      <c r="E8444" s="123"/>
    </row>
    <row r="8445" spans="5:5" ht="16.5">
      <c r="E8445" s="123"/>
    </row>
    <row r="8446" spans="5:5" ht="16.5">
      <c r="E8446" s="123"/>
    </row>
    <row r="8447" spans="5:5" ht="16.5">
      <c r="E8447" s="123"/>
    </row>
    <row r="8448" spans="5:5" ht="16.5">
      <c r="E8448" s="123"/>
    </row>
    <row r="8449" spans="5:5" ht="16.5">
      <c r="E8449" s="123"/>
    </row>
    <row r="8450" spans="5:5" ht="16.5">
      <c r="E8450" s="123"/>
    </row>
    <row r="8451" spans="5:5" ht="16.5">
      <c r="E8451" s="123"/>
    </row>
    <row r="8452" spans="5:5" ht="16.5">
      <c r="E8452" s="123"/>
    </row>
    <row r="8453" spans="5:5" ht="16.5">
      <c r="E8453" s="123"/>
    </row>
    <row r="8454" spans="5:5" ht="16.5">
      <c r="E8454" s="123"/>
    </row>
    <row r="8455" spans="5:5" ht="16.5">
      <c r="E8455" s="123"/>
    </row>
    <row r="8456" spans="5:5" ht="16.5">
      <c r="E8456" s="123"/>
    </row>
    <row r="8457" spans="5:5" ht="16.5">
      <c r="E8457" s="123"/>
    </row>
    <row r="8458" spans="5:5" ht="16.5">
      <c r="E8458" s="123"/>
    </row>
    <row r="8459" spans="5:5" ht="16.5">
      <c r="E8459" s="123"/>
    </row>
    <row r="8460" spans="5:5" ht="16.5">
      <c r="E8460" s="123"/>
    </row>
    <row r="8461" spans="5:5" ht="16.5">
      <c r="E8461" s="123"/>
    </row>
    <row r="8462" spans="5:5" ht="16.5">
      <c r="E8462" s="123"/>
    </row>
    <row r="8463" spans="5:5" ht="16.5">
      <c r="E8463" s="123"/>
    </row>
    <row r="8464" spans="5:5" ht="16.5">
      <c r="E8464" s="123"/>
    </row>
    <row r="8465" spans="5:5" ht="16.5">
      <c r="E8465" s="123"/>
    </row>
    <row r="8466" spans="5:5" ht="16.5">
      <c r="E8466" s="123"/>
    </row>
    <row r="8467" spans="5:5" ht="16.5">
      <c r="E8467" s="123"/>
    </row>
    <row r="8468" spans="5:5" ht="16.5">
      <c r="E8468" s="123"/>
    </row>
    <row r="8469" spans="5:5" ht="16.5">
      <c r="E8469" s="123"/>
    </row>
    <row r="8470" spans="5:5" ht="16.5">
      <c r="E8470" s="123"/>
    </row>
    <row r="8471" spans="5:5" ht="16.5">
      <c r="E8471" s="123"/>
    </row>
    <row r="8472" spans="5:5" ht="16.5">
      <c r="E8472" s="123"/>
    </row>
    <row r="8473" spans="5:5" ht="16.5">
      <c r="E8473" s="123"/>
    </row>
    <row r="8474" spans="5:5" ht="16.5">
      <c r="E8474" s="123"/>
    </row>
    <row r="8475" spans="5:5" ht="16.5">
      <c r="E8475" s="123"/>
    </row>
    <row r="8476" spans="5:5" ht="16.5">
      <c r="E8476" s="123"/>
    </row>
    <row r="8477" spans="5:5" ht="16.5">
      <c r="E8477" s="123"/>
    </row>
    <row r="8478" spans="5:5" ht="16.5">
      <c r="E8478" s="123"/>
    </row>
    <row r="8479" spans="5:5" ht="16.5">
      <c r="E8479" s="123"/>
    </row>
    <row r="8480" spans="5:5" ht="16.5">
      <c r="E8480" s="123"/>
    </row>
    <row r="8481" spans="5:5" ht="16.5">
      <c r="E8481" s="123"/>
    </row>
    <row r="8482" spans="5:5" ht="16.5">
      <c r="E8482" s="123"/>
    </row>
    <row r="8483" spans="5:5" ht="16.5">
      <c r="E8483" s="123"/>
    </row>
    <row r="8484" spans="5:5" ht="16.5">
      <c r="E8484" s="123"/>
    </row>
    <row r="8485" spans="5:5" ht="16.5">
      <c r="E8485" s="123"/>
    </row>
    <row r="8486" spans="5:5" ht="16.5">
      <c r="E8486" s="123"/>
    </row>
    <row r="8487" spans="5:5" ht="16.5">
      <c r="E8487" s="123"/>
    </row>
    <row r="8488" spans="5:5" ht="16.5">
      <c r="E8488" s="123"/>
    </row>
    <row r="8489" spans="5:5" ht="16.5">
      <c r="E8489" s="123"/>
    </row>
    <row r="8490" spans="5:5" ht="16.5">
      <c r="E8490" s="123"/>
    </row>
    <row r="8491" spans="5:5" ht="16.5">
      <c r="E8491" s="123"/>
    </row>
    <row r="8492" spans="5:5" ht="16.5">
      <c r="E8492" s="123"/>
    </row>
    <row r="8493" spans="5:5" ht="16.5">
      <c r="E8493" s="123"/>
    </row>
    <row r="8494" spans="5:5" ht="16.5">
      <c r="E8494" s="123"/>
    </row>
    <row r="8495" spans="5:5" ht="16.5">
      <c r="E8495" s="123"/>
    </row>
    <row r="8496" spans="5:5" ht="16.5">
      <c r="E8496" s="123"/>
    </row>
    <row r="8497" spans="5:5" ht="16.5">
      <c r="E8497" s="123"/>
    </row>
    <row r="8498" spans="5:5" ht="16.5">
      <c r="E8498" s="123"/>
    </row>
    <row r="8499" spans="5:5" ht="16.5">
      <c r="E8499" s="123"/>
    </row>
    <row r="8500" spans="5:5" ht="16.5">
      <c r="E8500" s="123"/>
    </row>
    <row r="8501" spans="5:5" ht="16.5">
      <c r="E8501" s="123"/>
    </row>
    <row r="8502" spans="5:5" ht="16.5">
      <c r="E8502" s="123"/>
    </row>
    <row r="8503" spans="5:5" ht="16.5">
      <c r="E8503" s="123"/>
    </row>
    <row r="8504" spans="5:5" ht="16.5">
      <c r="E8504" s="123"/>
    </row>
    <row r="8505" spans="5:5" ht="16.5">
      <c r="E8505" s="123"/>
    </row>
    <row r="8506" spans="5:5" ht="16.5">
      <c r="E8506" s="123"/>
    </row>
    <row r="8507" spans="5:5" ht="16.5">
      <c r="E8507" s="123"/>
    </row>
    <row r="8508" spans="5:5" ht="16.5">
      <c r="E8508" s="123"/>
    </row>
    <row r="8509" spans="5:5" ht="16.5">
      <c r="E8509" s="123"/>
    </row>
    <row r="8510" spans="5:5" ht="16.5">
      <c r="E8510" s="123"/>
    </row>
    <row r="8511" spans="5:5" ht="16.5">
      <c r="E8511" s="123"/>
    </row>
    <row r="8512" spans="5:5" ht="16.5">
      <c r="E8512" s="123"/>
    </row>
    <row r="8513" spans="5:5" ht="16.5">
      <c r="E8513" s="123"/>
    </row>
    <row r="8514" spans="5:5" ht="16.5">
      <c r="E8514" s="123"/>
    </row>
    <row r="8515" spans="5:5" ht="16.5">
      <c r="E8515" s="123"/>
    </row>
    <row r="8516" spans="5:5" ht="16.5">
      <c r="E8516" s="123"/>
    </row>
    <row r="8517" spans="5:5" ht="16.5">
      <c r="E8517" s="123"/>
    </row>
    <row r="8518" spans="5:5" ht="16.5">
      <c r="E8518" s="123"/>
    </row>
    <row r="8519" spans="5:5" ht="16.5">
      <c r="E8519" s="123"/>
    </row>
    <row r="8520" spans="5:5" ht="16.5">
      <c r="E8520" s="123"/>
    </row>
    <row r="8521" spans="5:5" ht="16.5">
      <c r="E8521" s="123"/>
    </row>
    <row r="8522" spans="5:5" ht="16.5">
      <c r="E8522" s="123"/>
    </row>
    <row r="8523" spans="5:5" ht="16.5">
      <c r="E8523" s="123"/>
    </row>
    <row r="8524" spans="5:5" ht="16.5">
      <c r="E8524" s="123"/>
    </row>
    <row r="8525" spans="5:5" ht="16.5">
      <c r="E8525" s="123"/>
    </row>
    <row r="8526" spans="5:5" ht="16.5">
      <c r="E8526" s="123"/>
    </row>
    <row r="8527" spans="5:5" ht="16.5">
      <c r="E8527" s="123"/>
    </row>
    <row r="8528" spans="5:5" ht="16.5">
      <c r="E8528" s="123"/>
    </row>
    <row r="8529" spans="5:5" ht="16.5">
      <c r="E8529" s="123"/>
    </row>
    <row r="8530" spans="5:5" ht="16.5">
      <c r="E8530" s="123"/>
    </row>
    <row r="8531" spans="5:5" ht="16.5">
      <c r="E8531" s="123"/>
    </row>
    <row r="8532" spans="5:5" ht="16.5">
      <c r="E8532" s="123"/>
    </row>
    <row r="8533" spans="5:5" ht="16.5">
      <c r="E8533" s="123"/>
    </row>
    <row r="8534" spans="5:5" ht="16.5">
      <c r="E8534" s="123"/>
    </row>
    <row r="8535" spans="5:5" ht="16.5">
      <c r="E8535" s="123"/>
    </row>
    <row r="8536" spans="5:5" ht="16.5">
      <c r="E8536" s="123"/>
    </row>
    <row r="8537" spans="5:5" ht="16.5">
      <c r="E8537" s="123"/>
    </row>
    <row r="8538" spans="5:5" ht="16.5">
      <c r="E8538" s="123"/>
    </row>
    <row r="8539" spans="5:5" ht="16.5">
      <c r="E8539" s="123"/>
    </row>
    <row r="8540" spans="5:5" ht="16.5">
      <c r="E8540" s="123"/>
    </row>
    <row r="8541" spans="5:5" ht="16.5">
      <c r="E8541" s="123"/>
    </row>
    <row r="8542" spans="5:5" ht="16.5">
      <c r="E8542" s="123"/>
    </row>
    <row r="8543" spans="5:5" ht="16.5">
      <c r="E8543" s="123"/>
    </row>
    <row r="8544" spans="5:5" ht="16.5">
      <c r="E8544" s="123"/>
    </row>
    <row r="8545" spans="5:5" ht="16.5">
      <c r="E8545" s="123"/>
    </row>
    <row r="8546" spans="5:5" ht="16.5">
      <c r="E8546" s="123"/>
    </row>
    <row r="8547" spans="5:5" ht="16.5">
      <c r="E8547" s="123"/>
    </row>
    <row r="8548" spans="5:5" ht="16.5">
      <c r="E8548" s="123"/>
    </row>
    <row r="8549" spans="5:5" ht="16.5">
      <c r="E8549" s="123"/>
    </row>
    <row r="8550" spans="5:5" ht="16.5">
      <c r="E8550" s="123"/>
    </row>
    <row r="8551" spans="5:5" ht="16.5">
      <c r="E8551" s="123"/>
    </row>
    <row r="8552" spans="5:5" ht="16.5">
      <c r="E8552" s="123"/>
    </row>
    <row r="8553" spans="5:5" ht="16.5">
      <c r="E8553" s="123"/>
    </row>
    <row r="8554" spans="5:5" ht="16.5">
      <c r="E8554" s="123"/>
    </row>
    <row r="8555" spans="5:5" ht="16.5">
      <c r="E8555" s="123"/>
    </row>
    <row r="8556" spans="5:5" ht="16.5">
      <c r="E8556" s="123"/>
    </row>
    <row r="8557" spans="5:5" ht="16.5">
      <c r="E8557" s="123"/>
    </row>
    <row r="8558" spans="5:5" ht="16.5">
      <c r="E8558" s="123"/>
    </row>
    <row r="8559" spans="5:5" ht="16.5">
      <c r="E8559" s="123"/>
    </row>
    <row r="8560" spans="5:5" ht="16.5">
      <c r="E8560" s="123"/>
    </row>
    <row r="8561" spans="5:5" ht="16.5">
      <c r="E8561" s="123"/>
    </row>
    <row r="8562" spans="5:5" ht="16.5">
      <c r="E8562" s="123"/>
    </row>
    <row r="8563" spans="5:5" ht="16.5">
      <c r="E8563" s="123"/>
    </row>
    <row r="8564" spans="5:5" ht="16.5">
      <c r="E8564" s="123"/>
    </row>
    <row r="8565" spans="5:5" ht="16.5">
      <c r="E8565" s="123"/>
    </row>
    <row r="8566" spans="5:5" ht="16.5">
      <c r="E8566" s="123"/>
    </row>
    <row r="8567" spans="5:5" ht="16.5">
      <c r="E8567" s="123"/>
    </row>
    <row r="8568" spans="5:5" ht="16.5">
      <c r="E8568" s="123"/>
    </row>
    <row r="8569" spans="5:5" ht="16.5">
      <c r="E8569" s="123"/>
    </row>
    <row r="8570" spans="5:5" ht="16.5">
      <c r="E8570" s="123"/>
    </row>
    <row r="8571" spans="5:5" ht="16.5">
      <c r="E8571" s="123"/>
    </row>
    <row r="8572" spans="5:5" ht="16.5">
      <c r="E8572" s="123"/>
    </row>
    <row r="8573" spans="5:5" ht="16.5">
      <c r="E8573" s="123"/>
    </row>
    <row r="8574" spans="5:5" ht="16.5">
      <c r="E8574" s="123"/>
    </row>
    <row r="8575" spans="5:5" ht="16.5">
      <c r="E8575" s="123"/>
    </row>
    <row r="8576" spans="5:5" ht="16.5">
      <c r="E8576" s="123"/>
    </row>
    <row r="8577" spans="5:5" ht="16.5">
      <c r="E8577" s="123"/>
    </row>
    <row r="8578" spans="5:5" ht="16.5">
      <c r="E8578" s="123"/>
    </row>
    <row r="8579" spans="5:5" ht="16.5">
      <c r="E8579" s="123"/>
    </row>
    <row r="8580" spans="5:5" ht="16.5">
      <c r="E8580" s="123"/>
    </row>
    <row r="8581" spans="5:5" ht="16.5">
      <c r="E8581" s="123"/>
    </row>
    <row r="8582" spans="5:5" ht="16.5">
      <c r="E8582" s="123"/>
    </row>
    <row r="8583" spans="5:5" ht="16.5">
      <c r="E8583" s="123"/>
    </row>
    <row r="8584" spans="5:5" ht="16.5">
      <c r="E8584" s="123"/>
    </row>
    <row r="8585" spans="5:5" ht="16.5">
      <c r="E8585" s="123"/>
    </row>
    <row r="8586" spans="5:5" ht="16.5">
      <c r="E8586" s="123"/>
    </row>
    <row r="8587" spans="5:5" ht="16.5">
      <c r="E8587" s="123"/>
    </row>
    <row r="8588" spans="5:5" ht="16.5">
      <c r="E8588" s="123"/>
    </row>
    <row r="8589" spans="5:5" ht="16.5">
      <c r="E8589" s="123"/>
    </row>
    <row r="8590" spans="5:5" ht="16.5">
      <c r="E8590" s="123"/>
    </row>
    <row r="8591" spans="5:5" ht="16.5">
      <c r="E8591" s="123"/>
    </row>
    <row r="8592" spans="5:5" ht="16.5">
      <c r="E8592" s="123"/>
    </row>
    <row r="8593" spans="5:5" ht="16.5">
      <c r="E8593" s="123"/>
    </row>
    <row r="8594" spans="5:5" ht="16.5">
      <c r="E8594" s="123"/>
    </row>
    <row r="8595" spans="5:5" ht="16.5">
      <c r="E8595" s="123"/>
    </row>
    <row r="8596" spans="5:5" ht="16.5">
      <c r="E8596" s="123"/>
    </row>
    <row r="8597" spans="5:5" ht="16.5">
      <c r="E8597" s="123"/>
    </row>
    <row r="8598" spans="5:5" ht="16.5">
      <c r="E8598" s="123"/>
    </row>
    <row r="8599" spans="5:5" ht="16.5">
      <c r="E8599" s="123"/>
    </row>
    <row r="8600" spans="5:5" ht="16.5">
      <c r="E8600" s="123"/>
    </row>
    <row r="8601" spans="5:5" ht="16.5">
      <c r="E8601" s="123"/>
    </row>
    <row r="8602" spans="5:5" ht="16.5">
      <c r="E8602" s="123"/>
    </row>
    <row r="8603" spans="5:5" ht="16.5">
      <c r="E8603" s="123"/>
    </row>
    <row r="8604" spans="5:5" ht="16.5">
      <c r="E8604" s="123"/>
    </row>
    <row r="8605" spans="5:5" ht="16.5">
      <c r="E8605" s="123"/>
    </row>
    <row r="8606" spans="5:5" ht="16.5">
      <c r="E8606" s="123"/>
    </row>
    <row r="8607" spans="5:5" ht="16.5">
      <c r="E8607" s="123"/>
    </row>
    <row r="8608" spans="5:5" ht="16.5">
      <c r="E8608" s="123"/>
    </row>
    <row r="8609" spans="5:5" ht="16.5">
      <c r="E8609" s="123"/>
    </row>
    <row r="8610" spans="5:5" ht="16.5">
      <c r="E8610" s="123"/>
    </row>
    <row r="8611" spans="5:5" ht="16.5">
      <c r="E8611" s="123"/>
    </row>
    <row r="8612" spans="5:5" ht="16.5">
      <c r="E8612" s="123"/>
    </row>
    <row r="8613" spans="5:5" ht="16.5">
      <c r="E8613" s="123"/>
    </row>
    <row r="8614" spans="5:5" ht="16.5">
      <c r="E8614" s="123"/>
    </row>
    <row r="8615" spans="5:5" ht="16.5">
      <c r="E8615" s="123"/>
    </row>
    <row r="8616" spans="5:5" ht="16.5">
      <c r="E8616" s="123"/>
    </row>
    <row r="8617" spans="5:5" ht="16.5">
      <c r="E8617" s="123"/>
    </row>
    <row r="8618" spans="5:5" ht="16.5">
      <c r="E8618" s="123"/>
    </row>
    <row r="8619" spans="5:5" ht="16.5">
      <c r="E8619" s="123"/>
    </row>
    <row r="8620" spans="5:5" ht="16.5">
      <c r="E8620" s="123"/>
    </row>
    <row r="8621" spans="5:5" ht="16.5">
      <c r="E8621" s="123"/>
    </row>
    <row r="8622" spans="5:5" ht="16.5">
      <c r="E8622" s="123"/>
    </row>
    <row r="8623" spans="5:5" ht="16.5">
      <c r="E8623" s="123"/>
    </row>
    <row r="8624" spans="5:5" ht="16.5">
      <c r="E8624" s="123"/>
    </row>
    <row r="8625" spans="5:5" ht="16.5">
      <c r="E8625" s="123"/>
    </row>
    <row r="8626" spans="5:5" ht="16.5">
      <c r="E8626" s="123"/>
    </row>
    <row r="8627" spans="5:5" ht="16.5">
      <c r="E8627" s="123"/>
    </row>
    <row r="8628" spans="5:5" ht="16.5">
      <c r="E8628" s="123"/>
    </row>
    <row r="8629" spans="5:5" ht="16.5">
      <c r="E8629" s="123"/>
    </row>
    <row r="8630" spans="5:5" ht="16.5">
      <c r="E8630" s="123"/>
    </row>
    <row r="8631" spans="5:5" ht="16.5">
      <c r="E8631" s="123"/>
    </row>
    <row r="8632" spans="5:5" ht="16.5">
      <c r="E8632" s="123"/>
    </row>
    <row r="8633" spans="5:5" ht="16.5">
      <c r="E8633" s="123"/>
    </row>
    <row r="8634" spans="5:5" ht="16.5">
      <c r="E8634" s="123"/>
    </row>
    <row r="8635" spans="5:5" ht="16.5">
      <c r="E8635" s="123"/>
    </row>
    <row r="8636" spans="5:5" ht="16.5">
      <c r="E8636" s="123"/>
    </row>
    <row r="8637" spans="5:5" ht="16.5">
      <c r="E8637" s="123"/>
    </row>
    <row r="8638" spans="5:5" ht="16.5">
      <c r="E8638" s="123"/>
    </row>
    <row r="8639" spans="5:5" ht="16.5">
      <c r="E8639" s="123"/>
    </row>
    <row r="8640" spans="5:5" ht="16.5">
      <c r="E8640" s="123"/>
    </row>
    <row r="8641" spans="5:5" ht="16.5">
      <c r="E8641" s="123"/>
    </row>
    <row r="8642" spans="5:5" ht="16.5">
      <c r="E8642" s="123"/>
    </row>
    <row r="8643" spans="5:5" ht="16.5">
      <c r="E8643" s="123"/>
    </row>
    <row r="8644" spans="5:5" ht="16.5">
      <c r="E8644" s="123"/>
    </row>
    <row r="8645" spans="5:5" ht="16.5">
      <c r="E8645" s="123"/>
    </row>
    <row r="8646" spans="5:5" ht="16.5">
      <c r="E8646" s="123"/>
    </row>
    <row r="8647" spans="5:5" ht="16.5">
      <c r="E8647" s="123"/>
    </row>
    <row r="8648" spans="5:5" ht="16.5">
      <c r="E8648" s="123"/>
    </row>
    <row r="8649" spans="5:5" ht="16.5">
      <c r="E8649" s="123"/>
    </row>
    <row r="8650" spans="5:5" ht="16.5">
      <c r="E8650" s="123"/>
    </row>
    <row r="8651" spans="5:5" ht="16.5">
      <c r="E8651" s="123"/>
    </row>
    <row r="8652" spans="5:5" ht="16.5">
      <c r="E8652" s="123"/>
    </row>
    <row r="8653" spans="5:5" ht="16.5">
      <c r="E8653" s="123"/>
    </row>
    <row r="8654" spans="5:5" ht="16.5">
      <c r="E8654" s="123"/>
    </row>
    <row r="8655" spans="5:5" ht="16.5">
      <c r="E8655" s="123"/>
    </row>
    <row r="8656" spans="5:5" ht="16.5">
      <c r="E8656" s="123"/>
    </row>
    <row r="8657" spans="5:5" ht="16.5">
      <c r="E8657" s="123"/>
    </row>
    <row r="8658" spans="5:5" ht="16.5">
      <c r="E8658" s="123"/>
    </row>
    <row r="8659" spans="5:5" ht="16.5">
      <c r="E8659" s="123"/>
    </row>
    <row r="8660" spans="5:5" ht="16.5">
      <c r="E8660" s="123"/>
    </row>
    <row r="8661" spans="5:5" ht="16.5">
      <c r="E8661" s="123"/>
    </row>
    <row r="8662" spans="5:5" ht="16.5">
      <c r="E8662" s="123"/>
    </row>
    <row r="8663" spans="5:5" ht="16.5">
      <c r="E8663" s="123"/>
    </row>
    <row r="8664" spans="5:5" ht="16.5">
      <c r="E8664" s="123"/>
    </row>
    <row r="8665" spans="5:5" ht="16.5">
      <c r="E8665" s="123"/>
    </row>
    <row r="8666" spans="5:5" ht="16.5">
      <c r="E8666" s="123"/>
    </row>
    <row r="8667" spans="5:5" ht="16.5">
      <c r="E8667" s="123"/>
    </row>
    <row r="8668" spans="5:5" ht="16.5">
      <c r="E8668" s="123"/>
    </row>
    <row r="8669" spans="5:5" ht="16.5">
      <c r="E8669" s="123"/>
    </row>
    <row r="8670" spans="5:5" ht="16.5">
      <c r="E8670" s="123"/>
    </row>
    <row r="8671" spans="5:5" ht="16.5">
      <c r="E8671" s="123"/>
    </row>
    <row r="8672" spans="5:5" ht="16.5">
      <c r="E8672" s="123"/>
    </row>
    <row r="8673" spans="5:5" ht="16.5">
      <c r="E8673" s="123"/>
    </row>
    <row r="8674" spans="5:5" ht="16.5">
      <c r="E8674" s="123"/>
    </row>
    <row r="8675" spans="5:5" ht="16.5">
      <c r="E8675" s="123"/>
    </row>
    <row r="8676" spans="5:5" ht="16.5">
      <c r="E8676" s="123"/>
    </row>
    <row r="8677" spans="5:5" ht="16.5">
      <c r="E8677" s="123"/>
    </row>
    <row r="8678" spans="5:5" ht="16.5">
      <c r="E8678" s="123"/>
    </row>
    <row r="8679" spans="5:5" ht="16.5">
      <c r="E8679" s="123"/>
    </row>
    <row r="8680" spans="5:5" ht="16.5">
      <c r="E8680" s="123"/>
    </row>
    <row r="8681" spans="5:5" ht="16.5">
      <c r="E8681" s="123"/>
    </row>
    <row r="8682" spans="5:5" ht="16.5">
      <c r="E8682" s="123"/>
    </row>
    <row r="8683" spans="5:5" ht="16.5">
      <c r="E8683" s="123"/>
    </row>
    <row r="8684" spans="5:5" ht="16.5">
      <c r="E8684" s="123"/>
    </row>
    <row r="8685" spans="5:5" ht="16.5">
      <c r="E8685" s="123"/>
    </row>
    <row r="8686" spans="5:5" ht="16.5">
      <c r="E8686" s="123"/>
    </row>
    <row r="8687" spans="5:5" ht="16.5">
      <c r="E8687" s="123"/>
    </row>
    <row r="8688" spans="5:5" ht="16.5">
      <c r="E8688" s="123"/>
    </row>
    <row r="8689" spans="5:5" ht="16.5">
      <c r="E8689" s="123"/>
    </row>
    <row r="8690" spans="5:5" ht="16.5">
      <c r="E8690" s="123"/>
    </row>
    <row r="8691" spans="5:5" ht="16.5">
      <c r="E8691" s="123"/>
    </row>
    <row r="8692" spans="5:5" ht="16.5">
      <c r="E8692" s="123"/>
    </row>
    <row r="8693" spans="5:5" ht="16.5">
      <c r="E8693" s="123"/>
    </row>
    <row r="8694" spans="5:5" ht="16.5">
      <c r="E8694" s="123"/>
    </row>
    <row r="8695" spans="5:5" ht="16.5">
      <c r="E8695" s="123"/>
    </row>
    <row r="8696" spans="5:5" ht="16.5">
      <c r="E8696" s="123"/>
    </row>
    <row r="8697" spans="5:5" ht="16.5">
      <c r="E8697" s="123"/>
    </row>
    <row r="8698" spans="5:5" ht="16.5">
      <c r="E8698" s="123"/>
    </row>
    <row r="8699" spans="5:5" ht="16.5">
      <c r="E8699" s="123"/>
    </row>
    <row r="8700" spans="5:5" ht="16.5">
      <c r="E8700" s="123"/>
    </row>
    <row r="8701" spans="5:5" ht="16.5">
      <c r="E8701" s="123"/>
    </row>
    <row r="8702" spans="5:5" ht="16.5">
      <c r="E8702" s="123"/>
    </row>
    <row r="8703" spans="5:5" ht="16.5">
      <c r="E8703" s="123"/>
    </row>
    <row r="8704" spans="5:5" ht="16.5">
      <c r="E8704" s="123"/>
    </row>
    <row r="8705" spans="5:5" ht="16.5">
      <c r="E8705" s="123"/>
    </row>
    <row r="8706" spans="5:5" ht="16.5">
      <c r="E8706" s="123"/>
    </row>
    <row r="8707" spans="5:5" ht="16.5">
      <c r="E8707" s="123"/>
    </row>
    <row r="8708" spans="5:5" ht="16.5">
      <c r="E8708" s="123"/>
    </row>
    <row r="8709" spans="5:5" ht="16.5">
      <c r="E8709" s="123"/>
    </row>
    <row r="8710" spans="5:5" ht="16.5">
      <c r="E8710" s="123"/>
    </row>
    <row r="8711" spans="5:5" ht="16.5">
      <c r="E8711" s="123"/>
    </row>
    <row r="8712" spans="5:5" ht="16.5">
      <c r="E8712" s="123"/>
    </row>
    <row r="8713" spans="5:5" ht="16.5">
      <c r="E8713" s="123"/>
    </row>
    <row r="8714" spans="5:5" ht="16.5">
      <c r="E8714" s="123"/>
    </row>
    <row r="8715" spans="5:5" ht="16.5">
      <c r="E8715" s="123"/>
    </row>
    <row r="8716" spans="5:5" ht="16.5">
      <c r="E8716" s="123"/>
    </row>
    <row r="8717" spans="5:5" ht="16.5">
      <c r="E8717" s="123"/>
    </row>
    <row r="8718" spans="5:5" ht="16.5">
      <c r="E8718" s="123"/>
    </row>
    <row r="8719" spans="5:5" ht="16.5">
      <c r="E8719" s="123"/>
    </row>
    <row r="8720" spans="5:5" ht="16.5">
      <c r="E8720" s="123"/>
    </row>
    <row r="8721" spans="5:5" ht="16.5">
      <c r="E8721" s="123"/>
    </row>
    <row r="8722" spans="5:5" ht="16.5">
      <c r="E8722" s="123"/>
    </row>
    <row r="8723" spans="5:5" ht="16.5">
      <c r="E8723" s="123"/>
    </row>
    <row r="8724" spans="5:5" ht="16.5">
      <c r="E8724" s="123"/>
    </row>
    <row r="8725" spans="5:5" ht="16.5">
      <c r="E8725" s="123"/>
    </row>
    <row r="8726" spans="5:5" ht="16.5">
      <c r="E8726" s="123"/>
    </row>
    <row r="8727" spans="5:5" ht="16.5">
      <c r="E8727" s="123"/>
    </row>
    <row r="8728" spans="5:5" ht="16.5">
      <c r="E8728" s="123"/>
    </row>
    <row r="8729" spans="5:5" ht="16.5">
      <c r="E8729" s="123"/>
    </row>
    <row r="8730" spans="5:5" ht="16.5">
      <c r="E8730" s="123"/>
    </row>
    <row r="8731" spans="5:5" ht="16.5">
      <c r="E8731" s="123"/>
    </row>
    <row r="8732" spans="5:5" ht="16.5">
      <c r="E8732" s="123"/>
    </row>
    <row r="8733" spans="5:5" ht="16.5">
      <c r="E8733" s="123"/>
    </row>
    <row r="8734" spans="5:5" ht="16.5">
      <c r="E8734" s="123"/>
    </row>
    <row r="8735" spans="5:5" ht="16.5">
      <c r="E8735" s="123"/>
    </row>
    <row r="8736" spans="5:5" ht="16.5">
      <c r="E8736" s="123"/>
    </row>
    <row r="8737" spans="5:5" ht="16.5">
      <c r="E8737" s="123"/>
    </row>
    <row r="8738" spans="5:5" ht="16.5">
      <c r="E8738" s="123"/>
    </row>
    <row r="8739" spans="5:5" ht="16.5">
      <c r="E8739" s="123"/>
    </row>
    <row r="8740" spans="5:5" ht="16.5">
      <c r="E8740" s="123"/>
    </row>
    <row r="8741" spans="5:5" ht="16.5">
      <c r="E8741" s="123"/>
    </row>
    <row r="8742" spans="5:5" ht="16.5">
      <c r="E8742" s="123"/>
    </row>
    <row r="8743" spans="5:5" ht="16.5">
      <c r="E8743" s="123"/>
    </row>
    <row r="8744" spans="5:5" ht="16.5">
      <c r="E8744" s="123"/>
    </row>
    <row r="8745" spans="5:5" ht="16.5">
      <c r="E8745" s="123"/>
    </row>
    <row r="8746" spans="5:5" ht="16.5">
      <c r="E8746" s="123"/>
    </row>
    <row r="8747" spans="5:5" ht="16.5">
      <c r="E8747" s="123"/>
    </row>
    <row r="8748" spans="5:5" ht="16.5">
      <c r="E8748" s="123"/>
    </row>
    <row r="8749" spans="5:5" ht="16.5">
      <c r="E8749" s="123"/>
    </row>
    <row r="8750" spans="5:5" ht="16.5">
      <c r="E8750" s="123"/>
    </row>
    <row r="8751" spans="5:5" ht="16.5">
      <c r="E8751" s="123"/>
    </row>
    <row r="8752" spans="5:5" ht="16.5">
      <c r="E8752" s="123"/>
    </row>
    <row r="8753" spans="5:5" ht="16.5">
      <c r="E8753" s="123"/>
    </row>
    <row r="8754" spans="5:5" ht="16.5">
      <c r="E8754" s="123"/>
    </row>
    <row r="8755" spans="5:5" ht="16.5">
      <c r="E8755" s="123"/>
    </row>
    <row r="8756" spans="5:5" ht="16.5">
      <c r="E8756" s="123"/>
    </row>
    <row r="8757" spans="5:5" ht="16.5">
      <c r="E8757" s="123"/>
    </row>
    <row r="8758" spans="5:5" ht="16.5">
      <c r="E8758" s="123"/>
    </row>
    <row r="8759" spans="5:5" ht="16.5">
      <c r="E8759" s="123"/>
    </row>
    <row r="8760" spans="5:5" ht="16.5">
      <c r="E8760" s="123"/>
    </row>
    <row r="8761" spans="5:5" ht="16.5">
      <c r="E8761" s="123"/>
    </row>
    <row r="8762" spans="5:5" ht="16.5">
      <c r="E8762" s="123"/>
    </row>
    <row r="8763" spans="5:5" ht="16.5">
      <c r="E8763" s="123"/>
    </row>
    <row r="8764" spans="5:5" ht="16.5">
      <c r="E8764" s="123"/>
    </row>
    <row r="8765" spans="5:5" ht="16.5">
      <c r="E8765" s="123"/>
    </row>
    <row r="8766" spans="5:5" ht="16.5">
      <c r="E8766" s="123"/>
    </row>
    <row r="8767" spans="5:5" ht="16.5">
      <c r="E8767" s="123"/>
    </row>
    <row r="8768" spans="5:5" ht="16.5">
      <c r="E8768" s="123"/>
    </row>
    <row r="8769" spans="5:5" ht="16.5">
      <c r="E8769" s="123"/>
    </row>
    <row r="8770" spans="5:5" ht="16.5">
      <c r="E8770" s="123"/>
    </row>
    <row r="8771" spans="5:5" ht="16.5">
      <c r="E8771" s="123"/>
    </row>
    <row r="8772" spans="5:5" ht="16.5">
      <c r="E8772" s="123"/>
    </row>
    <row r="8773" spans="5:5" ht="16.5">
      <c r="E8773" s="123"/>
    </row>
    <row r="8774" spans="5:5" ht="16.5">
      <c r="E8774" s="123"/>
    </row>
    <row r="8775" spans="5:5" ht="16.5">
      <c r="E8775" s="123"/>
    </row>
    <row r="8776" spans="5:5" ht="16.5">
      <c r="E8776" s="123"/>
    </row>
    <row r="8777" spans="5:5" ht="16.5">
      <c r="E8777" s="123"/>
    </row>
    <row r="8778" spans="5:5" ht="16.5">
      <c r="E8778" s="123"/>
    </row>
    <row r="8779" spans="5:5" ht="16.5">
      <c r="E8779" s="123"/>
    </row>
    <row r="8780" spans="5:5" ht="16.5">
      <c r="E8780" s="123"/>
    </row>
    <row r="8781" spans="5:5" ht="16.5">
      <c r="E8781" s="123"/>
    </row>
    <row r="8782" spans="5:5" ht="16.5">
      <c r="E8782" s="123"/>
    </row>
    <row r="8783" spans="5:5" ht="16.5">
      <c r="E8783" s="123"/>
    </row>
    <row r="8784" spans="5:5" ht="16.5">
      <c r="E8784" s="123"/>
    </row>
    <row r="8785" spans="5:5" ht="16.5">
      <c r="E8785" s="123"/>
    </row>
    <row r="8786" spans="5:5" ht="16.5">
      <c r="E8786" s="123"/>
    </row>
    <row r="8787" spans="5:5" ht="16.5">
      <c r="E8787" s="123"/>
    </row>
    <row r="8788" spans="5:5" ht="16.5">
      <c r="E8788" s="123"/>
    </row>
    <row r="8789" spans="5:5" ht="16.5">
      <c r="E8789" s="123"/>
    </row>
    <row r="8790" spans="5:5" ht="16.5">
      <c r="E8790" s="123"/>
    </row>
    <row r="8791" spans="5:5" ht="16.5">
      <c r="E8791" s="123"/>
    </row>
    <row r="8792" spans="5:5" ht="16.5">
      <c r="E8792" s="123"/>
    </row>
    <row r="8793" spans="5:5" ht="16.5">
      <c r="E8793" s="123"/>
    </row>
    <row r="8794" spans="5:5" ht="16.5">
      <c r="E8794" s="123"/>
    </row>
    <row r="8795" spans="5:5" ht="16.5">
      <c r="E8795" s="123"/>
    </row>
    <row r="8796" spans="5:5" ht="16.5">
      <c r="E8796" s="123"/>
    </row>
    <row r="8797" spans="5:5" ht="16.5">
      <c r="E8797" s="123"/>
    </row>
    <row r="8798" spans="5:5" ht="16.5">
      <c r="E8798" s="123"/>
    </row>
    <row r="8799" spans="5:5" ht="16.5">
      <c r="E8799" s="123"/>
    </row>
    <row r="8800" spans="5:5" ht="16.5">
      <c r="E8800" s="123"/>
    </row>
    <row r="8801" spans="5:5" ht="16.5">
      <c r="E8801" s="123"/>
    </row>
    <row r="8802" spans="5:5" ht="16.5">
      <c r="E8802" s="123"/>
    </row>
    <row r="8803" spans="5:5" ht="16.5">
      <c r="E8803" s="123"/>
    </row>
    <row r="8804" spans="5:5" ht="16.5">
      <c r="E8804" s="123"/>
    </row>
    <row r="8805" spans="5:5" ht="16.5">
      <c r="E8805" s="123"/>
    </row>
    <row r="8806" spans="5:5" ht="16.5">
      <c r="E8806" s="123"/>
    </row>
    <row r="8807" spans="5:5" ht="16.5">
      <c r="E8807" s="123"/>
    </row>
    <row r="8808" spans="5:5" ht="16.5">
      <c r="E8808" s="123"/>
    </row>
    <row r="8809" spans="5:5" ht="16.5">
      <c r="E8809" s="123"/>
    </row>
    <row r="8810" spans="5:5" ht="16.5">
      <c r="E8810" s="123"/>
    </row>
    <row r="8811" spans="5:5" ht="16.5">
      <c r="E8811" s="123"/>
    </row>
    <row r="8812" spans="5:5" ht="16.5">
      <c r="E8812" s="123"/>
    </row>
    <row r="8813" spans="5:5" ht="16.5">
      <c r="E8813" s="123"/>
    </row>
    <row r="8814" spans="5:5" ht="16.5">
      <c r="E8814" s="123"/>
    </row>
    <row r="8815" spans="5:5" ht="16.5">
      <c r="E8815" s="123"/>
    </row>
    <row r="8816" spans="5:5" ht="16.5">
      <c r="E8816" s="123"/>
    </row>
    <row r="8817" spans="5:5" ht="16.5">
      <c r="E8817" s="123"/>
    </row>
    <row r="8818" spans="5:5" ht="16.5">
      <c r="E8818" s="123"/>
    </row>
    <row r="8819" spans="5:5" ht="16.5">
      <c r="E8819" s="123"/>
    </row>
    <row r="8820" spans="5:5" ht="16.5">
      <c r="E8820" s="123"/>
    </row>
    <row r="8821" spans="5:5" ht="16.5">
      <c r="E8821" s="123"/>
    </row>
    <row r="8822" spans="5:5" ht="16.5">
      <c r="E8822" s="123"/>
    </row>
    <row r="8823" spans="5:5" ht="16.5">
      <c r="E8823" s="123"/>
    </row>
    <row r="8824" spans="5:5" ht="16.5">
      <c r="E8824" s="123"/>
    </row>
    <row r="8825" spans="5:5" ht="16.5">
      <c r="E8825" s="123"/>
    </row>
    <row r="8826" spans="5:5" ht="16.5">
      <c r="E8826" s="123"/>
    </row>
    <row r="8827" spans="5:5" ht="16.5">
      <c r="E8827" s="123"/>
    </row>
    <row r="8828" spans="5:5" ht="16.5">
      <c r="E8828" s="123"/>
    </row>
    <row r="8829" spans="5:5" ht="16.5">
      <c r="E8829" s="123"/>
    </row>
    <row r="8830" spans="5:5" ht="16.5">
      <c r="E8830" s="123"/>
    </row>
    <row r="8831" spans="5:5" ht="16.5">
      <c r="E8831" s="123"/>
    </row>
    <row r="8832" spans="5:5" ht="16.5">
      <c r="E8832" s="123"/>
    </row>
    <row r="8833" spans="5:5" ht="16.5">
      <c r="E8833" s="123"/>
    </row>
    <row r="8834" spans="5:5" ht="16.5">
      <c r="E8834" s="123"/>
    </row>
    <row r="8835" spans="5:5" ht="16.5">
      <c r="E8835" s="123"/>
    </row>
    <row r="8836" spans="5:5" ht="16.5">
      <c r="E8836" s="123"/>
    </row>
    <row r="8837" spans="5:5" ht="16.5">
      <c r="E8837" s="123"/>
    </row>
    <row r="8838" spans="5:5" ht="16.5">
      <c r="E8838" s="123"/>
    </row>
    <row r="8839" spans="5:5" ht="16.5">
      <c r="E8839" s="123"/>
    </row>
    <row r="8840" spans="5:5" ht="16.5">
      <c r="E8840" s="123"/>
    </row>
    <row r="8841" spans="5:5" ht="16.5">
      <c r="E8841" s="123"/>
    </row>
    <row r="8842" spans="5:5" ht="16.5">
      <c r="E8842" s="123"/>
    </row>
    <row r="8843" spans="5:5" ht="16.5">
      <c r="E8843" s="123"/>
    </row>
    <row r="8844" spans="5:5" ht="16.5">
      <c r="E8844" s="123"/>
    </row>
    <row r="8845" spans="5:5" ht="16.5">
      <c r="E8845" s="123"/>
    </row>
    <row r="8846" spans="5:5" ht="16.5">
      <c r="E8846" s="123"/>
    </row>
    <row r="8847" spans="5:5" ht="16.5">
      <c r="E8847" s="123"/>
    </row>
    <row r="8848" spans="5:5" ht="16.5">
      <c r="E8848" s="123"/>
    </row>
    <row r="8849" spans="5:5" ht="16.5">
      <c r="E8849" s="123"/>
    </row>
    <row r="8850" spans="5:5" ht="16.5">
      <c r="E8850" s="123"/>
    </row>
    <row r="8851" spans="5:5" ht="16.5">
      <c r="E8851" s="123"/>
    </row>
    <row r="8852" spans="5:5" ht="16.5">
      <c r="E8852" s="123"/>
    </row>
    <row r="8853" spans="5:5" ht="16.5">
      <c r="E8853" s="123"/>
    </row>
    <row r="8854" spans="5:5" ht="16.5">
      <c r="E8854" s="123"/>
    </row>
    <row r="8855" spans="5:5" ht="16.5">
      <c r="E8855" s="123"/>
    </row>
    <row r="8856" spans="5:5" ht="16.5">
      <c r="E8856" s="123"/>
    </row>
    <row r="8857" spans="5:5" ht="16.5">
      <c r="E8857" s="123"/>
    </row>
    <row r="8858" spans="5:5" ht="16.5">
      <c r="E8858" s="123"/>
    </row>
    <row r="8859" spans="5:5" ht="16.5">
      <c r="E8859" s="123"/>
    </row>
    <row r="8860" spans="5:5" ht="16.5">
      <c r="E8860" s="123"/>
    </row>
    <row r="8861" spans="5:5" ht="16.5">
      <c r="E8861" s="123"/>
    </row>
    <row r="8862" spans="5:5" ht="16.5">
      <c r="E8862" s="123"/>
    </row>
    <row r="8863" spans="5:5" ht="16.5">
      <c r="E8863" s="123"/>
    </row>
    <row r="8864" spans="5:5" ht="16.5">
      <c r="E8864" s="123"/>
    </row>
    <row r="8865" spans="5:5" ht="16.5">
      <c r="E8865" s="123"/>
    </row>
    <row r="8866" spans="5:5" ht="16.5">
      <c r="E8866" s="123"/>
    </row>
    <row r="8867" spans="5:5" ht="16.5">
      <c r="E8867" s="123"/>
    </row>
    <row r="8868" spans="5:5" ht="16.5">
      <c r="E8868" s="123"/>
    </row>
    <row r="8869" spans="5:5" ht="16.5">
      <c r="E8869" s="123"/>
    </row>
    <row r="8870" spans="5:5" ht="16.5">
      <c r="E8870" s="123"/>
    </row>
    <row r="8871" spans="5:5" ht="16.5">
      <c r="E8871" s="123"/>
    </row>
    <row r="8872" spans="5:5" ht="16.5">
      <c r="E8872" s="123"/>
    </row>
    <row r="8873" spans="5:5" ht="16.5">
      <c r="E8873" s="123"/>
    </row>
    <row r="8874" spans="5:5" ht="16.5">
      <c r="E8874" s="123"/>
    </row>
    <row r="8875" spans="5:5" ht="16.5">
      <c r="E8875" s="123"/>
    </row>
    <row r="8876" spans="5:5" ht="16.5">
      <c r="E8876" s="123"/>
    </row>
    <row r="8877" spans="5:5" ht="16.5">
      <c r="E8877" s="123"/>
    </row>
    <row r="8878" spans="5:5" ht="16.5">
      <c r="E8878" s="123"/>
    </row>
    <row r="8879" spans="5:5" ht="16.5">
      <c r="E8879" s="123"/>
    </row>
    <row r="8880" spans="5:5" ht="16.5">
      <c r="E8880" s="123"/>
    </row>
    <row r="8881" spans="5:5" ht="16.5">
      <c r="E8881" s="123"/>
    </row>
    <row r="8882" spans="5:5" ht="16.5">
      <c r="E8882" s="123"/>
    </row>
    <row r="8883" spans="5:5" ht="16.5">
      <c r="E8883" s="123"/>
    </row>
    <row r="8884" spans="5:5" ht="16.5">
      <c r="E8884" s="123"/>
    </row>
    <row r="8885" spans="5:5" ht="16.5">
      <c r="E8885" s="123"/>
    </row>
    <row r="8886" spans="5:5" ht="16.5">
      <c r="E8886" s="123"/>
    </row>
    <row r="8887" spans="5:5" ht="16.5">
      <c r="E8887" s="123"/>
    </row>
    <row r="8888" spans="5:5" ht="16.5">
      <c r="E8888" s="123"/>
    </row>
    <row r="8889" spans="5:5" ht="16.5">
      <c r="E8889" s="123"/>
    </row>
    <row r="8890" spans="5:5" ht="16.5">
      <c r="E8890" s="123"/>
    </row>
    <row r="8891" spans="5:5" ht="16.5">
      <c r="E8891" s="123"/>
    </row>
    <row r="8892" spans="5:5" ht="16.5">
      <c r="E8892" s="123"/>
    </row>
    <row r="8893" spans="5:5" ht="16.5">
      <c r="E8893" s="123"/>
    </row>
    <row r="8894" spans="5:5" ht="16.5">
      <c r="E8894" s="123"/>
    </row>
    <row r="8895" spans="5:5" ht="16.5">
      <c r="E8895" s="123"/>
    </row>
    <row r="8896" spans="5:5" ht="16.5">
      <c r="E8896" s="123"/>
    </row>
    <row r="8897" spans="5:5" ht="16.5">
      <c r="E8897" s="123"/>
    </row>
    <row r="8898" spans="5:5" ht="16.5">
      <c r="E8898" s="123"/>
    </row>
    <row r="8899" spans="5:5" ht="16.5">
      <c r="E8899" s="123"/>
    </row>
    <row r="8900" spans="5:5" ht="16.5">
      <c r="E8900" s="123"/>
    </row>
    <row r="8901" spans="5:5" ht="16.5">
      <c r="E8901" s="123"/>
    </row>
    <row r="8902" spans="5:5" ht="16.5">
      <c r="E8902" s="123"/>
    </row>
    <row r="8903" spans="5:5" ht="16.5">
      <c r="E8903" s="123"/>
    </row>
    <row r="8904" spans="5:5" ht="16.5">
      <c r="E8904" s="123"/>
    </row>
    <row r="8905" spans="5:5" ht="16.5">
      <c r="E8905" s="123"/>
    </row>
    <row r="8906" spans="5:5" ht="16.5">
      <c r="E8906" s="123"/>
    </row>
    <row r="8907" spans="5:5" ht="16.5">
      <c r="E8907" s="123"/>
    </row>
    <row r="8908" spans="5:5" ht="16.5">
      <c r="E8908" s="123"/>
    </row>
    <row r="8909" spans="5:5" ht="16.5">
      <c r="E8909" s="123"/>
    </row>
    <row r="8910" spans="5:5" ht="16.5">
      <c r="E8910" s="123"/>
    </row>
    <row r="8911" spans="5:5" ht="16.5">
      <c r="E8911" s="123"/>
    </row>
    <row r="8912" spans="5:5" ht="16.5">
      <c r="E8912" s="123"/>
    </row>
    <row r="8913" spans="5:5" ht="16.5">
      <c r="E8913" s="123"/>
    </row>
    <row r="8914" spans="5:5" ht="16.5">
      <c r="E8914" s="123"/>
    </row>
    <row r="8915" spans="5:5" ht="16.5">
      <c r="E8915" s="123"/>
    </row>
    <row r="8916" spans="5:5" ht="16.5">
      <c r="E8916" s="123"/>
    </row>
    <row r="8917" spans="5:5" ht="16.5">
      <c r="E8917" s="123"/>
    </row>
    <row r="8918" spans="5:5" ht="16.5">
      <c r="E8918" s="123"/>
    </row>
    <row r="8919" spans="5:5" ht="16.5">
      <c r="E8919" s="123"/>
    </row>
    <row r="8920" spans="5:5" ht="16.5">
      <c r="E8920" s="123"/>
    </row>
    <row r="8921" spans="5:5" ht="16.5">
      <c r="E8921" s="123"/>
    </row>
    <row r="8922" spans="5:5" ht="16.5">
      <c r="E8922" s="123"/>
    </row>
    <row r="8923" spans="5:5" ht="16.5">
      <c r="E8923" s="123"/>
    </row>
    <row r="8924" spans="5:5" ht="16.5">
      <c r="E8924" s="123"/>
    </row>
    <row r="8925" spans="5:5" ht="16.5">
      <c r="E8925" s="123"/>
    </row>
    <row r="8926" spans="5:5" ht="16.5">
      <c r="E8926" s="123"/>
    </row>
    <row r="8927" spans="5:5" ht="16.5">
      <c r="E8927" s="123"/>
    </row>
    <row r="8928" spans="5:5" ht="16.5">
      <c r="E8928" s="123"/>
    </row>
    <row r="8929" spans="5:5" ht="16.5">
      <c r="E8929" s="123"/>
    </row>
    <row r="8930" spans="5:5" ht="16.5">
      <c r="E8930" s="123"/>
    </row>
    <row r="8931" spans="5:5" ht="16.5">
      <c r="E8931" s="123"/>
    </row>
    <row r="8932" spans="5:5" ht="16.5">
      <c r="E8932" s="123"/>
    </row>
    <row r="8933" spans="5:5" ht="16.5">
      <c r="E8933" s="123"/>
    </row>
    <row r="8934" spans="5:5" ht="16.5">
      <c r="E8934" s="123"/>
    </row>
    <row r="8935" spans="5:5" ht="16.5">
      <c r="E8935" s="123"/>
    </row>
    <row r="8936" spans="5:5" ht="16.5">
      <c r="E8936" s="123"/>
    </row>
    <row r="8937" spans="5:5" ht="16.5">
      <c r="E8937" s="123"/>
    </row>
    <row r="8938" spans="5:5" ht="16.5">
      <c r="E8938" s="123"/>
    </row>
    <row r="8939" spans="5:5" ht="16.5">
      <c r="E8939" s="123"/>
    </row>
    <row r="8940" spans="5:5" ht="16.5">
      <c r="E8940" s="123"/>
    </row>
    <row r="8941" spans="5:5" ht="16.5">
      <c r="E8941" s="123"/>
    </row>
    <row r="8942" spans="5:5" ht="16.5">
      <c r="E8942" s="123"/>
    </row>
    <row r="8943" spans="5:5" ht="16.5">
      <c r="E8943" s="123"/>
    </row>
    <row r="8944" spans="5:5" ht="16.5">
      <c r="E8944" s="123"/>
    </row>
    <row r="8945" spans="5:5" ht="16.5">
      <c r="E8945" s="123"/>
    </row>
    <row r="8946" spans="5:5" ht="16.5">
      <c r="E8946" s="123"/>
    </row>
    <row r="8947" spans="5:5" ht="16.5">
      <c r="E8947" s="123"/>
    </row>
    <row r="8948" spans="5:5" ht="16.5">
      <c r="E8948" s="123"/>
    </row>
    <row r="8949" spans="5:5" ht="16.5">
      <c r="E8949" s="123"/>
    </row>
    <row r="8950" spans="5:5" ht="16.5">
      <c r="E8950" s="123"/>
    </row>
    <row r="8951" spans="5:5" ht="16.5">
      <c r="E8951" s="123"/>
    </row>
    <row r="8952" spans="5:5" ht="16.5">
      <c r="E8952" s="123"/>
    </row>
    <row r="8953" spans="5:5" ht="16.5">
      <c r="E8953" s="123"/>
    </row>
    <row r="8954" spans="5:5" ht="16.5">
      <c r="E8954" s="123"/>
    </row>
    <row r="8955" spans="5:5" ht="16.5">
      <c r="E8955" s="123"/>
    </row>
    <row r="8956" spans="5:5" ht="16.5">
      <c r="E8956" s="123"/>
    </row>
    <row r="8957" spans="5:5" ht="16.5">
      <c r="E8957" s="123"/>
    </row>
    <row r="8958" spans="5:5" ht="16.5">
      <c r="E8958" s="123"/>
    </row>
    <row r="8959" spans="5:5" ht="16.5">
      <c r="E8959" s="123"/>
    </row>
    <row r="8960" spans="5:5" ht="16.5">
      <c r="E8960" s="123"/>
    </row>
    <row r="8961" spans="5:5" ht="16.5">
      <c r="E8961" s="123"/>
    </row>
    <row r="8962" spans="5:5" ht="16.5">
      <c r="E8962" s="123"/>
    </row>
    <row r="8963" spans="5:5" ht="16.5">
      <c r="E8963" s="123"/>
    </row>
    <row r="8964" spans="5:5" ht="16.5">
      <c r="E8964" s="123"/>
    </row>
    <row r="8965" spans="5:5" ht="16.5">
      <c r="E8965" s="123"/>
    </row>
    <row r="8966" spans="5:5" ht="16.5">
      <c r="E8966" s="123"/>
    </row>
    <row r="8967" spans="5:5" ht="16.5">
      <c r="E8967" s="123"/>
    </row>
    <row r="8968" spans="5:5" ht="16.5">
      <c r="E8968" s="123"/>
    </row>
    <row r="8969" spans="5:5" ht="16.5">
      <c r="E8969" s="123"/>
    </row>
    <row r="8970" spans="5:5" ht="16.5">
      <c r="E8970" s="123"/>
    </row>
    <row r="8971" spans="5:5" ht="16.5">
      <c r="E8971" s="123"/>
    </row>
    <row r="8972" spans="5:5" ht="16.5">
      <c r="E8972" s="123"/>
    </row>
    <row r="8973" spans="5:5" ht="16.5">
      <c r="E8973" s="123"/>
    </row>
    <row r="8974" spans="5:5" ht="16.5">
      <c r="E8974" s="123"/>
    </row>
    <row r="8975" spans="5:5" ht="16.5">
      <c r="E8975" s="123"/>
    </row>
    <row r="8976" spans="5:5" ht="16.5">
      <c r="E8976" s="123"/>
    </row>
    <row r="8977" spans="5:5" ht="16.5">
      <c r="E8977" s="123"/>
    </row>
    <row r="8978" spans="5:5" ht="16.5">
      <c r="E8978" s="123"/>
    </row>
    <row r="8979" spans="5:5" ht="16.5">
      <c r="E8979" s="123"/>
    </row>
    <row r="8980" spans="5:5" ht="16.5">
      <c r="E8980" s="123"/>
    </row>
    <row r="8981" spans="5:5" ht="16.5">
      <c r="E8981" s="123"/>
    </row>
    <row r="8982" spans="5:5" ht="16.5">
      <c r="E8982" s="123"/>
    </row>
    <row r="8983" spans="5:5" ht="16.5">
      <c r="E8983" s="123"/>
    </row>
    <row r="8984" spans="5:5" ht="16.5">
      <c r="E8984" s="123"/>
    </row>
    <row r="8985" spans="5:5" ht="16.5">
      <c r="E8985" s="123"/>
    </row>
    <row r="8986" spans="5:5" ht="16.5">
      <c r="E8986" s="123"/>
    </row>
    <row r="8987" spans="5:5" ht="16.5">
      <c r="E8987" s="123"/>
    </row>
    <row r="8988" spans="5:5" ht="16.5">
      <c r="E8988" s="123"/>
    </row>
    <row r="8989" spans="5:5" ht="16.5">
      <c r="E8989" s="123"/>
    </row>
    <row r="8990" spans="5:5" ht="16.5">
      <c r="E8990" s="123"/>
    </row>
    <row r="8991" spans="5:5" ht="16.5">
      <c r="E8991" s="123"/>
    </row>
    <row r="8992" spans="5:5" ht="16.5">
      <c r="E8992" s="123"/>
    </row>
    <row r="8993" spans="5:5" ht="16.5">
      <c r="E8993" s="123"/>
    </row>
    <row r="8994" spans="5:5" ht="16.5">
      <c r="E8994" s="123"/>
    </row>
    <row r="8995" spans="5:5" ht="16.5">
      <c r="E8995" s="123"/>
    </row>
    <row r="8996" spans="5:5" ht="16.5">
      <c r="E8996" s="123"/>
    </row>
    <row r="8997" spans="5:5" ht="16.5">
      <c r="E8997" s="123"/>
    </row>
    <row r="8998" spans="5:5" ht="16.5">
      <c r="E8998" s="123"/>
    </row>
    <row r="8999" spans="5:5" ht="16.5">
      <c r="E8999" s="123"/>
    </row>
    <row r="9000" spans="5:5" ht="16.5">
      <c r="E9000" s="123"/>
    </row>
    <row r="9001" spans="5:5" ht="16.5">
      <c r="E9001" s="123"/>
    </row>
    <row r="9002" spans="5:5" ht="16.5">
      <c r="E9002" s="123"/>
    </row>
    <row r="9003" spans="5:5" ht="16.5">
      <c r="E9003" s="123"/>
    </row>
    <row r="9004" spans="5:5" ht="16.5">
      <c r="E9004" s="123"/>
    </row>
    <row r="9005" spans="5:5" ht="16.5">
      <c r="E9005" s="123"/>
    </row>
    <row r="9006" spans="5:5" ht="16.5">
      <c r="E9006" s="123"/>
    </row>
    <row r="9007" spans="5:5" ht="16.5">
      <c r="E9007" s="123"/>
    </row>
    <row r="9008" spans="5:5" ht="16.5">
      <c r="E9008" s="123"/>
    </row>
    <row r="9009" spans="5:5" ht="16.5">
      <c r="E9009" s="123"/>
    </row>
    <row r="9010" spans="5:5" ht="16.5">
      <c r="E9010" s="123"/>
    </row>
    <row r="9011" spans="5:5" ht="16.5">
      <c r="E9011" s="123"/>
    </row>
    <row r="9012" spans="5:5" ht="16.5">
      <c r="E9012" s="123"/>
    </row>
    <row r="9013" spans="5:5" ht="16.5">
      <c r="E9013" s="123"/>
    </row>
    <row r="9014" spans="5:5" ht="16.5">
      <c r="E9014" s="123"/>
    </row>
    <row r="9015" spans="5:5" ht="16.5">
      <c r="E9015" s="123"/>
    </row>
    <row r="9016" spans="5:5" ht="16.5">
      <c r="E9016" s="123"/>
    </row>
    <row r="9017" spans="5:5" ht="16.5">
      <c r="E9017" s="123"/>
    </row>
    <row r="9018" spans="5:5" ht="16.5">
      <c r="E9018" s="123"/>
    </row>
    <row r="9019" spans="5:5" ht="16.5">
      <c r="E9019" s="123"/>
    </row>
    <row r="9020" spans="5:5" ht="16.5">
      <c r="E9020" s="123"/>
    </row>
    <row r="9021" spans="5:5" ht="16.5">
      <c r="E9021" s="123"/>
    </row>
    <row r="9022" spans="5:5" ht="16.5">
      <c r="E9022" s="123"/>
    </row>
    <row r="9023" spans="5:5" ht="16.5">
      <c r="E9023" s="123"/>
    </row>
    <row r="9024" spans="5:5" ht="16.5">
      <c r="E9024" s="123"/>
    </row>
    <row r="9025" spans="5:5" ht="16.5">
      <c r="E9025" s="123"/>
    </row>
    <row r="9026" spans="5:5" ht="16.5">
      <c r="E9026" s="123"/>
    </row>
    <row r="9027" spans="5:5" ht="16.5">
      <c r="E9027" s="123"/>
    </row>
    <row r="9028" spans="5:5" ht="16.5">
      <c r="E9028" s="123"/>
    </row>
    <row r="9029" spans="5:5" ht="16.5">
      <c r="E9029" s="123"/>
    </row>
    <row r="9030" spans="5:5" ht="16.5">
      <c r="E9030" s="123"/>
    </row>
    <row r="9031" spans="5:5" ht="16.5">
      <c r="E9031" s="123"/>
    </row>
    <row r="9032" spans="5:5" ht="16.5">
      <c r="E9032" s="123"/>
    </row>
    <row r="9033" spans="5:5" ht="16.5">
      <c r="E9033" s="123"/>
    </row>
    <row r="9034" spans="5:5" ht="16.5">
      <c r="E9034" s="123"/>
    </row>
    <row r="9035" spans="5:5" ht="16.5">
      <c r="E9035" s="123"/>
    </row>
    <row r="9036" spans="5:5" ht="16.5">
      <c r="E9036" s="123"/>
    </row>
    <row r="9037" spans="5:5" ht="16.5">
      <c r="E9037" s="123"/>
    </row>
    <row r="9038" spans="5:5" ht="16.5">
      <c r="E9038" s="123"/>
    </row>
    <row r="9039" spans="5:5" ht="16.5">
      <c r="E9039" s="123"/>
    </row>
    <row r="9040" spans="5:5" ht="16.5">
      <c r="E9040" s="123"/>
    </row>
    <row r="9041" spans="5:5" ht="16.5">
      <c r="E9041" s="123"/>
    </row>
    <row r="9042" spans="5:5" ht="16.5">
      <c r="E9042" s="123"/>
    </row>
    <row r="9043" spans="5:5" ht="16.5">
      <c r="E9043" s="123"/>
    </row>
    <row r="9044" spans="5:5" ht="16.5">
      <c r="E9044" s="123"/>
    </row>
    <row r="9045" spans="5:5" ht="16.5">
      <c r="E9045" s="123"/>
    </row>
    <row r="9046" spans="5:5" ht="16.5">
      <c r="E9046" s="123"/>
    </row>
    <row r="9047" spans="5:5" ht="16.5">
      <c r="E9047" s="123"/>
    </row>
    <row r="9048" spans="5:5" ht="16.5">
      <c r="E9048" s="123"/>
    </row>
    <row r="9049" spans="5:5" ht="16.5">
      <c r="E9049" s="123"/>
    </row>
    <row r="9050" spans="5:5" ht="16.5">
      <c r="E9050" s="123"/>
    </row>
    <row r="9051" spans="5:5" ht="16.5">
      <c r="E9051" s="123"/>
    </row>
    <row r="9052" spans="5:5" ht="16.5">
      <c r="E9052" s="123"/>
    </row>
    <row r="9053" spans="5:5" ht="16.5">
      <c r="E9053" s="123"/>
    </row>
    <row r="9054" spans="5:5" ht="16.5">
      <c r="E9054" s="123"/>
    </row>
    <row r="9055" spans="5:5" ht="16.5">
      <c r="E9055" s="123"/>
    </row>
    <row r="9056" spans="5:5" ht="16.5">
      <c r="E9056" s="123"/>
    </row>
    <row r="9057" spans="5:5" ht="16.5">
      <c r="E9057" s="123"/>
    </row>
    <row r="9058" spans="5:5" ht="16.5">
      <c r="E9058" s="123"/>
    </row>
    <row r="9059" spans="5:5" ht="16.5">
      <c r="E9059" s="123"/>
    </row>
    <row r="9060" spans="5:5" ht="16.5">
      <c r="E9060" s="123"/>
    </row>
    <row r="9061" spans="5:5" ht="16.5">
      <c r="E9061" s="123"/>
    </row>
    <row r="9062" spans="5:5" ht="16.5">
      <c r="E9062" s="123"/>
    </row>
    <row r="9063" spans="5:5" ht="16.5">
      <c r="E9063" s="123"/>
    </row>
    <row r="9064" spans="5:5" ht="16.5">
      <c r="E9064" s="123"/>
    </row>
    <row r="9065" spans="5:5" ht="16.5">
      <c r="E9065" s="123"/>
    </row>
    <row r="9066" spans="5:5" ht="16.5">
      <c r="E9066" s="123"/>
    </row>
    <row r="9067" spans="5:5" ht="16.5">
      <c r="E9067" s="123"/>
    </row>
    <row r="9068" spans="5:5" ht="16.5">
      <c r="E9068" s="123"/>
    </row>
    <row r="9069" spans="5:5" ht="16.5">
      <c r="E9069" s="123"/>
    </row>
    <row r="9070" spans="5:5" ht="16.5">
      <c r="E9070" s="123"/>
    </row>
    <row r="9071" spans="5:5" ht="16.5">
      <c r="E9071" s="123"/>
    </row>
    <row r="9072" spans="5:5" ht="16.5">
      <c r="E9072" s="123"/>
    </row>
    <row r="9073" spans="5:5" ht="16.5">
      <c r="E9073" s="123"/>
    </row>
    <row r="9074" spans="5:5" ht="16.5">
      <c r="E9074" s="123"/>
    </row>
    <row r="9075" spans="5:5" ht="16.5">
      <c r="E9075" s="123"/>
    </row>
    <row r="9076" spans="5:5" ht="16.5">
      <c r="E9076" s="123"/>
    </row>
    <row r="9077" spans="5:5" ht="16.5">
      <c r="E9077" s="123"/>
    </row>
    <row r="9078" spans="5:5" ht="16.5">
      <c r="E9078" s="123"/>
    </row>
    <row r="9079" spans="5:5" ht="16.5">
      <c r="E9079" s="123"/>
    </row>
    <row r="9080" spans="5:5" ht="16.5">
      <c r="E9080" s="123"/>
    </row>
    <row r="9081" spans="5:5" ht="16.5">
      <c r="E9081" s="123"/>
    </row>
    <row r="9082" spans="5:5" ht="16.5">
      <c r="E9082" s="123"/>
    </row>
    <row r="9083" spans="5:5" ht="16.5">
      <c r="E9083" s="123"/>
    </row>
    <row r="9084" spans="5:5" ht="16.5">
      <c r="E9084" s="123"/>
    </row>
    <row r="9085" spans="5:5" ht="16.5">
      <c r="E9085" s="123"/>
    </row>
    <row r="9086" spans="5:5" ht="16.5">
      <c r="E9086" s="123"/>
    </row>
    <row r="9087" spans="5:5" ht="16.5">
      <c r="E9087" s="123"/>
    </row>
    <row r="9088" spans="5:5" ht="16.5">
      <c r="E9088" s="123"/>
    </row>
    <row r="9089" spans="5:5" ht="16.5">
      <c r="E9089" s="123"/>
    </row>
    <row r="9090" spans="5:5" ht="16.5">
      <c r="E9090" s="123"/>
    </row>
    <row r="9091" spans="5:5" ht="16.5">
      <c r="E9091" s="123"/>
    </row>
    <row r="9092" spans="5:5" ht="16.5">
      <c r="E9092" s="123"/>
    </row>
    <row r="9093" spans="5:5" ht="16.5">
      <c r="E9093" s="123"/>
    </row>
    <row r="9094" spans="5:5" ht="16.5">
      <c r="E9094" s="123"/>
    </row>
    <row r="9095" spans="5:5" ht="16.5">
      <c r="E9095" s="123"/>
    </row>
    <row r="9096" spans="5:5" ht="16.5">
      <c r="E9096" s="123"/>
    </row>
    <row r="9097" spans="5:5" ht="16.5">
      <c r="E9097" s="123"/>
    </row>
    <row r="9098" spans="5:5" ht="16.5">
      <c r="E9098" s="123"/>
    </row>
    <row r="9099" spans="5:5" ht="16.5">
      <c r="E9099" s="123"/>
    </row>
    <row r="9100" spans="5:5" ht="16.5">
      <c r="E9100" s="123"/>
    </row>
    <row r="9101" spans="5:5" ht="16.5">
      <c r="E9101" s="123"/>
    </row>
    <row r="9102" spans="5:5" ht="16.5">
      <c r="E9102" s="123"/>
    </row>
    <row r="9103" spans="5:5" ht="16.5">
      <c r="E9103" s="123"/>
    </row>
    <row r="9104" spans="5:5" ht="16.5">
      <c r="E9104" s="123"/>
    </row>
    <row r="9105" spans="5:5" ht="16.5">
      <c r="E9105" s="123"/>
    </row>
    <row r="9106" spans="5:5" ht="16.5">
      <c r="E9106" s="123"/>
    </row>
    <row r="9107" spans="5:5" ht="16.5">
      <c r="E9107" s="123"/>
    </row>
    <row r="9108" spans="5:5" ht="16.5">
      <c r="E9108" s="123"/>
    </row>
    <row r="9109" spans="5:5" ht="16.5">
      <c r="E9109" s="123"/>
    </row>
    <row r="9110" spans="5:5" ht="16.5">
      <c r="E9110" s="123"/>
    </row>
    <row r="9111" spans="5:5" ht="16.5">
      <c r="E9111" s="123"/>
    </row>
    <row r="9112" spans="5:5" ht="16.5">
      <c r="E9112" s="123"/>
    </row>
    <row r="9113" spans="5:5" ht="16.5">
      <c r="E9113" s="123"/>
    </row>
    <row r="9114" spans="5:5" ht="16.5">
      <c r="E9114" s="123"/>
    </row>
    <row r="9115" spans="5:5" ht="16.5">
      <c r="E9115" s="123"/>
    </row>
    <row r="9116" spans="5:5" ht="16.5">
      <c r="E9116" s="123"/>
    </row>
    <row r="9117" spans="5:5" ht="16.5">
      <c r="E9117" s="123"/>
    </row>
    <row r="9118" spans="5:5" ht="16.5">
      <c r="E9118" s="123"/>
    </row>
    <row r="9119" spans="5:5" ht="16.5">
      <c r="E9119" s="123"/>
    </row>
    <row r="9120" spans="5:5" ht="16.5">
      <c r="E9120" s="123"/>
    </row>
    <row r="9121" spans="5:5" ht="16.5">
      <c r="E9121" s="123"/>
    </row>
    <row r="9122" spans="5:5" ht="16.5">
      <c r="E9122" s="123"/>
    </row>
    <row r="9123" spans="5:5" ht="16.5">
      <c r="E9123" s="123"/>
    </row>
    <row r="9124" spans="5:5" ht="16.5">
      <c r="E9124" s="123"/>
    </row>
    <row r="9125" spans="5:5" ht="16.5">
      <c r="E9125" s="123"/>
    </row>
    <row r="9126" spans="5:5" ht="16.5">
      <c r="E9126" s="123"/>
    </row>
    <row r="9127" spans="5:5" ht="16.5">
      <c r="E9127" s="123"/>
    </row>
    <row r="9128" spans="5:5" ht="16.5">
      <c r="E9128" s="123"/>
    </row>
    <row r="9129" spans="5:5" ht="16.5">
      <c r="E9129" s="123"/>
    </row>
    <row r="9130" spans="5:5" ht="16.5">
      <c r="E9130" s="123"/>
    </row>
    <row r="9131" spans="5:5" ht="16.5">
      <c r="E9131" s="123"/>
    </row>
    <row r="9132" spans="5:5" ht="16.5">
      <c r="E9132" s="123"/>
    </row>
    <row r="9133" spans="5:5" ht="16.5">
      <c r="E9133" s="123"/>
    </row>
    <row r="9134" spans="5:5" ht="16.5">
      <c r="E9134" s="123"/>
    </row>
    <row r="9135" spans="5:5" ht="16.5">
      <c r="E9135" s="123"/>
    </row>
    <row r="9136" spans="5:5" ht="16.5">
      <c r="E9136" s="123"/>
    </row>
    <row r="9137" spans="5:5" ht="16.5">
      <c r="E9137" s="123"/>
    </row>
    <row r="9138" spans="5:5" ht="16.5">
      <c r="E9138" s="123"/>
    </row>
    <row r="9139" spans="5:5" ht="16.5">
      <c r="E9139" s="123"/>
    </row>
    <row r="9140" spans="5:5" ht="16.5">
      <c r="E9140" s="123"/>
    </row>
    <row r="9141" spans="5:5" ht="16.5">
      <c r="E9141" s="123"/>
    </row>
    <row r="9142" spans="5:5" ht="16.5">
      <c r="E9142" s="123"/>
    </row>
    <row r="9143" spans="5:5" ht="16.5">
      <c r="E9143" s="123"/>
    </row>
    <row r="9144" spans="5:5" ht="16.5">
      <c r="E9144" s="123"/>
    </row>
    <row r="9145" spans="5:5" ht="16.5">
      <c r="E9145" s="123"/>
    </row>
    <row r="9146" spans="5:5" ht="16.5">
      <c r="E9146" s="123"/>
    </row>
    <row r="9147" spans="5:5" ht="16.5">
      <c r="E9147" s="123"/>
    </row>
    <row r="9148" spans="5:5" ht="16.5">
      <c r="E9148" s="123"/>
    </row>
    <row r="9149" spans="5:5" ht="16.5">
      <c r="E9149" s="123"/>
    </row>
    <row r="9150" spans="5:5" ht="16.5">
      <c r="E9150" s="123"/>
    </row>
    <row r="9151" spans="5:5" ht="16.5">
      <c r="E9151" s="123"/>
    </row>
    <row r="9152" spans="5:5" ht="16.5">
      <c r="E9152" s="123"/>
    </row>
    <row r="9153" spans="5:5" ht="16.5">
      <c r="E9153" s="123"/>
    </row>
    <row r="9154" spans="5:5" ht="16.5">
      <c r="E9154" s="123"/>
    </row>
    <row r="9155" spans="5:5" ht="16.5">
      <c r="E9155" s="123"/>
    </row>
    <row r="9156" spans="5:5" ht="16.5">
      <c r="E9156" s="123"/>
    </row>
    <row r="9157" spans="5:5" ht="16.5">
      <c r="E9157" s="123"/>
    </row>
    <row r="9158" spans="5:5" ht="16.5">
      <c r="E9158" s="123"/>
    </row>
    <row r="9159" spans="5:5" ht="16.5">
      <c r="E9159" s="123"/>
    </row>
    <row r="9160" spans="5:5" ht="16.5">
      <c r="E9160" s="123"/>
    </row>
    <row r="9161" spans="5:5" ht="16.5">
      <c r="E9161" s="123"/>
    </row>
    <row r="9162" spans="5:5" ht="16.5">
      <c r="E9162" s="123"/>
    </row>
    <row r="9163" spans="5:5" ht="16.5">
      <c r="E9163" s="123"/>
    </row>
    <row r="9164" spans="5:5" ht="16.5">
      <c r="E9164" s="123"/>
    </row>
    <row r="9165" spans="5:5" ht="16.5">
      <c r="E9165" s="123"/>
    </row>
    <row r="9166" spans="5:5" ht="16.5">
      <c r="E9166" s="123"/>
    </row>
    <row r="9167" spans="5:5" ht="16.5">
      <c r="E9167" s="123"/>
    </row>
    <row r="9168" spans="5:5" ht="16.5">
      <c r="E9168" s="123"/>
    </row>
    <row r="9169" spans="5:5" ht="16.5">
      <c r="E9169" s="123"/>
    </row>
    <row r="9170" spans="5:5" ht="16.5">
      <c r="E9170" s="123"/>
    </row>
    <row r="9171" spans="5:5" ht="16.5">
      <c r="E9171" s="123"/>
    </row>
    <row r="9172" spans="5:5" ht="16.5">
      <c r="E9172" s="123"/>
    </row>
    <row r="9173" spans="5:5" ht="16.5">
      <c r="E9173" s="123"/>
    </row>
    <row r="9174" spans="5:5" ht="16.5">
      <c r="E9174" s="123"/>
    </row>
    <row r="9175" spans="5:5" ht="16.5">
      <c r="E9175" s="123"/>
    </row>
    <row r="9176" spans="5:5" ht="16.5">
      <c r="E9176" s="123"/>
    </row>
    <row r="9177" spans="5:5" ht="16.5">
      <c r="E9177" s="123"/>
    </row>
    <row r="9178" spans="5:5" ht="16.5">
      <c r="E9178" s="123"/>
    </row>
    <row r="9179" spans="5:5" ht="16.5">
      <c r="E9179" s="123"/>
    </row>
    <row r="9180" spans="5:5" ht="16.5">
      <c r="E9180" s="123"/>
    </row>
    <row r="9181" spans="5:5" ht="16.5">
      <c r="E9181" s="123"/>
    </row>
    <row r="9182" spans="5:5" ht="16.5">
      <c r="E9182" s="123"/>
    </row>
    <row r="9183" spans="5:5" ht="16.5">
      <c r="E9183" s="123"/>
    </row>
    <row r="9184" spans="5:5" ht="16.5">
      <c r="E9184" s="123"/>
    </row>
    <row r="9185" spans="5:5" ht="16.5">
      <c r="E9185" s="123"/>
    </row>
    <row r="9186" spans="5:5" ht="16.5">
      <c r="E9186" s="123"/>
    </row>
    <row r="9187" spans="5:5" ht="16.5">
      <c r="E9187" s="123"/>
    </row>
    <row r="9188" spans="5:5" ht="16.5">
      <c r="E9188" s="123"/>
    </row>
    <row r="9189" spans="5:5" ht="16.5">
      <c r="E9189" s="123"/>
    </row>
    <row r="9190" spans="5:5" ht="16.5">
      <c r="E9190" s="123"/>
    </row>
    <row r="9191" spans="5:5" ht="16.5">
      <c r="E9191" s="123"/>
    </row>
    <row r="9192" spans="5:5" ht="16.5">
      <c r="E9192" s="123"/>
    </row>
    <row r="9193" spans="5:5" ht="16.5">
      <c r="E9193" s="123"/>
    </row>
    <row r="9194" spans="5:5" ht="16.5">
      <c r="E9194" s="123"/>
    </row>
    <row r="9195" spans="5:5" ht="16.5">
      <c r="E9195" s="123"/>
    </row>
    <row r="9196" spans="5:5" ht="16.5">
      <c r="E9196" s="123"/>
    </row>
    <row r="9197" spans="5:5" ht="16.5">
      <c r="E9197" s="123"/>
    </row>
    <row r="9198" spans="5:5" ht="16.5">
      <c r="E9198" s="123"/>
    </row>
    <row r="9199" spans="5:5" ht="16.5">
      <c r="E9199" s="123"/>
    </row>
    <row r="9200" spans="5:5" ht="16.5">
      <c r="E9200" s="123"/>
    </row>
    <row r="9201" spans="5:5" ht="16.5">
      <c r="E9201" s="123"/>
    </row>
    <row r="9202" spans="5:5" ht="16.5">
      <c r="E9202" s="123"/>
    </row>
    <row r="9203" spans="5:5" ht="16.5">
      <c r="E9203" s="123"/>
    </row>
    <row r="9204" spans="5:5" ht="16.5">
      <c r="E9204" s="123"/>
    </row>
    <row r="9205" spans="5:5" ht="16.5">
      <c r="E9205" s="123"/>
    </row>
    <row r="9206" spans="5:5" ht="16.5">
      <c r="E9206" s="123"/>
    </row>
    <row r="9207" spans="5:5" ht="16.5">
      <c r="E9207" s="123"/>
    </row>
    <row r="9208" spans="5:5" ht="16.5">
      <c r="E9208" s="123"/>
    </row>
    <row r="9209" spans="5:5" ht="16.5">
      <c r="E9209" s="123"/>
    </row>
    <row r="9210" spans="5:5" ht="16.5">
      <c r="E9210" s="123"/>
    </row>
    <row r="9211" spans="5:5" ht="16.5">
      <c r="E9211" s="123"/>
    </row>
    <row r="9212" spans="5:5" ht="16.5">
      <c r="E9212" s="123"/>
    </row>
    <row r="9213" spans="5:5" ht="16.5">
      <c r="E9213" s="123"/>
    </row>
    <row r="9214" spans="5:5" ht="16.5">
      <c r="E9214" s="123"/>
    </row>
    <row r="9215" spans="5:5" ht="16.5">
      <c r="E9215" s="123"/>
    </row>
    <row r="9216" spans="5:5" ht="16.5">
      <c r="E9216" s="123"/>
    </row>
    <row r="9217" spans="5:5" ht="16.5">
      <c r="E9217" s="123"/>
    </row>
    <row r="9218" spans="5:5" ht="16.5">
      <c r="E9218" s="123"/>
    </row>
    <row r="9219" spans="5:5" ht="16.5">
      <c r="E9219" s="123"/>
    </row>
    <row r="9220" spans="5:5" ht="16.5">
      <c r="E9220" s="123"/>
    </row>
    <row r="9221" spans="5:5" ht="16.5">
      <c r="E9221" s="123"/>
    </row>
    <row r="9222" spans="5:5" ht="16.5">
      <c r="E9222" s="123"/>
    </row>
    <row r="9223" spans="5:5" ht="16.5">
      <c r="E9223" s="123"/>
    </row>
    <row r="9224" spans="5:5" ht="16.5">
      <c r="E9224" s="123"/>
    </row>
    <row r="9225" spans="5:5" ht="16.5">
      <c r="E9225" s="123"/>
    </row>
    <row r="9226" spans="5:5" ht="16.5">
      <c r="E9226" s="123"/>
    </row>
    <row r="9227" spans="5:5" ht="16.5">
      <c r="E9227" s="123"/>
    </row>
    <row r="9228" spans="5:5" ht="16.5">
      <c r="E9228" s="123"/>
    </row>
    <row r="9229" spans="5:5" ht="16.5">
      <c r="E9229" s="123"/>
    </row>
    <row r="9230" spans="5:5" ht="16.5">
      <c r="E9230" s="123"/>
    </row>
    <row r="9231" spans="5:5" ht="16.5">
      <c r="E9231" s="123"/>
    </row>
    <row r="9232" spans="5:5" ht="16.5">
      <c r="E9232" s="123"/>
    </row>
    <row r="9233" spans="5:5" ht="16.5">
      <c r="E9233" s="123"/>
    </row>
    <row r="9234" spans="5:5" ht="16.5">
      <c r="E9234" s="123"/>
    </row>
    <row r="9235" spans="5:5" ht="16.5">
      <c r="E9235" s="123"/>
    </row>
    <row r="9236" spans="5:5" ht="16.5">
      <c r="E9236" s="123"/>
    </row>
    <row r="9237" spans="5:5" ht="16.5">
      <c r="E9237" s="123"/>
    </row>
    <row r="9238" spans="5:5" ht="16.5">
      <c r="E9238" s="123"/>
    </row>
    <row r="9239" spans="5:5" ht="16.5">
      <c r="E9239" s="123"/>
    </row>
    <row r="9240" spans="5:5" ht="16.5">
      <c r="E9240" s="123"/>
    </row>
    <row r="9241" spans="5:5" ht="16.5">
      <c r="E9241" s="123"/>
    </row>
    <row r="9242" spans="5:5" ht="16.5">
      <c r="E9242" s="123"/>
    </row>
    <row r="9243" spans="5:5" ht="16.5">
      <c r="E9243" s="123"/>
    </row>
    <row r="9244" spans="5:5" ht="16.5">
      <c r="E9244" s="123"/>
    </row>
    <row r="9245" spans="5:5" ht="16.5">
      <c r="E9245" s="123"/>
    </row>
    <row r="9246" spans="5:5" ht="16.5">
      <c r="E9246" s="123"/>
    </row>
    <row r="9247" spans="5:5" ht="16.5">
      <c r="E9247" s="123"/>
    </row>
    <row r="9248" spans="5:5" ht="16.5">
      <c r="E9248" s="123"/>
    </row>
    <row r="9249" spans="5:5" ht="16.5">
      <c r="E9249" s="123"/>
    </row>
    <row r="9250" spans="5:5" ht="16.5">
      <c r="E9250" s="123"/>
    </row>
    <row r="9251" spans="5:5" ht="16.5">
      <c r="E9251" s="123"/>
    </row>
    <row r="9252" spans="5:5" ht="16.5">
      <c r="E9252" s="123"/>
    </row>
    <row r="9253" spans="5:5" ht="16.5">
      <c r="E9253" s="123"/>
    </row>
    <row r="9254" spans="5:5" ht="16.5">
      <c r="E9254" s="123"/>
    </row>
    <row r="9255" spans="5:5" ht="16.5">
      <c r="E9255" s="123"/>
    </row>
    <row r="9256" spans="5:5" ht="16.5">
      <c r="E9256" s="123"/>
    </row>
    <row r="9257" spans="5:5" ht="16.5">
      <c r="E9257" s="123"/>
    </row>
    <row r="9258" spans="5:5" ht="16.5">
      <c r="E9258" s="123"/>
    </row>
    <row r="9259" spans="5:5" ht="16.5">
      <c r="E9259" s="123"/>
    </row>
    <row r="9260" spans="5:5" ht="16.5">
      <c r="E9260" s="123"/>
    </row>
    <row r="9261" spans="5:5" ht="16.5">
      <c r="E9261" s="123"/>
    </row>
    <row r="9262" spans="5:5" ht="16.5">
      <c r="E9262" s="123"/>
    </row>
    <row r="9263" spans="5:5" ht="16.5">
      <c r="E9263" s="123"/>
    </row>
    <row r="9264" spans="5:5" ht="16.5">
      <c r="E9264" s="123"/>
    </row>
    <row r="9265" spans="5:5" ht="16.5">
      <c r="E9265" s="123"/>
    </row>
    <row r="9266" spans="5:5" ht="16.5">
      <c r="E9266" s="123"/>
    </row>
    <row r="9267" spans="5:5" ht="16.5">
      <c r="E9267" s="123"/>
    </row>
    <row r="9268" spans="5:5" ht="16.5">
      <c r="E9268" s="123"/>
    </row>
    <row r="9269" spans="5:5" ht="16.5">
      <c r="E9269" s="123"/>
    </row>
    <row r="9270" spans="5:5" ht="16.5">
      <c r="E9270" s="123"/>
    </row>
    <row r="9271" spans="5:5" ht="16.5">
      <c r="E9271" s="123"/>
    </row>
    <row r="9272" spans="5:5" ht="16.5">
      <c r="E9272" s="123"/>
    </row>
    <row r="9273" spans="5:5" ht="16.5">
      <c r="E9273" s="123"/>
    </row>
    <row r="9274" spans="5:5" ht="16.5">
      <c r="E9274" s="123"/>
    </row>
    <row r="9275" spans="5:5" ht="16.5">
      <c r="E9275" s="123"/>
    </row>
    <row r="9276" spans="5:5" ht="16.5">
      <c r="E9276" s="123"/>
    </row>
    <row r="9277" spans="5:5" ht="16.5">
      <c r="E9277" s="123"/>
    </row>
    <row r="9278" spans="5:5" ht="16.5">
      <c r="E9278" s="123"/>
    </row>
    <row r="9279" spans="5:5" ht="16.5">
      <c r="E9279" s="123"/>
    </row>
    <row r="9280" spans="5:5" ht="16.5">
      <c r="E9280" s="123"/>
    </row>
    <row r="9281" spans="5:5" ht="16.5">
      <c r="E9281" s="123"/>
    </row>
    <row r="9282" spans="5:5" ht="16.5">
      <c r="E9282" s="123"/>
    </row>
    <row r="9283" spans="5:5" ht="16.5">
      <c r="E9283" s="123"/>
    </row>
    <row r="9284" spans="5:5" ht="16.5">
      <c r="E9284" s="123"/>
    </row>
    <row r="9285" spans="5:5" ht="16.5">
      <c r="E9285" s="123"/>
    </row>
    <row r="9286" spans="5:5" ht="16.5">
      <c r="E9286" s="123"/>
    </row>
    <row r="9287" spans="5:5" ht="16.5">
      <c r="E9287" s="123"/>
    </row>
    <row r="9288" spans="5:5" ht="16.5">
      <c r="E9288" s="123"/>
    </row>
    <row r="9289" spans="5:5" ht="16.5">
      <c r="E9289" s="123"/>
    </row>
    <row r="9290" spans="5:5" ht="16.5">
      <c r="E9290" s="123"/>
    </row>
    <row r="9291" spans="5:5" ht="16.5">
      <c r="E9291" s="123"/>
    </row>
    <row r="9292" spans="5:5" ht="16.5">
      <c r="E9292" s="123"/>
    </row>
    <row r="9293" spans="5:5" ht="16.5">
      <c r="E9293" s="123"/>
    </row>
    <row r="9294" spans="5:5" ht="16.5">
      <c r="E9294" s="123"/>
    </row>
    <row r="9295" spans="5:5" ht="16.5">
      <c r="E9295" s="123"/>
    </row>
    <row r="9296" spans="5:5" ht="16.5">
      <c r="E9296" s="123"/>
    </row>
    <row r="9297" spans="5:5" ht="16.5">
      <c r="E9297" s="123"/>
    </row>
    <row r="9298" spans="5:5" ht="16.5">
      <c r="E9298" s="123"/>
    </row>
    <row r="9299" spans="5:5" ht="16.5">
      <c r="E9299" s="123"/>
    </row>
    <row r="9300" spans="5:5" ht="16.5">
      <c r="E9300" s="123"/>
    </row>
    <row r="9301" spans="5:5" ht="16.5">
      <c r="E9301" s="123"/>
    </row>
    <row r="9302" spans="5:5" ht="16.5">
      <c r="E9302" s="123"/>
    </row>
    <row r="9303" spans="5:5" ht="16.5">
      <c r="E9303" s="123"/>
    </row>
    <row r="9304" spans="5:5" ht="16.5">
      <c r="E9304" s="123"/>
    </row>
    <row r="9305" spans="5:5" ht="16.5">
      <c r="E9305" s="123"/>
    </row>
    <row r="9306" spans="5:5" ht="16.5">
      <c r="E9306" s="123"/>
    </row>
    <row r="9307" spans="5:5" ht="16.5">
      <c r="E9307" s="123"/>
    </row>
    <row r="9308" spans="5:5" ht="16.5">
      <c r="E9308" s="123"/>
    </row>
    <row r="9309" spans="5:5" ht="16.5">
      <c r="E9309" s="123"/>
    </row>
    <row r="9310" spans="5:5" ht="16.5">
      <c r="E9310" s="123"/>
    </row>
    <row r="9311" spans="5:5" ht="16.5">
      <c r="E9311" s="123"/>
    </row>
    <row r="9312" spans="5:5" ht="16.5">
      <c r="E9312" s="123"/>
    </row>
    <row r="9313" spans="5:5" ht="16.5">
      <c r="E9313" s="123"/>
    </row>
    <row r="9314" spans="5:5" ht="16.5">
      <c r="E9314" s="123"/>
    </row>
    <row r="9315" spans="5:5" ht="16.5">
      <c r="E9315" s="123"/>
    </row>
    <row r="9316" spans="5:5" ht="16.5">
      <c r="E9316" s="123"/>
    </row>
    <row r="9317" spans="5:5" ht="16.5">
      <c r="E9317" s="123"/>
    </row>
    <row r="9318" spans="5:5" ht="16.5">
      <c r="E9318" s="123"/>
    </row>
    <row r="9319" spans="5:5" ht="16.5">
      <c r="E9319" s="123"/>
    </row>
    <row r="9320" spans="5:5" ht="16.5">
      <c r="E9320" s="123"/>
    </row>
    <row r="9321" spans="5:5" ht="16.5">
      <c r="E9321" s="123"/>
    </row>
    <row r="9322" spans="5:5" ht="16.5">
      <c r="E9322" s="123"/>
    </row>
    <row r="9323" spans="5:5" ht="16.5">
      <c r="E9323" s="123"/>
    </row>
    <row r="9324" spans="5:5" ht="16.5">
      <c r="E9324" s="123"/>
    </row>
    <row r="9325" spans="5:5" ht="16.5">
      <c r="E9325" s="123"/>
    </row>
    <row r="9326" spans="5:5" ht="16.5">
      <c r="E9326" s="123"/>
    </row>
    <row r="9327" spans="5:5" ht="16.5">
      <c r="E9327" s="123"/>
    </row>
    <row r="9328" spans="5:5" ht="16.5">
      <c r="E9328" s="123"/>
    </row>
    <row r="9329" spans="5:5" ht="16.5">
      <c r="E9329" s="123"/>
    </row>
    <row r="9330" spans="5:5" ht="16.5">
      <c r="E9330" s="123"/>
    </row>
    <row r="9331" spans="5:5" ht="16.5">
      <c r="E9331" s="123"/>
    </row>
    <row r="9332" spans="5:5" ht="16.5">
      <c r="E9332" s="123"/>
    </row>
    <row r="9333" spans="5:5" ht="16.5">
      <c r="E9333" s="123"/>
    </row>
    <row r="9334" spans="5:5" ht="16.5">
      <c r="E9334" s="123"/>
    </row>
    <row r="9335" spans="5:5" ht="16.5">
      <c r="E9335" s="123"/>
    </row>
    <row r="9336" spans="5:5" ht="16.5">
      <c r="E9336" s="123"/>
    </row>
    <row r="9337" spans="5:5" ht="16.5">
      <c r="E9337" s="123"/>
    </row>
    <row r="9338" spans="5:5" ht="16.5">
      <c r="E9338" s="123"/>
    </row>
    <row r="9339" spans="5:5" ht="16.5">
      <c r="E9339" s="123"/>
    </row>
    <row r="9340" spans="5:5" ht="16.5">
      <c r="E9340" s="123"/>
    </row>
    <row r="9341" spans="5:5" ht="16.5">
      <c r="E9341" s="123"/>
    </row>
    <row r="9342" spans="5:5" ht="16.5">
      <c r="E9342" s="123"/>
    </row>
    <row r="9343" spans="5:5" ht="16.5">
      <c r="E9343" s="123"/>
    </row>
    <row r="9344" spans="5:5" ht="16.5">
      <c r="E9344" s="123"/>
    </row>
    <row r="9345" spans="5:5" ht="16.5">
      <c r="E9345" s="123"/>
    </row>
    <row r="9346" spans="5:5" ht="16.5">
      <c r="E9346" s="123"/>
    </row>
    <row r="9347" spans="5:5" ht="16.5">
      <c r="E9347" s="123"/>
    </row>
    <row r="9348" spans="5:5" ht="16.5">
      <c r="E9348" s="123"/>
    </row>
    <row r="9349" spans="5:5" ht="16.5">
      <c r="E9349" s="123"/>
    </row>
    <row r="9350" spans="5:5" ht="16.5">
      <c r="E9350" s="123"/>
    </row>
    <row r="9351" spans="5:5" ht="16.5">
      <c r="E9351" s="123"/>
    </row>
    <row r="9352" spans="5:5" ht="16.5">
      <c r="E9352" s="123"/>
    </row>
    <row r="9353" spans="5:5" ht="16.5">
      <c r="E9353" s="123"/>
    </row>
    <row r="9354" spans="5:5" ht="16.5">
      <c r="E9354" s="123"/>
    </row>
    <row r="9355" spans="5:5" ht="16.5">
      <c r="E9355" s="123"/>
    </row>
    <row r="9356" spans="5:5" ht="16.5">
      <c r="E9356" s="123"/>
    </row>
    <row r="9357" spans="5:5" ht="16.5">
      <c r="E9357" s="123"/>
    </row>
    <row r="9358" spans="5:5" ht="16.5">
      <c r="E9358" s="123"/>
    </row>
    <row r="9359" spans="5:5" ht="16.5">
      <c r="E9359" s="123"/>
    </row>
    <row r="9360" spans="5:5" ht="16.5">
      <c r="E9360" s="123"/>
    </row>
    <row r="9361" spans="5:5" ht="16.5">
      <c r="E9361" s="123"/>
    </row>
    <row r="9362" spans="5:5" ht="16.5">
      <c r="E9362" s="123"/>
    </row>
    <row r="9363" spans="5:5" ht="16.5">
      <c r="E9363" s="123"/>
    </row>
    <row r="9364" spans="5:5" ht="16.5">
      <c r="E9364" s="123"/>
    </row>
    <row r="9365" spans="5:5" ht="16.5">
      <c r="E9365" s="123"/>
    </row>
    <row r="9366" spans="5:5" ht="16.5">
      <c r="E9366" s="123"/>
    </row>
    <row r="9367" spans="5:5" ht="16.5">
      <c r="E9367" s="123"/>
    </row>
    <row r="9368" spans="5:5" ht="16.5">
      <c r="E9368" s="123"/>
    </row>
    <row r="9369" spans="5:5" ht="16.5">
      <c r="E9369" s="123"/>
    </row>
    <row r="9370" spans="5:5" ht="16.5">
      <c r="E9370" s="123"/>
    </row>
    <row r="9371" spans="5:5" ht="16.5">
      <c r="E9371" s="123"/>
    </row>
    <row r="9372" spans="5:5" ht="16.5">
      <c r="E9372" s="123"/>
    </row>
    <row r="9373" spans="5:5" ht="16.5">
      <c r="E9373" s="123"/>
    </row>
    <row r="9374" spans="5:5" ht="16.5">
      <c r="E9374" s="123"/>
    </row>
    <row r="9375" spans="5:5" ht="16.5">
      <c r="E9375" s="123"/>
    </row>
    <row r="9376" spans="5:5" ht="16.5">
      <c r="E9376" s="123"/>
    </row>
    <row r="9377" spans="5:5" ht="16.5">
      <c r="E9377" s="123"/>
    </row>
    <row r="9378" spans="5:5" ht="16.5">
      <c r="E9378" s="123"/>
    </row>
    <row r="9379" spans="5:5" ht="16.5">
      <c r="E9379" s="123"/>
    </row>
    <row r="9380" spans="5:5" ht="16.5">
      <c r="E9380" s="123"/>
    </row>
    <row r="9381" spans="5:5" ht="16.5">
      <c r="E9381" s="123"/>
    </row>
    <row r="9382" spans="5:5" ht="16.5">
      <c r="E9382" s="123"/>
    </row>
    <row r="9383" spans="5:5" ht="16.5">
      <c r="E9383" s="123"/>
    </row>
    <row r="9384" spans="5:5" ht="16.5">
      <c r="E9384" s="123"/>
    </row>
    <row r="9385" spans="5:5" ht="16.5">
      <c r="E9385" s="123"/>
    </row>
    <row r="9386" spans="5:5" ht="16.5">
      <c r="E9386" s="123"/>
    </row>
    <row r="9387" spans="5:5" ht="16.5">
      <c r="E9387" s="123"/>
    </row>
    <row r="9388" spans="5:5" ht="16.5">
      <c r="E9388" s="123"/>
    </row>
    <row r="9389" spans="5:5" ht="16.5">
      <c r="E9389" s="123"/>
    </row>
    <row r="9390" spans="5:5" ht="16.5">
      <c r="E9390" s="123"/>
    </row>
    <row r="9391" spans="5:5" ht="16.5">
      <c r="E9391" s="123"/>
    </row>
    <row r="9392" spans="5:5" ht="16.5">
      <c r="E9392" s="123"/>
    </row>
    <row r="9393" spans="5:5" ht="16.5">
      <c r="E9393" s="123"/>
    </row>
    <row r="9394" spans="5:5" ht="16.5">
      <c r="E9394" s="123"/>
    </row>
    <row r="9395" spans="5:5" ht="16.5">
      <c r="E9395" s="123"/>
    </row>
    <row r="9396" spans="5:5" ht="16.5">
      <c r="E9396" s="123"/>
    </row>
    <row r="9397" spans="5:5" ht="16.5">
      <c r="E9397" s="123"/>
    </row>
    <row r="9398" spans="5:5" ht="16.5">
      <c r="E9398" s="123"/>
    </row>
    <row r="9399" spans="5:5" ht="16.5">
      <c r="E9399" s="123"/>
    </row>
    <row r="9400" spans="5:5" ht="16.5">
      <c r="E9400" s="123"/>
    </row>
    <row r="9401" spans="5:5" ht="16.5">
      <c r="E9401" s="123"/>
    </row>
    <row r="9402" spans="5:5" ht="16.5">
      <c r="E9402" s="123"/>
    </row>
    <row r="9403" spans="5:5" ht="16.5">
      <c r="E9403" s="123"/>
    </row>
    <row r="9404" spans="5:5" ht="16.5">
      <c r="E9404" s="123"/>
    </row>
    <row r="9405" spans="5:5" ht="16.5">
      <c r="E9405" s="123"/>
    </row>
    <row r="9406" spans="5:5" ht="16.5">
      <c r="E9406" s="123"/>
    </row>
    <row r="9407" spans="5:5" ht="16.5">
      <c r="E9407" s="123"/>
    </row>
    <row r="9408" spans="5:5" ht="16.5">
      <c r="E9408" s="123"/>
    </row>
    <row r="9409" spans="5:5" ht="16.5">
      <c r="E9409" s="123"/>
    </row>
    <row r="9410" spans="5:5" ht="16.5">
      <c r="E9410" s="123"/>
    </row>
    <row r="9411" spans="5:5" ht="16.5">
      <c r="E9411" s="123"/>
    </row>
    <row r="9412" spans="5:5" ht="16.5">
      <c r="E9412" s="123"/>
    </row>
    <row r="9413" spans="5:5" ht="16.5">
      <c r="E9413" s="123"/>
    </row>
    <row r="9414" spans="5:5" ht="16.5">
      <c r="E9414" s="123"/>
    </row>
    <row r="9415" spans="5:5" ht="16.5">
      <c r="E9415" s="123"/>
    </row>
    <row r="9416" spans="5:5" ht="16.5">
      <c r="E9416" s="123"/>
    </row>
    <row r="9417" spans="5:5" ht="16.5">
      <c r="E9417" s="123"/>
    </row>
    <row r="9418" spans="5:5" ht="16.5">
      <c r="E9418" s="123"/>
    </row>
    <row r="9419" spans="5:5" ht="16.5">
      <c r="E9419" s="123"/>
    </row>
    <row r="9420" spans="5:5" ht="16.5">
      <c r="E9420" s="123"/>
    </row>
    <row r="9421" spans="5:5" ht="16.5">
      <c r="E9421" s="123"/>
    </row>
    <row r="9422" spans="5:5" ht="16.5">
      <c r="E9422" s="123"/>
    </row>
    <row r="9423" spans="5:5" ht="16.5">
      <c r="E9423" s="123"/>
    </row>
    <row r="9424" spans="5:5" ht="16.5">
      <c r="E9424" s="123"/>
    </row>
    <row r="9425" spans="5:5" ht="16.5">
      <c r="E9425" s="123"/>
    </row>
    <row r="9426" spans="5:5" ht="16.5">
      <c r="E9426" s="123"/>
    </row>
    <row r="9427" spans="5:5" ht="16.5">
      <c r="E9427" s="123"/>
    </row>
    <row r="9428" spans="5:5" ht="16.5">
      <c r="E9428" s="123"/>
    </row>
    <row r="9429" spans="5:5" ht="16.5">
      <c r="E9429" s="123"/>
    </row>
    <row r="9430" spans="5:5" ht="16.5">
      <c r="E9430" s="123"/>
    </row>
    <row r="9431" spans="5:5" ht="16.5">
      <c r="E9431" s="123"/>
    </row>
    <row r="9432" spans="5:5" ht="16.5">
      <c r="E9432" s="123"/>
    </row>
    <row r="9433" spans="5:5" ht="16.5">
      <c r="E9433" s="123"/>
    </row>
    <row r="9434" spans="5:5" ht="16.5">
      <c r="E9434" s="123"/>
    </row>
    <row r="9435" spans="5:5" ht="16.5">
      <c r="E9435" s="123"/>
    </row>
    <row r="9436" spans="5:5" ht="16.5">
      <c r="E9436" s="123"/>
    </row>
    <row r="9437" spans="5:5" ht="16.5">
      <c r="E9437" s="123"/>
    </row>
    <row r="9438" spans="5:5" ht="16.5">
      <c r="E9438" s="123"/>
    </row>
    <row r="9439" spans="5:5" ht="16.5">
      <c r="E9439" s="123"/>
    </row>
    <row r="9440" spans="5:5" ht="16.5">
      <c r="E9440" s="123"/>
    </row>
    <row r="9441" spans="5:5" ht="16.5">
      <c r="E9441" s="123"/>
    </row>
    <row r="9442" spans="5:5" ht="16.5">
      <c r="E9442" s="123"/>
    </row>
    <row r="9443" spans="5:5" ht="16.5">
      <c r="E9443" s="123"/>
    </row>
    <row r="9444" spans="5:5" ht="16.5">
      <c r="E9444" s="123"/>
    </row>
    <row r="9445" spans="5:5" ht="16.5">
      <c r="E9445" s="123"/>
    </row>
    <row r="9446" spans="5:5" ht="16.5">
      <c r="E9446" s="123"/>
    </row>
    <row r="9447" spans="5:5" ht="16.5">
      <c r="E9447" s="123"/>
    </row>
    <row r="9448" spans="5:5" ht="16.5">
      <c r="E9448" s="123"/>
    </row>
    <row r="9449" spans="5:5" ht="16.5">
      <c r="E9449" s="123"/>
    </row>
    <row r="9450" spans="5:5" ht="16.5">
      <c r="E9450" s="123"/>
    </row>
    <row r="9451" spans="5:5" ht="16.5">
      <c r="E9451" s="123"/>
    </row>
    <row r="9452" spans="5:5" ht="16.5">
      <c r="E9452" s="123"/>
    </row>
    <row r="9453" spans="5:5" ht="16.5">
      <c r="E9453" s="123"/>
    </row>
    <row r="9454" spans="5:5" ht="16.5">
      <c r="E9454" s="123"/>
    </row>
    <row r="9455" spans="5:5" ht="16.5">
      <c r="E9455" s="123"/>
    </row>
    <row r="9456" spans="5:5" ht="16.5">
      <c r="E9456" s="123"/>
    </row>
    <row r="9457" spans="5:5" ht="16.5">
      <c r="E9457" s="123"/>
    </row>
    <row r="9458" spans="5:5" ht="16.5">
      <c r="E9458" s="123"/>
    </row>
    <row r="9459" spans="5:5" ht="16.5">
      <c r="E9459" s="123"/>
    </row>
    <row r="9460" spans="5:5" ht="16.5">
      <c r="E9460" s="123"/>
    </row>
    <row r="9461" spans="5:5" ht="16.5">
      <c r="E9461" s="123"/>
    </row>
    <row r="9462" spans="5:5" ht="16.5">
      <c r="E9462" s="123"/>
    </row>
    <row r="9463" spans="5:5" ht="16.5">
      <c r="E9463" s="123"/>
    </row>
    <row r="9464" spans="5:5" ht="16.5">
      <c r="E9464" s="123"/>
    </row>
    <row r="9465" spans="5:5" ht="16.5">
      <c r="E9465" s="123"/>
    </row>
    <row r="9466" spans="5:5" ht="16.5">
      <c r="E9466" s="123"/>
    </row>
    <row r="9467" spans="5:5" ht="16.5">
      <c r="E9467" s="123"/>
    </row>
    <row r="9468" spans="5:5" ht="16.5">
      <c r="E9468" s="123"/>
    </row>
    <row r="9469" spans="5:5" ht="16.5">
      <c r="E9469" s="123"/>
    </row>
    <row r="9470" spans="5:5" ht="16.5">
      <c r="E9470" s="123"/>
    </row>
    <row r="9471" spans="5:5" ht="16.5">
      <c r="E9471" s="123"/>
    </row>
    <row r="9472" spans="5:5" ht="16.5">
      <c r="E9472" s="123"/>
    </row>
    <row r="9473" spans="5:5" ht="16.5">
      <c r="E9473" s="123"/>
    </row>
    <row r="9474" spans="5:5" ht="16.5">
      <c r="E9474" s="123"/>
    </row>
    <row r="9475" spans="5:5" ht="16.5">
      <c r="E9475" s="123"/>
    </row>
    <row r="9476" spans="5:5" ht="16.5">
      <c r="E9476" s="123"/>
    </row>
    <row r="9477" spans="5:5" ht="16.5">
      <c r="E9477" s="123"/>
    </row>
    <row r="9478" spans="5:5" ht="16.5">
      <c r="E9478" s="123"/>
    </row>
    <row r="9479" spans="5:5" ht="16.5">
      <c r="E9479" s="123"/>
    </row>
    <row r="9480" spans="5:5" ht="16.5">
      <c r="E9480" s="123"/>
    </row>
    <row r="9481" spans="5:5" ht="16.5">
      <c r="E9481" s="123"/>
    </row>
    <row r="9482" spans="5:5" ht="16.5">
      <c r="E9482" s="123"/>
    </row>
    <row r="9483" spans="5:5" ht="16.5">
      <c r="E9483" s="123"/>
    </row>
    <row r="9484" spans="5:5" ht="16.5">
      <c r="E9484" s="123"/>
    </row>
    <row r="9485" spans="5:5" ht="16.5">
      <c r="E9485" s="123"/>
    </row>
    <row r="9486" spans="5:5" ht="16.5">
      <c r="E9486" s="123"/>
    </row>
    <row r="9487" spans="5:5" ht="16.5">
      <c r="E9487" s="123"/>
    </row>
    <row r="9488" spans="5:5" ht="16.5">
      <c r="E9488" s="123"/>
    </row>
    <row r="9489" spans="5:5" ht="16.5">
      <c r="E9489" s="123"/>
    </row>
    <row r="9490" spans="5:5" ht="16.5">
      <c r="E9490" s="123"/>
    </row>
    <row r="9491" spans="5:5" ht="16.5">
      <c r="E9491" s="123"/>
    </row>
    <row r="9492" spans="5:5" ht="16.5">
      <c r="E9492" s="123"/>
    </row>
    <row r="9493" spans="5:5" ht="16.5">
      <c r="E9493" s="123"/>
    </row>
    <row r="9494" spans="5:5" ht="16.5">
      <c r="E9494" s="123"/>
    </row>
    <row r="9495" spans="5:5" ht="16.5">
      <c r="E9495" s="123"/>
    </row>
    <row r="9496" spans="5:5" ht="16.5">
      <c r="E9496" s="123"/>
    </row>
    <row r="9497" spans="5:5" ht="16.5">
      <c r="E9497" s="123"/>
    </row>
    <row r="9498" spans="5:5" ht="16.5">
      <c r="E9498" s="123"/>
    </row>
    <row r="9499" spans="5:5" ht="16.5">
      <c r="E9499" s="123"/>
    </row>
    <row r="9500" spans="5:5" ht="16.5">
      <c r="E9500" s="123"/>
    </row>
    <row r="9501" spans="5:5" ht="16.5">
      <c r="E9501" s="123"/>
    </row>
    <row r="9502" spans="5:5" ht="16.5">
      <c r="E9502" s="123"/>
    </row>
    <row r="9503" spans="5:5" ht="16.5">
      <c r="E9503" s="123"/>
    </row>
    <row r="9504" spans="5:5" ht="16.5">
      <c r="E9504" s="123"/>
    </row>
    <row r="9505" spans="5:5" ht="16.5">
      <c r="E9505" s="123"/>
    </row>
    <row r="9506" spans="5:5" ht="16.5">
      <c r="E9506" s="123"/>
    </row>
    <row r="9507" spans="5:5" ht="16.5">
      <c r="E9507" s="123"/>
    </row>
    <row r="9508" spans="5:5" ht="16.5">
      <c r="E9508" s="123"/>
    </row>
    <row r="9509" spans="5:5" ht="16.5">
      <c r="E9509" s="123"/>
    </row>
    <row r="9510" spans="5:5" ht="16.5">
      <c r="E9510" s="123"/>
    </row>
    <row r="9511" spans="5:5" ht="16.5">
      <c r="E9511" s="123"/>
    </row>
    <row r="9512" spans="5:5" ht="16.5">
      <c r="E9512" s="123"/>
    </row>
    <row r="9513" spans="5:5" ht="16.5">
      <c r="E9513" s="123"/>
    </row>
    <row r="9514" spans="5:5" ht="16.5">
      <c r="E9514" s="123"/>
    </row>
    <row r="9515" spans="5:5" ht="16.5">
      <c r="E9515" s="123"/>
    </row>
    <row r="9516" spans="5:5" ht="16.5">
      <c r="E9516" s="123"/>
    </row>
    <row r="9517" spans="5:5" ht="16.5">
      <c r="E9517" s="123"/>
    </row>
    <row r="9518" spans="5:5" ht="16.5">
      <c r="E9518" s="123"/>
    </row>
    <row r="9519" spans="5:5" ht="16.5">
      <c r="E9519" s="123"/>
    </row>
    <row r="9520" spans="5:5" ht="16.5">
      <c r="E9520" s="123"/>
    </row>
    <row r="9521" spans="5:5" ht="16.5">
      <c r="E9521" s="123"/>
    </row>
    <row r="9522" spans="5:5" ht="16.5">
      <c r="E9522" s="123"/>
    </row>
    <row r="9523" spans="5:5" ht="16.5">
      <c r="E9523" s="123"/>
    </row>
    <row r="9524" spans="5:5" ht="16.5">
      <c r="E9524" s="123"/>
    </row>
    <row r="9525" spans="5:5" ht="16.5">
      <c r="E9525" s="123"/>
    </row>
    <row r="9526" spans="5:5" ht="16.5">
      <c r="E9526" s="123"/>
    </row>
    <row r="9527" spans="5:5" ht="16.5">
      <c r="E9527" s="123"/>
    </row>
    <row r="9528" spans="5:5" ht="16.5">
      <c r="E9528" s="123"/>
    </row>
    <row r="9529" spans="5:5" ht="16.5">
      <c r="E9529" s="123"/>
    </row>
    <row r="9530" spans="5:5" ht="16.5">
      <c r="E9530" s="123"/>
    </row>
    <row r="9531" spans="5:5" ht="16.5">
      <c r="E9531" s="123"/>
    </row>
    <row r="9532" spans="5:5" ht="16.5">
      <c r="E9532" s="123"/>
    </row>
    <row r="9533" spans="5:5" ht="16.5">
      <c r="E9533" s="123"/>
    </row>
    <row r="9534" spans="5:5" ht="16.5">
      <c r="E9534" s="123"/>
    </row>
    <row r="9535" spans="5:5" ht="16.5">
      <c r="E9535" s="123"/>
    </row>
    <row r="9536" spans="5:5" ht="16.5">
      <c r="E9536" s="123"/>
    </row>
    <row r="9537" spans="5:5" ht="16.5">
      <c r="E9537" s="123"/>
    </row>
    <row r="9538" spans="5:5" ht="16.5">
      <c r="E9538" s="123"/>
    </row>
    <row r="9539" spans="5:5" ht="16.5">
      <c r="E9539" s="123"/>
    </row>
    <row r="9540" spans="5:5" ht="16.5">
      <c r="E9540" s="123"/>
    </row>
    <row r="9541" spans="5:5" ht="16.5">
      <c r="E9541" s="123"/>
    </row>
    <row r="9542" spans="5:5" ht="16.5">
      <c r="E9542" s="123"/>
    </row>
    <row r="9543" spans="5:5" ht="16.5">
      <c r="E9543" s="123"/>
    </row>
    <row r="9544" spans="5:5" ht="16.5">
      <c r="E9544" s="123"/>
    </row>
    <row r="9545" spans="5:5" ht="16.5">
      <c r="E9545" s="123"/>
    </row>
    <row r="9546" spans="5:5" ht="16.5">
      <c r="E9546" s="123"/>
    </row>
    <row r="9547" spans="5:5" ht="16.5">
      <c r="E9547" s="123"/>
    </row>
    <row r="9548" spans="5:5" ht="16.5">
      <c r="E9548" s="123"/>
    </row>
    <row r="9549" spans="5:5" ht="16.5">
      <c r="E9549" s="123"/>
    </row>
    <row r="9550" spans="5:5" ht="16.5">
      <c r="E9550" s="123"/>
    </row>
    <row r="9551" spans="5:5" ht="16.5">
      <c r="E9551" s="123"/>
    </row>
    <row r="9552" spans="5:5" ht="16.5">
      <c r="E9552" s="123"/>
    </row>
    <row r="9553" spans="5:5" ht="16.5">
      <c r="E9553" s="123"/>
    </row>
    <row r="9554" spans="5:5" ht="16.5">
      <c r="E9554" s="123"/>
    </row>
    <row r="9555" spans="5:5" ht="16.5">
      <c r="E9555" s="123"/>
    </row>
    <row r="9556" spans="5:5" ht="16.5">
      <c r="E9556" s="123"/>
    </row>
    <row r="9557" spans="5:5" ht="16.5">
      <c r="E9557" s="123"/>
    </row>
    <row r="9558" spans="5:5" ht="16.5">
      <c r="E9558" s="123"/>
    </row>
    <row r="9559" spans="5:5" ht="16.5">
      <c r="E9559" s="123"/>
    </row>
    <row r="9560" spans="5:5" ht="16.5">
      <c r="E9560" s="123"/>
    </row>
    <row r="9561" spans="5:5" ht="16.5">
      <c r="E9561" s="123"/>
    </row>
    <row r="9562" spans="5:5" ht="16.5">
      <c r="E9562" s="123"/>
    </row>
    <row r="9563" spans="5:5" ht="16.5">
      <c r="E9563" s="123"/>
    </row>
    <row r="9564" spans="5:5" ht="16.5">
      <c r="E9564" s="123"/>
    </row>
    <row r="9565" spans="5:5" ht="16.5">
      <c r="E9565" s="123"/>
    </row>
    <row r="9566" spans="5:5" ht="16.5">
      <c r="E9566" s="123"/>
    </row>
    <row r="9567" spans="5:5" ht="16.5">
      <c r="E9567" s="123"/>
    </row>
    <row r="9568" spans="5:5" ht="16.5">
      <c r="E9568" s="123"/>
    </row>
    <row r="9569" spans="5:5" ht="16.5">
      <c r="E9569" s="123"/>
    </row>
    <row r="9570" spans="5:5" ht="16.5">
      <c r="E9570" s="123"/>
    </row>
    <row r="9571" spans="5:5" ht="16.5">
      <c r="E9571" s="123"/>
    </row>
    <row r="9572" spans="5:5" ht="16.5">
      <c r="E9572" s="123"/>
    </row>
    <row r="9573" spans="5:5" ht="16.5">
      <c r="E9573" s="123"/>
    </row>
    <row r="9574" spans="5:5" ht="16.5">
      <c r="E9574" s="123"/>
    </row>
    <row r="9575" spans="5:5" ht="16.5">
      <c r="E9575" s="123"/>
    </row>
    <row r="9576" spans="5:5" ht="16.5">
      <c r="E9576" s="123"/>
    </row>
    <row r="9577" spans="5:5" ht="16.5">
      <c r="E9577" s="123"/>
    </row>
    <row r="9578" spans="5:5" ht="16.5">
      <c r="E9578" s="123"/>
    </row>
    <row r="9579" spans="5:5" ht="16.5">
      <c r="E9579" s="123"/>
    </row>
    <row r="9580" spans="5:5" ht="16.5">
      <c r="E9580" s="123"/>
    </row>
    <row r="9581" spans="5:5" ht="16.5">
      <c r="E9581" s="123"/>
    </row>
    <row r="9582" spans="5:5" ht="16.5">
      <c r="E9582" s="123"/>
    </row>
    <row r="9583" spans="5:5" ht="16.5">
      <c r="E9583" s="123"/>
    </row>
    <row r="9584" spans="5:5" ht="16.5">
      <c r="E9584" s="123"/>
    </row>
    <row r="9585" spans="5:5" ht="16.5">
      <c r="E9585" s="123"/>
    </row>
    <row r="9586" spans="5:5" ht="16.5">
      <c r="E9586" s="123"/>
    </row>
    <row r="9587" spans="5:5" ht="16.5">
      <c r="E9587" s="123"/>
    </row>
    <row r="9588" spans="5:5" ht="16.5">
      <c r="E9588" s="123"/>
    </row>
    <row r="9589" spans="5:5" ht="16.5">
      <c r="E9589" s="123"/>
    </row>
    <row r="9590" spans="5:5" ht="16.5">
      <c r="E9590" s="123"/>
    </row>
    <row r="9591" spans="5:5" ht="16.5">
      <c r="E9591" s="123"/>
    </row>
    <row r="9592" spans="5:5" ht="16.5">
      <c r="E9592" s="123"/>
    </row>
    <row r="9593" spans="5:5" ht="16.5">
      <c r="E9593" s="123"/>
    </row>
    <row r="9594" spans="5:5" ht="16.5">
      <c r="E9594" s="123"/>
    </row>
    <row r="9595" spans="5:5" ht="16.5">
      <c r="E9595" s="123"/>
    </row>
    <row r="9596" spans="5:5" ht="16.5">
      <c r="E9596" s="123"/>
    </row>
    <row r="9597" spans="5:5" ht="16.5">
      <c r="E9597" s="123"/>
    </row>
    <row r="9598" spans="5:5" ht="16.5">
      <c r="E9598" s="123"/>
    </row>
    <row r="9599" spans="5:5" ht="16.5">
      <c r="E9599" s="123"/>
    </row>
    <row r="9600" spans="5:5" ht="16.5">
      <c r="E9600" s="123"/>
    </row>
    <row r="9601" spans="5:5" ht="16.5">
      <c r="E9601" s="123"/>
    </row>
    <row r="9602" spans="5:5" ht="16.5">
      <c r="E9602" s="123"/>
    </row>
    <row r="9603" spans="5:5" ht="16.5">
      <c r="E9603" s="123"/>
    </row>
    <row r="9604" spans="5:5" ht="16.5">
      <c r="E9604" s="123"/>
    </row>
    <row r="9605" spans="5:5" ht="16.5">
      <c r="E9605" s="123"/>
    </row>
    <row r="9606" spans="5:5" ht="16.5">
      <c r="E9606" s="123"/>
    </row>
    <row r="9607" spans="5:5" ht="16.5">
      <c r="E9607" s="123"/>
    </row>
    <row r="9608" spans="5:5" ht="16.5">
      <c r="E9608" s="123"/>
    </row>
    <row r="9609" spans="5:5" ht="16.5">
      <c r="E9609" s="123"/>
    </row>
    <row r="9610" spans="5:5" ht="16.5">
      <c r="E9610" s="123"/>
    </row>
    <row r="9611" spans="5:5" ht="16.5">
      <c r="E9611" s="123"/>
    </row>
    <row r="9612" spans="5:5" ht="16.5">
      <c r="E9612" s="123"/>
    </row>
    <row r="9613" spans="5:5" ht="16.5">
      <c r="E9613" s="123"/>
    </row>
    <row r="9614" spans="5:5" ht="16.5">
      <c r="E9614" s="123"/>
    </row>
    <row r="9615" spans="5:5" ht="16.5">
      <c r="E9615" s="123"/>
    </row>
    <row r="9616" spans="5:5" ht="16.5">
      <c r="E9616" s="123"/>
    </row>
    <row r="9617" spans="5:5" ht="16.5">
      <c r="E9617" s="123"/>
    </row>
    <row r="9618" spans="5:5" ht="16.5">
      <c r="E9618" s="123"/>
    </row>
    <row r="9619" spans="5:5" ht="16.5">
      <c r="E9619" s="123"/>
    </row>
    <row r="9620" spans="5:5" ht="16.5">
      <c r="E9620" s="123"/>
    </row>
    <row r="9621" spans="5:5" ht="16.5">
      <c r="E9621" s="123"/>
    </row>
    <row r="9622" spans="5:5" ht="16.5">
      <c r="E9622" s="123"/>
    </row>
    <row r="9623" spans="5:5" ht="16.5">
      <c r="E9623" s="123"/>
    </row>
    <row r="9624" spans="5:5" ht="16.5">
      <c r="E9624" s="123"/>
    </row>
    <row r="9625" spans="5:5" ht="16.5">
      <c r="E9625" s="123"/>
    </row>
    <row r="9626" spans="5:5" ht="16.5">
      <c r="E9626" s="123"/>
    </row>
    <row r="9627" spans="5:5" ht="16.5">
      <c r="E9627" s="123"/>
    </row>
    <row r="9628" spans="5:5" ht="16.5">
      <c r="E9628" s="123"/>
    </row>
    <row r="9629" spans="5:5" ht="16.5">
      <c r="E9629" s="123"/>
    </row>
    <row r="9630" spans="5:5" ht="16.5">
      <c r="E9630" s="123"/>
    </row>
    <row r="9631" spans="5:5" ht="16.5">
      <c r="E9631" s="123"/>
    </row>
    <row r="9632" spans="5:5" ht="16.5">
      <c r="E9632" s="123"/>
    </row>
    <row r="9633" spans="5:5" ht="16.5">
      <c r="E9633" s="123"/>
    </row>
    <row r="9634" spans="5:5" ht="16.5">
      <c r="E9634" s="123"/>
    </row>
    <row r="9635" spans="5:5" ht="16.5">
      <c r="E9635" s="123"/>
    </row>
    <row r="9636" spans="5:5" ht="16.5">
      <c r="E9636" s="123"/>
    </row>
    <row r="9637" spans="5:5" ht="16.5">
      <c r="E9637" s="123"/>
    </row>
    <row r="9638" spans="5:5" ht="16.5">
      <c r="E9638" s="123"/>
    </row>
    <row r="9639" spans="5:5" ht="16.5">
      <c r="E9639" s="123"/>
    </row>
    <row r="9640" spans="5:5" ht="16.5">
      <c r="E9640" s="123"/>
    </row>
    <row r="9641" spans="5:5" ht="16.5">
      <c r="E9641" s="123"/>
    </row>
    <row r="9642" spans="5:5" ht="16.5">
      <c r="E9642" s="123"/>
    </row>
    <row r="9643" spans="5:5" ht="16.5">
      <c r="E9643" s="123"/>
    </row>
    <row r="9644" spans="5:5" ht="16.5">
      <c r="E9644" s="123"/>
    </row>
    <row r="9645" spans="5:5" ht="16.5">
      <c r="E9645" s="123"/>
    </row>
    <row r="9646" spans="5:5" ht="16.5">
      <c r="E9646" s="123"/>
    </row>
    <row r="9647" spans="5:5" ht="16.5">
      <c r="E9647" s="123"/>
    </row>
    <row r="9648" spans="5:5" ht="16.5">
      <c r="E9648" s="123"/>
    </row>
    <row r="9649" spans="5:5" ht="16.5">
      <c r="E9649" s="123"/>
    </row>
    <row r="9650" spans="5:5" ht="16.5">
      <c r="E9650" s="123"/>
    </row>
    <row r="9651" spans="5:5" ht="16.5">
      <c r="E9651" s="123"/>
    </row>
    <row r="9652" spans="5:5" ht="16.5">
      <c r="E9652" s="123"/>
    </row>
    <row r="9653" spans="5:5" ht="16.5">
      <c r="E9653" s="123"/>
    </row>
    <row r="9654" spans="5:5" ht="16.5">
      <c r="E9654" s="123"/>
    </row>
    <row r="9655" spans="5:5" ht="16.5">
      <c r="E9655" s="123"/>
    </row>
    <row r="9656" spans="5:5" ht="16.5">
      <c r="E9656" s="123"/>
    </row>
    <row r="9657" spans="5:5" ht="16.5">
      <c r="E9657" s="123"/>
    </row>
    <row r="9658" spans="5:5" ht="16.5">
      <c r="E9658" s="123"/>
    </row>
    <row r="9659" spans="5:5" ht="16.5">
      <c r="E9659" s="123"/>
    </row>
    <row r="9660" spans="5:5" ht="16.5">
      <c r="E9660" s="123"/>
    </row>
    <row r="9661" spans="5:5" ht="16.5">
      <c r="E9661" s="123"/>
    </row>
    <row r="9662" spans="5:5" ht="16.5">
      <c r="E9662" s="123"/>
    </row>
    <row r="9663" spans="5:5" ht="16.5">
      <c r="E9663" s="123"/>
    </row>
    <row r="9664" spans="5:5" ht="16.5">
      <c r="E9664" s="123"/>
    </row>
    <row r="9665" spans="5:5" ht="16.5">
      <c r="E9665" s="123"/>
    </row>
    <row r="9666" spans="5:5" ht="16.5">
      <c r="E9666" s="123"/>
    </row>
    <row r="9667" spans="5:5" ht="16.5">
      <c r="E9667" s="123"/>
    </row>
    <row r="9668" spans="5:5" ht="16.5">
      <c r="E9668" s="123"/>
    </row>
    <row r="9669" spans="5:5" ht="16.5">
      <c r="E9669" s="123"/>
    </row>
    <row r="9670" spans="5:5" ht="16.5">
      <c r="E9670" s="123"/>
    </row>
    <row r="9671" spans="5:5" ht="16.5">
      <c r="E9671" s="123"/>
    </row>
    <row r="9672" spans="5:5" ht="16.5">
      <c r="E9672" s="123"/>
    </row>
    <row r="9673" spans="5:5" ht="16.5">
      <c r="E9673" s="123"/>
    </row>
    <row r="9674" spans="5:5" ht="16.5">
      <c r="E9674" s="123"/>
    </row>
    <row r="9675" spans="5:5" ht="16.5">
      <c r="E9675" s="123"/>
    </row>
    <row r="9676" spans="5:5" ht="16.5">
      <c r="E9676" s="123"/>
    </row>
    <row r="9677" spans="5:5" ht="16.5">
      <c r="E9677" s="123"/>
    </row>
    <row r="9678" spans="5:5" ht="16.5">
      <c r="E9678" s="123"/>
    </row>
    <row r="9679" spans="5:5" ht="16.5">
      <c r="E9679" s="123"/>
    </row>
    <row r="9680" spans="5:5" ht="16.5">
      <c r="E9680" s="123"/>
    </row>
    <row r="9681" spans="5:5" ht="16.5">
      <c r="E9681" s="123"/>
    </row>
    <row r="9682" spans="5:5" ht="16.5">
      <c r="E9682" s="123"/>
    </row>
    <row r="9683" spans="5:5" ht="16.5">
      <c r="E9683" s="123"/>
    </row>
    <row r="9684" spans="5:5" ht="16.5">
      <c r="E9684" s="123"/>
    </row>
    <row r="9685" spans="5:5" ht="16.5">
      <c r="E9685" s="123"/>
    </row>
    <row r="9686" spans="5:5" ht="16.5">
      <c r="E9686" s="123"/>
    </row>
    <row r="9687" spans="5:5" ht="16.5">
      <c r="E9687" s="123"/>
    </row>
    <row r="9688" spans="5:5" ht="16.5">
      <c r="E9688" s="123"/>
    </row>
    <row r="9689" spans="5:5" ht="16.5">
      <c r="E9689" s="123"/>
    </row>
    <row r="9690" spans="5:5" ht="16.5">
      <c r="E9690" s="123"/>
    </row>
    <row r="9691" spans="5:5" ht="16.5">
      <c r="E9691" s="123"/>
    </row>
    <row r="9692" spans="5:5" ht="16.5">
      <c r="E9692" s="123"/>
    </row>
    <row r="9693" spans="5:5" ht="16.5">
      <c r="E9693" s="123"/>
    </row>
    <row r="9694" spans="5:5" ht="16.5">
      <c r="E9694" s="123"/>
    </row>
    <row r="9695" spans="5:5" ht="16.5">
      <c r="E9695" s="123"/>
    </row>
    <row r="9696" spans="5:5" ht="16.5">
      <c r="E9696" s="123"/>
    </row>
    <row r="9697" spans="5:5" ht="16.5">
      <c r="E9697" s="123"/>
    </row>
    <row r="9698" spans="5:5" ht="16.5">
      <c r="E9698" s="123"/>
    </row>
    <row r="9699" spans="5:5" ht="16.5">
      <c r="E9699" s="123"/>
    </row>
    <row r="9700" spans="5:5" ht="16.5">
      <c r="E9700" s="123"/>
    </row>
    <row r="9701" spans="5:5" ht="16.5">
      <c r="E9701" s="123"/>
    </row>
    <row r="9702" spans="5:5" ht="16.5">
      <c r="E9702" s="123"/>
    </row>
    <row r="9703" spans="5:5" ht="16.5">
      <c r="E9703" s="123"/>
    </row>
    <row r="9704" spans="5:5" ht="16.5">
      <c r="E9704" s="123"/>
    </row>
    <row r="9705" spans="5:5" ht="16.5">
      <c r="E9705" s="123"/>
    </row>
    <row r="9706" spans="5:5" ht="16.5">
      <c r="E9706" s="123"/>
    </row>
    <row r="9707" spans="5:5" ht="16.5">
      <c r="E9707" s="123"/>
    </row>
    <row r="9708" spans="5:5" ht="16.5">
      <c r="E9708" s="123"/>
    </row>
    <row r="9709" spans="5:5" ht="16.5">
      <c r="E9709" s="123"/>
    </row>
    <row r="9710" spans="5:5" ht="16.5">
      <c r="E9710" s="123"/>
    </row>
    <row r="9711" spans="5:5" ht="16.5">
      <c r="E9711" s="123"/>
    </row>
    <row r="9712" spans="5:5" ht="16.5">
      <c r="E9712" s="123"/>
    </row>
    <row r="9713" spans="5:5" ht="16.5">
      <c r="E9713" s="123"/>
    </row>
    <row r="9714" spans="5:5" ht="16.5">
      <c r="E9714" s="123"/>
    </row>
    <row r="9715" spans="5:5" ht="16.5">
      <c r="E9715" s="123"/>
    </row>
    <row r="9716" spans="5:5" ht="16.5">
      <c r="E9716" s="123"/>
    </row>
    <row r="9717" spans="5:5" ht="16.5">
      <c r="E9717" s="123"/>
    </row>
    <row r="9718" spans="5:5" ht="16.5">
      <c r="E9718" s="123"/>
    </row>
    <row r="9719" spans="5:5" ht="16.5">
      <c r="E9719" s="123"/>
    </row>
    <row r="9720" spans="5:5" ht="16.5">
      <c r="E9720" s="123"/>
    </row>
    <row r="9721" spans="5:5" ht="16.5">
      <c r="E9721" s="123"/>
    </row>
    <row r="9722" spans="5:5" ht="16.5">
      <c r="E9722" s="123"/>
    </row>
    <row r="9723" spans="5:5" ht="16.5">
      <c r="E9723" s="123"/>
    </row>
    <row r="9724" spans="5:5" ht="16.5">
      <c r="E9724" s="123"/>
    </row>
    <row r="9725" spans="5:5" ht="16.5">
      <c r="E9725" s="123"/>
    </row>
    <row r="9726" spans="5:5" ht="16.5">
      <c r="E9726" s="123"/>
    </row>
    <row r="9727" spans="5:5" ht="16.5">
      <c r="E9727" s="123"/>
    </row>
    <row r="9728" spans="5:5" ht="16.5">
      <c r="E9728" s="123"/>
    </row>
    <row r="9729" spans="5:5" ht="16.5">
      <c r="E9729" s="123"/>
    </row>
    <row r="9730" spans="5:5" ht="16.5">
      <c r="E9730" s="123"/>
    </row>
    <row r="9731" spans="5:5" ht="16.5">
      <c r="E9731" s="123"/>
    </row>
    <row r="9732" spans="5:5" ht="16.5">
      <c r="E9732" s="123"/>
    </row>
    <row r="9733" spans="5:5" ht="16.5">
      <c r="E9733" s="123"/>
    </row>
    <row r="9734" spans="5:5" ht="16.5">
      <c r="E9734" s="123"/>
    </row>
    <row r="9735" spans="5:5" ht="16.5">
      <c r="E9735" s="123"/>
    </row>
    <row r="9736" spans="5:5" ht="16.5">
      <c r="E9736" s="123"/>
    </row>
    <row r="9737" spans="5:5" ht="16.5">
      <c r="E9737" s="123"/>
    </row>
    <row r="9738" spans="5:5" ht="16.5">
      <c r="E9738" s="123"/>
    </row>
    <row r="9739" spans="5:5" ht="16.5">
      <c r="E9739" s="123"/>
    </row>
    <row r="9740" spans="5:5" ht="16.5">
      <c r="E9740" s="123"/>
    </row>
    <row r="9741" spans="5:5" ht="16.5">
      <c r="E9741" s="123"/>
    </row>
    <row r="9742" spans="5:5" ht="16.5">
      <c r="E9742" s="123"/>
    </row>
    <row r="9743" spans="5:5" ht="16.5">
      <c r="E9743" s="123"/>
    </row>
    <row r="9744" spans="5:5" ht="16.5">
      <c r="E9744" s="123"/>
    </row>
    <row r="9745" spans="5:5" ht="16.5">
      <c r="E9745" s="123"/>
    </row>
    <row r="9746" spans="5:5" ht="16.5">
      <c r="E9746" s="123"/>
    </row>
    <row r="9747" spans="5:5" ht="16.5">
      <c r="E9747" s="123"/>
    </row>
    <row r="9748" spans="5:5" ht="16.5">
      <c r="E9748" s="123"/>
    </row>
    <row r="9749" spans="5:5" ht="16.5">
      <c r="E9749" s="123"/>
    </row>
    <row r="9750" spans="5:5" ht="16.5">
      <c r="E9750" s="123"/>
    </row>
    <row r="9751" spans="5:5" ht="16.5">
      <c r="E9751" s="123"/>
    </row>
    <row r="9752" spans="5:5" ht="16.5">
      <c r="E9752" s="123"/>
    </row>
    <row r="9753" spans="5:5" ht="16.5">
      <c r="E9753" s="123"/>
    </row>
    <row r="9754" spans="5:5" ht="16.5">
      <c r="E9754" s="123"/>
    </row>
    <row r="9755" spans="5:5" ht="16.5">
      <c r="E9755" s="123"/>
    </row>
    <row r="9756" spans="5:5" ht="16.5">
      <c r="E9756" s="123"/>
    </row>
    <row r="9757" spans="5:5" ht="16.5">
      <c r="E9757" s="123"/>
    </row>
    <row r="9758" spans="5:5" ht="16.5">
      <c r="E9758" s="123"/>
    </row>
    <row r="9759" spans="5:5" ht="16.5">
      <c r="E9759" s="123"/>
    </row>
    <row r="9760" spans="5:5" ht="16.5">
      <c r="E9760" s="123"/>
    </row>
    <row r="9761" spans="5:5" ht="16.5">
      <c r="E9761" s="123"/>
    </row>
    <row r="9762" spans="5:5" ht="16.5">
      <c r="E9762" s="123"/>
    </row>
    <row r="9763" spans="5:5" ht="16.5">
      <c r="E9763" s="123"/>
    </row>
    <row r="9764" spans="5:5" ht="16.5">
      <c r="E9764" s="123"/>
    </row>
    <row r="9765" spans="5:5" ht="16.5">
      <c r="E9765" s="123"/>
    </row>
    <row r="9766" spans="5:5" ht="16.5">
      <c r="E9766" s="123"/>
    </row>
    <row r="9767" spans="5:5" ht="16.5">
      <c r="E9767" s="123"/>
    </row>
    <row r="9768" spans="5:5" ht="16.5">
      <c r="E9768" s="123"/>
    </row>
    <row r="9769" spans="5:5" ht="16.5">
      <c r="E9769" s="123"/>
    </row>
    <row r="9770" spans="5:5" ht="16.5">
      <c r="E9770" s="123"/>
    </row>
    <row r="9771" spans="5:5" ht="16.5">
      <c r="E9771" s="123"/>
    </row>
    <row r="9772" spans="5:5" ht="16.5">
      <c r="E9772" s="123"/>
    </row>
    <row r="9773" spans="5:5" ht="16.5">
      <c r="E9773" s="123"/>
    </row>
    <row r="9774" spans="5:5" ht="16.5">
      <c r="E9774" s="123"/>
    </row>
    <row r="9775" spans="5:5" ht="16.5">
      <c r="E9775" s="123"/>
    </row>
    <row r="9776" spans="5:5" ht="16.5">
      <c r="E9776" s="123"/>
    </row>
    <row r="9777" spans="5:5" ht="16.5">
      <c r="E9777" s="123"/>
    </row>
    <row r="9778" spans="5:5" ht="16.5">
      <c r="E9778" s="123"/>
    </row>
    <row r="9779" spans="5:5" ht="16.5">
      <c r="E9779" s="123"/>
    </row>
    <row r="9780" spans="5:5" ht="16.5">
      <c r="E9780" s="123"/>
    </row>
    <row r="9781" spans="5:5" ht="16.5">
      <c r="E9781" s="123"/>
    </row>
    <row r="9782" spans="5:5" ht="16.5">
      <c r="E9782" s="123"/>
    </row>
    <row r="9783" spans="5:5" ht="16.5">
      <c r="E9783" s="123"/>
    </row>
    <row r="9784" spans="5:5" ht="16.5">
      <c r="E9784" s="123"/>
    </row>
    <row r="9785" spans="5:5" ht="16.5">
      <c r="E9785" s="123"/>
    </row>
    <row r="9786" spans="5:5" ht="16.5">
      <c r="E9786" s="123"/>
    </row>
    <row r="9787" spans="5:5" ht="16.5">
      <c r="E9787" s="123"/>
    </row>
    <row r="9788" spans="5:5" ht="16.5">
      <c r="E9788" s="123"/>
    </row>
    <row r="9789" spans="5:5" ht="16.5">
      <c r="E9789" s="123"/>
    </row>
    <row r="9790" spans="5:5" ht="16.5">
      <c r="E9790" s="123"/>
    </row>
    <row r="9791" spans="5:5" ht="16.5">
      <c r="E9791" s="123"/>
    </row>
    <row r="9792" spans="5:5" ht="16.5">
      <c r="E9792" s="123"/>
    </row>
    <row r="9793" spans="5:5" ht="16.5">
      <c r="E9793" s="123"/>
    </row>
    <row r="9794" spans="5:5" ht="16.5">
      <c r="E9794" s="123"/>
    </row>
    <row r="9795" spans="5:5" ht="16.5">
      <c r="E9795" s="123"/>
    </row>
    <row r="9796" spans="5:5" ht="16.5">
      <c r="E9796" s="123"/>
    </row>
    <row r="9797" spans="5:5" ht="16.5">
      <c r="E9797" s="123"/>
    </row>
    <row r="9798" spans="5:5" ht="16.5">
      <c r="E9798" s="123"/>
    </row>
    <row r="9799" spans="5:5" ht="16.5">
      <c r="E9799" s="123"/>
    </row>
    <row r="9800" spans="5:5" ht="16.5">
      <c r="E9800" s="123"/>
    </row>
    <row r="9801" spans="5:5" ht="16.5">
      <c r="E9801" s="123"/>
    </row>
    <row r="9802" spans="5:5" ht="16.5">
      <c r="E9802" s="123"/>
    </row>
    <row r="9803" spans="5:5" ht="16.5">
      <c r="E9803" s="123"/>
    </row>
    <row r="9804" spans="5:5" ht="16.5">
      <c r="E9804" s="123"/>
    </row>
    <row r="9805" spans="5:5" ht="16.5">
      <c r="E9805" s="123"/>
    </row>
    <row r="9806" spans="5:5" ht="16.5">
      <c r="E9806" s="123"/>
    </row>
    <row r="9807" spans="5:5" ht="16.5">
      <c r="E9807" s="123"/>
    </row>
    <row r="9808" spans="5:5" ht="16.5">
      <c r="E9808" s="123"/>
    </row>
    <row r="9809" spans="5:5" ht="16.5">
      <c r="E9809" s="123"/>
    </row>
    <row r="9810" spans="5:5" ht="16.5">
      <c r="E9810" s="123"/>
    </row>
    <row r="9811" spans="5:5" ht="16.5">
      <c r="E9811" s="123"/>
    </row>
    <row r="9812" spans="5:5" ht="16.5">
      <c r="E9812" s="123"/>
    </row>
    <row r="9813" spans="5:5" ht="16.5">
      <c r="E9813" s="123"/>
    </row>
    <row r="9814" spans="5:5" ht="16.5">
      <c r="E9814" s="123"/>
    </row>
    <row r="9815" spans="5:5" ht="16.5">
      <c r="E9815" s="123"/>
    </row>
    <row r="9816" spans="5:5" ht="16.5">
      <c r="E9816" s="123"/>
    </row>
    <row r="9817" spans="5:5" ht="16.5">
      <c r="E9817" s="123"/>
    </row>
    <row r="9818" spans="5:5" ht="16.5">
      <c r="E9818" s="123"/>
    </row>
    <row r="9819" spans="5:5" ht="16.5">
      <c r="E9819" s="123"/>
    </row>
    <row r="9820" spans="5:5" ht="16.5">
      <c r="E9820" s="123"/>
    </row>
    <row r="9821" spans="5:5" ht="16.5">
      <c r="E9821" s="123"/>
    </row>
    <row r="9822" spans="5:5" ht="16.5">
      <c r="E9822" s="123"/>
    </row>
    <row r="9823" spans="5:5" ht="16.5">
      <c r="E9823" s="123"/>
    </row>
    <row r="9824" spans="5:5" ht="16.5">
      <c r="E9824" s="123"/>
    </row>
    <row r="9825" spans="5:5" ht="16.5">
      <c r="E9825" s="123"/>
    </row>
    <row r="9826" spans="5:5" ht="16.5">
      <c r="E9826" s="123"/>
    </row>
    <row r="9827" spans="5:5" ht="16.5">
      <c r="E9827" s="123"/>
    </row>
    <row r="9828" spans="5:5" ht="16.5">
      <c r="E9828" s="123"/>
    </row>
    <row r="9829" spans="5:5" ht="16.5">
      <c r="E9829" s="123"/>
    </row>
    <row r="9830" spans="5:5" ht="16.5">
      <c r="E9830" s="123"/>
    </row>
    <row r="9831" spans="5:5" ht="16.5">
      <c r="E9831" s="123"/>
    </row>
    <row r="9832" spans="5:5" ht="16.5">
      <c r="E9832" s="123"/>
    </row>
    <row r="9833" spans="5:5" ht="16.5">
      <c r="E9833" s="123"/>
    </row>
    <row r="9834" spans="5:5" ht="16.5">
      <c r="E9834" s="123"/>
    </row>
    <row r="9835" spans="5:5" ht="16.5">
      <c r="E9835" s="123"/>
    </row>
    <row r="9836" spans="5:5" ht="16.5">
      <c r="E9836" s="123"/>
    </row>
    <row r="9837" spans="5:5" ht="16.5">
      <c r="E9837" s="123"/>
    </row>
    <row r="9838" spans="5:5" ht="16.5">
      <c r="E9838" s="123"/>
    </row>
    <row r="9839" spans="5:5" ht="16.5">
      <c r="E9839" s="123"/>
    </row>
    <row r="9840" spans="5:5" ht="16.5">
      <c r="E9840" s="123"/>
    </row>
    <row r="9841" spans="5:5" ht="16.5">
      <c r="E9841" s="123"/>
    </row>
    <row r="9842" spans="5:5" ht="16.5">
      <c r="E9842" s="123"/>
    </row>
    <row r="9843" spans="5:5" ht="16.5">
      <c r="E9843" s="123"/>
    </row>
    <row r="9844" spans="5:5" ht="16.5">
      <c r="E9844" s="123"/>
    </row>
    <row r="9845" spans="5:5" ht="16.5">
      <c r="E9845" s="123"/>
    </row>
    <row r="9846" spans="5:5" ht="16.5">
      <c r="E9846" s="123"/>
    </row>
    <row r="9847" spans="5:5" ht="16.5">
      <c r="E9847" s="123"/>
    </row>
    <row r="9848" spans="5:5" ht="16.5">
      <c r="E9848" s="123"/>
    </row>
    <row r="9849" spans="5:5" ht="16.5">
      <c r="E9849" s="123"/>
    </row>
    <row r="9850" spans="5:5" ht="16.5">
      <c r="E9850" s="123"/>
    </row>
    <row r="9851" spans="5:5" ht="16.5">
      <c r="E9851" s="123"/>
    </row>
    <row r="9852" spans="5:5" ht="16.5">
      <c r="E9852" s="123"/>
    </row>
    <row r="9853" spans="5:5" ht="16.5">
      <c r="E9853" s="123"/>
    </row>
    <row r="9854" spans="5:5" ht="16.5">
      <c r="E9854" s="123"/>
    </row>
    <row r="9855" spans="5:5" ht="16.5">
      <c r="E9855" s="123"/>
    </row>
    <row r="9856" spans="5:5" ht="16.5">
      <c r="E9856" s="123"/>
    </row>
    <row r="9857" spans="5:5" ht="16.5">
      <c r="E9857" s="123"/>
    </row>
    <row r="9858" spans="5:5" ht="16.5">
      <c r="E9858" s="123"/>
    </row>
    <row r="9859" spans="5:5" ht="16.5">
      <c r="E9859" s="123"/>
    </row>
    <row r="9860" spans="5:5" ht="16.5">
      <c r="E9860" s="123"/>
    </row>
    <row r="9861" spans="5:5" ht="16.5">
      <c r="E9861" s="123"/>
    </row>
    <row r="9862" spans="5:5" ht="16.5">
      <c r="E9862" s="123"/>
    </row>
    <row r="9863" spans="5:5" ht="16.5">
      <c r="E9863" s="123"/>
    </row>
    <row r="9864" spans="5:5" ht="16.5">
      <c r="E9864" s="123"/>
    </row>
    <row r="9865" spans="5:5" ht="16.5">
      <c r="E9865" s="123"/>
    </row>
    <row r="9866" spans="5:5" ht="16.5">
      <c r="E9866" s="123"/>
    </row>
    <row r="9867" spans="5:5" ht="16.5">
      <c r="E9867" s="123"/>
    </row>
    <row r="9868" spans="5:5" ht="16.5">
      <c r="E9868" s="123"/>
    </row>
    <row r="9869" spans="5:5" ht="16.5">
      <c r="E9869" s="123"/>
    </row>
    <row r="9870" spans="5:5" ht="16.5">
      <c r="E9870" s="123"/>
    </row>
    <row r="9871" spans="5:5" ht="16.5">
      <c r="E9871" s="123"/>
    </row>
    <row r="9872" spans="5:5" ht="16.5">
      <c r="E9872" s="123"/>
    </row>
    <row r="9873" spans="5:5" ht="16.5">
      <c r="E9873" s="123"/>
    </row>
    <row r="9874" spans="5:5" ht="16.5">
      <c r="E9874" s="123"/>
    </row>
    <row r="9875" spans="5:5" ht="16.5">
      <c r="E9875" s="123"/>
    </row>
    <row r="9876" spans="5:5" ht="16.5">
      <c r="E9876" s="123"/>
    </row>
    <row r="9877" spans="5:5" ht="16.5">
      <c r="E9877" s="123"/>
    </row>
    <row r="9878" spans="5:5" ht="16.5">
      <c r="E9878" s="123"/>
    </row>
    <row r="9879" spans="5:5" ht="16.5">
      <c r="E9879" s="123"/>
    </row>
    <row r="9880" spans="5:5" ht="16.5">
      <c r="E9880" s="123"/>
    </row>
    <row r="9881" spans="5:5" ht="16.5">
      <c r="E9881" s="123"/>
    </row>
    <row r="9882" spans="5:5" ht="16.5">
      <c r="E9882" s="123"/>
    </row>
    <row r="9883" spans="5:5" ht="16.5">
      <c r="E9883" s="123"/>
    </row>
    <row r="9884" spans="5:5" ht="16.5">
      <c r="E9884" s="123"/>
    </row>
    <row r="9885" spans="5:5" ht="16.5">
      <c r="E9885" s="123"/>
    </row>
    <row r="9886" spans="5:5" ht="16.5">
      <c r="E9886" s="123"/>
    </row>
    <row r="9887" spans="5:5" ht="16.5">
      <c r="E9887" s="123"/>
    </row>
    <row r="9888" spans="5:5" ht="16.5">
      <c r="E9888" s="123"/>
    </row>
    <row r="9889" spans="5:5" ht="16.5">
      <c r="E9889" s="123"/>
    </row>
    <row r="9890" spans="5:5" ht="16.5">
      <c r="E9890" s="123"/>
    </row>
    <row r="9891" spans="5:5" ht="16.5">
      <c r="E9891" s="123"/>
    </row>
    <row r="9892" spans="5:5" ht="16.5">
      <c r="E9892" s="123"/>
    </row>
    <row r="9893" spans="5:5" ht="16.5">
      <c r="E9893" s="123"/>
    </row>
    <row r="9894" spans="5:5" ht="16.5">
      <c r="E9894" s="123"/>
    </row>
    <row r="9895" spans="5:5" ht="16.5">
      <c r="E9895" s="123"/>
    </row>
    <row r="9896" spans="5:5" ht="16.5">
      <c r="E9896" s="123"/>
    </row>
    <row r="9897" spans="5:5" ht="16.5">
      <c r="E9897" s="123"/>
    </row>
    <row r="9898" spans="5:5" ht="16.5">
      <c r="E9898" s="123"/>
    </row>
    <row r="9899" spans="5:5" ht="16.5">
      <c r="E9899" s="123"/>
    </row>
    <row r="9900" spans="5:5" ht="16.5">
      <c r="E9900" s="123"/>
    </row>
    <row r="9901" spans="5:5" ht="16.5">
      <c r="E9901" s="123"/>
    </row>
    <row r="9902" spans="5:5" ht="16.5">
      <c r="E9902" s="123"/>
    </row>
    <row r="9903" spans="5:5" ht="16.5">
      <c r="E9903" s="123"/>
    </row>
    <row r="9904" spans="5:5" ht="16.5">
      <c r="E9904" s="123"/>
    </row>
    <row r="9905" spans="5:5" ht="16.5">
      <c r="E9905" s="123"/>
    </row>
    <row r="9906" spans="5:5" ht="16.5">
      <c r="E9906" s="123"/>
    </row>
    <row r="9907" spans="5:5" ht="16.5">
      <c r="E9907" s="123"/>
    </row>
    <row r="9908" spans="5:5" ht="16.5">
      <c r="E9908" s="123"/>
    </row>
    <row r="9909" spans="5:5" ht="16.5">
      <c r="E9909" s="123"/>
    </row>
    <row r="9910" spans="5:5" ht="16.5">
      <c r="E9910" s="123"/>
    </row>
    <row r="9911" spans="5:5" ht="16.5">
      <c r="E9911" s="123"/>
    </row>
    <row r="9912" spans="5:5" ht="16.5">
      <c r="E9912" s="123"/>
    </row>
    <row r="9913" spans="5:5" ht="16.5">
      <c r="E9913" s="123"/>
    </row>
    <row r="9914" spans="5:5" ht="16.5">
      <c r="E9914" s="123"/>
    </row>
    <row r="9915" spans="5:5" ht="16.5">
      <c r="E9915" s="123"/>
    </row>
    <row r="9916" spans="5:5" ht="16.5">
      <c r="E9916" s="123"/>
    </row>
    <row r="9917" spans="5:5" ht="16.5">
      <c r="E9917" s="123"/>
    </row>
    <row r="9918" spans="5:5" ht="16.5">
      <c r="E9918" s="123"/>
    </row>
    <row r="9919" spans="5:5" ht="16.5">
      <c r="E9919" s="123"/>
    </row>
    <row r="9920" spans="5:5" ht="16.5">
      <c r="E9920" s="123"/>
    </row>
    <row r="9921" spans="5:5" ht="16.5">
      <c r="E9921" s="123"/>
    </row>
    <row r="9922" spans="5:5" ht="16.5">
      <c r="E9922" s="123"/>
    </row>
    <row r="9923" spans="5:5" ht="16.5">
      <c r="E9923" s="123"/>
    </row>
    <row r="9924" spans="5:5" ht="16.5">
      <c r="E9924" s="123"/>
    </row>
    <row r="9925" spans="5:5" ht="16.5">
      <c r="E9925" s="123"/>
    </row>
    <row r="9926" spans="5:5" ht="16.5">
      <c r="E9926" s="123"/>
    </row>
    <row r="9927" spans="5:5" ht="16.5">
      <c r="E9927" s="123"/>
    </row>
    <row r="9928" spans="5:5" ht="16.5">
      <c r="E9928" s="123"/>
    </row>
    <row r="9929" spans="5:5" ht="16.5">
      <c r="E9929" s="123"/>
    </row>
    <row r="9930" spans="5:5" ht="16.5">
      <c r="E9930" s="123"/>
    </row>
    <row r="9931" spans="5:5" ht="16.5">
      <c r="E9931" s="123"/>
    </row>
    <row r="9932" spans="5:5" ht="16.5">
      <c r="E9932" s="123"/>
    </row>
    <row r="9933" spans="5:5" ht="16.5">
      <c r="E9933" s="123"/>
    </row>
    <row r="9934" spans="5:5" ht="16.5">
      <c r="E9934" s="123"/>
    </row>
    <row r="9935" spans="5:5" ht="16.5">
      <c r="E9935" s="123"/>
    </row>
    <row r="9936" spans="5:5" ht="16.5">
      <c r="E9936" s="123"/>
    </row>
    <row r="9937" spans="5:5" ht="16.5">
      <c r="E9937" s="123"/>
    </row>
    <row r="9938" spans="5:5" ht="16.5">
      <c r="E9938" s="123"/>
    </row>
    <row r="9939" spans="5:5" ht="16.5">
      <c r="E9939" s="123"/>
    </row>
    <row r="9940" spans="5:5" ht="16.5">
      <c r="E9940" s="123"/>
    </row>
    <row r="9941" spans="5:5" ht="16.5">
      <c r="E9941" s="123"/>
    </row>
    <row r="9942" spans="5:5" ht="16.5">
      <c r="E9942" s="123"/>
    </row>
    <row r="9943" spans="5:5" ht="16.5">
      <c r="E9943" s="123"/>
    </row>
    <row r="9944" spans="5:5" ht="16.5">
      <c r="E9944" s="123"/>
    </row>
    <row r="9945" spans="5:5" ht="16.5">
      <c r="E9945" s="123"/>
    </row>
    <row r="9946" spans="5:5" ht="16.5">
      <c r="E9946" s="123"/>
    </row>
    <row r="9947" spans="5:5" ht="16.5">
      <c r="E9947" s="123"/>
    </row>
    <row r="9948" spans="5:5" ht="16.5">
      <c r="E9948" s="123"/>
    </row>
    <row r="9949" spans="5:5" ht="16.5">
      <c r="E9949" s="123"/>
    </row>
    <row r="9950" spans="5:5" ht="16.5">
      <c r="E9950" s="123"/>
    </row>
    <row r="9951" spans="5:5" ht="16.5">
      <c r="E9951" s="123"/>
    </row>
    <row r="9952" spans="5:5" ht="16.5">
      <c r="E9952" s="123"/>
    </row>
    <row r="9953" spans="5:5" ht="16.5">
      <c r="E9953" s="123"/>
    </row>
    <row r="9954" spans="5:5" ht="16.5">
      <c r="E9954" s="123"/>
    </row>
    <row r="9955" spans="5:5" ht="16.5">
      <c r="E9955" s="123"/>
    </row>
    <row r="9956" spans="5:5" ht="16.5">
      <c r="E9956" s="123"/>
    </row>
    <row r="9957" spans="5:5" ht="16.5">
      <c r="E9957" s="123"/>
    </row>
    <row r="9958" spans="5:5" ht="16.5">
      <c r="E9958" s="123"/>
    </row>
    <row r="9959" spans="5:5" ht="16.5">
      <c r="E9959" s="123"/>
    </row>
    <row r="9960" spans="5:5" ht="16.5">
      <c r="E9960" s="123"/>
    </row>
    <row r="9961" spans="5:5" ht="16.5">
      <c r="E9961" s="123"/>
    </row>
    <row r="9962" spans="5:5" ht="16.5">
      <c r="E9962" s="123"/>
    </row>
    <row r="9963" spans="5:5" ht="16.5">
      <c r="E9963" s="123"/>
    </row>
    <row r="9964" spans="5:5" ht="16.5">
      <c r="E9964" s="123"/>
    </row>
    <row r="9965" spans="5:5" ht="16.5">
      <c r="E9965" s="123"/>
    </row>
    <row r="9966" spans="5:5" ht="16.5">
      <c r="E9966" s="123"/>
    </row>
    <row r="9967" spans="5:5" ht="16.5">
      <c r="E9967" s="123"/>
    </row>
    <row r="9968" spans="5:5" ht="16.5">
      <c r="E9968" s="123"/>
    </row>
    <row r="9969" spans="5:5" ht="16.5">
      <c r="E9969" s="123"/>
    </row>
    <row r="9970" spans="5:5" ht="16.5">
      <c r="E9970" s="123"/>
    </row>
    <row r="9971" spans="5:5" ht="16.5">
      <c r="E9971" s="123"/>
    </row>
    <row r="9972" spans="5:5" ht="16.5">
      <c r="E9972" s="123"/>
    </row>
    <row r="9973" spans="5:5" ht="16.5">
      <c r="E9973" s="123"/>
    </row>
    <row r="9974" spans="5:5" ht="16.5">
      <c r="E9974" s="123"/>
    </row>
    <row r="9975" spans="5:5" ht="16.5">
      <c r="E9975" s="123"/>
    </row>
    <row r="9976" spans="5:5" ht="16.5">
      <c r="E9976" s="123"/>
    </row>
    <row r="9977" spans="5:5" ht="16.5">
      <c r="E9977" s="123"/>
    </row>
    <row r="9978" spans="5:5" ht="16.5">
      <c r="E9978" s="123"/>
    </row>
    <row r="9979" spans="5:5" ht="16.5">
      <c r="E9979" s="123"/>
    </row>
    <row r="9980" spans="5:5" ht="16.5">
      <c r="E9980" s="123"/>
    </row>
    <row r="9981" spans="5:5" ht="16.5">
      <c r="E9981" s="123"/>
    </row>
    <row r="9982" spans="5:5" ht="16.5">
      <c r="E9982" s="123"/>
    </row>
    <row r="9983" spans="5:5" ht="16.5">
      <c r="E9983" s="123"/>
    </row>
    <row r="9984" spans="5:5" ht="16.5">
      <c r="E9984" s="123"/>
    </row>
    <row r="9985" spans="5:5" ht="16.5">
      <c r="E9985" s="123"/>
    </row>
    <row r="9986" spans="5:5" ht="16.5">
      <c r="E9986" s="123"/>
    </row>
    <row r="9987" spans="5:5" ht="16.5">
      <c r="E9987" s="123"/>
    </row>
    <row r="9988" spans="5:5" ht="16.5">
      <c r="E9988" s="123"/>
    </row>
    <row r="9989" spans="5:5" ht="16.5">
      <c r="E9989" s="123"/>
    </row>
    <row r="9990" spans="5:5" ht="16.5">
      <c r="E9990" s="123"/>
    </row>
    <row r="9991" spans="5:5" ht="16.5">
      <c r="E9991" s="123"/>
    </row>
    <row r="9992" spans="5:5" ht="16.5">
      <c r="E9992" s="123"/>
    </row>
    <row r="9993" spans="5:5" ht="16.5">
      <c r="E9993" s="123"/>
    </row>
    <row r="9994" spans="5:5" ht="16.5">
      <c r="E9994" s="123"/>
    </row>
    <row r="9995" spans="5:5" ht="16.5">
      <c r="E9995" s="123"/>
    </row>
    <row r="9996" spans="5:5" ht="16.5">
      <c r="E9996" s="123"/>
    </row>
    <row r="9997" spans="5:5" ht="16.5">
      <c r="E9997" s="123"/>
    </row>
    <row r="9998" spans="5:5" ht="16.5">
      <c r="E9998" s="123"/>
    </row>
    <row r="9999" spans="5:5" ht="16.5">
      <c r="E9999" s="123"/>
    </row>
    <row r="10000" spans="5:5" ht="16.5">
      <c r="E10000" s="123"/>
    </row>
    <row r="10001" spans="5:5" ht="16.5">
      <c r="E10001" s="123"/>
    </row>
    <row r="10002" spans="5:5" ht="16.5">
      <c r="E10002" s="123"/>
    </row>
    <row r="10003" spans="5:5" ht="16.5">
      <c r="E10003" s="123"/>
    </row>
    <row r="10004" spans="5:5" ht="16.5">
      <c r="E10004" s="123"/>
    </row>
    <row r="10005" spans="5:5" ht="16.5">
      <c r="E10005" s="123"/>
    </row>
    <row r="10006" spans="5:5" ht="16.5">
      <c r="E10006" s="123"/>
    </row>
    <row r="10007" spans="5:5" ht="16.5">
      <c r="E10007" s="123"/>
    </row>
    <row r="10008" spans="5:5" ht="16.5">
      <c r="E10008" s="123"/>
    </row>
    <row r="10009" spans="5:5" ht="16.5">
      <c r="E10009" s="123"/>
    </row>
    <row r="10010" spans="5:5" ht="16.5">
      <c r="E10010" s="123"/>
    </row>
    <row r="10011" spans="5:5" ht="16.5">
      <c r="E10011" s="123"/>
    </row>
    <row r="10012" spans="5:5" ht="16.5">
      <c r="E10012" s="123"/>
    </row>
    <row r="10013" spans="5:5" ht="16.5">
      <c r="E10013" s="123"/>
    </row>
    <row r="10014" spans="5:5" ht="16.5">
      <c r="E10014" s="123"/>
    </row>
    <row r="10015" spans="5:5" ht="16.5">
      <c r="E10015" s="123"/>
    </row>
    <row r="10016" spans="5:5" ht="16.5">
      <c r="E10016" s="123"/>
    </row>
    <row r="10017" spans="5:5" ht="16.5">
      <c r="E10017" s="123"/>
    </row>
    <row r="10018" spans="5:5" ht="16.5">
      <c r="E10018" s="123"/>
    </row>
    <row r="10019" spans="5:5" ht="16.5">
      <c r="E10019" s="123"/>
    </row>
    <row r="10020" spans="5:5" ht="16.5">
      <c r="E10020" s="123"/>
    </row>
    <row r="10021" spans="5:5" ht="16.5">
      <c r="E10021" s="123"/>
    </row>
    <row r="10022" spans="5:5" ht="16.5">
      <c r="E10022" s="123"/>
    </row>
    <row r="10023" spans="5:5" ht="16.5">
      <c r="E10023" s="123"/>
    </row>
    <row r="10024" spans="5:5" ht="16.5">
      <c r="E10024" s="123"/>
    </row>
    <row r="10025" spans="5:5" ht="16.5">
      <c r="E10025" s="123"/>
    </row>
    <row r="10026" spans="5:5" ht="16.5">
      <c r="E10026" s="123"/>
    </row>
    <row r="10027" spans="5:5" ht="16.5">
      <c r="E10027" s="123"/>
    </row>
    <row r="10028" spans="5:5" ht="16.5">
      <c r="E10028" s="123"/>
    </row>
    <row r="10029" spans="5:5" ht="16.5">
      <c r="E10029" s="123"/>
    </row>
    <row r="10030" spans="5:5" ht="16.5">
      <c r="E10030" s="123"/>
    </row>
    <row r="10031" spans="5:5" ht="16.5">
      <c r="E10031" s="123"/>
    </row>
    <row r="10032" spans="5:5" ht="16.5">
      <c r="E10032" s="123"/>
    </row>
    <row r="10033" spans="5:5" ht="16.5">
      <c r="E10033" s="123"/>
    </row>
    <row r="10034" spans="5:5" ht="16.5">
      <c r="E10034" s="123"/>
    </row>
    <row r="10035" spans="5:5" ht="16.5">
      <c r="E10035" s="123"/>
    </row>
    <row r="10036" spans="5:5" ht="16.5">
      <c r="E10036" s="123"/>
    </row>
    <row r="10037" spans="5:5" ht="16.5">
      <c r="E10037" s="123"/>
    </row>
    <row r="10038" spans="5:5" ht="16.5">
      <c r="E10038" s="123"/>
    </row>
    <row r="10039" spans="5:5" ht="16.5">
      <c r="E10039" s="123"/>
    </row>
    <row r="10040" spans="5:5" ht="16.5">
      <c r="E10040" s="123"/>
    </row>
    <row r="10041" spans="5:5" ht="16.5">
      <c r="E10041" s="123"/>
    </row>
    <row r="10042" spans="5:5" ht="16.5">
      <c r="E10042" s="123"/>
    </row>
    <row r="10043" spans="5:5" ht="16.5">
      <c r="E10043" s="123"/>
    </row>
    <row r="10044" spans="5:5" ht="16.5">
      <c r="E10044" s="123"/>
    </row>
    <row r="10045" spans="5:5" ht="16.5">
      <c r="E10045" s="123"/>
    </row>
    <row r="10046" spans="5:5" ht="16.5">
      <c r="E10046" s="123"/>
    </row>
    <row r="10047" spans="5:5" ht="16.5">
      <c r="E10047" s="123"/>
    </row>
    <row r="10048" spans="5:5" ht="16.5">
      <c r="E10048" s="123"/>
    </row>
    <row r="10049" spans="5:5" ht="16.5">
      <c r="E10049" s="123"/>
    </row>
    <row r="10050" spans="5:5" ht="16.5">
      <c r="E10050" s="123"/>
    </row>
    <row r="10051" spans="5:5" ht="16.5">
      <c r="E10051" s="123"/>
    </row>
    <row r="10052" spans="5:5" ht="16.5">
      <c r="E10052" s="123"/>
    </row>
    <row r="10053" spans="5:5" ht="16.5">
      <c r="E10053" s="123"/>
    </row>
    <row r="10054" spans="5:5" ht="16.5">
      <c r="E10054" s="123"/>
    </row>
    <row r="10055" spans="5:5" ht="16.5">
      <c r="E10055" s="123"/>
    </row>
    <row r="10056" spans="5:5" ht="16.5">
      <c r="E10056" s="123"/>
    </row>
    <row r="10057" spans="5:5" ht="16.5">
      <c r="E10057" s="123"/>
    </row>
    <row r="10058" spans="5:5" ht="16.5">
      <c r="E10058" s="123"/>
    </row>
    <row r="10059" spans="5:5" ht="16.5">
      <c r="E10059" s="123"/>
    </row>
    <row r="10060" spans="5:5" ht="16.5">
      <c r="E10060" s="123"/>
    </row>
    <row r="10061" spans="5:5" ht="16.5">
      <c r="E10061" s="123"/>
    </row>
    <row r="10062" spans="5:5" ht="16.5">
      <c r="E10062" s="123"/>
    </row>
    <row r="10063" spans="5:5" ht="16.5">
      <c r="E10063" s="123"/>
    </row>
    <row r="10064" spans="5:5" ht="16.5">
      <c r="E10064" s="123"/>
    </row>
    <row r="10065" spans="5:5" ht="16.5">
      <c r="E10065" s="123"/>
    </row>
    <row r="10066" spans="5:5" ht="16.5">
      <c r="E10066" s="123"/>
    </row>
    <row r="10067" spans="5:5" ht="16.5">
      <c r="E10067" s="123"/>
    </row>
    <row r="10068" spans="5:5" ht="16.5">
      <c r="E10068" s="123"/>
    </row>
    <row r="10069" spans="5:5" ht="16.5">
      <c r="E10069" s="123"/>
    </row>
    <row r="10070" spans="5:5" ht="16.5">
      <c r="E10070" s="123"/>
    </row>
    <row r="10071" spans="5:5" ht="16.5">
      <c r="E10071" s="123"/>
    </row>
    <row r="10072" spans="5:5" ht="16.5">
      <c r="E10072" s="123"/>
    </row>
    <row r="10073" spans="5:5" ht="16.5">
      <c r="E10073" s="123"/>
    </row>
    <row r="10074" spans="5:5" ht="16.5">
      <c r="E10074" s="123"/>
    </row>
    <row r="10075" spans="5:5" ht="16.5">
      <c r="E10075" s="123"/>
    </row>
    <row r="10076" spans="5:5" ht="16.5">
      <c r="E10076" s="123"/>
    </row>
    <row r="10077" spans="5:5" ht="16.5">
      <c r="E10077" s="123"/>
    </row>
    <row r="10078" spans="5:5" ht="16.5">
      <c r="E10078" s="123"/>
    </row>
    <row r="10079" spans="5:5" ht="16.5">
      <c r="E10079" s="123"/>
    </row>
    <row r="10080" spans="5:5" ht="16.5">
      <c r="E10080" s="123"/>
    </row>
    <row r="10081" spans="5:5" ht="16.5">
      <c r="E10081" s="123"/>
    </row>
    <row r="10082" spans="5:5" ht="16.5">
      <c r="E10082" s="123"/>
    </row>
    <row r="10083" spans="5:5" ht="16.5">
      <c r="E10083" s="123"/>
    </row>
    <row r="10084" spans="5:5" ht="16.5">
      <c r="E10084" s="123"/>
    </row>
    <row r="10085" spans="5:5" ht="16.5">
      <c r="E10085" s="123"/>
    </row>
    <row r="10086" spans="5:5" ht="16.5">
      <c r="E10086" s="123"/>
    </row>
    <row r="10087" spans="5:5" ht="16.5">
      <c r="E10087" s="123"/>
    </row>
    <row r="10088" spans="5:5" ht="16.5">
      <c r="E10088" s="123"/>
    </row>
    <row r="10089" spans="5:5" ht="16.5">
      <c r="E10089" s="123"/>
    </row>
    <row r="10090" spans="5:5" ht="16.5">
      <c r="E10090" s="123"/>
    </row>
    <row r="10091" spans="5:5" ht="16.5">
      <c r="E10091" s="123"/>
    </row>
    <row r="10092" spans="5:5" ht="16.5">
      <c r="E10092" s="123"/>
    </row>
    <row r="10093" spans="5:5" ht="16.5">
      <c r="E10093" s="123"/>
    </row>
    <row r="10094" spans="5:5" ht="16.5">
      <c r="E10094" s="123"/>
    </row>
    <row r="10095" spans="5:5" ht="16.5">
      <c r="E10095" s="123"/>
    </row>
    <row r="10096" spans="5:5" ht="16.5">
      <c r="E10096" s="123"/>
    </row>
    <row r="10097" spans="5:5" ht="16.5">
      <c r="E10097" s="123"/>
    </row>
    <row r="10098" spans="5:5" ht="16.5">
      <c r="E10098" s="123"/>
    </row>
    <row r="10099" spans="5:5" ht="16.5">
      <c r="E10099" s="123"/>
    </row>
    <row r="10100" spans="5:5" ht="16.5">
      <c r="E10100" s="123"/>
    </row>
    <row r="10101" spans="5:5" ht="16.5">
      <c r="E10101" s="123"/>
    </row>
    <row r="10102" spans="5:5" ht="16.5">
      <c r="E10102" s="123"/>
    </row>
    <row r="10103" spans="5:5" ht="16.5">
      <c r="E10103" s="123"/>
    </row>
    <row r="10104" spans="5:5" ht="16.5">
      <c r="E10104" s="123"/>
    </row>
    <row r="10105" spans="5:5" ht="16.5">
      <c r="E10105" s="123"/>
    </row>
    <row r="10106" spans="5:5" ht="16.5">
      <c r="E10106" s="123"/>
    </row>
    <row r="10107" spans="5:5" ht="16.5">
      <c r="E10107" s="123"/>
    </row>
    <row r="10108" spans="5:5" ht="16.5">
      <c r="E10108" s="123"/>
    </row>
    <row r="10109" spans="5:5" ht="16.5">
      <c r="E10109" s="123"/>
    </row>
    <row r="10110" spans="5:5" ht="16.5">
      <c r="E10110" s="123"/>
    </row>
    <row r="10111" spans="5:5" ht="16.5">
      <c r="E10111" s="123"/>
    </row>
    <row r="10112" spans="5:5" ht="16.5">
      <c r="E10112" s="123"/>
    </row>
    <row r="10113" spans="5:5" ht="16.5">
      <c r="E10113" s="123"/>
    </row>
    <row r="10114" spans="5:5" ht="16.5">
      <c r="E10114" s="123"/>
    </row>
    <row r="10115" spans="5:5" ht="16.5">
      <c r="E10115" s="123"/>
    </row>
    <row r="10116" spans="5:5" ht="16.5">
      <c r="E10116" s="123"/>
    </row>
    <row r="10117" spans="5:5" ht="16.5">
      <c r="E10117" s="123"/>
    </row>
    <row r="10118" spans="5:5" ht="16.5">
      <c r="E10118" s="123"/>
    </row>
    <row r="10119" spans="5:5" ht="16.5">
      <c r="E10119" s="123"/>
    </row>
    <row r="10120" spans="5:5" ht="16.5">
      <c r="E10120" s="123"/>
    </row>
    <row r="10121" spans="5:5" ht="16.5">
      <c r="E10121" s="123"/>
    </row>
    <row r="10122" spans="5:5" ht="16.5">
      <c r="E10122" s="123"/>
    </row>
    <row r="10123" spans="5:5" ht="16.5">
      <c r="E10123" s="123"/>
    </row>
    <row r="10124" spans="5:5" ht="16.5">
      <c r="E10124" s="123"/>
    </row>
    <row r="10125" spans="5:5" ht="16.5">
      <c r="E10125" s="123"/>
    </row>
    <row r="10126" spans="5:5" ht="16.5">
      <c r="E10126" s="123"/>
    </row>
    <row r="10127" spans="5:5" ht="16.5">
      <c r="E10127" s="123"/>
    </row>
    <row r="10128" spans="5:5" ht="16.5">
      <c r="E10128" s="123"/>
    </row>
    <row r="10129" spans="5:5" ht="16.5">
      <c r="E10129" s="123"/>
    </row>
    <row r="10130" spans="5:5" ht="16.5">
      <c r="E10130" s="123"/>
    </row>
    <row r="10131" spans="5:5" ht="16.5">
      <c r="E10131" s="123"/>
    </row>
    <row r="10132" spans="5:5" ht="16.5">
      <c r="E10132" s="123"/>
    </row>
    <row r="10133" spans="5:5" ht="16.5">
      <c r="E10133" s="123"/>
    </row>
    <row r="10134" spans="5:5" ht="16.5">
      <c r="E10134" s="123"/>
    </row>
    <row r="10135" spans="5:5" ht="16.5">
      <c r="E10135" s="123"/>
    </row>
    <row r="10136" spans="5:5" ht="16.5">
      <c r="E10136" s="123"/>
    </row>
    <row r="10137" spans="5:5" ht="16.5">
      <c r="E10137" s="123"/>
    </row>
    <row r="10138" spans="5:5" ht="16.5">
      <c r="E10138" s="123"/>
    </row>
    <row r="10139" spans="5:5" ht="16.5">
      <c r="E10139" s="123"/>
    </row>
    <row r="10140" spans="5:5" ht="16.5">
      <c r="E10140" s="123"/>
    </row>
    <row r="10141" spans="5:5" ht="16.5">
      <c r="E10141" s="123"/>
    </row>
    <row r="10142" spans="5:5" ht="16.5">
      <c r="E10142" s="123"/>
    </row>
    <row r="10143" spans="5:5" ht="16.5">
      <c r="E10143" s="123"/>
    </row>
    <row r="10144" spans="5:5" ht="16.5">
      <c r="E10144" s="123"/>
    </row>
    <row r="10145" spans="5:5" ht="16.5">
      <c r="E10145" s="123"/>
    </row>
    <row r="10146" spans="5:5" ht="16.5">
      <c r="E10146" s="123"/>
    </row>
    <row r="10147" spans="5:5" ht="16.5">
      <c r="E10147" s="123"/>
    </row>
    <row r="10148" spans="5:5" ht="16.5">
      <c r="E10148" s="123"/>
    </row>
    <row r="10149" spans="5:5" ht="16.5">
      <c r="E10149" s="123"/>
    </row>
    <row r="10150" spans="5:5" ht="16.5">
      <c r="E10150" s="123"/>
    </row>
    <row r="10151" spans="5:5" ht="16.5">
      <c r="E10151" s="123"/>
    </row>
    <row r="10152" spans="5:5" ht="16.5">
      <c r="E10152" s="123"/>
    </row>
    <row r="10153" spans="5:5" ht="16.5">
      <c r="E10153" s="123"/>
    </row>
    <row r="10154" spans="5:5" ht="16.5">
      <c r="E10154" s="123"/>
    </row>
    <row r="10155" spans="5:5" ht="16.5">
      <c r="E10155" s="123"/>
    </row>
    <row r="10156" spans="5:5" ht="16.5">
      <c r="E10156" s="123"/>
    </row>
    <row r="10157" spans="5:5" ht="16.5">
      <c r="E10157" s="123"/>
    </row>
    <row r="10158" spans="5:5" ht="16.5">
      <c r="E10158" s="123"/>
    </row>
    <row r="10159" spans="5:5" ht="16.5">
      <c r="E10159" s="123"/>
    </row>
    <row r="10160" spans="5:5" ht="16.5">
      <c r="E10160" s="123"/>
    </row>
    <row r="10161" spans="5:5" ht="16.5">
      <c r="E10161" s="123"/>
    </row>
    <row r="10162" spans="5:5" ht="16.5">
      <c r="E10162" s="123"/>
    </row>
    <row r="10163" spans="5:5" ht="16.5">
      <c r="E10163" s="123"/>
    </row>
    <row r="10164" spans="5:5" ht="16.5">
      <c r="E10164" s="123"/>
    </row>
    <row r="10165" spans="5:5" ht="16.5">
      <c r="E10165" s="123"/>
    </row>
    <row r="10166" spans="5:5" ht="16.5">
      <c r="E10166" s="123"/>
    </row>
    <row r="10167" spans="5:5" ht="16.5">
      <c r="E10167" s="123"/>
    </row>
    <row r="10168" spans="5:5" ht="16.5">
      <c r="E10168" s="123"/>
    </row>
    <row r="10169" spans="5:5" ht="16.5">
      <c r="E10169" s="123"/>
    </row>
    <row r="10170" spans="5:5" ht="16.5">
      <c r="E10170" s="123"/>
    </row>
    <row r="10171" spans="5:5" ht="16.5">
      <c r="E10171" s="123"/>
    </row>
    <row r="10172" spans="5:5" ht="16.5">
      <c r="E10172" s="123"/>
    </row>
    <row r="10173" spans="5:5" ht="16.5">
      <c r="E10173" s="123"/>
    </row>
    <row r="10174" spans="5:5" ht="16.5">
      <c r="E10174" s="123"/>
    </row>
    <row r="10175" spans="5:5" ht="16.5">
      <c r="E10175" s="123"/>
    </row>
    <row r="10176" spans="5:5" ht="16.5">
      <c r="E10176" s="123"/>
    </row>
    <row r="10177" spans="5:5" ht="16.5">
      <c r="E10177" s="123"/>
    </row>
    <row r="10178" spans="5:5" ht="16.5">
      <c r="E10178" s="123"/>
    </row>
    <row r="10179" spans="5:5" ht="16.5">
      <c r="E10179" s="123"/>
    </row>
    <row r="10180" spans="5:5" ht="16.5">
      <c r="E10180" s="123"/>
    </row>
    <row r="10181" spans="5:5" ht="16.5">
      <c r="E10181" s="123"/>
    </row>
    <row r="10182" spans="5:5" ht="16.5">
      <c r="E10182" s="123"/>
    </row>
    <row r="10183" spans="5:5" ht="16.5">
      <c r="E10183" s="123"/>
    </row>
    <row r="10184" spans="5:5" ht="16.5">
      <c r="E10184" s="123"/>
    </row>
    <row r="10185" spans="5:5" ht="16.5">
      <c r="E10185" s="123"/>
    </row>
    <row r="10186" spans="5:5" ht="16.5">
      <c r="E10186" s="123"/>
    </row>
    <row r="10187" spans="5:5" ht="16.5">
      <c r="E10187" s="123"/>
    </row>
    <row r="10188" spans="5:5" ht="16.5">
      <c r="E10188" s="123"/>
    </row>
    <row r="10189" spans="5:5" ht="16.5">
      <c r="E10189" s="123"/>
    </row>
    <row r="10190" spans="5:5" ht="16.5">
      <c r="E10190" s="123"/>
    </row>
    <row r="10191" spans="5:5" ht="16.5">
      <c r="E10191" s="123"/>
    </row>
    <row r="10192" spans="5:5" ht="16.5">
      <c r="E10192" s="123"/>
    </row>
    <row r="10193" spans="5:5" ht="16.5">
      <c r="E10193" s="123"/>
    </row>
    <row r="10194" spans="5:5" ht="16.5">
      <c r="E10194" s="123"/>
    </row>
    <row r="10195" spans="5:5" ht="16.5">
      <c r="E10195" s="123"/>
    </row>
    <row r="10196" spans="5:5" ht="16.5">
      <c r="E10196" s="123"/>
    </row>
    <row r="10197" spans="5:5" ht="16.5">
      <c r="E10197" s="123"/>
    </row>
    <row r="10198" spans="5:5" ht="16.5">
      <c r="E10198" s="123"/>
    </row>
    <row r="10199" spans="5:5" ht="16.5">
      <c r="E10199" s="123"/>
    </row>
    <row r="10200" spans="5:5" ht="16.5">
      <c r="E10200" s="123"/>
    </row>
    <row r="10201" spans="5:5" ht="16.5">
      <c r="E10201" s="123"/>
    </row>
    <row r="10202" spans="5:5" ht="16.5">
      <c r="E10202" s="123"/>
    </row>
    <row r="10203" spans="5:5" ht="16.5">
      <c r="E10203" s="123"/>
    </row>
    <row r="10204" spans="5:5" ht="16.5">
      <c r="E10204" s="123"/>
    </row>
    <row r="10205" spans="5:5" ht="16.5">
      <c r="E10205" s="123"/>
    </row>
    <row r="10206" spans="5:5" ht="16.5">
      <c r="E10206" s="123"/>
    </row>
    <row r="10207" spans="5:5" ht="16.5">
      <c r="E10207" s="123"/>
    </row>
    <row r="10208" spans="5:5" ht="16.5">
      <c r="E10208" s="123"/>
    </row>
    <row r="10209" spans="5:5" ht="16.5">
      <c r="E10209" s="123"/>
    </row>
    <row r="10210" spans="5:5" ht="16.5">
      <c r="E10210" s="123"/>
    </row>
    <row r="10211" spans="5:5" ht="16.5">
      <c r="E10211" s="123"/>
    </row>
    <row r="10212" spans="5:5" ht="16.5">
      <c r="E10212" s="123"/>
    </row>
    <row r="10213" spans="5:5" ht="16.5">
      <c r="E10213" s="123"/>
    </row>
    <row r="10214" spans="5:5" ht="16.5">
      <c r="E10214" s="123"/>
    </row>
    <row r="10215" spans="5:5" ht="16.5">
      <c r="E10215" s="123"/>
    </row>
    <row r="10216" spans="5:5" ht="16.5">
      <c r="E10216" s="123"/>
    </row>
    <row r="10217" spans="5:5" ht="16.5">
      <c r="E10217" s="123"/>
    </row>
    <row r="10218" spans="5:5" ht="16.5">
      <c r="E10218" s="123"/>
    </row>
    <row r="10219" spans="5:5" ht="16.5">
      <c r="E10219" s="123"/>
    </row>
    <row r="10220" spans="5:5" ht="16.5">
      <c r="E10220" s="123"/>
    </row>
    <row r="10221" spans="5:5" ht="16.5">
      <c r="E10221" s="123"/>
    </row>
    <row r="10222" spans="5:5" ht="16.5">
      <c r="E10222" s="123"/>
    </row>
    <row r="10223" spans="5:5" ht="16.5">
      <c r="E10223" s="123"/>
    </row>
    <row r="10224" spans="5:5" ht="16.5">
      <c r="E10224" s="123"/>
    </row>
    <row r="10225" spans="5:5" ht="16.5">
      <c r="E10225" s="123"/>
    </row>
    <row r="10226" spans="5:5" ht="16.5">
      <c r="E10226" s="123"/>
    </row>
    <row r="10227" spans="5:5" ht="16.5">
      <c r="E10227" s="123"/>
    </row>
    <row r="10228" spans="5:5" ht="16.5">
      <c r="E10228" s="123"/>
    </row>
    <row r="10229" spans="5:5" ht="16.5">
      <c r="E10229" s="123"/>
    </row>
    <row r="10230" spans="5:5" ht="16.5">
      <c r="E10230" s="123"/>
    </row>
    <row r="10231" spans="5:5" ht="16.5">
      <c r="E10231" s="123"/>
    </row>
    <row r="10232" spans="5:5" ht="16.5">
      <c r="E10232" s="123"/>
    </row>
    <row r="10233" spans="5:5" ht="16.5">
      <c r="E10233" s="123"/>
    </row>
    <row r="10234" spans="5:5" ht="16.5">
      <c r="E10234" s="123"/>
    </row>
    <row r="10235" spans="5:5" ht="16.5">
      <c r="E10235" s="123"/>
    </row>
    <row r="10236" spans="5:5" ht="16.5">
      <c r="E10236" s="123"/>
    </row>
    <row r="10237" spans="5:5" ht="16.5">
      <c r="E10237" s="123"/>
    </row>
    <row r="10238" spans="5:5" ht="16.5">
      <c r="E10238" s="123"/>
    </row>
    <row r="10239" spans="5:5" ht="16.5">
      <c r="E10239" s="123"/>
    </row>
    <row r="10240" spans="5:5" ht="16.5">
      <c r="E10240" s="123"/>
    </row>
    <row r="10241" spans="5:5" ht="16.5">
      <c r="E10241" s="123"/>
    </row>
    <row r="10242" spans="5:5" ht="16.5">
      <c r="E10242" s="123"/>
    </row>
    <row r="10243" spans="5:5" ht="16.5">
      <c r="E10243" s="123"/>
    </row>
    <row r="10244" spans="5:5" ht="16.5">
      <c r="E10244" s="123"/>
    </row>
    <row r="10245" spans="5:5" ht="16.5">
      <c r="E10245" s="123"/>
    </row>
    <row r="10246" spans="5:5" ht="16.5">
      <c r="E10246" s="123"/>
    </row>
    <row r="10247" spans="5:5" ht="16.5">
      <c r="E10247" s="123"/>
    </row>
    <row r="10248" spans="5:5" ht="16.5">
      <c r="E10248" s="123"/>
    </row>
    <row r="10249" spans="5:5" ht="16.5">
      <c r="E10249" s="123"/>
    </row>
    <row r="10250" spans="5:5" ht="16.5">
      <c r="E10250" s="123"/>
    </row>
    <row r="10251" spans="5:5" ht="16.5">
      <c r="E10251" s="123"/>
    </row>
    <row r="10252" spans="5:5" ht="16.5">
      <c r="E10252" s="123"/>
    </row>
    <row r="10253" spans="5:5" ht="16.5">
      <c r="E10253" s="123"/>
    </row>
    <row r="10254" spans="5:5" ht="16.5">
      <c r="E10254" s="123"/>
    </row>
    <row r="10255" spans="5:5" ht="16.5">
      <c r="E10255" s="123"/>
    </row>
    <row r="10256" spans="5:5" ht="16.5">
      <c r="E10256" s="123"/>
    </row>
    <row r="10257" spans="5:5" ht="16.5">
      <c r="E10257" s="123"/>
    </row>
    <row r="10258" spans="5:5" ht="16.5">
      <c r="E10258" s="123"/>
    </row>
    <row r="10259" spans="5:5" ht="16.5">
      <c r="E10259" s="123"/>
    </row>
    <row r="10260" spans="5:5" ht="16.5">
      <c r="E10260" s="123"/>
    </row>
    <row r="10261" spans="5:5" ht="16.5">
      <c r="E10261" s="123"/>
    </row>
    <row r="10262" spans="5:5" ht="16.5">
      <c r="E10262" s="123"/>
    </row>
    <row r="10263" spans="5:5" ht="16.5">
      <c r="E10263" s="123"/>
    </row>
    <row r="10264" spans="5:5" ht="16.5">
      <c r="E10264" s="123"/>
    </row>
    <row r="10265" spans="5:5" ht="16.5">
      <c r="E10265" s="123"/>
    </row>
    <row r="10266" spans="5:5" ht="16.5">
      <c r="E10266" s="123"/>
    </row>
    <row r="10267" spans="5:5" ht="16.5">
      <c r="E10267" s="123"/>
    </row>
    <row r="10268" spans="5:5" ht="16.5">
      <c r="E10268" s="123"/>
    </row>
    <row r="10269" spans="5:5" ht="16.5">
      <c r="E10269" s="123"/>
    </row>
    <row r="10270" spans="5:5" ht="16.5">
      <c r="E10270" s="123"/>
    </row>
    <row r="10271" spans="5:5" ht="16.5">
      <c r="E10271" s="123"/>
    </row>
    <row r="10272" spans="5:5" ht="16.5">
      <c r="E10272" s="123"/>
    </row>
    <row r="10273" spans="5:5" ht="16.5">
      <c r="E10273" s="123"/>
    </row>
    <row r="10274" spans="5:5" ht="16.5">
      <c r="E10274" s="123"/>
    </row>
    <row r="10275" spans="5:5" ht="16.5">
      <c r="E10275" s="123"/>
    </row>
    <row r="10276" spans="5:5" ht="16.5">
      <c r="E10276" s="123"/>
    </row>
    <row r="10277" spans="5:5" ht="16.5">
      <c r="E10277" s="123"/>
    </row>
    <row r="10278" spans="5:5" ht="16.5">
      <c r="E10278" s="123"/>
    </row>
    <row r="10279" spans="5:5" ht="16.5">
      <c r="E10279" s="123"/>
    </row>
    <row r="10280" spans="5:5" ht="16.5">
      <c r="E10280" s="123"/>
    </row>
    <row r="10281" spans="5:5" ht="16.5">
      <c r="E10281" s="123"/>
    </row>
    <row r="10282" spans="5:5" ht="16.5">
      <c r="E10282" s="123"/>
    </row>
    <row r="10283" spans="5:5" ht="16.5">
      <c r="E10283" s="123"/>
    </row>
    <row r="10284" spans="5:5" ht="16.5">
      <c r="E10284" s="123"/>
    </row>
    <row r="10285" spans="5:5" ht="16.5">
      <c r="E10285" s="123"/>
    </row>
    <row r="10286" spans="5:5" ht="16.5">
      <c r="E10286" s="123"/>
    </row>
    <row r="10287" spans="5:5" ht="16.5">
      <c r="E10287" s="123"/>
    </row>
    <row r="10288" spans="5:5" ht="16.5">
      <c r="E10288" s="123"/>
    </row>
    <row r="10289" spans="5:5" ht="16.5">
      <c r="E10289" s="123"/>
    </row>
    <row r="10290" spans="5:5" ht="16.5">
      <c r="E10290" s="123"/>
    </row>
    <row r="10291" spans="5:5" ht="16.5">
      <c r="E10291" s="123"/>
    </row>
    <row r="10292" spans="5:5" ht="16.5">
      <c r="E10292" s="123"/>
    </row>
    <row r="10293" spans="5:5" ht="16.5">
      <c r="E10293" s="123"/>
    </row>
    <row r="10294" spans="5:5" ht="16.5">
      <c r="E10294" s="123"/>
    </row>
    <row r="10295" spans="5:5" ht="16.5">
      <c r="E10295" s="123"/>
    </row>
    <row r="10296" spans="5:5" ht="16.5">
      <c r="E10296" s="123"/>
    </row>
    <row r="10297" spans="5:5" ht="16.5">
      <c r="E10297" s="123"/>
    </row>
    <row r="10298" spans="5:5" ht="16.5">
      <c r="E10298" s="123"/>
    </row>
    <row r="10299" spans="5:5" ht="16.5">
      <c r="E10299" s="123"/>
    </row>
    <row r="10300" spans="5:5" ht="16.5">
      <c r="E10300" s="123"/>
    </row>
    <row r="10301" spans="5:5" ht="16.5">
      <c r="E10301" s="123"/>
    </row>
    <row r="10302" spans="5:5" ht="16.5">
      <c r="E10302" s="123"/>
    </row>
    <row r="10303" spans="5:5" ht="16.5">
      <c r="E10303" s="123"/>
    </row>
    <row r="10304" spans="5:5" ht="16.5">
      <c r="E10304" s="123"/>
    </row>
    <row r="10305" spans="5:5" ht="16.5">
      <c r="E10305" s="123"/>
    </row>
    <row r="10306" spans="5:5" ht="16.5">
      <c r="E10306" s="123"/>
    </row>
    <row r="10307" spans="5:5" ht="16.5">
      <c r="E10307" s="123"/>
    </row>
    <row r="10308" spans="5:5" ht="16.5">
      <c r="E10308" s="123"/>
    </row>
    <row r="10309" spans="5:5" ht="16.5">
      <c r="E10309" s="123"/>
    </row>
    <row r="10310" spans="5:5" ht="16.5">
      <c r="E10310" s="123"/>
    </row>
    <row r="10311" spans="5:5" ht="16.5">
      <c r="E10311" s="123"/>
    </row>
    <row r="10312" spans="5:5" ht="16.5">
      <c r="E10312" s="123"/>
    </row>
    <row r="10313" spans="5:5" ht="16.5">
      <c r="E10313" s="123"/>
    </row>
    <row r="10314" spans="5:5" ht="16.5">
      <c r="E10314" s="123"/>
    </row>
    <row r="10315" spans="5:5" ht="16.5">
      <c r="E10315" s="123"/>
    </row>
    <row r="10316" spans="5:5" ht="16.5">
      <c r="E10316" s="123"/>
    </row>
    <row r="10317" spans="5:5" ht="16.5">
      <c r="E10317" s="123"/>
    </row>
    <row r="10318" spans="5:5" ht="16.5">
      <c r="E10318" s="123"/>
    </row>
    <row r="10319" spans="5:5" ht="16.5">
      <c r="E10319" s="123"/>
    </row>
    <row r="10320" spans="5:5" ht="16.5">
      <c r="E10320" s="123"/>
    </row>
    <row r="10321" spans="5:5" ht="16.5">
      <c r="E10321" s="123"/>
    </row>
    <row r="10322" spans="5:5" ht="16.5">
      <c r="E10322" s="123"/>
    </row>
    <row r="10323" spans="5:5" ht="16.5">
      <c r="E10323" s="123"/>
    </row>
    <row r="10324" spans="5:5" ht="16.5">
      <c r="E10324" s="123"/>
    </row>
    <row r="10325" spans="5:5" ht="16.5">
      <c r="E10325" s="123"/>
    </row>
    <row r="10326" spans="5:5" ht="16.5">
      <c r="E10326" s="123"/>
    </row>
    <row r="10327" spans="5:5" ht="16.5">
      <c r="E10327" s="123"/>
    </row>
    <row r="10328" spans="5:5" ht="16.5">
      <c r="E10328" s="123"/>
    </row>
    <row r="10329" spans="5:5" ht="16.5">
      <c r="E10329" s="123"/>
    </row>
    <row r="10330" spans="5:5" ht="16.5">
      <c r="E10330" s="123"/>
    </row>
    <row r="10331" spans="5:5" ht="16.5">
      <c r="E10331" s="123"/>
    </row>
    <row r="10332" spans="5:5" ht="16.5">
      <c r="E10332" s="123"/>
    </row>
    <row r="10333" spans="5:5" ht="16.5">
      <c r="E10333" s="123"/>
    </row>
    <row r="10334" spans="5:5" ht="16.5">
      <c r="E10334" s="123"/>
    </row>
    <row r="10335" spans="5:5" ht="16.5">
      <c r="E10335" s="123"/>
    </row>
    <row r="10336" spans="5:5" ht="16.5">
      <c r="E10336" s="123"/>
    </row>
    <row r="10337" spans="5:5" ht="16.5">
      <c r="E10337" s="123"/>
    </row>
    <row r="10338" spans="5:5" ht="16.5">
      <c r="E10338" s="123"/>
    </row>
    <row r="10339" spans="5:5" ht="16.5">
      <c r="E10339" s="123"/>
    </row>
    <row r="10340" spans="5:5" ht="16.5">
      <c r="E10340" s="123"/>
    </row>
    <row r="10341" spans="5:5" ht="16.5">
      <c r="E10341" s="123"/>
    </row>
    <row r="10342" spans="5:5" ht="16.5">
      <c r="E10342" s="123"/>
    </row>
    <row r="10343" spans="5:5" ht="16.5">
      <c r="E10343" s="123"/>
    </row>
    <row r="10344" spans="5:5" ht="16.5">
      <c r="E10344" s="123"/>
    </row>
    <row r="10345" spans="5:5" ht="16.5">
      <c r="E10345" s="123"/>
    </row>
    <row r="10346" spans="5:5" ht="16.5">
      <c r="E10346" s="123"/>
    </row>
    <row r="10347" spans="5:5" ht="16.5">
      <c r="E10347" s="123"/>
    </row>
    <row r="10348" spans="5:5" ht="16.5">
      <c r="E10348" s="123"/>
    </row>
    <row r="10349" spans="5:5" ht="16.5">
      <c r="E10349" s="123"/>
    </row>
    <row r="10350" spans="5:5" ht="16.5">
      <c r="E10350" s="123"/>
    </row>
    <row r="10351" spans="5:5" ht="16.5">
      <c r="E10351" s="123"/>
    </row>
    <row r="10352" spans="5:5" ht="16.5">
      <c r="E10352" s="123"/>
    </row>
    <row r="10353" spans="5:5" ht="16.5">
      <c r="E10353" s="123"/>
    </row>
    <row r="10354" spans="5:5" ht="16.5">
      <c r="E10354" s="123"/>
    </row>
    <row r="10355" spans="5:5" ht="16.5">
      <c r="E10355" s="123"/>
    </row>
    <row r="10356" spans="5:5" ht="16.5">
      <c r="E10356" s="123"/>
    </row>
    <row r="10357" spans="5:5" ht="16.5">
      <c r="E10357" s="123"/>
    </row>
    <row r="10358" spans="5:5" ht="16.5">
      <c r="E10358" s="123"/>
    </row>
    <row r="10359" spans="5:5" ht="16.5">
      <c r="E10359" s="123"/>
    </row>
    <row r="10360" spans="5:5" ht="16.5">
      <c r="E10360" s="123"/>
    </row>
    <row r="10361" spans="5:5" ht="16.5">
      <c r="E10361" s="123"/>
    </row>
    <row r="10362" spans="5:5" ht="16.5">
      <c r="E10362" s="123"/>
    </row>
    <row r="10363" spans="5:5" ht="16.5">
      <c r="E10363" s="123"/>
    </row>
    <row r="10364" spans="5:5" ht="16.5">
      <c r="E10364" s="123"/>
    </row>
    <row r="10365" spans="5:5" ht="16.5">
      <c r="E10365" s="123"/>
    </row>
    <row r="10366" spans="5:5" ht="16.5">
      <c r="E10366" s="123"/>
    </row>
    <row r="10367" spans="5:5" ht="16.5">
      <c r="E10367" s="123"/>
    </row>
    <row r="10368" spans="5:5" ht="16.5">
      <c r="E10368" s="123"/>
    </row>
    <row r="10369" spans="5:5" ht="16.5">
      <c r="E10369" s="123"/>
    </row>
    <row r="10370" spans="5:5" ht="16.5">
      <c r="E10370" s="123"/>
    </row>
    <row r="10371" spans="5:5" ht="16.5">
      <c r="E10371" s="123"/>
    </row>
    <row r="10372" spans="5:5" ht="16.5">
      <c r="E10372" s="123"/>
    </row>
    <row r="10373" spans="5:5" ht="16.5">
      <c r="E10373" s="123"/>
    </row>
    <row r="10374" spans="5:5" ht="16.5">
      <c r="E10374" s="123"/>
    </row>
    <row r="10375" spans="5:5" ht="16.5">
      <c r="E10375" s="123"/>
    </row>
    <row r="10376" spans="5:5" ht="16.5">
      <c r="E10376" s="123"/>
    </row>
    <row r="10377" spans="5:5" ht="16.5">
      <c r="E10377" s="123"/>
    </row>
    <row r="10378" spans="5:5" ht="16.5">
      <c r="E10378" s="123"/>
    </row>
    <row r="10379" spans="5:5" ht="16.5">
      <c r="E10379" s="123"/>
    </row>
    <row r="10380" spans="5:5" ht="16.5">
      <c r="E10380" s="123"/>
    </row>
    <row r="10381" spans="5:5" ht="16.5">
      <c r="E10381" s="123"/>
    </row>
    <row r="10382" spans="5:5" ht="16.5">
      <c r="E10382" s="123"/>
    </row>
    <row r="10383" spans="5:5" ht="16.5">
      <c r="E10383" s="123"/>
    </row>
    <row r="10384" spans="5:5" ht="16.5">
      <c r="E10384" s="123"/>
    </row>
    <row r="10385" spans="5:5" ht="16.5">
      <c r="E10385" s="123"/>
    </row>
    <row r="10386" spans="5:5" ht="16.5">
      <c r="E10386" s="123"/>
    </row>
    <row r="10387" spans="5:5" ht="16.5">
      <c r="E10387" s="123"/>
    </row>
    <row r="10388" spans="5:5" ht="16.5">
      <c r="E10388" s="123"/>
    </row>
    <row r="10389" spans="5:5" ht="16.5">
      <c r="E10389" s="123"/>
    </row>
    <row r="10390" spans="5:5" ht="16.5">
      <c r="E10390" s="123"/>
    </row>
    <row r="10391" spans="5:5" ht="16.5">
      <c r="E10391" s="123"/>
    </row>
    <row r="10392" spans="5:5" ht="16.5">
      <c r="E10392" s="123"/>
    </row>
    <row r="10393" spans="5:5" ht="16.5">
      <c r="E10393" s="123"/>
    </row>
    <row r="10394" spans="5:5" ht="16.5">
      <c r="E10394" s="123"/>
    </row>
    <row r="10395" spans="5:5" ht="16.5">
      <c r="E10395" s="123"/>
    </row>
    <row r="10396" spans="5:5" ht="16.5">
      <c r="E10396" s="123"/>
    </row>
    <row r="10397" spans="5:5" ht="16.5">
      <c r="E10397" s="123"/>
    </row>
    <row r="10398" spans="5:5" ht="16.5">
      <c r="E10398" s="123"/>
    </row>
    <row r="10399" spans="5:5" ht="16.5">
      <c r="E10399" s="123"/>
    </row>
    <row r="10400" spans="5:5" ht="16.5">
      <c r="E10400" s="123"/>
    </row>
    <row r="10401" spans="5:5" ht="16.5">
      <c r="E10401" s="123"/>
    </row>
    <row r="10402" spans="5:5" ht="16.5">
      <c r="E10402" s="123"/>
    </row>
    <row r="10403" spans="5:5" ht="16.5">
      <c r="E10403" s="123"/>
    </row>
    <row r="10404" spans="5:5" ht="16.5">
      <c r="E10404" s="123"/>
    </row>
    <row r="10405" spans="5:5" ht="16.5">
      <c r="E10405" s="123"/>
    </row>
    <row r="10406" spans="5:5" ht="16.5">
      <c r="E10406" s="123"/>
    </row>
    <row r="10407" spans="5:5" ht="16.5">
      <c r="E10407" s="123"/>
    </row>
    <row r="10408" spans="5:5" ht="16.5">
      <c r="E10408" s="123"/>
    </row>
    <row r="10409" spans="5:5" ht="16.5">
      <c r="E10409" s="123"/>
    </row>
    <row r="10410" spans="5:5" ht="16.5">
      <c r="E10410" s="123"/>
    </row>
    <row r="10411" spans="5:5" ht="16.5">
      <c r="E10411" s="123"/>
    </row>
    <row r="10412" spans="5:5" ht="16.5">
      <c r="E10412" s="123"/>
    </row>
    <row r="10413" spans="5:5" ht="16.5">
      <c r="E10413" s="123"/>
    </row>
    <row r="10414" spans="5:5" ht="16.5">
      <c r="E10414" s="123"/>
    </row>
    <row r="10415" spans="5:5" ht="16.5">
      <c r="E10415" s="123"/>
    </row>
    <row r="10416" spans="5:5" ht="16.5">
      <c r="E10416" s="123"/>
    </row>
    <row r="10417" spans="5:5" ht="16.5">
      <c r="E10417" s="123"/>
    </row>
    <row r="10418" spans="5:5" ht="16.5">
      <c r="E10418" s="123"/>
    </row>
    <row r="10419" spans="5:5" ht="16.5">
      <c r="E10419" s="123"/>
    </row>
    <row r="10420" spans="5:5" ht="16.5">
      <c r="E10420" s="123"/>
    </row>
    <row r="10421" spans="5:5" ht="16.5">
      <c r="E10421" s="123"/>
    </row>
    <row r="10422" spans="5:5" ht="16.5">
      <c r="E10422" s="123"/>
    </row>
    <row r="10423" spans="5:5" ht="16.5">
      <c r="E10423" s="123"/>
    </row>
    <row r="10424" spans="5:5" ht="16.5">
      <c r="E10424" s="123"/>
    </row>
    <row r="10425" spans="5:5" ht="16.5">
      <c r="E10425" s="123"/>
    </row>
    <row r="10426" spans="5:5" ht="16.5">
      <c r="E10426" s="123"/>
    </row>
    <row r="10427" spans="5:5" ht="16.5">
      <c r="E10427" s="123"/>
    </row>
    <row r="10428" spans="5:5" ht="16.5">
      <c r="E10428" s="123"/>
    </row>
    <row r="10429" spans="5:5" ht="16.5">
      <c r="E10429" s="123"/>
    </row>
    <row r="10430" spans="5:5" ht="16.5">
      <c r="E10430" s="123"/>
    </row>
    <row r="10431" spans="5:5" ht="16.5">
      <c r="E10431" s="123"/>
    </row>
    <row r="10432" spans="5:5" ht="16.5">
      <c r="E10432" s="123"/>
    </row>
    <row r="10433" spans="5:5" ht="16.5">
      <c r="E10433" s="123"/>
    </row>
    <row r="10434" spans="5:5" ht="16.5">
      <c r="E10434" s="123"/>
    </row>
    <row r="10435" spans="5:5" ht="16.5">
      <c r="E10435" s="123"/>
    </row>
    <row r="10436" spans="5:5" ht="16.5">
      <c r="E10436" s="123"/>
    </row>
    <row r="10437" spans="5:5" ht="16.5">
      <c r="E10437" s="123"/>
    </row>
    <row r="10438" spans="5:5" ht="16.5">
      <c r="E10438" s="123"/>
    </row>
    <row r="10439" spans="5:5" ht="16.5">
      <c r="E10439" s="123"/>
    </row>
    <row r="10440" spans="5:5" ht="16.5">
      <c r="E10440" s="123"/>
    </row>
    <row r="10441" spans="5:5" ht="16.5">
      <c r="E10441" s="123"/>
    </row>
    <row r="10442" spans="5:5" ht="16.5">
      <c r="E10442" s="123"/>
    </row>
    <row r="10443" spans="5:5" ht="16.5">
      <c r="E10443" s="123"/>
    </row>
    <row r="10444" spans="5:5" ht="16.5">
      <c r="E10444" s="123"/>
    </row>
    <row r="10445" spans="5:5" ht="16.5">
      <c r="E10445" s="123"/>
    </row>
    <row r="10446" spans="5:5" ht="16.5">
      <c r="E10446" s="123"/>
    </row>
    <row r="10447" spans="5:5" ht="16.5">
      <c r="E10447" s="123"/>
    </row>
    <row r="10448" spans="5:5" ht="16.5">
      <c r="E10448" s="123"/>
    </row>
    <row r="10449" spans="5:5" ht="16.5">
      <c r="E10449" s="123"/>
    </row>
    <row r="10450" spans="5:5" ht="16.5">
      <c r="E10450" s="123"/>
    </row>
    <row r="10451" spans="5:5" ht="16.5">
      <c r="E10451" s="123"/>
    </row>
    <row r="10452" spans="5:5" ht="16.5">
      <c r="E10452" s="123"/>
    </row>
    <row r="10453" spans="5:5" ht="16.5">
      <c r="E10453" s="123"/>
    </row>
    <row r="10454" spans="5:5" ht="16.5">
      <c r="E10454" s="123"/>
    </row>
    <row r="10455" spans="5:5" ht="16.5">
      <c r="E10455" s="123"/>
    </row>
    <row r="10456" spans="5:5" ht="16.5">
      <c r="E10456" s="123"/>
    </row>
    <row r="10457" spans="5:5" ht="16.5">
      <c r="E10457" s="123"/>
    </row>
    <row r="10458" spans="5:5" ht="16.5">
      <c r="E10458" s="123"/>
    </row>
    <row r="10459" spans="5:5" ht="16.5">
      <c r="E10459" s="123"/>
    </row>
    <row r="10460" spans="5:5" ht="16.5">
      <c r="E10460" s="123"/>
    </row>
    <row r="10461" spans="5:5" ht="16.5">
      <c r="E10461" s="123"/>
    </row>
    <row r="10462" spans="5:5" ht="16.5">
      <c r="E10462" s="123"/>
    </row>
    <row r="10463" spans="5:5" ht="16.5">
      <c r="E10463" s="123"/>
    </row>
    <row r="10464" spans="5:5" ht="16.5">
      <c r="E10464" s="123"/>
    </row>
    <row r="10465" spans="5:5" ht="16.5">
      <c r="E10465" s="123"/>
    </row>
    <row r="10466" spans="5:5" ht="16.5">
      <c r="E10466" s="123"/>
    </row>
    <row r="10467" spans="5:5" ht="16.5">
      <c r="E10467" s="123"/>
    </row>
    <row r="10468" spans="5:5" ht="16.5">
      <c r="E10468" s="123"/>
    </row>
    <row r="10469" spans="5:5" ht="16.5">
      <c r="E10469" s="123"/>
    </row>
    <row r="10470" spans="5:5" ht="16.5">
      <c r="E10470" s="123"/>
    </row>
    <row r="10471" spans="5:5" ht="16.5">
      <c r="E10471" s="123"/>
    </row>
    <row r="10472" spans="5:5" ht="16.5">
      <c r="E10472" s="123"/>
    </row>
    <row r="10473" spans="5:5" ht="16.5">
      <c r="E10473" s="123"/>
    </row>
    <row r="10474" spans="5:5" ht="16.5">
      <c r="E10474" s="123"/>
    </row>
    <row r="10475" spans="5:5" ht="16.5">
      <c r="E10475" s="123"/>
    </row>
    <row r="10476" spans="5:5" ht="16.5">
      <c r="E10476" s="123"/>
    </row>
    <row r="10477" spans="5:5" ht="16.5">
      <c r="E10477" s="123"/>
    </row>
    <row r="10478" spans="5:5" ht="16.5">
      <c r="E10478" s="123"/>
    </row>
    <row r="10479" spans="5:5" ht="16.5">
      <c r="E10479" s="123"/>
    </row>
    <row r="10480" spans="5:5" ht="16.5">
      <c r="E10480" s="123"/>
    </row>
    <row r="10481" spans="5:5" ht="16.5">
      <c r="E10481" s="123"/>
    </row>
    <row r="10482" spans="5:5" ht="16.5">
      <c r="E10482" s="123"/>
    </row>
    <row r="10483" spans="5:5" ht="16.5">
      <c r="E10483" s="123"/>
    </row>
    <row r="10484" spans="5:5" ht="16.5">
      <c r="E10484" s="123"/>
    </row>
    <row r="10485" spans="5:5" ht="16.5">
      <c r="E10485" s="123"/>
    </row>
    <row r="10486" spans="5:5" ht="16.5">
      <c r="E10486" s="123"/>
    </row>
    <row r="10487" spans="5:5" ht="16.5">
      <c r="E10487" s="123"/>
    </row>
    <row r="10488" spans="5:5" ht="16.5">
      <c r="E10488" s="123"/>
    </row>
    <row r="10489" spans="5:5" ht="16.5">
      <c r="E10489" s="123"/>
    </row>
    <row r="10490" spans="5:5" ht="16.5">
      <c r="E10490" s="123"/>
    </row>
    <row r="10491" spans="5:5" ht="16.5">
      <c r="E10491" s="123"/>
    </row>
    <row r="10492" spans="5:5" ht="16.5">
      <c r="E10492" s="123"/>
    </row>
    <row r="10493" spans="5:5" ht="16.5">
      <c r="E10493" s="123"/>
    </row>
    <row r="10494" spans="5:5" ht="16.5">
      <c r="E10494" s="123"/>
    </row>
    <row r="10495" spans="5:5" ht="16.5">
      <c r="E10495" s="123"/>
    </row>
    <row r="10496" spans="5:5" ht="16.5">
      <c r="E10496" s="123"/>
    </row>
    <row r="10497" spans="5:5" ht="16.5">
      <c r="E10497" s="123"/>
    </row>
    <row r="10498" spans="5:5" ht="16.5">
      <c r="E10498" s="123"/>
    </row>
    <row r="10499" spans="5:5" ht="16.5">
      <c r="E10499" s="123"/>
    </row>
    <row r="10500" spans="5:5" ht="16.5">
      <c r="E10500" s="123"/>
    </row>
    <row r="10501" spans="5:5" ht="16.5">
      <c r="E10501" s="123"/>
    </row>
    <row r="10502" spans="5:5" ht="16.5">
      <c r="E10502" s="123"/>
    </row>
    <row r="10503" spans="5:5" ht="16.5">
      <c r="E10503" s="123"/>
    </row>
    <row r="10504" spans="5:5" ht="16.5">
      <c r="E10504" s="123"/>
    </row>
    <row r="10505" spans="5:5" ht="16.5">
      <c r="E10505" s="123"/>
    </row>
    <row r="10506" spans="5:5" ht="16.5">
      <c r="E10506" s="123"/>
    </row>
    <row r="10507" spans="5:5" ht="16.5">
      <c r="E10507" s="123"/>
    </row>
    <row r="10508" spans="5:5" ht="16.5">
      <c r="E10508" s="123"/>
    </row>
    <row r="10509" spans="5:5" ht="16.5">
      <c r="E10509" s="123"/>
    </row>
    <row r="10510" spans="5:5" ht="16.5">
      <c r="E10510" s="123"/>
    </row>
    <row r="10511" spans="5:5" ht="16.5">
      <c r="E10511" s="123"/>
    </row>
    <row r="10512" spans="5:5" ht="16.5">
      <c r="E10512" s="123"/>
    </row>
    <row r="10513" spans="5:5" ht="16.5">
      <c r="E10513" s="123"/>
    </row>
    <row r="10514" spans="5:5" ht="16.5">
      <c r="E10514" s="123"/>
    </row>
    <row r="10515" spans="5:5" ht="16.5">
      <c r="E10515" s="123"/>
    </row>
    <row r="10516" spans="5:5" ht="16.5">
      <c r="E10516" s="123"/>
    </row>
    <row r="10517" spans="5:5" ht="16.5">
      <c r="E10517" s="123"/>
    </row>
    <row r="10518" spans="5:5" ht="16.5">
      <c r="E10518" s="123"/>
    </row>
    <row r="10519" spans="5:5" ht="16.5">
      <c r="E10519" s="123"/>
    </row>
    <row r="10520" spans="5:5" ht="16.5">
      <c r="E10520" s="123"/>
    </row>
    <row r="10521" spans="5:5" ht="16.5">
      <c r="E10521" s="123"/>
    </row>
    <row r="10522" spans="5:5" ht="16.5">
      <c r="E10522" s="123"/>
    </row>
    <row r="10523" spans="5:5" ht="16.5">
      <c r="E10523" s="123"/>
    </row>
    <row r="10524" spans="5:5" ht="16.5">
      <c r="E10524" s="123"/>
    </row>
    <row r="10525" spans="5:5" ht="16.5">
      <c r="E10525" s="123"/>
    </row>
    <row r="10526" spans="5:5" ht="16.5">
      <c r="E10526" s="123"/>
    </row>
    <row r="10527" spans="5:5" ht="16.5">
      <c r="E10527" s="123"/>
    </row>
    <row r="10528" spans="5:5" ht="16.5">
      <c r="E10528" s="123"/>
    </row>
    <row r="10529" spans="5:5" ht="16.5">
      <c r="E10529" s="123"/>
    </row>
    <row r="10530" spans="5:5" ht="16.5">
      <c r="E10530" s="123"/>
    </row>
    <row r="10531" spans="5:5" ht="16.5">
      <c r="E10531" s="123"/>
    </row>
    <row r="10532" spans="5:5" ht="16.5">
      <c r="E10532" s="123"/>
    </row>
    <row r="10533" spans="5:5" ht="16.5">
      <c r="E10533" s="123"/>
    </row>
    <row r="10534" spans="5:5" ht="16.5">
      <c r="E10534" s="123"/>
    </row>
    <row r="10535" spans="5:5" ht="16.5">
      <c r="E10535" s="123"/>
    </row>
    <row r="10536" spans="5:5" ht="16.5">
      <c r="E10536" s="123"/>
    </row>
    <row r="10537" spans="5:5" ht="16.5">
      <c r="E10537" s="123"/>
    </row>
    <row r="10538" spans="5:5" ht="16.5">
      <c r="E10538" s="123"/>
    </row>
    <row r="10539" spans="5:5" ht="16.5">
      <c r="E10539" s="123"/>
    </row>
    <row r="10540" spans="5:5" ht="16.5">
      <c r="E10540" s="123"/>
    </row>
    <row r="10541" spans="5:5" ht="16.5">
      <c r="E10541" s="123"/>
    </row>
    <row r="10542" spans="5:5" ht="16.5">
      <c r="E10542" s="123"/>
    </row>
    <row r="10543" spans="5:5" ht="16.5">
      <c r="E10543" s="123"/>
    </row>
    <row r="10544" spans="5:5" ht="16.5">
      <c r="E10544" s="123"/>
    </row>
    <row r="10545" spans="5:5" ht="16.5">
      <c r="E10545" s="123"/>
    </row>
    <row r="10546" spans="5:5" ht="16.5">
      <c r="E10546" s="123"/>
    </row>
    <row r="10547" spans="5:5" ht="16.5">
      <c r="E10547" s="123"/>
    </row>
    <row r="10548" spans="5:5" ht="16.5">
      <c r="E10548" s="123"/>
    </row>
    <row r="10549" spans="5:5" ht="16.5">
      <c r="E10549" s="123"/>
    </row>
    <row r="10550" spans="5:5" ht="16.5">
      <c r="E10550" s="123"/>
    </row>
    <row r="10551" spans="5:5" ht="16.5">
      <c r="E10551" s="123"/>
    </row>
    <row r="10552" spans="5:5" ht="16.5">
      <c r="E10552" s="123"/>
    </row>
    <row r="10553" spans="5:5" ht="16.5">
      <c r="E10553" s="123"/>
    </row>
    <row r="10554" spans="5:5" ht="16.5">
      <c r="E10554" s="123"/>
    </row>
    <row r="10555" spans="5:5" ht="16.5">
      <c r="E10555" s="123"/>
    </row>
    <row r="10556" spans="5:5" ht="16.5">
      <c r="E10556" s="123"/>
    </row>
    <row r="10557" spans="5:5" ht="16.5">
      <c r="E10557" s="123"/>
    </row>
    <row r="10558" spans="5:5" ht="16.5">
      <c r="E10558" s="123"/>
    </row>
    <row r="10559" spans="5:5" ht="16.5">
      <c r="E10559" s="123"/>
    </row>
    <row r="10560" spans="5:5" ht="16.5">
      <c r="E10560" s="123"/>
    </row>
    <row r="10561" spans="5:5" ht="16.5">
      <c r="E10561" s="123"/>
    </row>
    <row r="10562" spans="5:5" ht="16.5">
      <c r="E10562" s="123"/>
    </row>
    <row r="10563" spans="5:5" ht="16.5">
      <c r="E10563" s="123"/>
    </row>
    <row r="10564" spans="5:5" ht="16.5">
      <c r="E10564" s="123"/>
    </row>
    <row r="10565" spans="5:5" ht="16.5">
      <c r="E10565" s="123"/>
    </row>
    <row r="10566" spans="5:5" ht="16.5">
      <c r="E10566" s="123"/>
    </row>
    <row r="10567" spans="5:5" ht="16.5">
      <c r="E10567" s="123"/>
    </row>
    <row r="10568" spans="5:5" ht="16.5">
      <c r="E10568" s="123"/>
    </row>
    <row r="10569" spans="5:5" ht="16.5">
      <c r="E10569" s="123"/>
    </row>
    <row r="10570" spans="5:5" ht="16.5">
      <c r="E10570" s="123"/>
    </row>
    <row r="10571" spans="5:5" ht="16.5">
      <c r="E10571" s="123"/>
    </row>
    <row r="10572" spans="5:5" ht="16.5">
      <c r="E10572" s="123"/>
    </row>
    <row r="10573" spans="5:5" ht="16.5">
      <c r="E10573" s="123"/>
    </row>
    <row r="10574" spans="5:5" ht="16.5">
      <c r="E10574" s="123"/>
    </row>
    <row r="10575" spans="5:5" ht="16.5">
      <c r="E10575" s="123"/>
    </row>
    <row r="10576" spans="5:5" ht="16.5">
      <c r="E10576" s="123"/>
    </row>
    <row r="10577" spans="5:5" ht="16.5">
      <c r="E10577" s="123"/>
    </row>
    <row r="10578" spans="5:5" ht="16.5">
      <c r="E10578" s="123"/>
    </row>
    <row r="10579" spans="5:5" ht="16.5">
      <c r="E10579" s="123"/>
    </row>
    <row r="10580" spans="5:5" ht="16.5">
      <c r="E10580" s="123"/>
    </row>
    <row r="10581" spans="5:5" ht="16.5">
      <c r="E10581" s="123"/>
    </row>
    <row r="10582" spans="5:5" ht="16.5">
      <c r="E10582" s="123"/>
    </row>
    <row r="10583" spans="5:5" ht="16.5">
      <c r="E10583" s="123"/>
    </row>
    <row r="10584" spans="5:5" ht="16.5">
      <c r="E10584" s="123"/>
    </row>
    <row r="10585" spans="5:5" ht="16.5">
      <c r="E10585" s="123"/>
    </row>
    <row r="10586" spans="5:5" ht="16.5">
      <c r="E10586" s="123"/>
    </row>
    <row r="10587" spans="5:5" ht="16.5">
      <c r="E10587" s="123"/>
    </row>
    <row r="10588" spans="5:5" ht="16.5">
      <c r="E10588" s="123"/>
    </row>
    <row r="10589" spans="5:5" ht="16.5">
      <c r="E10589" s="123"/>
    </row>
    <row r="10590" spans="5:5" ht="16.5">
      <c r="E10590" s="123"/>
    </row>
    <row r="10591" spans="5:5" ht="16.5">
      <c r="E10591" s="123"/>
    </row>
    <row r="10592" spans="5:5" ht="16.5">
      <c r="E10592" s="123"/>
    </row>
    <row r="10593" spans="5:5" ht="16.5">
      <c r="E10593" s="123"/>
    </row>
    <row r="10594" spans="5:5" ht="16.5">
      <c r="E10594" s="123"/>
    </row>
    <row r="10595" spans="5:5" ht="16.5">
      <c r="E10595" s="123"/>
    </row>
    <row r="10596" spans="5:5" ht="16.5">
      <c r="E10596" s="123"/>
    </row>
    <row r="10597" spans="5:5" ht="16.5">
      <c r="E10597" s="123"/>
    </row>
    <row r="10598" spans="5:5" ht="16.5">
      <c r="E10598" s="123"/>
    </row>
    <row r="10599" spans="5:5" ht="16.5">
      <c r="E10599" s="123"/>
    </row>
    <row r="10600" spans="5:5" ht="16.5">
      <c r="E10600" s="123"/>
    </row>
    <row r="10601" spans="5:5" ht="16.5">
      <c r="E10601" s="123"/>
    </row>
    <row r="10602" spans="5:5" ht="16.5">
      <c r="E10602" s="123"/>
    </row>
    <row r="10603" spans="5:5" ht="16.5">
      <c r="E10603" s="123"/>
    </row>
    <row r="10604" spans="5:5" ht="16.5">
      <c r="E10604" s="123"/>
    </row>
    <row r="10605" spans="5:5" ht="16.5">
      <c r="E10605" s="123"/>
    </row>
    <row r="10606" spans="5:5" ht="16.5">
      <c r="E10606" s="123"/>
    </row>
    <row r="10607" spans="5:5" ht="16.5">
      <c r="E10607" s="123"/>
    </row>
    <row r="10608" spans="5:5" ht="16.5">
      <c r="E10608" s="123"/>
    </row>
    <row r="10609" spans="5:5" ht="16.5">
      <c r="E10609" s="123"/>
    </row>
    <row r="10610" spans="5:5" ht="16.5">
      <c r="E10610" s="123"/>
    </row>
    <row r="10611" spans="5:5" ht="16.5">
      <c r="E10611" s="123"/>
    </row>
    <row r="10612" spans="5:5" ht="16.5">
      <c r="E10612" s="123"/>
    </row>
    <row r="10613" spans="5:5" ht="16.5">
      <c r="E10613" s="123"/>
    </row>
    <row r="10614" spans="5:5" ht="16.5">
      <c r="E10614" s="123"/>
    </row>
    <row r="10615" spans="5:5" ht="16.5">
      <c r="E10615" s="123"/>
    </row>
    <row r="10616" spans="5:5" ht="16.5">
      <c r="E10616" s="123"/>
    </row>
    <row r="10617" spans="5:5" ht="16.5">
      <c r="E10617" s="123"/>
    </row>
    <row r="10618" spans="5:5" ht="16.5">
      <c r="E10618" s="123"/>
    </row>
    <row r="10619" spans="5:5" ht="16.5">
      <c r="E10619" s="123"/>
    </row>
    <row r="10620" spans="5:5" ht="16.5">
      <c r="E10620" s="123"/>
    </row>
    <row r="10621" spans="5:5" ht="16.5">
      <c r="E10621" s="123"/>
    </row>
    <row r="10622" spans="5:5" ht="16.5">
      <c r="E10622" s="123"/>
    </row>
    <row r="10623" spans="5:5" ht="16.5">
      <c r="E10623" s="123"/>
    </row>
    <row r="10624" spans="5:5" ht="16.5">
      <c r="E10624" s="123"/>
    </row>
    <row r="10625" spans="5:5" ht="16.5">
      <c r="E10625" s="123"/>
    </row>
    <row r="10626" spans="5:5" ht="16.5">
      <c r="E10626" s="123"/>
    </row>
    <row r="10627" spans="5:5" ht="16.5">
      <c r="E10627" s="123"/>
    </row>
    <row r="10628" spans="5:5" ht="16.5">
      <c r="E10628" s="123"/>
    </row>
    <row r="10629" spans="5:5" ht="16.5">
      <c r="E10629" s="123"/>
    </row>
    <row r="10630" spans="5:5" ht="16.5">
      <c r="E10630" s="123"/>
    </row>
    <row r="10631" spans="5:5" ht="16.5">
      <c r="E10631" s="123"/>
    </row>
    <row r="10632" spans="5:5" ht="16.5">
      <c r="E10632" s="123"/>
    </row>
    <row r="10633" spans="5:5" ht="16.5">
      <c r="E10633" s="123"/>
    </row>
    <row r="10634" spans="5:5" ht="16.5">
      <c r="E10634" s="123"/>
    </row>
    <row r="10635" spans="5:5" ht="16.5">
      <c r="E10635" s="123"/>
    </row>
    <row r="10636" spans="5:5" ht="16.5">
      <c r="E10636" s="123"/>
    </row>
    <row r="10637" spans="5:5" ht="16.5">
      <c r="E10637" s="123"/>
    </row>
    <row r="10638" spans="5:5" ht="16.5">
      <c r="E10638" s="123"/>
    </row>
    <row r="10639" spans="5:5" ht="16.5">
      <c r="E10639" s="123"/>
    </row>
    <row r="10640" spans="5:5" ht="16.5">
      <c r="E10640" s="123"/>
    </row>
    <row r="10641" spans="5:5" ht="16.5">
      <c r="E10641" s="123"/>
    </row>
    <row r="10642" spans="5:5" ht="16.5">
      <c r="E10642" s="123"/>
    </row>
    <row r="10643" spans="5:5" ht="16.5">
      <c r="E10643" s="123"/>
    </row>
    <row r="10644" spans="5:5" ht="16.5">
      <c r="E10644" s="123"/>
    </row>
    <row r="10645" spans="5:5" ht="16.5">
      <c r="E10645" s="123"/>
    </row>
    <row r="10646" spans="5:5" ht="16.5">
      <c r="E10646" s="123"/>
    </row>
    <row r="10647" spans="5:5" ht="16.5">
      <c r="E10647" s="123"/>
    </row>
    <row r="10648" spans="5:5" ht="16.5">
      <c r="E10648" s="123"/>
    </row>
    <row r="10649" spans="5:5" ht="16.5">
      <c r="E10649" s="123"/>
    </row>
    <row r="10650" spans="5:5" ht="16.5">
      <c r="E10650" s="123"/>
    </row>
    <row r="10651" spans="5:5" ht="16.5">
      <c r="E10651" s="123"/>
    </row>
    <row r="10652" spans="5:5" ht="16.5">
      <c r="E10652" s="123"/>
    </row>
    <row r="10653" spans="5:5" ht="16.5">
      <c r="E10653" s="123"/>
    </row>
    <row r="10654" spans="5:5" ht="16.5">
      <c r="E10654" s="123"/>
    </row>
    <row r="10655" spans="5:5" ht="16.5">
      <c r="E10655" s="123"/>
    </row>
    <row r="10656" spans="5:5" ht="16.5">
      <c r="E10656" s="123"/>
    </row>
    <row r="10657" spans="5:5" ht="16.5">
      <c r="E10657" s="123"/>
    </row>
    <row r="10658" spans="5:5" ht="16.5">
      <c r="E10658" s="123"/>
    </row>
    <row r="10659" spans="5:5" ht="16.5">
      <c r="E10659" s="123"/>
    </row>
    <row r="10660" spans="5:5" ht="16.5">
      <c r="E10660" s="123"/>
    </row>
    <row r="10661" spans="5:5" ht="16.5">
      <c r="E10661" s="123"/>
    </row>
    <row r="10662" spans="5:5" ht="16.5">
      <c r="E10662" s="123"/>
    </row>
    <row r="10663" spans="5:5" ht="16.5">
      <c r="E10663" s="123"/>
    </row>
    <row r="10664" spans="5:5" ht="16.5">
      <c r="E10664" s="123"/>
    </row>
    <row r="10665" spans="5:5" ht="16.5">
      <c r="E10665" s="123"/>
    </row>
    <row r="10666" spans="5:5" ht="16.5">
      <c r="E10666" s="123"/>
    </row>
    <row r="10667" spans="5:5" ht="16.5">
      <c r="E10667" s="123"/>
    </row>
    <row r="10668" spans="5:5" ht="16.5">
      <c r="E10668" s="123"/>
    </row>
    <row r="10669" spans="5:5" ht="16.5">
      <c r="E10669" s="123"/>
    </row>
    <row r="10670" spans="5:5" ht="16.5">
      <c r="E10670" s="123"/>
    </row>
    <row r="10671" spans="5:5" ht="16.5">
      <c r="E10671" s="123"/>
    </row>
    <row r="10672" spans="5:5" ht="16.5">
      <c r="E10672" s="123"/>
    </row>
    <row r="10673" spans="5:5" ht="16.5">
      <c r="E10673" s="123"/>
    </row>
    <row r="10674" spans="5:5" ht="16.5">
      <c r="E10674" s="123"/>
    </row>
    <row r="10675" spans="5:5" ht="16.5">
      <c r="E10675" s="123"/>
    </row>
    <row r="10676" spans="5:5" ht="16.5">
      <c r="E10676" s="123"/>
    </row>
    <row r="10677" spans="5:5" ht="16.5">
      <c r="E10677" s="123"/>
    </row>
    <row r="10678" spans="5:5" ht="16.5">
      <c r="E10678" s="123"/>
    </row>
    <row r="10679" spans="5:5" ht="16.5">
      <c r="E10679" s="123"/>
    </row>
    <row r="10680" spans="5:5" ht="16.5">
      <c r="E10680" s="123"/>
    </row>
    <row r="10681" spans="5:5" ht="16.5">
      <c r="E10681" s="123"/>
    </row>
    <row r="10682" spans="5:5" ht="16.5">
      <c r="E10682" s="123"/>
    </row>
    <row r="10683" spans="5:5" ht="16.5">
      <c r="E10683" s="123"/>
    </row>
    <row r="10684" spans="5:5" ht="16.5">
      <c r="E10684" s="123"/>
    </row>
    <row r="10685" spans="5:5" ht="16.5">
      <c r="E10685" s="123"/>
    </row>
    <row r="10686" spans="5:5" ht="16.5">
      <c r="E10686" s="123"/>
    </row>
    <row r="10687" spans="5:5" ht="16.5">
      <c r="E10687" s="123"/>
    </row>
    <row r="10688" spans="5:5" ht="16.5">
      <c r="E10688" s="123"/>
    </row>
    <row r="10689" spans="5:5" ht="16.5">
      <c r="E10689" s="123"/>
    </row>
    <row r="10690" spans="5:5" ht="16.5">
      <c r="E10690" s="123"/>
    </row>
    <row r="10691" spans="5:5" ht="16.5">
      <c r="E10691" s="123"/>
    </row>
    <row r="10692" spans="5:5" ht="16.5">
      <c r="E10692" s="123"/>
    </row>
    <row r="10693" spans="5:5" ht="16.5">
      <c r="E10693" s="123"/>
    </row>
    <row r="10694" spans="5:5" ht="16.5">
      <c r="E10694" s="123"/>
    </row>
    <row r="10695" spans="5:5" ht="16.5">
      <c r="E10695" s="123"/>
    </row>
    <row r="10696" spans="5:5" ht="16.5">
      <c r="E10696" s="123"/>
    </row>
    <row r="10697" spans="5:5" ht="16.5">
      <c r="E10697" s="123"/>
    </row>
    <row r="10698" spans="5:5" ht="16.5">
      <c r="E10698" s="123"/>
    </row>
    <row r="10699" spans="5:5" ht="16.5">
      <c r="E10699" s="123"/>
    </row>
    <row r="10700" spans="5:5" ht="16.5">
      <c r="E10700" s="123"/>
    </row>
    <row r="10701" spans="5:5" ht="16.5">
      <c r="E10701" s="123"/>
    </row>
    <row r="10702" spans="5:5" ht="16.5">
      <c r="E10702" s="123"/>
    </row>
    <row r="10703" spans="5:5" ht="16.5">
      <c r="E10703" s="123"/>
    </row>
    <row r="10704" spans="5:5" ht="16.5">
      <c r="E10704" s="123"/>
    </row>
    <row r="10705" spans="5:5" ht="16.5">
      <c r="E10705" s="123"/>
    </row>
    <row r="10706" spans="5:5" ht="16.5">
      <c r="E10706" s="123"/>
    </row>
    <row r="10707" spans="5:5" ht="16.5">
      <c r="E10707" s="123"/>
    </row>
    <row r="10708" spans="5:5" ht="16.5">
      <c r="E10708" s="123"/>
    </row>
    <row r="10709" spans="5:5" ht="16.5">
      <c r="E10709" s="123"/>
    </row>
    <row r="10710" spans="5:5" ht="16.5">
      <c r="E10710" s="123"/>
    </row>
    <row r="10711" spans="5:5" ht="16.5">
      <c r="E10711" s="123"/>
    </row>
    <row r="10712" spans="5:5" ht="16.5">
      <c r="E10712" s="123"/>
    </row>
    <row r="10713" spans="5:5" ht="16.5">
      <c r="E10713" s="123"/>
    </row>
    <row r="10714" spans="5:5" ht="16.5">
      <c r="E10714" s="123"/>
    </row>
    <row r="10715" spans="5:5" ht="16.5">
      <c r="E10715" s="123"/>
    </row>
    <row r="10716" spans="5:5" ht="16.5">
      <c r="E10716" s="123"/>
    </row>
    <row r="10717" spans="5:5" ht="16.5">
      <c r="E10717" s="123"/>
    </row>
    <row r="10718" spans="5:5" ht="16.5">
      <c r="E10718" s="123"/>
    </row>
    <row r="10719" spans="5:5" ht="16.5">
      <c r="E10719" s="123"/>
    </row>
    <row r="10720" spans="5:5" ht="16.5">
      <c r="E10720" s="123"/>
    </row>
    <row r="10721" spans="5:5" ht="16.5">
      <c r="E10721" s="123"/>
    </row>
    <row r="10722" spans="5:5" ht="16.5">
      <c r="E10722" s="123"/>
    </row>
    <row r="10723" spans="5:5" ht="16.5">
      <c r="E10723" s="123"/>
    </row>
    <row r="10724" spans="5:5" ht="16.5">
      <c r="E10724" s="123"/>
    </row>
    <row r="10725" spans="5:5" ht="16.5">
      <c r="E10725" s="123"/>
    </row>
    <row r="10726" spans="5:5" ht="16.5">
      <c r="E10726" s="123"/>
    </row>
    <row r="10727" spans="5:5" ht="16.5">
      <c r="E10727" s="123"/>
    </row>
    <row r="10728" spans="5:5" ht="16.5">
      <c r="E10728" s="123"/>
    </row>
    <row r="10729" spans="5:5" ht="16.5">
      <c r="E10729" s="123"/>
    </row>
    <row r="10730" spans="5:5" ht="16.5">
      <c r="E10730" s="123"/>
    </row>
    <row r="10731" spans="5:5" ht="16.5">
      <c r="E10731" s="123"/>
    </row>
    <row r="10732" spans="5:5" ht="16.5">
      <c r="E10732" s="123"/>
    </row>
    <row r="10733" spans="5:5" ht="16.5">
      <c r="E10733" s="123"/>
    </row>
    <row r="10734" spans="5:5" ht="16.5">
      <c r="E10734" s="123"/>
    </row>
    <row r="10735" spans="5:5" ht="16.5">
      <c r="E10735" s="123"/>
    </row>
    <row r="10736" spans="5:5" ht="16.5">
      <c r="E10736" s="123"/>
    </row>
    <row r="10737" spans="5:5" ht="16.5">
      <c r="E10737" s="123"/>
    </row>
    <row r="10738" spans="5:5" ht="16.5">
      <c r="E10738" s="123"/>
    </row>
    <row r="10739" spans="5:5" ht="16.5">
      <c r="E10739" s="123"/>
    </row>
    <row r="10740" spans="5:5" ht="16.5">
      <c r="E10740" s="123"/>
    </row>
    <row r="10741" spans="5:5" ht="16.5">
      <c r="E10741" s="123"/>
    </row>
    <row r="10742" spans="5:5" ht="16.5">
      <c r="E10742" s="123"/>
    </row>
    <row r="10743" spans="5:5" ht="16.5">
      <c r="E10743" s="123"/>
    </row>
    <row r="10744" spans="5:5" ht="16.5">
      <c r="E10744" s="123"/>
    </row>
    <row r="10745" spans="5:5" ht="16.5">
      <c r="E10745" s="123"/>
    </row>
    <row r="10746" spans="5:5" ht="16.5">
      <c r="E10746" s="123"/>
    </row>
    <row r="10747" spans="5:5" ht="16.5">
      <c r="E10747" s="123"/>
    </row>
    <row r="10748" spans="5:5" ht="16.5">
      <c r="E10748" s="123"/>
    </row>
    <row r="10749" spans="5:5" ht="16.5">
      <c r="E10749" s="123"/>
    </row>
    <row r="10750" spans="5:5" ht="16.5">
      <c r="E10750" s="123"/>
    </row>
    <row r="10751" spans="5:5" ht="16.5">
      <c r="E10751" s="123"/>
    </row>
    <row r="10752" spans="5:5" ht="16.5">
      <c r="E10752" s="123"/>
    </row>
    <row r="10753" spans="5:5" ht="16.5">
      <c r="E10753" s="123"/>
    </row>
    <row r="10754" spans="5:5" ht="16.5">
      <c r="E10754" s="123"/>
    </row>
    <row r="10755" spans="5:5" ht="16.5">
      <c r="E10755" s="123"/>
    </row>
    <row r="10756" spans="5:5" ht="16.5">
      <c r="E10756" s="123"/>
    </row>
    <row r="10757" spans="5:5" ht="16.5">
      <c r="E10757" s="123"/>
    </row>
    <row r="10758" spans="5:5" ht="16.5">
      <c r="E10758" s="123"/>
    </row>
    <row r="10759" spans="5:5" ht="16.5">
      <c r="E10759" s="123"/>
    </row>
    <row r="10760" spans="5:5" ht="16.5">
      <c r="E10760" s="123"/>
    </row>
    <row r="10761" spans="5:5" ht="16.5">
      <c r="E10761" s="123"/>
    </row>
    <row r="10762" spans="5:5" ht="16.5">
      <c r="E10762" s="123"/>
    </row>
    <row r="10763" spans="5:5" ht="16.5">
      <c r="E10763" s="123"/>
    </row>
    <row r="10764" spans="5:5" ht="16.5">
      <c r="E10764" s="123"/>
    </row>
    <row r="10765" spans="5:5" ht="16.5">
      <c r="E10765" s="123"/>
    </row>
    <row r="10766" spans="5:5" ht="16.5">
      <c r="E10766" s="123"/>
    </row>
    <row r="10767" spans="5:5" ht="16.5">
      <c r="E10767" s="123"/>
    </row>
    <row r="10768" spans="5:5" ht="16.5">
      <c r="E10768" s="123"/>
    </row>
    <row r="10769" spans="5:5" ht="16.5">
      <c r="E10769" s="123"/>
    </row>
    <row r="10770" spans="5:5" ht="16.5">
      <c r="E10770" s="123"/>
    </row>
    <row r="10771" spans="5:5" ht="16.5">
      <c r="E10771" s="123"/>
    </row>
    <row r="10772" spans="5:5" ht="16.5">
      <c r="E10772" s="123"/>
    </row>
    <row r="10773" spans="5:5" ht="16.5">
      <c r="E10773" s="123"/>
    </row>
    <row r="10774" spans="5:5" ht="16.5">
      <c r="E10774" s="123"/>
    </row>
    <row r="10775" spans="5:5" ht="16.5">
      <c r="E10775" s="123"/>
    </row>
    <row r="10776" spans="5:5" ht="16.5">
      <c r="E10776" s="123"/>
    </row>
    <row r="10777" spans="5:5" ht="16.5">
      <c r="E10777" s="123"/>
    </row>
    <row r="10778" spans="5:5" ht="16.5">
      <c r="E10778" s="123"/>
    </row>
    <row r="10779" spans="5:5" ht="16.5">
      <c r="E10779" s="123"/>
    </row>
    <row r="10780" spans="5:5" ht="16.5">
      <c r="E10780" s="123"/>
    </row>
    <row r="10781" spans="5:5" ht="16.5">
      <c r="E10781" s="123"/>
    </row>
    <row r="10782" spans="5:5" ht="16.5">
      <c r="E10782" s="123"/>
    </row>
    <row r="10783" spans="5:5" ht="16.5">
      <c r="E10783" s="123"/>
    </row>
    <row r="10784" spans="5:5" ht="16.5">
      <c r="E10784" s="123"/>
    </row>
    <row r="10785" spans="5:5" ht="16.5">
      <c r="E10785" s="123"/>
    </row>
    <row r="10786" spans="5:5" ht="16.5">
      <c r="E10786" s="123"/>
    </row>
    <row r="10787" spans="5:5" ht="16.5">
      <c r="E10787" s="123"/>
    </row>
    <row r="10788" spans="5:5" ht="16.5">
      <c r="E10788" s="123"/>
    </row>
    <row r="10789" spans="5:5" ht="16.5">
      <c r="E10789" s="123"/>
    </row>
    <row r="10790" spans="5:5" ht="16.5">
      <c r="E10790" s="123"/>
    </row>
    <row r="10791" spans="5:5" ht="16.5">
      <c r="E10791" s="123"/>
    </row>
    <row r="10792" spans="5:5" ht="16.5">
      <c r="E10792" s="123"/>
    </row>
    <row r="10793" spans="5:5" ht="16.5">
      <c r="E10793" s="123"/>
    </row>
    <row r="10794" spans="5:5" ht="16.5">
      <c r="E10794" s="123"/>
    </row>
    <row r="10795" spans="5:5" ht="16.5">
      <c r="E10795" s="123"/>
    </row>
    <row r="10796" spans="5:5" ht="16.5">
      <c r="E10796" s="123"/>
    </row>
    <row r="10797" spans="5:5" ht="16.5">
      <c r="E10797" s="123"/>
    </row>
    <row r="10798" spans="5:5" ht="16.5">
      <c r="E10798" s="123"/>
    </row>
    <row r="10799" spans="5:5" ht="16.5">
      <c r="E10799" s="123"/>
    </row>
    <row r="10800" spans="5:5" ht="16.5">
      <c r="E10800" s="123"/>
    </row>
    <row r="10801" spans="5:5" ht="16.5">
      <c r="E10801" s="123"/>
    </row>
    <row r="10802" spans="5:5" ht="16.5">
      <c r="E10802" s="123"/>
    </row>
    <row r="10803" spans="5:5" ht="16.5">
      <c r="E10803" s="123"/>
    </row>
    <row r="10804" spans="5:5" ht="16.5">
      <c r="E10804" s="123"/>
    </row>
    <row r="10805" spans="5:5" ht="16.5">
      <c r="E10805" s="123"/>
    </row>
    <row r="10806" spans="5:5" ht="16.5">
      <c r="E10806" s="123"/>
    </row>
    <row r="10807" spans="5:5" ht="16.5">
      <c r="E10807" s="123"/>
    </row>
    <row r="10808" spans="5:5" ht="16.5">
      <c r="E10808" s="123"/>
    </row>
    <row r="10809" spans="5:5" ht="16.5">
      <c r="E10809" s="123"/>
    </row>
    <row r="10810" spans="5:5" ht="16.5">
      <c r="E10810" s="123"/>
    </row>
    <row r="10811" spans="5:5" ht="16.5">
      <c r="E10811" s="123"/>
    </row>
    <row r="10812" spans="5:5" ht="16.5">
      <c r="E10812" s="123"/>
    </row>
    <row r="10813" spans="5:5" ht="16.5">
      <c r="E10813" s="123"/>
    </row>
    <row r="10814" spans="5:5" ht="16.5">
      <c r="E10814" s="123"/>
    </row>
    <row r="10815" spans="5:5" ht="16.5">
      <c r="E10815" s="123"/>
    </row>
    <row r="10816" spans="5:5" ht="16.5">
      <c r="E10816" s="123"/>
    </row>
    <row r="10817" spans="5:5" ht="16.5">
      <c r="E10817" s="123"/>
    </row>
    <row r="10818" spans="5:5" ht="16.5">
      <c r="E10818" s="123"/>
    </row>
    <row r="10819" spans="5:5" ht="16.5">
      <c r="E10819" s="123"/>
    </row>
    <row r="10820" spans="5:5" ht="16.5">
      <c r="E10820" s="123"/>
    </row>
    <row r="10821" spans="5:5" ht="16.5">
      <c r="E10821" s="123"/>
    </row>
    <row r="10822" spans="5:5" ht="16.5">
      <c r="E10822" s="123"/>
    </row>
    <row r="10823" spans="5:5" ht="16.5">
      <c r="E10823" s="123"/>
    </row>
    <row r="10824" spans="5:5" ht="16.5">
      <c r="E10824" s="123"/>
    </row>
    <row r="10825" spans="5:5" ht="16.5">
      <c r="E10825" s="123"/>
    </row>
    <row r="10826" spans="5:5" ht="16.5">
      <c r="E10826" s="123"/>
    </row>
    <row r="10827" spans="5:5" ht="16.5">
      <c r="E10827" s="123"/>
    </row>
    <row r="10828" spans="5:5" ht="16.5">
      <c r="E10828" s="123"/>
    </row>
    <row r="10829" spans="5:5" ht="16.5">
      <c r="E10829" s="123"/>
    </row>
    <row r="10830" spans="5:5" ht="16.5">
      <c r="E10830" s="123"/>
    </row>
    <row r="10831" spans="5:5" ht="16.5">
      <c r="E10831" s="123"/>
    </row>
    <row r="10832" spans="5:5" ht="16.5">
      <c r="E10832" s="123"/>
    </row>
    <row r="10833" spans="5:5" ht="16.5">
      <c r="E10833" s="123"/>
    </row>
    <row r="10834" spans="5:5" ht="16.5">
      <c r="E10834" s="123"/>
    </row>
    <row r="10835" spans="5:5" ht="16.5">
      <c r="E10835" s="123"/>
    </row>
    <row r="10836" spans="5:5" ht="16.5">
      <c r="E10836" s="123"/>
    </row>
    <row r="10837" spans="5:5" ht="16.5">
      <c r="E10837" s="123"/>
    </row>
    <row r="10838" spans="5:5" ht="16.5">
      <c r="E10838" s="123"/>
    </row>
    <row r="10839" spans="5:5" ht="16.5">
      <c r="E10839" s="123"/>
    </row>
    <row r="10840" spans="5:5" ht="16.5">
      <c r="E10840" s="123"/>
    </row>
    <row r="10841" spans="5:5" ht="16.5">
      <c r="E10841" s="123"/>
    </row>
    <row r="10842" spans="5:5" ht="16.5">
      <c r="E10842" s="123"/>
    </row>
    <row r="10843" spans="5:5" ht="16.5">
      <c r="E10843" s="123"/>
    </row>
    <row r="10844" spans="5:5" ht="16.5">
      <c r="E10844" s="123"/>
    </row>
    <row r="10845" spans="5:5" ht="16.5">
      <c r="E10845" s="123"/>
    </row>
    <row r="10846" spans="5:5" ht="16.5">
      <c r="E10846" s="123"/>
    </row>
    <row r="10847" spans="5:5" ht="16.5">
      <c r="E10847" s="123"/>
    </row>
    <row r="10848" spans="5:5" ht="16.5">
      <c r="E10848" s="123"/>
    </row>
    <row r="10849" spans="5:5" ht="16.5">
      <c r="E10849" s="123"/>
    </row>
    <row r="10850" spans="5:5" ht="16.5">
      <c r="E10850" s="123"/>
    </row>
    <row r="10851" spans="5:5" ht="16.5">
      <c r="E10851" s="123"/>
    </row>
    <row r="10852" spans="5:5" ht="16.5">
      <c r="E10852" s="123"/>
    </row>
    <row r="10853" spans="5:5" ht="16.5">
      <c r="E10853" s="123"/>
    </row>
    <row r="10854" spans="5:5" ht="16.5">
      <c r="E10854" s="123"/>
    </row>
    <row r="10855" spans="5:5" ht="16.5">
      <c r="E10855" s="123"/>
    </row>
    <row r="10856" spans="5:5" ht="16.5">
      <c r="E10856" s="123"/>
    </row>
    <row r="10857" spans="5:5" ht="16.5">
      <c r="E10857" s="123"/>
    </row>
    <row r="10858" spans="5:5" ht="16.5">
      <c r="E10858" s="123"/>
    </row>
    <row r="10859" spans="5:5" ht="16.5">
      <c r="E10859" s="123"/>
    </row>
    <row r="10860" spans="5:5" ht="16.5">
      <c r="E10860" s="123"/>
    </row>
    <row r="10861" spans="5:5" ht="16.5">
      <c r="E10861" s="123"/>
    </row>
    <row r="10862" spans="5:5" ht="16.5">
      <c r="E10862" s="123"/>
    </row>
    <row r="10863" spans="5:5" ht="16.5">
      <c r="E10863" s="123"/>
    </row>
    <row r="10864" spans="5:5" ht="16.5">
      <c r="E10864" s="123"/>
    </row>
    <row r="10865" spans="5:5" ht="16.5">
      <c r="E10865" s="123"/>
    </row>
    <row r="10866" spans="5:5" ht="16.5">
      <c r="E10866" s="123"/>
    </row>
    <row r="10867" spans="5:5" ht="16.5">
      <c r="E10867" s="123"/>
    </row>
    <row r="10868" spans="5:5" ht="16.5">
      <c r="E10868" s="123"/>
    </row>
    <row r="10869" spans="5:5" ht="16.5">
      <c r="E10869" s="123"/>
    </row>
    <row r="10870" spans="5:5" ht="16.5">
      <c r="E10870" s="123"/>
    </row>
    <row r="10871" spans="5:5" ht="16.5">
      <c r="E10871" s="123"/>
    </row>
    <row r="10872" spans="5:5" ht="16.5">
      <c r="E10872" s="123"/>
    </row>
    <row r="10873" spans="5:5" ht="16.5">
      <c r="E10873" s="123"/>
    </row>
    <row r="10874" spans="5:5" ht="16.5">
      <c r="E10874" s="123"/>
    </row>
    <row r="10875" spans="5:5" ht="16.5">
      <c r="E10875" s="123"/>
    </row>
    <row r="10876" spans="5:5" ht="16.5">
      <c r="E10876" s="123"/>
    </row>
    <row r="10877" spans="5:5" ht="16.5">
      <c r="E10877" s="123"/>
    </row>
    <row r="10878" spans="5:5" ht="16.5">
      <c r="E10878" s="123"/>
    </row>
    <row r="10879" spans="5:5" ht="16.5">
      <c r="E10879" s="123"/>
    </row>
    <row r="10880" spans="5:5" ht="16.5">
      <c r="E10880" s="123"/>
    </row>
    <row r="10881" spans="5:5" ht="16.5">
      <c r="E10881" s="123"/>
    </row>
    <row r="10882" spans="5:5" ht="16.5">
      <c r="E10882" s="123"/>
    </row>
    <row r="10883" spans="5:5" ht="16.5">
      <c r="E10883" s="123"/>
    </row>
    <row r="10884" spans="5:5" ht="16.5">
      <c r="E10884" s="123"/>
    </row>
    <row r="10885" spans="5:5" ht="16.5">
      <c r="E10885" s="123"/>
    </row>
    <row r="10886" spans="5:5" ht="16.5">
      <c r="E10886" s="123"/>
    </row>
    <row r="10887" spans="5:5" ht="16.5">
      <c r="E10887" s="123"/>
    </row>
    <row r="10888" spans="5:5" ht="16.5">
      <c r="E10888" s="123"/>
    </row>
    <row r="10889" spans="5:5" ht="16.5">
      <c r="E10889" s="123"/>
    </row>
    <row r="10890" spans="5:5" ht="16.5">
      <c r="E10890" s="123"/>
    </row>
    <row r="10891" spans="5:5" ht="16.5">
      <c r="E10891" s="123"/>
    </row>
    <row r="10892" spans="5:5" ht="16.5">
      <c r="E10892" s="123"/>
    </row>
    <row r="10893" spans="5:5" ht="16.5">
      <c r="E10893" s="123"/>
    </row>
    <row r="10894" spans="5:5" ht="16.5">
      <c r="E10894" s="123"/>
    </row>
    <row r="10895" spans="5:5" ht="16.5">
      <c r="E10895" s="123"/>
    </row>
    <row r="10896" spans="5:5" ht="16.5">
      <c r="E10896" s="123"/>
    </row>
    <row r="10897" spans="5:5" ht="16.5">
      <c r="E10897" s="123"/>
    </row>
    <row r="10898" spans="5:5" ht="16.5">
      <c r="E10898" s="123"/>
    </row>
    <row r="10899" spans="5:5" ht="16.5">
      <c r="E10899" s="123"/>
    </row>
    <row r="10900" spans="5:5" ht="16.5">
      <c r="E10900" s="123"/>
    </row>
    <row r="10901" spans="5:5" ht="16.5">
      <c r="E10901" s="123"/>
    </row>
    <row r="10902" spans="5:5" ht="16.5">
      <c r="E10902" s="123"/>
    </row>
    <row r="10903" spans="5:5" ht="16.5">
      <c r="E10903" s="123"/>
    </row>
    <row r="10904" spans="5:5" ht="16.5">
      <c r="E10904" s="123"/>
    </row>
    <row r="10905" spans="5:5" ht="16.5">
      <c r="E10905" s="123"/>
    </row>
    <row r="10906" spans="5:5" ht="16.5">
      <c r="E10906" s="123"/>
    </row>
    <row r="10907" spans="5:5" ht="16.5">
      <c r="E10907" s="123"/>
    </row>
    <row r="10908" spans="5:5" ht="16.5">
      <c r="E10908" s="123"/>
    </row>
    <row r="10909" spans="5:5" ht="16.5">
      <c r="E10909" s="123"/>
    </row>
    <row r="10910" spans="5:5" ht="16.5">
      <c r="E10910" s="123"/>
    </row>
    <row r="10911" spans="5:5" ht="16.5">
      <c r="E10911" s="123"/>
    </row>
    <row r="10912" spans="5:5" ht="16.5">
      <c r="E10912" s="123"/>
    </row>
    <row r="10913" spans="5:5" ht="16.5">
      <c r="E10913" s="123"/>
    </row>
    <row r="10914" spans="5:5" ht="16.5">
      <c r="E10914" s="123"/>
    </row>
    <row r="10915" spans="5:5" ht="16.5">
      <c r="E10915" s="123"/>
    </row>
    <row r="10916" spans="5:5" ht="16.5">
      <c r="E10916" s="123"/>
    </row>
    <row r="10917" spans="5:5" ht="16.5">
      <c r="E10917" s="123"/>
    </row>
    <row r="10918" spans="5:5" ht="16.5">
      <c r="E10918" s="123"/>
    </row>
    <row r="10919" spans="5:5" ht="16.5">
      <c r="E10919" s="123"/>
    </row>
    <row r="10920" spans="5:5" ht="16.5">
      <c r="E10920" s="123"/>
    </row>
    <row r="10921" spans="5:5" ht="16.5">
      <c r="E10921" s="123"/>
    </row>
    <row r="10922" spans="5:5" ht="16.5">
      <c r="E10922" s="123"/>
    </row>
    <row r="10923" spans="5:5" ht="16.5">
      <c r="E10923" s="123"/>
    </row>
    <row r="10924" spans="5:5" ht="16.5">
      <c r="E10924" s="123"/>
    </row>
    <row r="10925" spans="5:5" ht="16.5">
      <c r="E10925" s="123"/>
    </row>
    <row r="10926" spans="5:5" ht="16.5">
      <c r="E10926" s="123"/>
    </row>
    <row r="10927" spans="5:5" ht="16.5">
      <c r="E10927" s="123"/>
    </row>
    <row r="10928" spans="5:5" ht="16.5">
      <c r="E10928" s="123"/>
    </row>
    <row r="10929" spans="5:5" ht="16.5">
      <c r="E10929" s="123"/>
    </row>
    <row r="10930" spans="5:5" ht="16.5">
      <c r="E10930" s="123"/>
    </row>
    <row r="10931" spans="5:5" ht="16.5">
      <c r="E10931" s="123"/>
    </row>
    <row r="10932" spans="5:5" ht="16.5">
      <c r="E10932" s="123"/>
    </row>
    <row r="10933" spans="5:5" ht="16.5">
      <c r="E10933" s="123"/>
    </row>
    <row r="10934" spans="5:5" ht="16.5">
      <c r="E10934" s="123"/>
    </row>
    <row r="10935" spans="5:5" ht="16.5">
      <c r="E10935" s="123"/>
    </row>
    <row r="10936" spans="5:5" ht="16.5">
      <c r="E10936" s="123"/>
    </row>
    <row r="10937" spans="5:5" ht="16.5">
      <c r="E10937" s="123"/>
    </row>
    <row r="10938" spans="5:5" ht="16.5">
      <c r="E10938" s="123"/>
    </row>
    <row r="10939" spans="5:5" ht="16.5">
      <c r="E10939" s="123"/>
    </row>
    <row r="10940" spans="5:5" ht="16.5">
      <c r="E10940" s="123"/>
    </row>
    <row r="10941" spans="5:5" ht="16.5">
      <c r="E10941" s="123"/>
    </row>
    <row r="10942" spans="5:5" ht="16.5">
      <c r="E10942" s="123"/>
    </row>
    <row r="10943" spans="5:5" ht="16.5">
      <c r="E10943" s="123"/>
    </row>
    <row r="10944" spans="5:5" ht="16.5">
      <c r="E10944" s="123"/>
    </row>
    <row r="10945" spans="5:5" ht="16.5">
      <c r="E10945" s="123"/>
    </row>
    <row r="10946" spans="5:5" ht="16.5">
      <c r="E10946" s="123"/>
    </row>
    <row r="10947" spans="5:5" ht="16.5">
      <c r="E10947" s="123"/>
    </row>
    <row r="10948" spans="5:5" ht="16.5">
      <c r="E10948" s="123"/>
    </row>
    <row r="10949" spans="5:5" ht="16.5">
      <c r="E10949" s="123"/>
    </row>
    <row r="10950" spans="5:5" ht="16.5">
      <c r="E10950" s="123"/>
    </row>
    <row r="10951" spans="5:5" ht="16.5">
      <c r="E10951" s="123"/>
    </row>
    <row r="10952" spans="5:5" ht="16.5">
      <c r="E10952" s="123"/>
    </row>
    <row r="10953" spans="5:5" ht="16.5">
      <c r="E10953" s="123"/>
    </row>
    <row r="10954" spans="5:5" ht="16.5">
      <c r="E10954" s="123"/>
    </row>
    <row r="10955" spans="5:5" ht="16.5">
      <c r="E10955" s="123"/>
    </row>
    <row r="10956" spans="5:5" ht="16.5">
      <c r="E10956" s="123"/>
    </row>
    <row r="10957" spans="5:5" ht="16.5">
      <c r="E10957" s="123"/>
    </row>
    <row r="10958" spans="5:5" ht="16.5">
      <c r="E10958" s="123"/>
    </row>
    <row r="10959" spans="5:5" ht="16.5">
      <c r="E10959" s="123"/>
    </row>
    <row r="10960" spans="5:5" ht="16.5">
      <c r="E10960" s="123"/>
    </row>
    <row r="10961" spans="5:5" ht="16.5">
      <c r="E10961" s="123"/>
    </row>
    <row r="10962" spans="5:5" ht="16.5">
      <c r="E10962" s="123"/>
    </row>
    <row r="10963" spans="5:5" ht="16.5">
      <c r="E10963" s="123"/>
    </row>
    <row r="10964" spans="5:5" ht="16.5">
      <c r="E10964" s="123"/>
    </row>
    <row r="10965" spans="5:5" ht="16.5">
      <c r="E10965" s="123"/>
    </row>
    <row r="10966" spans="5:5" ht="16.5">
      <c r="E10966" s="123"/>
    </row>
    <row r="10967" spans="5:5" ht="16.5">
      <c r="E10967" s="123"/>
    </row>
    <row r="10968" spans="5:5" ht="16.5">
      <c r="E10968" s="123"/>
    </row>
    <row r="10969" spans="5:5" ht="16.5">
      <c r="E10969" s="123"/>
    </row>
    <row r="10970" spans="5:5" ht="16.5">
      <c r="E10970" s="123"/>
    </row>
    <row r="10971" spans="5:5" ht="16.5">
      <c r="E10971" s="123"/>
    </row>
    <row r="10972" spans="5:5" ht="16.5">
      <c r="E10972" s="123"/>
    </row>
    <row r="10973" spans="5:5" ht="16.5">
      <c r="E10973" s="123"/>
    </row>
    <row r="10974" spans="5:5" ht="16.5">
      <c r="E10974" s="123"/>
    </row>
    <row r="10975" spans="5:5" ht="16.5">
      <c r="E10975" s="123"/>
    </row>
    <row r="10976" spans="5:5" ht="16.5">
      <c r="E10976" s="123"/>
    </row>
    <row r="10977" spans="5:5" ht="16.5">
      <c r="E10977" s="123"/>
    </row>
    <row r="10978" spans="5:5" ht="16.5">
      <c r="E10978" s="123"/>
    </row>
    <row r="10979" spans="5:5" ht="16.5">
      <c r="E10979" s="123"/>
    </row>
    <row r="10980" spans="5:5" ht="16.5">
      <c r="E10980" s="123"/>
    </row>
    <row r="10981" spans="5:5" ht="16.5">
      <c r="E10981" s="123"/>
    </row>
    <row r="10982" spans="5:5" ht="16.5">
      <c r="E10982" s="123"/>
    </row>
    <row r="10983" spans="5:5" ht="16.5">
      <c r="E10983" s="123"/>
    </row>
    <row r="10984" spans="5:5" ht="16.5">
      <c r="E10984" s="123"/>
    </row>
    <row r="10985" spans="5:5" ht="16.5">
      <c r="E10985" s="123"/>
    </row>
    <row r="10986" spans="5:5" ht="16.5">
      <c r="E10986" s="123"/>
    </row>
    <row r="10987" spans="5:5" ht="16.5">
      <c r="E10987" s="123"/>
    </row>
    <row r="10988" spans="5:5" ht="16.5">
      <c r="E10988" s="123"/>
    </row>
    <row r="10989" spans="5:5" ht="16.5">
      <c r="E10989" s="123"/>
    </row>
    <row r="10990" spans="5:5" ht="16.5">
      <c r="E10990" s="123"/>
    </row>
    <row r="10991" spans="5:5" ht="16.5">
      <c r="E10991" s="123"/>
    </row>
    <row r="10992" spans="5:5" ht="16.5">
      <c r="E10992" s="123"/>
    </row>
    <row r="10993" spans="5:5" ht="16.5">
      <c r="E10993" s="123"/>
    </row>
    <row r="10994" spans="5:5" ht="16.5">
      <c r="E10994" s="123"/>
    </row>
    <row r="10995" spans="5:5" ht="16.5">
      <c r="E10995" s="123"/>
    </row>
    <row r="10996" spans="5:5" ht="16.5">
      <c r="E10996" s="123"/>
    </row>
    <row r="10997" spans="5:5" ht="16.5">
      <c r="E10997" s="123"/>
    </row>
    <row r="10998" spans="5:5" ht="16.5">
      <c r="E10998" s="123"/>
    </row>
    <row r="10999" spans="5:5" ht="16.5">
      <c r="E10999" s="123"/>
    </row>
    <row r="11000" spans="5:5" ht="16.5">
      <c r="E11000" s="123"/>
    </row>
    <row r="11001" spans="5:5" ht="16.5">
      <c r="E11001" s="123"/>
    </row>
    <row r="11002" spans="5:5" ht="16.5">
      <c r="E11002" s="123"/>
    </row>
    <row r="11003" spans="5:5" ht="16.5">
      <c r="E11003" s="123"/>
    </row>
    <row r="11004" spans="5:5" ht="16.5">
      <c r="E11004" s="123"/>
    </row>
    <row r="11005" spans="5:5" ht="16.5">
      <c r="E11005" s="123"/>
    </row>
    <row r="11006" spans="5:5" ht="16.5">
      <c r="E11006" s="123"/>
    </row>
    <row r="11007" spans="5:5" ht="16.5">
      <c r="E11007" s="123"/>
    </row>
    <row r="11008" spans="5:5" ht="16.5">
      <c r="E11008" s="123"/>
    </row>
    <row r="11009" spans="5:5" ht="16.5">
      <c r="E11009" s="123"/>
    </row>
    <row r="11010" spans="5:5" ht="16.5">
      <c r="E11010" s="123"/>
    </row>
    <row r="11011" spans="5:5" ht="16.5">
      <c r="E11011" s="123"/>
    </row>
    <row r="11012" spans="5:5" ht="16.5">
      <c r="E11012" s="123"/>
    </row>
    <row r="11013" spans="5:5" ht="16.5">
      <c r="E11013" s="123"/>
    </row>
    <row r="11014" spans="5:5" ht="16.5">
      <c r="E11014" s="123"/>
    </row>
    <row r="11015" spans="5:5" ht="16.5">
      <c r="E11015" s="123"/>
    </row>
    <row r="11016" spans="5:5" ht="16.5">
      <c r="E11016" s="123"/>
    </row>
    <row r="11017" spans="5:5" ht="16.5">
      <c r="E11017" s="123"/>
    </row>
    <row r="11018" spans="5:5" ht="16.5">
      <c r="E11018" s="123"/>
    </row>
    <row r="11019" spans="5:5" ht="16.5">
      <c r="E11019" s="123"/>
    </row>
    <row r="11020" spans="5:5" ht="16.5">
      <c r="E11020" s="123"/>
    </row>
    <row r="11021" spans="5:5" ht="16.5">
      <c r="E11021" s="123"/>
    </row>
    <row r="11022" spans="5:5" ht="16.5">
      <c r="E11022" s="123"/>
    </row>
    <row r="11023" spans="5:5" ht="16.5">
      <c r="E11023" s="123"/>
    </row>
    <row r="11024" spans="5:5" ht="16.5">
      <c r="E11024" s="123"/>
    </row>
    <row r="11025" spans="5:5" ht="16.5">
      <c r="E11025" s="123"/>
    </row>
    <row r="11026" spans="5:5" ht="16.5">
      <c r="E11026" s="123"/>
    </row>
    <row r="11027" spans="5:5" ht="16.5">
      <c r="E11027" s="123"/>
    </row>
    <row r="11028" spans="5:5" ht="16.5">
      <c r="E11028" s="123"/>
    </row>
    <row r="11029" spans="5:5" ht="16.5">
      <c r="E11029" s="123"/>
    </row>
    <row r="11030" spans="5:5" ht="16.5">
      <c r="E11030" s="123"/>
    </row>
    <row r="11031" spans="5:5" ht="16.5">
      <c r="E11031" s="123"/>
    </row>
    <row r="11032" spans="5:5" ht="16.5">
      <c r="E11032" s="123"/>
    </row>
    <row r="11033" spans="5:5" ht="16.5">
      <c r="E11033" s="123"/>
    </row>
    <row r="11034" spans="5:5" ht="16.5">
      <c r="E11034" s="123"/>
    </row>
    <row r="11035" spans="5:5" ht="16.5">
      <c r="E11035" s="123"/>
    </row>
    <row r="11036" spans="5:5" ht="16.5">
      <c r="E11036" s="123"/>
    </row>
    <row r="11037" spans="5:5" ht="16.5">
      <c r="E11037" s="123"/>
    </row>
    <row r="11038" spans="5:5" ht="16.5">
      <c r="E11038" s="123"/>
    </row>
    <row r="11039" spans="5:5" ht="16.5">
      <c r="E11039" s="123"/>
    </row>
    <row r="11040" spans="5:5" ht="16.5">
      <c r="E11040" s="123"/>
    </row>
    <row r="11041" spans="5:5" ht="16.5">
      <c r="E11041" s="123"/>
    </row>
    <row r="11042" spans="5:5" ht="16.5">
      <c r="E11042" s="123"/>
    </row>
    <row r="11043" spans="5:5" ht="16.5">
      <c r="E11043" s="123"/>
    </row>
    <row r="11044" spans="5:5" ht="16.5">
      <c r="E11044" s="123"/>
    </row>
    <row r="11045" spans="5:5" ht="16.5">
      <c r="E11045" s="123"/>
    </row>
    <row r="11046" spans="5:5" ht="16.5">
      <c r="E11046" s="123"/>
    </row>
    <row r="11047" spans="5:5" ht="16.5">
      <c r="E11047" s="123"/>
    </row>
    <row r="11048" spans="5:5" ht="16.5">
      <c r="E11048" s="123"/>
    </row>
    <row r="11049" spans="5:5" ht="16.5">
      <c r="E11049" s="123"/>
    </row>
    <row r="11050" spans="5:5" ht="16.5">
      <c r="E11050" s="123"/>
    </row>
    <row r="11051" spans="5:5" ht="16.5">
      <c r="E11051" s="123"/>
    </row>
    <row r="11052" spans="5:5" ht="16.5">
      <c r="E11052" s="123"/>
    </row>
    <row r="11053" spans="5:5" ht="16.5">
      <c r="E11053" s="123"/>
    </row>
    <row r="11054" spans="5:5" ht="16.5">
      <c r="E11054" s="123"/>
    </row>
    <row r="11055" spans="5:5" ht="16.5">
      <c r="E11055" s="123"/>
    </row>
    <row r="11056" spans="5:5" ht="16.5">
      <c r="E11056" s="123"/>
    </row>
    <row r="11057" spans="5:5" ht="16.5">
      <c r="E11057" s="123"/>
    </row>
    <row r="11058" spans="5:5" ht="16.5">
      <c r="E11058" s="123"/>
    </row>
    <row r="11059" spans="5:5" ht="16.5">
      <c r="E11059" s="123"/>
    </row>
    <row r="11060" spans="5:5" ht="16.5">
      <c r="E11060" s="123"/>
    </row>
    <row r="11061" spans="5:5" ht="16.5">
      <c r="E11061" s="123"/>
    </row>
    <row r="11062" spans="5:5" ht="16.5">
      <c r="E11062" s="123"/>
    </row>
    <row r="11063" spans="5:5" ht="16.5">
      <c r="E11063" s="123"/>
    </row>
    <row r="11064" spans="5:5" ht="16.5">
      <c r="E11064" s="123"/>
    </row>
    <row r="11065" spans="5:5" ht="16.5">
      <c r="E11065" s="123"/>
    </row>
    <row r="11066" spans="5:5" ht="16.5">
      <c r="E11066" s="123"/>
    </row>
    <row r="11067" spans="5:5" ht="16.5">
      <c r="E11067" s="123"/>
    </row>
    <row r="11068" spans="5:5" ht="16.5">
      <c r="E11068" s="123"/>
    </row>
    <row r="11069" spans="5:5" ht="16.5">
      <c r="E11069" s="123"/>
    </row>
    <row r="11070" spans="5:5" ht="16.5">
      <c r="E11070" s="123"/>
    </row>
    <row r="11071" spans="5:5" ht="16.5">
      <c r="E11071" s="123"/>
    </row>
    <row r="11072" spans="5:5" ht="16.5">
      <c r="E11072" s="123"/>
    </row>
    <row r="11073" spans="5:5" ht="16.5">
      <c r="E11073" s="123"/>
    </row>
    <row r="11074" spans="5:5" ht="16.5">
      <c r="E11074" s="123"/>
    </row>
    <row r="11075" spans="5:5" ht="16.5">
      <c r="E11075" s="123"/>
    </row>
    <row r="11076" spans="5:5" ht="16.5">
      <c r="E11076" s="123"/>
    </row>
    <row r="11077" spans="5:5" ht="16.5">
      <c r="E11077" s="123"/>
    </row>
    <row r="11078" spans="5:5" ht="16.5">
      <c r="E11078" s="123"/>
    </row>
    <row r="11079" spans="5:5" ht="16.5">
      <c r="E11079" s="123"/>
    </row>
    <row r="11080" spans="5:5" ht="16.5">
      <c r="E11080" s="123"/>
    </row>
    <row r="11081" spans="5:5" ht="16.5">
      <c r="E11081" s="123"/>
    </row>
    <row r="11082" spans="5:5" ht="16.5">
      <c r="E11082" s="123"/>
    </row>
    <row r="11083" spans="5:5" ht="16.5">
      <c r="E11083" s="123"/>
    </row>
    <row r="11084" spans="5:5" ht="16.5">
      <c r="E11084" s="123"/>
    </row>
    <row r="11085" spans="5:5" ht="16.5">
      <c r="E11085" s="123"/>
    </row>
    <row r="11086" spans="5:5" ht="16.5">
      <c r="E11086" s="123"/>
    </row>
    <row r="11087" spans="5:5" ht="16.5">
      <c r="E11087" s="123"/>
    </row>
    <row r="11088" spans="5:5" ht="16.5">
      <c r="E11088" s="123"/>
    </row>
    <row r="11089" spans="5:5" ht="16.5">
      <c r="E11089" s="123"/>
    </row>
    <row r="11090" spans="5:5" ht="16.5">
      <c r="E11090" s="123"/>
    </row>
    <row r="11091" spans="5:5" ht="16.5">
      <c r="E11091" s="123"/>
    </row>
    <row r="11092" spans="5:5" ht="16.5">
      <c r="E11092" s="123"/>
    </row>
    <row r="11093" spans="5:5" ht="16.5">
      <c r="E11093" s="123"/>
    </row>
    <row r="11094" spans="5:5" ht="16.5">
      <c r="E11094" s="123"/>
    </row>
    <row r="11095" spans="5:5" ht="16.5">
      <c r="E11095" s="123"/>
    </row>
    <row r="11096" spans="5:5" ht="16.5">
      <c r="E11096" s="123"/>
    </row>
    <row r="11097" spans="5:5" ht="16.5">
      <c r="E11097" s="123"/>
    </row>
    <row r="11098" spans="5:5" ht="16.5">
      <c r="E11098" s="123"/>
    </row>
    <row r="11099" spans="5:5" ht="16.5">
      <c r="E11099" s="123"/>
    </row>
    <row r="11100" spans="5:5" ht="16.5">
      <c r="E11100" s="123"/>
    </row>
    <row r="11101" spans="5:5" ht="16.5">
      <c r="E11101" s="123"/>
    </row>
    <row r="11102" spans="5:5" ht="16.5">
      <c r="E11102" s="123"/>
    </row>
    <row r="11103" spans="5:5" ht="16.5">
      <c r="E11103" s="123"/>
    </row>
    <row r="11104" spans="5:5" ht="16.5">
      <c r="E11104" s="123"/>
    </row>
    <row r="11105" spans="5:5" ht="16.5">
      <c r="E11105" s="123"/>
    </row>
    <row r="11106" spans="5:5" ht="16.5">
      <c r="E11106" s="123"/>
    </row>
    <row r="11107" spans="5:5" ht="16.5">
      <c r="E11107" s="123"/>
    </row>
    <row r="11108" spans="5:5" ht="16.5">
      <c r="E11108" s="123"/>
    </row>
    <row r="11109" spans="5:5" ht="16.5">
      <c r="E11109" s="123"/>
    </row>
    <row r="11110" spans="5:5" ht="16.5">
      <c r="E11110" s="123"/>
    </row>
    <row r="11111" spans="5:5" ht="16.5">
      <c r="E11111" s="123"/>
    </row>
    <row r="11112" spans="5:5" ht="16.5">
      <c r="E11112" s="123"/>
    </row>
    <row r="11113" spans="5:5" ht="16.5">
      <c r="E11113" s="123"/>
    </row>
    <row r="11114" spans="5:5" ht="16.5">
      <c r="E11114" s="123"/>
    </row>
    <row r="11115" spans="5:5" ht="16.5">
      <c r="E11115" s="123"/>
    </row>
    <row r="11116" spans="5:5" ht="16.5">
      <c r="E11116" s="123"/>
    </row>
    <row r="11117" spans="5:5" ht="16.5">
      <c r="E11117" s="123"/>
    </row>
    <row r="11118" spans="5:5" ht="16.5">
      <c r="E11118" s="123"/>
    </row>
    <row r="11119" spans="5:5" ht="16.5">
      <c r="E11119" s="123"/>
    </row>
    <row r="11120" spans="5:5" ht="16.5">
      <c r="E11120" s="123"/>
    </row>
    <row r="11121" spans="5:5" ht="16.5">
      <c r="E11121" s="123"/>
    </row>
    <row r="11122" spans="5:5" ht="16.5">
      <c r="E11122" s="123"/>
    </row>
    <row r="11123" spans="5:5" ht="16.5">
      <c r="E11123" s="123"/>
    </row>
    <row r="11124" spans="5:5" ht="16.5">
      <c r="E11124" s="123"/>
    </row>
    <row r="11125" spans="5:5" ht="16.5">
      <c r="E11125" s="123"/>
    </row>
    <row r="11126" spans="5:5" ht="16.5">
      <c r="E11126" s="123"/>
    </row>
    <row r="11127" spans="5:5" ht="16.5">
      <c r="E11127" s="123"/>
    </row>
    <row r="11128" spans="5:5" ht="16.5">
      <c r="E11128" s="123"/>
    </row>
    <row r="11129" spans="5:5" ht="16.5">
      <c r="E11129" s="123"/>
    </row>
    <row r="11130" spans="5:5" ht="16.5">
      <c r="E11130" s="123"/>
    </row>
    <row r="11131" spans="5:5" ht="16.5">
      <c r="E11131" s="123"/>
    </row>
    <row r="11132" spans="5:5" ht="16.5">
      <c r="E11132" s="123"/>
    </row>
    <row r="11133" spans="5:5" ht="16.5">
      <c r="E11133" s="123"/>
    </row>
    <row r="11134" spans="5:5" ht="16.5">
      <c r="E11134" s="123"/>
    </row>
    <row r="11135" spans="5:5" ht="16.5">
      <c r="E11135" s="123"/>
    </row>
    <row r="11136" spans="5:5" ht="16.5">
      <c r="E11136" s="123"/>
    </row>
    <row r="11137" spans="5:5" ht="16.5">
      <c r="E11137" s="123"/>
    </row>
    <row r="11138" spans="5:5" ht="16.5">
      <c r="E11138" s="123"/>
    </row>
    <row r="11139" spans="5:5" ht="16.5">
      <c r="E11139" s="123"/>
    </row>
    <row r="11140" spans="5:5" ht="16.5">
      <c r="E11140" s="123"/>
    </row>
    <row r="11141" spans="5:5" ht="16.5">
      <c r="E11141" s="123"/>
    </row>
    <row r="11142" spans="5:5" ht="16.5">
      <c r="E11142" s="123"/>
    </row>
    <row r="11143" spans="5:5" ht="16.5">
      <c r="E11143" s="123"/>
    </row>
    <row r="11144" spans="5:5" ht="16.5">
      <c r="E11144" s="123"/>
    </row>
    <row r="11145" spans="5:5" ht="16.5">
      <c r="E11145" s="123"/>
    </row>
    <row r="11146" spans="5:5" ht="16.5">
      <c r="E11146" s="123"/>
    </row>
    <row r="11147" spans="5:5" ht="16.5">
      <c r="E11147" s="123"/>
    </row>
    <row r="11148" spans="5:5" ht="16.5">
      <c r="E11148" s="123"/>
    </row>
    <row r="11149" spans="5:5" ht="16.5">
      <c r="E11149" s="123"/>
    </row>
    <row r="11150" spans="5:5" ht="16.5">
      <c r="E11150" s="123"/>
    </row>
    <row r="11151" spans="5:5" ht="16.5">
      <c r="E11151" s="123"/>
    </row>
    <row r="11152" spans="5:5" ht="16.5">
      <c r="E11152" s="123"/>
    </row>
    <row r="11153" spans="5:5" ht="16.5">
      <c r="E11153" s="123"/>
    </row>
    <row r="11154" spans="5:5" ht="16.5">
      <c r="E11154" s="123"/>
    </row>
    <row r="11155" spans="5:5" ht="16.5">
      <c r="E11155" s="123"/>
    </row>
    <row r="11156" spans="5:5" ht="16.5">
      <c r="E11156" s="123"/>
    </row>
    <row r="11157" spans="5:5" ht="16.5">
      <c r="E11157" s="123"/>
    </row>
    <row r="11158" spans="5:5" ht="16.5">
      <c r="E11158" s="123"/>
    </row>
    <row r="11159" spans="5:5" ht="16.5">
      <c r="E11159" s="123"/>
    </row>
    <row r="11160" spans="5:5" ht="16.5">
      <c r="E11160" s="123"/>
    </row>
    <row r="11161" spans="5:5" ht="16.5">
      <c r="E11161" s="123"/>
    </row>
    <row r="11162" spans="5:5" ht="16.5">
      <c r="E11162" s="123"/>
    </row>
    <row r="11163" spans="5:5" ht="16.5">
      <c r="E11163" s="123"/>
    </row>
    <row r="11164" spans="5:5" ht="16.5">
      <c r="E11164" s="123"/>
    </row>
    <row r="11165" spans="5:5" ht="16.5">
      <c r="E11165" s="123"/>
    </row>
    <row r="11166" spans="5:5" ht="16.5">
      <c r="E11166" s="123"/>
    </row>
    <row r="11167" spans="5:5" ht="16.5">
      <c r="E11167" s="123"/>
    </row>
    <row r="11168" spans="5:5" ht="16.5">
      <c r="E11168" s="123"/>
    </row>
    <row r="11169" spans="5:5" ht="16.5">
      <c r="E11169" s="123"/>
    </row>
    <row r="11170" spans="5:5" ht="16.5">
      <c r="E11170" s="123"/>
    </row>
    <row r="11171" spans="5:5" ht="16.5">
      <c r="E11171" s="123"/>
    </row>
    <row r="11172" spans="5:5" ht="16.5">
      <c r="E11172" s="123"/>
    </row>
    <row r="11173" spans="5:5" ht="16.5">
      <c r="E11173" s="123"/>
    </row>
    <row r="11174" spans="5:5" ht="16.5">
      <c r="E11174" s="123"/>
    </row>
    <row r="11175" spans="5:5" ht="16.5">
      <c r="E11175" s="123"/>
    </row>
    <row r="11176" spans="5:5" ht="16.5">
      <c r="E11176" s="123"/>
    </row>
    <row r="11177" spans="5:5" ht="16.5">
      <c r="E11177" s="123"/>
    </row>
    <row r="11178" spans="5:5" ht="16.5">
      <c r="E11178" s="123"/>
    </row>
    <row r="11179" spans="5:5" ht="16.5">
      <c r="E11179" s="123"/>
    </row>
    <row r="11180" spans="5:5" ht="16.5">
      <c r="E11180" s="123"/>
    </row>
    <row r="11181" spans="5:5" ht="16.5">
      <c r="E11181" s="123"/>
    </row>
    <row r="11182" spans="5:5" ht="16.5">
      <c r="E11182" s="123"/>
    </row>
    <row r="11183" spans="5:5" ht="16.5">
      <c r="E11183" s="123"/>
    </row>
    <row r="11184" spans="5:5" ht="16.5">
      <c r="E11184" s="123"/>
    </row>
    <row r="11185" spans="5:5" ht="16.5">
      <c r="E11185" s="123"/>
    </row>
    <row r="11186" spans="5:5" ht="16.5">
      <c r="E11186" s="123"/>
    </row>
    <row r="11187" spans="5:5" ht="16.5">
      <c r="E11187" s="123"/>
    </row>
    <row r="11188" spans="5:5" ht="16.5">
      <c r="E11188" s="123"/>
    </row>
    <row r="11189" spans="5:5" ht="16.5">
      <c r="E11189" s="123"/>
    </row>
    <row r="11190" spans="5:5" ht="16.5">
      <c r="E11190" s="123"/>
    </row>
    <row r="11191" spans="5:5" ht="16.5">
      <c r="E11191" s="123"/>
    </row>
    <row r="11192" spans="5:5" ht="16.5">
      <c r="E11192" s="123"/>
    </row>
    <row r="11193" spans="5:5" ht="16.5">
      <c r="E11193" s="123"/>
    </row>
    <row r="11194" spans="5:5" ht="16.5">
      <c r="E11194" s="123"/>
    </row>
    <row r="11195" spans="5:5" ht="16.5">
      <c r="E11195" s="123"/>
    </row>
    <row r="11196" spans="5:5" ht="16.5">
      <c r="E11196" s="123"/>
    </row>
    <row r="11197" spans="5:5" ht="16.5">
      <c r="E11197" s="123"/>
    </row>
    <row r="11198" spans="5:5" ht="16.5">
      <c r="E11198" s="123"/>
    </row>
    <row r="11199" spans="5:5" ht="16.5">
      <c r="E11199" s="123"/>
    </row>
    <row r="11200" spans="5:5" ht="16.5">
      <c r="E11200" s="123"/>
    </row>
    <row r="11201" spans="5:5" ht="16.5">
      <c r="E11201" s="123"/>
    </row>
    <row r="11202" spans="5:5" ht="16.5">
      <c r="E11202" s="123"/>
    </row>
    <row r="11203" spans="5:5" ht="16.5">
      <c r="E11203" s="123"/>
    </row>
    <row r="11204" spans="5:5" ht="16.5">
      <c r="E11204" s="123"/>
    </row>
    <row r="11205" spans="5:5" ht="16.5">
      <c r="E11205" s="123"/>
    </row>
    <row r="11206" spans="5:5" ht="16.5">
      <c r="E11206" s="123"/>
    </row>
    <row r="11207" spans="5:5" ht="16.5">
      <c r="E11207" s="123"/>
    </row>
    <row r="11208" spans="5:5" ht="16.5">
      <c r="E11208" s="123"/>
    </row>
    <row r="11209" spans="5:5" ht="16.5">
      <c r="E11209" s="123"/>
    </row>
    <row r="11210" spans="5:5" ht="16.5">
      <c r="E11210" s="123"/>
    </row>
    <row r="11211" spans="5:5" ht="16.5">
      <c r="E11211" s="123"/>
    </row>
    <row r="11212" spans="5:5" ht="16.5">
      <c r="E11212" s="123"/>
    </row>
    <row r="11213" spans="5:5" ht="16.5">
      <c r="E11213" s="123"/>
    </row>
    <row r="11214" spans="5:5" ht="16.5">
      <c r="E11214" s="123"/>
    </row>
    <row r="11215" spans="5:5" ht="16.5">
      <c r="E11215" s="123"/>
    </row>
    <row r="11216" spans="5:5" ht="16.5">
      <c r="E11216" s="123"/>
    </row>
    <row r="11217" spans="5:5" ht="16.5">
      <c r="E11217" s="123"/>
    </row>
    <row r="11218" spans="5:5" ht="16.5">
      <c r="E11218" s="123"/>
    </row>
    <row r="11219" spans="5:5" ht="16.5">
      <c r="E11219" s="123"/>
    </row>
    <row r="11220" spans="5:5" ht="16.5">
      <c r="E11220" s="123"/>
    </row>
    <row r="11221" spans="5:5" ht="16.5">
      <c r="E11221" s="123"/>
    </row>
    <row r="11222" spans="5:5" ht="16.5">
      <c r="E11222" s="123"/>
    </row>
    <row r="11223" spans="5:5" ht="16.5">
      <c r="E11223" s="123"/>
    </row>
    <row r="11224" spans="5:5" ht="16.5">
      <c r="E11224" s="123"/>
    </row>
    <row r="11225" spans="5:5" ht="16.5">
      <c r="E11225" s="123"/>
    </row>
    <row r="11226" spans="5:5" ht="16.5">
      <c r="E11226" s="123"/>
    </row>
    <row r="11227" spans="5:5" ht="16.5">
      <c r="E11227" s="123"/>
    </row>
    <row r="11228" spans="5:5" ht="16.5">
      <c r="E11228" s="123"/>
    </row>
    <row r="11229" spans="5:5" ht="16.5">
      <c r="E11229" s="123"/>
    </row>
    <row r="11230" spans="5:5" ht="16.5">
      <c r="E11230" s="123"/>
    </row>
    <row r="11231" spans="5:5" ht="16.5">
      <c r="E11231" s="123"/>
    </row>
    <row r="11232" spans="5:5" ht="16.5">
      <c r="E11232" s="123"/>
    </row>
    <row r="11233" spans="5:5" ht="16.5">
      <c r="E11233" s="123"/>
    </row>
    <row r="11234" spans="5:5" ht="16.5">
      <c r="E11234" s="123"/>
    </row>
    <row r="11235" spans="5:5" ht="16.5">
      <c r="E11235" s="123"/>
    </row>
    <row r="11236" spans="5:5" ht="16.5">
      <c r="E11236" s="123"/>
    </row>
    <row r="11237" spans="5:5" ht="16.5">
      <c r="E11237" s="123"/>
    </row>
    <row r="11238" spans="5:5" ht="16.5">
      <c r="E11238" s="123"/>
    </row>
    <row r="11239" spans="5:5" ht="16.5">
      <c r="E11239" s="123"/>
    </row>
    <row r="11240" spans="5:5" ht="16.5">
      <c r="E11240" s="123"/>
    </row>
    <row r="11241" spans="5:5" ht="16.5">
      <c r="E11241" s="123"/>
    </row>
    <row r="11242" spans="5:5" ht="16.5">
      <c r="E11242" s="123"/>
    </row>
    <row r="11243" spans="5:5" ht="16.5">
      <c r="E11243" s="123"/>
    </row>
    <row r="11244" spans="5:5" ht="16.5">
      <c r="E11244" s="123"/>
    </row>
    <row r="11245" spans="5:5" ht="16.5">
      <c r="E11245" s="123"/>
    </row>
    <row r="11246" spans="5:5" ht="16.5">
      <c r="E11246" s="123"/>
    </row>
    <row r="11247" spans="5:5" ht="16.5">
      <c r="E11247" s="123"/>
    </row>
    <row r="11248" spans="5:5" ht="16.5">
      <c r="E11248" s="123"/>
    </row>
    <row r="11249" spans="5:5" ht="16.5">
      <c r="E11249" s="123"/>
    </row>
    <row r="11250" spans="5:5" ht="16.5">
      <c r="E11250" s="123"/>
    </row>
    <row r="11251" spans="5:5" ht="16.5">
      <c r="E11251" s="123"/>
    </row>
    <row r="11252" spans="5:5" ht="16.5">
      <c r="E11252" s="123"/>
    </row>
    <row r="11253" spans="5:5" ht="16.5">
      <c r="E11253" s="123"/>
    </row>
    <row r="11254" spans="5:5" ht="16.5">
      <c r="E11254" s="123"/>
    </row>
    <row r="11255" spans="5:5" ht="16.5">
      <c r="E11255" s="123"/>
    </row>
    <row r="11256" spans="5:5" ht="16.5">
      <c r="E11256" s="123"/>
    </row>
    <row r="11257" spans="5:5" ht="16.5">
      <c r="E11257" s="123"/>
    </row>
    <row r="11258" spans="5:5" ht="16.5">
      <c r="E11258" s="123"/>
    </row>
    <row r="11259" spans="5:5" ht="16.5">
      <c r="E11259" s="123"/>
    </row>
    <row r="11260" spans="5:5" ht="16.5">
      <c r="E11260" s="123"/>
    </row>
    <row r="11261" spans="5:5" ht="16.5">
      <c r="E11261" s="123"/>
    </row>
    <row r="11262" spans="5:5" ht="16.5">
      <c r="E11262" s="123"/>
    </row>
    <row r="11263" spans="5:5" ht="16.5">
      <c r="E11263" s="123"/>
    </row>
    <row r="11264" spans="5:5" ht="16.5">
      <c r="E11264" s="123"/>
    </row>
    <row r="11265" spans="5:5" ht="16.5">
      <c r="E11265" s="123"/>
    </row>
    <row r="11266" spans="5:5" ht="16.5">
      <c r="E11266" s="123"/>
    </row>
    <row r="11267" spans="5:5" ht="16.5">
      <c r="E11267" s="123"/>
    </row>
    <row r="11268" spans="5:5" ht="16.5">
      <c r="E11268" s="123"/>
    </row>
    <row r="11269" spans="5:5" ht="16.5">
      <c r="E11269" s="123"/>
    </row>
    <row r="11270" spans="5:5" ht="16.5">
      <c r="E11270" s="123"/>
    </row>
    <row r="11271" spans="5:5" ht="16.5">
      <c r="E11271" s="123"/>
    </row>
    <row r="11272" spans="5:5" ht="16.5">
      <c r="E11272" s="123"/>
    </row>
    <row r="11273" spans="5:5" ht="16.5">
      <c r="E11273" s="123"/>
    </row>
    <row r="11274" spans="5:5" ht="16.5">
      <c r="E11274" s="123"/>
    </row>
    <row r="11275" spans="5:5" ht="16.5">
      <c r="E11275" s="123"/>
    </row>
    <row r="11276" spans="5:5" ht="16.5">
      <c r="E11276" s="123"/>
    </row>
    <row r="11277" spans="5:5" ht="16.5">
      <c r="E11277" s="123"/>
    </row>
    <row r="11278" spans="5:5" ht="16.5">
      <c r="E11278" s="123"/>
    </row>
    <row r="11279" spans="5:5" ht="16.5">
      <c r="E11279" s="123"/>
    </row>
    <row r="11280" spans="5:5" ht="16.5">
      <c r="E11280" s="123"/>
    </row>
    <row r="11281" spans="5:5" ht="16.5">
      <c r="E11281" s="123"/>
    </row>
    <row r="11282" spans="5:5" ht="16.5">
      <c r="E11282" s="123"/>
    </row>
    <row r="11283" spans="5:5" ht="16.5">
      <c r="E11283" s="123"/>
    </row>
    <row r="11284" spans="5:5" ht="16.5">
      <c r="E11284" s="123"/>
    </row>
    <row r="11285" spans="5:5" ht="16.5">
      <c r="E11285" s="123"/>
    </row>
    <row r="11286" spans="5:5" ht="16.5">
      <c r="E11286" s="123"/>
    </row>
    <row r="11287" spans="5:5" ht="16.5">
      <c r="E11287" s="123"/>
    </row>
    <row r="11288" spans="5:5" ht="16.5">
      <c r="E11288" s="123"/>
    </row>
    <row r="11289" spans="5:5" ht="16.5">
      <c r="E11289" s="123"/>
    </row>
    <row r="11290" spans="5:5" ht="16.5">
      <c r="E11290" s="123"/>
    </row>
    <row r="11291" spans="5:5" ht="16.5">
      <c r="E11291" s="123"/>
    </row>
    <row r="11292" spans="5:5" ht="16.5">
      <c r="E11292" s="123"/>
    </row>
    <row r="11293" spans="5:5" ht="16.5">
      <c r="E11293" s="123"/>
    </row>
    <row r="11294" spans="5:5" ht="16.5">
      <c r="E11294" s="123"/>
    </row>
    <row r="11295" spans="5:5" ht="16.5">
      <c r="E11295" s="123"/>
    </row>
    <row r="11296" spans="5:5" ht="16.5">
      <c r="E11296" s="123"/>
    </row>
    <row r="11297" spans="5:5" ht="16.5">
      <c r="E11297" s="123"/>
    </row>
    <row r="11298" spans="5:5" ht="16.5">
      <c r="E11298" s="123"/>
    </row>
    <row r="11299" spans="5:5" ht="16.5">
      <c r="E11299" s="123"/>
    </row>
    <row r="11300" spans="5:5" ht="16.5">
      <c r="E11300" s="123"/>
    </row>
    <row r="11301" spans="5:5" ht="16.5">
      <c r="E11301" s="123"/>
    </row>
    <row r="11302" spans="5:5" ht="16.5">
      <c r="E11302" s="123"/>
    </row>
    <row r="11303" spans="5:5" ht="16.5">
      <c r="E11303" s="123"/>
    </row>
    <row r="11304" spans="5:5" ht="16.5">
      <c r="E11304" s="123"/>
    </row>
    <row r="11305" spans="5:5" ht="16.5">
      <c r="E11305" s="123"/>
    </row>
    <row r="11306" spans="5:5" ht="16.5">
      <c r="E11306" s="123"/>
    </row>
    <row r="11307" spans="5:5" ht="16.5">
      <c r="E11307" s="123"/>
    </row>
    <row r="11308" spans="5:5" ht="16.5">
      <c r="E11308" s="123"/>
    </row>
    <row r="11309" spans="5:5" ht="16.5">
      <c r="E11309" s="123"/>
    </row>
    <row r="11310" spans="5:5" ht="16.5">
      <c r="E11310" s="123"/>
    </row>
    <row r="11311" spans="5:5" ht="16.5">
      <c r="E11311" s="123"/>
    </row>
    <row r="11312" spans="5:5" ht="16.5">
      <c r="E11312" s="123"/>
    </row>
    <row r="11313" spans="5:5" ht="16.5">
      <c r="E11313" s="123"/>
    </row>
    <row r="11314" spans="5:5" ht="16.5">
      <c r="E11314" s="123"/>
    </row>
    <row r="11315" spans="5:5" ht="16.5">
      <c r="E11315" s="123"/>
    </row>
    <row r="11316" spans="5:5" ht="16.5">
      <c r="E11316" s="123"/>
    </row>
    <row r="11317" spans="5:5" ht="16.5">
      <c r="E11317" s="123"/>
    </row>
    <row r="11318" spans="5:5" ht="16.5">
      <c r="E11318" s="123"/>
    </row>
    <row r="11319" spans="5:5" ht="16.5">
      <c r="E11319" s="123"/>
    </row>
    <row r="11320" spans="5:5" ht="16.5">
      <c r="E11320" s="123"/>
    </row>
    <row r="11321" spans="5:5" ht="16.5">
      <c r="E11321" s="123"/>
    </row>
    <row r="11322" spans="5:5" ht="16.5">
      <c r="E11322" s="123"/>
    </row>
    <row r="11323" spans="5:5" ht="16.5">
      <c r="E11323" s="123"/>
    </row>
    <row r="11324" spans="5:5" ht="16.5">
      <c r="E11324" s="123"/>
    </row>
    <row r="11325" spans="5:5" ht="16.5">
      <c r="E11325" s="123"/>
    </row>
    <row r="11326" spans="5:5" ht="16.5">
      <c r="E11326" s="123"/>
    </row>
    <row r="11327" spans="5:5" ht="16.5">
      <c r="E11327" s="123"/>
    </row>
    <row r="11328" spans="5:5" ht="16.5">
      <c r="E11328" s="123"/>
    </row>
    <row r="11329" spans="5:5" ht="16.5">
      <c r="E11329" s="123"/>
    </row>
    <row r="11330" spans="5:5" ht="16.5">
      <c r="E11330" s="123"/>
    </row>
    <row r="11331" spans="5:5" ht="16.5">
      <c r="E11331" s="123"/>
    </row>
    <row r="11332" spans="5:5" ht="16.5">
      <c r="E11332" s="123"/>
    </row>
    <row r="11333" spans="5:5" ht="16.5">
      <c r="E11333" s="123"/>
    </row>
    <row r="11334" spans="5:5" ht="16.5">
      <c r="E11334" s="123"/>
    </row>
    <row r="11335" spans="5:5" ht="16.5">
      <c r="E11335" s="123"/>
    </row>
    <row r="11336" spans="5:5" ht="16.5">
      <c r="E11336" s="123"/>
    </row>
    <row r="11337" spans="5:5" ht="16.5">
      <c r="E11337" s="123"/>
    </row>
    <row r="11338" spans="5:5" ht="16.5">
      <c r="E11338" s="123"/>
    </row>
    <row r="11339" spans="5:5" ht="16.5">
      <c r="E11339" s="123"/>
    </row>
    <row r="11340" spans="5:5" ht="16.5">
      <c r="E11340" s="123"/>
    </row>
    <row r="11341" spans="5:5" ht="16.5">
      <c r="E11341" s="123"/>
    </row>
    <row r="11342" spans="5:5" ht="16.5">
      <c r="E11342" s="123"/>
    </row>
    <row r="11343" spans="5:5" ht="16.5">
      <c r="E11343" s="123"/>
    </row>
    <row r="11344" spans="5:5" ht="16.5">
      <c r="E11344" s="123"/>
    </row>
    <row r="11345" spans="5:5" ht="16.5">
      <c r="E11345" s="123"/>
    </row>
    <row r="11346" spans="5:5" ht="16.5">
      <c r="E11346" s="123"/>
    </row>
    <row r="11347" spans="5:5" ht="16.5">
      <c r="E11347" s="123"/>
    </row>
    <row r="11348" spans="5:5" ht="16.5">
      <c r="E11348" s="123"/>
    </row>
    <row r="11349" spans="5:5" ht="16.5">
      <c r="E11349" s="123"/>
    </row>
    <row r="11350" spans="5:5" ht="16.5">
      <c r="E11350" s="123"/>
    </row>
    <row r="11351" spans="5:5" ht="16.5">
      <c r="E11351" s="123"/>
    </row>
    <row r="11352" spans="5:5" ht="16.5">
      <c r="E11352" s="123"/>
    </row>
    <row r="11353" spans="5:5" ht="16.5">
      <c r="E11353" s="123"/>
    </row>
    <row r="11354" spans="5:5" ht="16.5">
      <c r="E11354" s="123"/>
    </row>
    <row r="11355" spans="5:5" ht="16.5">
      <c r="E11355" s="123"/>
    </row>
    <row r="11356" spans="5:5" ht="16.5">
      <c r="E11356" s="123"/>
    </row>
    <row r="11357" spans="5:5" ht="16.5">
      <c r="E11357" s="123"/>
    </row>
    <row r="11358" spans="5:5" ht="16.5">
      <c r="E11358" s="123"/>
    </row>
    <row r="11359" spans="5:5" ht="16.5">
      <c r="E11359" s="123"/>
    </row>
    <row r="11360" spans="5:5" ht="16.5">
      <c r="E11360" s="123"/>
    </row>
    <row r="11361" spans="5:5" ht="16.5">
      <c r="E11361" s="123"/>
    </row>
    <row r="11362" spans="5:5" ht="16.5">
      <c r="E11362" s="123"/>
    </row>
    <row r="11363" spans="5:5" ht="16.5">
      <c r="E11363" s="123"/>
    </row>
    <row r="11364" spans="5:5" ht="16.5">
      <c r="E11364" s="123"/>
    </row>
    <row r="11365" spans="5:5" ht="16.5">
      <c r="E11365" s="123"/>
    </row>
    <row r="11366" spans="5:5" ht="16.5">
      <c r="E11366" s="123"/>
    </row>
    <row r="11367" spans="5:5" ht="16.5">
      <c r="E11367" s="123"/>
    </row>
    <row r="11368" spans="5:5" ht="16.5">
      <c r="E11368" s="123"/>
    </row>
    <row r="11369" spans="5:5" ht="16.5">
      <c r="E11369" s="123"/>
    </row>
    <row r="11370" spans="5:5" ht="16.5">
      <c r="E11370" s="123"/>
    </row>
    <row r="11371" spans="5:5" ht="16.5">
      <c r="E11371" s="123"/>
    </row>
    <row r="11372" spans="5:5" ht="16.5">
      <c r="E11372" s="123"/>
    </row>
    <row r="11373" spans="5:5" ht="16.5">
      <c r="E11373" s="123"/>
    </row>
    <row r="11374" spans="5:5" ht="16.5">
      <c r="E11374" s="123"/>
    </row>
    <row r="11375" spans="5:5" ht="16.5">
      <c r="E11375" s="123"/>
    </row>
    <row r="11376" spans="5:5" ht="16.5">
      <c r="E11376" s="123"/>
    </row>
    <row r="11377" spans="5:5" ht="16.5">
      <c r="E11377" s="123"/>
    </row>
    <row r="11378" spans="5:5" ht="16.5">
      <c r="E11378" s="123"/>
    </row>
    <row r="11379" spans="5:5" ht="16.5">
      <c r="E11379" s="123"/>
    </row>
    <row r="11380" spans="5:5" ht="16.5">
      <c r="E11380" s="123"/>
    </row>
    <row r="11381" spans="5:5" ht="16.5">
      <c r="E11381" s="123"/>
    </row>
    <row r="11382" spans="5:5" ht="16.5">
      <c r="E11382" s="123"/>
    </row>
    <row r="11383" spans="5:5" ht="16.5">
      <c r="E11383" s="123"/>
    </row>
    <row r="11384" spans="5:5" ht="16.5">
      <c r="E11384" s="123"/>
    </row>
    <row r="11385" spans="5:5" ht="16.5">
      <c r="E11385" s="123"/>
    </row>
    <row r="11386" spans="5:5" ht="16.5">
      <c r="E11386" s="123"/>
    </row>
    <row r="11387" spans="5:5" ht="16.5">
      <c r="E11387" s="123"/>
    </row>
    <row r="11388" spans="5:5" ht="16.5">
      <c r="E11388" s="123"/>
    </row>
    <row r="11389" spans="5:5" ht="16.5">
      <c r="E11389" s="123"/>
    </row>
    <row r="11390" spans="5:5" ht="16.5">
      <c r="E11390" s="123"/>
    </row>
    <row r="11391" spans="5:5" ht="16.5">
      <c r="E11391" s="123"/>
    </row>
    <row r="11392" spans="5:5" ht="16.5">
      <c r="E11392" s="123"/>
    </row>
    <row r="11393" spans="5:5" ht="16.5">
      <c r="E11393" s="123"/>
    </row>
    <row r="11394" spans="5:5" ht="16.5">
      <c r="E11394" s="123"/>
    </row>
    <row r="11395" spans="5:5" ht="16.5">
      <c r="E11395" s="123"/>
    </row>
    <row r="11396" spans="5:5" ht="16.5">
      <c r="E11396" s="123"/>
    </row>
    <row r="11397" spans="5:5" ht="16.5">
      <c r="E11397" s="123"/>
    </row>
    <row r="11398" spans="5:5" ht="16.5">
      <c r="E11398" s="123"/>
    </row>
    <row r="11399" spans="5:5" ht="16.5">
      <c r="E11399" s="123"/>
    </row>
    <row r="11400" spans="5:5" ht="16.5">
      <c r="E11400" s="123"/>
    </row>
    <row r="11401" spans="5:5" ht="16.5">
      <c r="E11401" s="123"/>
    </row>
    <row r="11402" spans="5:5" ht="16.5">
      <c r="E11402" s="123"/>
    </row>
    <row r="11403" spans="5:5" ht="16.5">
      <c r="E11403" s="123"/>
    </row>
    <row r="11404" spans="5:5" ht="16.5">
      <c r="E11404" s="123"/>
    </row>
    <row r="11405" spans="5:5" ht="16.5">
      <c r="E11405" s="123"/>
    </row>
    <row r="11406" spans="5:5" ht="16.5">
      <c r="E11406" s="123"/>
    </row>
    <row r="11407" spans="5:5" ht="16.5">
      <c r="E11407" s="123"/>
    </row>
    <row r="11408" spans="5:5" ht="16.5">
      <c r="E11408" s="123"/>
    </row>
    <row r="11409" spans="5:5" ht="16.5">
      <c r="E11409" s="123"/>
    </row>
    <row r="11410" spans="5:5" ht="16.5">
      <c r="E11410" s="123"/>
    </row>
    <row r="11411" spans="5:5" ht="16.5">
      <c r="E11411" s="123"/>
    </row>
    <row r="11412" spans="5:5" ht="16.5">
      <c r="E11412" s="123"/>
    </row>
    <row r="11413" spans="5:5" ht="16.5">
      <c r="E11413" s="123"/>
    </row>
    <row r="11414" spans="5:5" ht="16.5">
      <c r="E11414" s="123"/>
    </row>
    <row r="11415" spans="5:5" ht="16.5">
      <c r="E11415" s="123"/>
    </row>
    <row r="11416" spans="5:5" ht="16.5">
      <c r="E11416" s="123"/>
    </row>
    <row r="11417" spans="5:5" ht="16.5">
      <c r="E11417" s="123"/>
    </row>
    <row r="11418" spans="5:5" ht="16.5">
      <c r="E11418" s="123"/>
    </row>
    <row r="11419" spans="5:5" ht="16.5">
      <c r="E11419" s="123"/>
    </row>
    <row r="11420" spans="5:5" ht="16.5">
      <c r="E11420" s="123"/>
    </row>
    <row r="11421" spans="5:5" ht="16.5">
      <c r="E11421" s="123"/>
    </row>
    <row r="11422" spans="5:5" ht="16.5">
      <c r="E11422" s="123"/>
    </row>
    <row r="11423" spans="5:5" ht="16.5">
      <c r="E11423" s="123"/>
    </row>
    <row r="11424" spans="5:5" ht="16.5">
      <c r="E11424" s="123"/>
    </row>
    <row r="11425" spans="5:5" ht="16.5">
      <c r="E11425" s="123"/>
    </row>
    <row r="11426" spans="5:5" ht="16.5">
      <c r="E11426" s="123"/>
    </row>
    <row r="11427" spans="5:5" ht="16.5">
      <c r="E11427" s="123"/>
    </row>
    <row r="11428" spans="5:5" ht="16.5">
      <c r="E11428" s="123"/>
    </row>
    <row r="11429" spans="5:5" ht="16.5">
      <c r="E11429" s="123"/>
    </row>
    <row r="11430" spans="5:5" ht="16.5">
      <c r="E11430" s="123"/>
    </row>
    <row r="11431" spans="5:5" ht="16.5">
      <c r="E11431" s="123"/>
    </row>
    <row r="11432" spans="5:5" ht="16.5">
      <c r="E11432" s="123"/>
    </row>
    <row r="11433" spans="5:5" ht="16.5">
      <c r="E11433" s="123"/>
    </row>
    <row r="11434" spans="5:5" ht="16.5">
      <c r="E11434" s="123"/>
    </row>
    <row r="11435" spans="5:5" ht="16.5">
      <c r="E11435" s="123"/>
    </row>
    <row r="11436" spans="5:5" ht="16.5">
      <c r="E11436" s="123"/>
    </row>
    <row r="11437" spans="5:5" ht="16.5">
      <c r="E11437" s="123"/>
    </row>
    <row r="11438" spans="5:5" ht="16.5">
      <c r="E11438" s="123"/>
    </row>
    <row r="11439" spans="5:5" ht="16.5">
      <c r="E11439" s="123"/>
    </row>
    <row r="11440" spans="5:5" ht="16.5">
      <c r="E11440" s="123"/>
    </row>
    <row r="11441" spans="5:5" ht="16.5">
      <c r="E11441" s="123"/>
    </row>
    <row r="11442" spans="5:5" ht="16.5">
      <c r="E11442" s="123"/>
    </row>
    <row r="11443" spans="5:5" ht="16.5">
      <c r="E11443" s="123"/>
    </row>
    <row r="11444" spans="5:5" ht="16.5">
      <c r="E11444" s="123"/>
    </row>
    <row r="11445" spans="5:5" ht="16.5">
      <c r="E11445" s="123"/>
    </row>
    <row r="11446" spans="5:5" ht="16.5">
      <c r="E11446" s="123"/>
    </row>
    <row r="11447" spans="5:5" ht="16.5">
      <c r="E11447" s="123"/>
    </row>
    <row r="11448" spans="5:5" ht="16.5">
      <c r="E11448" s="123"/>
    </row>
    <row r="11449" spans="5:5" ht="16.5">
      <c r="E11449" s="123"/>
    </row>
    <row r="11450" spans="5:5" ht="16.5">
      <c r="E11450" s="123"/>
    </row>
    <row r="11451" spans="5:5" ht="16.5">
      <c r="E11451" s="123"/>
    </row>
    <row r="11452" spans="5:5" ht="16.5">
      <c r="E11452" s="123"/>
    </row>
    <row r="11453" spans="5:5" ht="16.5">
      <c r="E11453" s="123"/>
    </row>
    <row r="11454" spans="5:5" ht="16.5">
      <c r="E11454" s="123"/>
    </row>
    <row r="11455" spans="5:5" ht="16.5">
      <c r="E11455" s="123"/>
    </row>
    <row r="11456" spans="5:5" ht="16.5">
      <c r="E11456" s="123"/>
    </row>
    <row r="11457" spans="5:5" ht="16.5">
      <c r="E11457" s="123"/>
    </row>
    <row r="11458" spans="5:5" ht="16.5">
      <c r="E11458" s="123"/>
    </row>
    <row r="11459" spans="5:5" ht="16.5">
      <c r="E11459" s="123"/>
    </row>
    <row r="11460" spans="5:5" ht="16.5">
      <c r="E11460" s="123"/>
    </row>
    <row r="11461" spans="5:5" ht="16.5">
      <c r="E11461" s="123"/>
    </row>
    <row r="11462" spans="5:5" ht="16.5">
      <c r="E11462" s="123"/>
    </row>
    <row r="11463" spans="5:5" ht="16.5">
      <c r="E11463" s="123"/>
    </row>
    <row r="11464" spans="5:5" ht="16.5">
      <c r="E11464" s="123"/>
    </row>
    <row r="11465" spans="5:5" ht="16.5">
      <c r="E11465" s="123"/>
    </row>
    <row r="11466" spans="5:5" ht="16.5">
      <c r="E11466" s="123"/>
    </row>
    <row r="11467" spans="5:5" ht="16.5">
      <c r="E11467" s="123"/>
    </row>
    <row r="11468" spans="5:5" ht="16.5">
      <c r="E11468" s="123"/>
    </row>
    <row r="11469" spans="5:5" ht="16.5">
      <c r="E11469" s="123"/>
    </row>
    <row r="11470" spans="5:5" ht="16.5">
      <c r="E11470" s="123"/>
    </row>
    <row r="11471" spans="5:5" ht="16.5">
      <c r="E11471" s="123"/>
    </row>
    <row r="11472" spans="5:5" ht="16.5">
      <c r="E11472" s="123"/>
    </row>
    <row r="11473" spans="5:5" ht="16.5">
      <c r="E11473" s="123"/>
    </row>
    <row r="11474" spans="5:5" ht="16.5">
      <c r="E11474" s="123"/>
    </row>
    <row r="11475" spans="5:5" ht="16.5">
      <c r="E11475" s="123"/>
    </row>
    <row r="11476" spans="5:5" ht="16.5">
      <c r="E11476" s="123"/>
    </row>
    <row r="11477" spans="5:5" ht="16.5">
      <c r="E11477" s="123"/>
    </row>
    <row r="11478" spans="5:5" ht="16.5">
      <c r="E11478" s="123"/>
    </row>
    <row r="11479" spans="5:5" ht="16.5">
      <c r="E11479" s="123"/>
    </row>
    <row r="11480" spans="5:5" ht="16.5">
      <c r="E11480" s="123"/>
    </row>
    <row r="11481" spans="5:5" ht="16.5">
      <c r="E11481" s="123"/>
    </row>
    <row r="11482" spans="5:5" ht="16.5">
      <c r="E11482" s="123"/>
    </row>
    <row r="11483" spans="5:5" ht="16.5">
      <c r="E11483" s="123"/>
    </row>
    <row r="11484" spans="5:5" ht="16.5">
      <c r="E11484" s="123"/>
    </row>
    <row r="11485" spans="5:5" ht="16.5">
      <c r="E11485" s="123"/>
    </row>
    <row r="11486" spans="5:5" ht="16.5">
      <c r="E11486" s="123"/>
    </row>
    <row r="11487" spans="5:5" ht="16.5">
      <c r="E11487" s="123"/>
    </row>
    <row r="11488" spans="5:5" ht="16.5">
      <c r="E11488" s="123"/>
    </row>
    <row r="11489" spans="5:5" ht="16.5">
      <c r="E11489" s="123"/>
    </row>
    <row r="11490" spans="5:5" ht="16.5">
      <c r="E11490" s="123"/>
    </row>
    <row r="11491" spans="5:5" ht="16.5">
      <c r="E11491" s="123"/>
    </row>
    <row r="11492" spans="5:5" ht="16.5">
      <c r="E11492" s="123"/>
    </row>
    <row r="11493" spans="5:5" ht="16.5">
      <c r="E11493" s="123"/>
    </row>
    <row r="11494" spans="5:5" ht="16.5">
      <c r="E11494" s="123"/>
    </row>
    <row r="11495" spans="5:5" ht="16.5">
      <c r="E11495" s="123"/>
    </row>
    <row r="11496" spans="5:5" ht="16.5">
      <c r="E11496" s="123"/>
    </row>
    <row r="11497" spans="5:5" ht="16.5">
      <c r="E11497" s="123"/>
    </row>
    <row r="11498" spans="5:5" ht="16.5">
      <c r="E11498" s="123"/>
    </row>
    <row r="11499" spans="5:5" ht="16.5">
      <c r="E11499" s="123"/>
    </row>
    <row r="11500" spans="5:5" ht="16.5">
      <c r="E11500" s="123"/>
    </row>
    <row r="11501" spans="5:5" ht="16.5">
      <c r="E11501" s="123"/>
    </row>
    <row r="11502" spans="5:5" ht="16.5">
      <c r="E11502" s="123"/>
    </row>
    <row r="11503" spans="5:5" ht="16.5">
      <c r="E11503" s="123"/>
    </row>
    <row r="11504" spans="5:5" ht="16.5">
      <c r="E11504" s="123"/>
    </row>
    <row r="11505" spans="5:5" ht="16.5">
      <c r="E11505" s="123"/>
    </row>
    <row r="11506" spans="5:5" ht="16.5">
      <c r="E11506" s="123"/>
    </row>
    <row r="11507" spans="5:5" ht="16.5">
      <c r="E11507" s="123"/>
    </row>
    <row r="11508" spans="5:5" ht="16.5">
      <c r="E11508" s="123"/>
    </row>
    <row r="11509" spans="5:5" ht="16.5">
      <c r="E11509" s="123"/>
    </row>
    <row r="11510" spans="5:5" ht="16.5">
      <c r="E11510" s="123"/>
    </row>
    <row r="11511" spans="5:5" ht="16.5">
      <c r="E11511" s="123"/>
    </row>
    <row r="11512" spans="5:5" ht="16.5">
      <c r="E11512" s="123"/>
    </row>
    <row r="11513" spans="5:5" ht="16.5">
      <c r="E11513" s="123"/>
    </row>
    <row r="11514" spans="5:5" ht="16.5">
      <c r="E11514" s="123"/>
    </row>
    <row r="11515" spans="5:5" ht="16.5">
      <c r="E11515" s="123"/>
    </row>
    <row r="11516" spans="5:5" ht="16.5">
      <c r="E11516" s="123"/>
    </row>
    <row r="11517" spans="5:5" ht="16.5">
      <c r="E11517" s="123"/>
    </row>
    <row r="11518" spans="5:5" ht="16.5">
      <c r="E11518" s="123"/>
    </row>
    <row r="11519" spans="5:5" ht="16.5">
      <c r="E11519" s="123"/>
    </row>
    <row r="11520" spans="5:5" ht="16.5">
      <c r="E11520" s="123"/>
    </row>
    <row r="11521" spans="5:5" ht="16.5">
      <c r="E11521" s="123"/>
    </row>
    <row r="11522" spans="5:5" ht="16.5">
      <c r="E11522" s="123"/>
    </row>
    <row r="11523" spans="5:5" ht="16.5">
      <c r="E11523" s="123"/>
    </row>
    <row r="11524" spans="5:5" ht="16.5">
      <c r="E11524" s="123"/>
    </row>
    <row r="11525" spans="5:5" ht="16.5">
      <c r="E11525" s="123"/>
    </row>
    <row r="11526" spans="5:5" ht="16.5">
      <c r="E11526" s="123"/>
    </row>
    <row r="11527" spans="5:5" ht="16.5">
      <c r="E11527" s="123"/>
    </row>
    <row r="11528" spans="5:5" ht="16.5">
      <c r="E11528" s="123"/>
    </row>
    <row r="11529" spans="5:5" ht="16.5">
      <c r="E11529" s="123"/>
    </row>
    <row r="11530" spans="5:5" ht="16.5">
      <c r="E11530" s="123"/>
    </row>
    <row r="11531" spans="5:5" ht="16.5">
      <c r="E11531" s="123"/>
    </row>
    <row r="11532" spans="5:5" ht="16.5">
      <c r="E11532" s="123"/>
    </row>
    <row r="11533" spans="5:5" ht="16.5">
      <c r="E11533" s="123"/>
    </row>
    <row r="11534" spans="5:5" ht="16.5">
      <c r="E11534" s="123"/>
    </row>
    <row r="11535" spans="5:5" ht="16.5">
      <c r="E11535" s="123"/>
    </row>
    <row r="11536" spans="5:5" ht="16.5">
      <c r="E11536" s="123"/>
    </row>
    <row r="11537" spans="5:5" ht="16.5">
      <c r="E11537" s="123"/>
    </row>
    <row r="11538" spans="5:5" ht="16.5">
      <c r="E11538" s="123"/>
    </row>
    <row r="11539" spans="5:5" ht="16.5">
      <c r="E11539" s="123"/>
    </row>
    <row r="11540" spans="5:5" ht="16.5">
      <c r="E11540" s="123"/>
    </row>
    <row r="11541" spans="5:5" ht="16.5">
      <c r="E11541" s="123"/>
    </row>
    <row r="11542" spans="5:5" ht="16.5">
      <c r="E11542" s="123"/>
    </row>
    <row r="11543" spans="5:5" ht="16.5">
      <c r="E11543" s="123"/>
    </row>
    <row r="11544" spans="5:5" ht="16.5">
      <c r="E11544" s="123"/>
    </row>
    <row r="11545" spans="5:5" ht="16.5">
      <c r="E11545" s="123"/>
    </row>
    <row r="11546" spans="5:5" ht="16.5">
      <c r="E11546" s="123"/>
    </row>
    <row r="11547" spans="5:5" ht="16.5">
      <c r="E11547" s="123"/>
    </row>
    <row r="11548" spans="5:5" ht="16.5">
      <c r="E11548" s="123"/>
    </row>
    <row r="11549" spans="5:5" ht="16.5">
      <c r="E11549" s="123"/>
    </row>
    <row r="11550" spans="5:5" ht="16.5">
      <c r="E11550" s="123"/>
    </row>
    <row r="11551" spans="5:5" ht="16.5">
      <c r="E11551" s="123"/>
    </row>
    <row r="11552" spans="5:5" ht="16.5">
      <c r="E11552" s="123"/>
    </row>
    <row r="11553" spans="5:5" ht="16.5">
      <c r="E11553" s="123"/>
    </row>
    <row r="11554" spans="5:5" ht="16.5">
      <c r="E11554" s="123"/>
    </row>
    <row r="11555" spans="5:5" ht="16.5">
      <c r="E11555" s="123"/>
    </row>
    <row r="11556" spans="5:5" ht="16.5">
      <c r="E11556" s="123"/>
    </row>
    <row r="11557" spans="5:5" ht="16.5">
      <c r="E11557" s="123"/>
    </row>
    <row r="11558" spans="5:5" ht="16.5">
      <c r="E11558" s="123"/>
    </row>
    <row r="11559" spans="5:5" ht="16.5">
      <c r="E11559" s="123"/>
    </row>
    <row r="11560" spans="5:5" ht="16.5">
      <c r="E11560" s="123"/>
    </row>
    <row r="11561" spans="5:5" ht="16.5">
      <c r="E11561" s="123"/>
    </row>
    <row r="11562" spans="5:5" ht="16.5">
      <c r="E11562" s="123"/>
    </row>
    <row r="11563" spans="5:5" ht="16.5">
      <c r="E11563" s="123"/>
    </row>
    <row r="11564" spans="5:5" ht="16.5">
      <c r="E11564" s="123"/>
    </row>
    <row r="11565" spans="5:5" ht="16.5">
      <c r="E11565" s="123"/>
    </row>
    <row r="11566" spans="5:5" ht="16.5">
      <c r="E11566" s="123"/>
    </row>
    <row r="11567" spans="5:5" ht="16.5">
      <c r="E11567" s="123"/>
    </row>
    <row r="11568" spans="5:5" ht="16.5">
      <c r="E11568" s="123"/>
    </row>
    <row r="11569" spans="5:5" ht="16.5">
      <c r="E11569" s="123"/>
    </row>
    <row r="11570" spans="5:5" ht="16.5">
      <c r="E11570" s="123"/>
    </row>
    <row r="11571" spans="5:5" ht="16.5">
      <c r="E11571" s="123"/>
    </row>
    <row r="11572" spans="5:5" ht="16.5">
      <c r="E11572" s="123"/>
    </row>
    <row r="11573" spans="5:5" ht="16.5">
      <c r="E11573" s="123"/>
    </row>
    <row r="11574" spans="5:5" ht="16.5">
      <c r="E11574" s="123"/>
    </row>
    <row r="11575" spans="5:5" ht="16.5">
      <c r="E11575" s="123"/>
    </row>
    <row r="11576" spans="5:5" ht="16.5">
      <c r="E11576" s="123"/>
    </row>
    <row r="11577" spans="5:5" ht="16.5">
      <c r="E11577" s="123"/>
    </row>
    <row r="11578" spans="5:5" ht="16.5">
      <c r="E11578" s="123"/>
    </row>
    <row r="11579" spans="5:5" ht="16.5">
      <c r="E11579" s="123"/>
    </row>
    <row r="11580" spans="5:5" ht="16.5">
      <c r="E11580" s="123"/>
    </row>
    <row r="11581" spans="5:5" ht="16.5">
      <c r="E11581" s="123"/>
    </row>
    <row r="11582" spans="5:5" ht="16.5">
      <c r="E11582" s="123"/>
    </row>
    <row r="11583" spans="5:5" ht="16.5">
      <c r="E11583" s="123"/>
    </row>
    <row r="11584" spans="5:5" ht="16.5">
      <c r="E11584" s="123"/>
    </row>
    <row r="11585" spans="5:5" ht="16.5">
      <c r="E11585" s="123"/>
    </row>
    <row r="11586" spans="5:5" ht="16.5">
      <c r="E11586" s="123"/>
    </row>
    <row r="11587" spans="5:5" ht="16.5">
      <c r="E11587" s="123"/>
    </row>
    <row r="11588" spans="5:5" ht="16.5">
      <c r="E11588" s="123"/>
    </row>
    <row r="11589" spans="5:5" ht="16.5">
      <c r="E11589" s="123"/>
    </row>
    <row r="11590" spans="5:5" ht="16.5">
      <c r="E11590" s="123"/>
    </row>
    <row r="11591" spans="5:5" ht="16.5">
      <c r="E11591" s="123"/>
    </row>
    <row r="11592" spans="5:5" ht="16.5">
      <c r="E11592" s="123"/>
    </row>
    <row r="11593" spans="5:5" ht="16.5">
      <c r="E11593" s="123"/>
    </row>
    <row r="11594" spans="5:5" ht="16.5">
      <c r="E11594" s="123"/>
    </row>
    <row r="11595" spans="5:5" ht="16.5">
      <c r="E11595" s="123"/>
    </row>
    <row r="11596" spans="5:5" ht="16.5">
      <c r="E11596" s="123"/>
    </row>
    <row r="11597" spans="5:5" ht="16.5">
      <c r="E11597" s="123"/>
    </row>
    <row r="11598" spans="5:5" ht="16.5">
      <c r="E11598" s="123"/>
    </row>
    <row r="11599" spans="5:5" ht="16.5">
      <c r="E11599" s="123"/>
    </row>
    <row r="11600" spans="5:5" ht="16.5">
      <c r="E11600" s="123"/>
    </row>
    <row r="11601" spans="5:5" ht="16.5">
      <c r="E11601" s="123"/>
    </row>
    <row r="11602" spans="5:5" ht="16.5">
      <c r="E11602" s="123"/>
    </row>
    <row r="11603" spans="5:5" ht="16.5">
      <c r="E11603" s="123"/>
    </row>
    <row r="11604" spans="5:5" ht="16.5">
      <c r="E11604" s="123"/>
    </row>
    <row r="11605" spans="5:5" ht="16.5">
      <c r="E11605" s="123"/>
    </row>
    <row r="11606" spans="5:5" ht="16.5">
      <c r="E11606" s="123"/>
    </row>
    <row r="11607" spans="5:5" ht="16.5">
      <c r="E11607" s="123"/>
    </row>
    <row r="11608" spans="5:5" ht="16.5">
      <c r="E11608" s="123"/>
    </row>
    <row r="11609" spans="5:5" ht="16.5">
      <c r="E11609" s="123"/>
    </row>
    <row r="11610" spans="5:5" ht="16.5">
      <c r="E11610" s="123"/>
    </row>
    <row r="11611" spans="5:5" ht="16.5">
      <c r="E11611" s="123"/>
    </row>
    <row r="11612" spans="5:5" ht="16.5">
      <c r="E11612" s="123"/>
    </row>
    <row r="11613" spans="5:5" ht="16.5">
      <c r="E11613" s="123"/>
    </row>
    <row r="11614" spans="5:5" ht="16.5">
      <c r="E11614" s="123"/>
    </row>
    <row r="11615" spans="5:5" ht="16.5">
      <c r="E11615" s="123"/>
    </row>
    <row r="11616" spans="5:5" ht="16.5">
      <c r="E11616" s="123"/>
    </row>
    <row r="11617" spans="5:5" ht="16.5">
      <c r="E11617" s="123"/>
    </row>
    <row r="11618" spans="5:5" ht="16.5">
      <c r="E11618" s="123"/>
    </row>
    <row r="11619" spans="5:5" ht="16.5">
      <c r="E11619" s="123"/>
    </row>
    <row r="11620" spans="5:5" ht="16.5">
      <c r="E11620" s="123"/>
    </row>
    <row r="11621" spans="5:5" ht="16.5">
      <c r="E11621" s="123"/>
    </row>
    <row r="11622" spans="5:5" ht="16.5">
      <c r="E11622" s="123"/>
    </row>
    <row r="11623" spans="5:5" ht="16.5">
      <c r="E11623" s="123"/>
    </row>
    <row r="11624" spans="5:5" ht="16.5">
      <c r="E11624" s="123"/>
    </row>
    <row r="11625" spans="5:5" ht="16.5">
      <c r="E11625" s="123"/>
    </row>
    <row r="11626" spans="5:5" ht="16.5">
      <c r="E11626" s="123"/>
    </row>
    <row r="11627" spans="5:5" ht="16.5">
      <c r="E11627" s="123"/>
    </row>
    <row r="11628" spans="5:5" ht="16.5">
      <c r="E11628" s="123"/>
    </row>
    <row r="11629" spans="5:5" ht="16.5">
      <c r="E11629" s="123"/>
    </row>
    <row r="11630" spans="5:5" ht="16.5">
      <c r="E11630" s="123"/>
    </row>
    <row r="11631" spans="5:5" ht="16.5">
      <c r="E11631" s="123"/>
    </row>
    <row r="11632" spans="5:5" ht="16.5">
      <c r="E11632" s="123"/>
    </row>
    <row r="11633" spans="5:5" ht="16.5">
      <c r="E11633" s="123"/>
    </row>
    <row r="11634" spans="5:5" ht="16.5">
      <c r="E11634" s="123"/>
    </row>
    <row r="11635" spans="5:5" ht="16.5">
      <c r="E11635" s="123"/>
    </row>
    <row r="11636" spans="5:5" ht="16.5">
      <c r="E11636" s="123"/>
    </row>
    <row r="11637" spans="5:5" ht="16.5">
      <c r="E11637" s="123"/>
    </row>
    <row r="11638" spans="5:5" ht="16.5">
      <c r="E11638" s="123"/>
    </row>
    <row r="11639" spans="5:5" ht="16.5">
      <c r="E11639" s="123"/>
    </row>
    <row r="11640" spans="5:5" ht="16.5">
      <c r="E11640" s="123"/>
    </row>
    <row r="11641" spans="5:5" ht="16.5">
      <c r="E11641" s="123"/>
    </row>
    <row r="11642" spans="5:5" ht="16.5">
      <c r="E11642" s="123"/>
    </row>
    <row r="11643" spans="5:5" ht="16.5">
      <c r="E11643" s="123"/>
    </row>
    <row r="11644" spans="5:5" ht="16.5">
      <c r="E11644" s="123"/>
    </row>
    <row r="11645" spans="5:5" ht="16.5">
      <c r="E11645" s="123"/>
    </row>
    <row r="11646" spans="5:5" ht="16.5">
      <c r="E11646" s="123"/>
    </row>
    <row r="11647" spans="5:5" ht="16.5">
      <c r="E11647" s="123"/>
    </row>
    <row r="11648" spans="5:5" ht="16.5">
      <c r="E11648" s="123"/>
    </row>
    <row r="11649" spans="5:5" ht="16.5">
      <c r="E11649" s="123"/>
    </row>
    <row r="11650" spans="5:5" ht="16.5">
      <c r="E11650" s="123"/>
    </row>
    <row r="11651" spans="5:5" ht="16.5">
      <c r="E11651" s="123"/>
    </row>
    <row r="11652" spans="5:5" ht="16.5">
      <c r="E11652" s="123"/>
    </row>
    <row r="11653" spans="5:5" ht="16.5">
      <c r="E11653" s="123"/>
    </row>
    <row r="11654" spans="5:5" ht="16.5">
      <c r="E11654" s="123"/>
    </row>
    <row r="11655" spans="5:5" ht="16.5">
      <c r="E11655" s="123"/>
    </row>
    <row r="11656" spans="5:5" ht="16.5">
      <c r="E11656" s="123"/>
    </row>
    <row r="11657" spans="5:5" ht="16.5">
      <c r="E11657" s="123"/>
    </row>
    <row r="11658" spans="5:5" ht="16.5">
      <c r="E11658" s="123"/>
    </row>
    <row r="11659" spans="5:5" ht="16.5">
      <c r="E11659" s="123"/>
    </row>
    <row r="11660" spans="5:5" ht="16.5">
      <c r="E11660" s="123"/>
    </row>
    <row r="11661" spans="5:5" ht="16.5">
      <c r="E11661" s="123"/>
    </row>
    <row r="11662" spans="5:5" ht="16.5">
      <c r="E11662" s="123"/>
    </row>
    <row r="11663" spans="5:5" ht="16.5">
      <c r="E11663" s="123"/>
    </row>
    <row r="11664" spans="5:5" ht="16.5">
      <c r="E11664" s="123"/>
    </row>
    <row r="11665" spans="5:5" ht="16.5">
      <c r="E11665" s="123"/>
    </row>
    <row r="11666" spans="5:5" ht="16.5">
      <c r="E11666" s="123"/>
    </row>
    <row r="11667" spans="5:5" ht="16.5">
      <c r="E11667" s="123"/>
    </row>
    <row r="11668" spans="5:5" ht="16.5">
      <c r="E11668" s="123"/>
    </row>
    <row r="11669" spans="5:5" ht="16.5">
      <c r="E11669" s="123"/>
    </row>
    <row r="11670" spans="5:5" ht="16.5">
      <c r="E11670" s="123"/>
    </row>
    <row r="11671" spans="5:5" ht="16.5">
      <c r="E11671" s="123"/>
    </row>
    <row r="11672" spans="5:5" ht="16.5">
      <c r="E11672" s="123"/>
    </row>
    <row r="11673" spans="5:5" ht="16.5">
      <c r="E11673" s="123"/>
    </row>
    <row r="11674" spans="5:5" ht="16.5">
      <c r="E11674" s="123"/>
    </row>
    <row r="11675" spans="5:5" ht="16.5">
      <c r="E11675" s="123"/>
    </row>
    <row r="11676" spans="5:5" ht="16.5">
      <c r="E11676" s="123"/>
    </row>
    <row r="11677" spans="5:5" ht="16.5">
      <c r="E11677" s="123"/>
    </row>
    <row r="11678" spans="5:5" ht="16.5">
      <c r="E11678" s="123"/>
    </row>
    <row r="11679" spans="5:5" ht="16.5">
      <c r="E11679" s="123"/>
    </row>
    <row r="11680" spans="5:5" ht="16.5">
      <c r="E11680" s="123"/>
    </row>
    <row r="11681" spans="5:5" ht="16.5">
      <c r="E11681" s="123"/>
    </row>
    <row r="11682" spans="5:5" ht="16.5">
      <c r="E11682" s="123"/>
    </row>
    <row r="11683" spans="5:5" ht="16.5">
      <c r="E11683" s="123"/>
    </row>
    <row r="11684" spans="5:5" ht="16.5">
      <c r="E11684" s="123"/>
    </row>
    <row r="11685" spans="5:5" ht="16.5">
      <c r="E11685" s="123"/>
    </row>
    <row r="11686" spans="5:5" ht="16.5">
      <c r="E11686" s="123"/>
    </row>
    <row r="11687" spans="5:5" ht="16.5">
      <c r="E11687" s="123"/>
    </row>
    <row r="11688" spans="5:5" ht="16.5">
      <c r="E11688" s="123"/>
    </row>
    <row r="11689" spans="5:5" ht="16.5">
      <c r="E11689" s="123"/>
    </row>
    <row r="11690" spans="5:5" ht="16.5">
      <c r="E11690" s="123"/>
    </row>
    <row r="11691" spans="5:5" ht="16.5">
      <c r="E11691" s="123"/>
    </row>
    <row r="11692" spans="5:5" ht="16.5">
      <c r="E11692" s="123"/>
    </row>
    <row r="11693" spans="5:5" ht="16.5">
      <c r="E11693" s="123"/>
    </row>
    <row r="11694" spans="5:5" ht="16.5">
      <c r="E11694" s="123"/>
    </row>
    <row r="11695" spans="5:5" ht="16.5">
      <c r="E11695" s="123"/>
    </row>
    <row r="11696" spans="5:5" ht="16.5">
      <c r="E11696" s="123"/>
    </row>
    <row r="11697" spans="5:5" ht="16.5">
      <c r="E11697" s="123"/>
    </row>
    <row r="11698" spans="5:5" ht="16.5">
      <c r="E11698" s="123"/>
    </row>
    <row r="11699" spans="5:5" ht="16.5">
      <c r="E11699" s="123"/>
    </row>
    <row r="11700" spans="5:5" ht="16.5">
      <c r="E11700" s="123"/>
    </row>
    <row r="11701" spans="5:5" ht="16.5">
      <c r="E11701" s="123"/>
    </row>
    <row r="11702" spans="5:5" ht="16.5">
      <c r="E11702" s="123"/>
    </row>
    <row r="11703" spans="5:5" ht="16.5">
      <c r="E11703" s="123"/>
    </row>
    <row r="11704" spans="5:5" ht="16.5">
      <c r="E11704" s="123"/>
    </row>
    <row r="11705" spans="5:5" ht="16.5">
      <c r="E11705" s="123"/>
    </row>
    <row r="11706" spans="5:5" ht="16.5">
      <c r="E11706" s="123"/>
    </row>
    <row r="11707" spans="5:5" ht="16.5">
      <c r="E11707" s="123"/>
    </row>
    <row r="11708" spans="5:5" ht="16.5">
      <c r="E11708" s="123"/>
    </row>
    <row r="11709" spans="5:5" ht="16.5">
      <c r="E11709" s="123"/>
    </row>
    <row r="11710" spans="5:5" ht="16.5">
      <c r="E11710" s="123"/>
    </row>
    <row r="11711" spans="5:5" ht="16.5">
      <c r="E11711" s="123"/>
    </row>
    <row r="11712" spans="5:5" ht="16.5">
      <c r="E11712" s="123"/>
    </row>
    <row r="11713" spans="5:5" ht="16.5">
      <c r="E11713" s="123"/>
    </row>
    <row r="11714" spans="5:5" ht="16.5">
      <c r="E11714" s="123"/>
    </row>
    <row r="11715" spans="5:5" ht="16.5">
      <c r="E11715" s="123"/>
    </row>
    <row r="11716" spans="5:5" ht="16.5">
      <c r="E11716" s="123"/>
    </row>
    <row r="11717" spans="5:5" ht="16.5">
      <c r="E11717" s="123"/>
    </row>
    <row r="11718" spans="5:5" ht="16.5">
      <c r="E11718" s="123"/>
    </row>
    <row r="11719" spans="5:5" ht="16.5">
      <c r="E11719" s="123"/>
    </row>
    <row r="11720" spans="5:5" ht="16.5">
      <c r="E11720" s="123"/>
    </row>
    <row r="11721" spans="5:5" ht="16.5">
      <c r="E11721" s="123"/>
    </row>
    <row r="11722" spans="5:5" ht="16.5">
      <c r="E11722" s="123"/>
    </row>
    <row r="11723" spans="5:5" ht="16.5">
      <c r="E11723" s="123"/>
    </row>
    <row r="11724" spans="5:5" ht="16.5">
      <c r="E11724" s="123"/>
    </row>
    <row r="11725" spans="5:5" ht="16.5">
      <c r="E11725" s="123"/>
    </row>
    <row r="11726" spans="5:5" ht="16.5">
      <c r="E11726" s="123"/>
    </row>
    <row r="11727" spans="5:5" ht="16.5">
      <c r="E11727" s="123"/>
    </row>
    <row r="11728" spans="5:5" ht="16.5">
      <c r="E11728" s="123"/>
    </row>
    <row r="11729" spans="5:5" ht="16.5">
      <c r="E11729" s="123"/>
    </row>
    <row r="11730" spans="5:5" ht="16.5">
      <c r="E11730" s="123"/>
    </row>
    <row r="11731" spans="5:5" ht="16.5">
      <c r="E11731" s="123"/>
    </row>
    <row r="11732" spans="5:5" ht="16.5">
      <c r="E11732" s="123"/>
    </row>
    <row r="11733" spans="5:5" ht="16.5">
      <c r="E11733" s="123"/>
    </row>
    <row r="11734" spans="5:5" ht="16.5">
      <c r="E11734" s="123"/>
    </row>
    <row r="11735" spans="5:5" ht="16.5">
      <c r="E11735" s="123"/>
    </row>
    <row r="11736" spans="5:5" ht="16.5">
      <c r="E11736" s="123"/>
    </row>
    <row r="11737" spans="5:5" ht="16.5">
      <c r="E11737" s="123"/>
    </row>
    <row r="11738" spans="5:5" ht="16.5">
      <c r="E11738" s="123"/>
    </row>
    <row r="11739" spans="5:5" ht="16.5">
      <c r="E11739" s="123"/>
    </row>
    <row r="11740" spans="5:5" ht="16.5">
      <c r="E11740" s="123"/>
    </row>
    <row r="11741" spans="5:5" ht="16.5">
      <c r="E11741" s="123"/>
    </row>
    <row r="11742" spans="5:5" ht="16.5">
      <c r="E11742" s="123"/>
    </row>
    <row r="11743" spans="5:5" ht="16.5">
      <c r="E11743" s="123"/>
    </row>
    <row r="11744" spans="5:5" ht="16.5">
      <c r="E11744" s="123"/>
    </row>
    <row r="11745" spans="5:5" ht="16.5">
      <c r="E11745" s="123"/>
    </row>
    <row r="11746" spans="5:5" ht="16.5">
      <c r="E11746" s="123"/>
    </row>
    <row r="11747" spans="5:5" ht="16.5">
      <c r="E11747" s="123"/>
    </row>
    <row r="11748" spans="5:5" ht="16.5">
      <c r="E11748" s="123"/>
    </row>
    <row r="11749" spans="5:5" ht="16.5">
      <c r="E11749" s="123"/>
    </row>
    <row r="11750" spans="5:5" ht="16.5">
      <c r="E11750" s="123"/>
    </row>
    <row r="11751" spans="5:5" ht="16.5">
      <c r="E11751" s="123"/>
    </row>
    <row r="11752" spans="5:5" ht="16.5">
      <c r="E11752" s="123"/>
    </row>
    <row r="11753" spans="5:5" ht="16.5">
      <c r="E11753" s="123"/>
    </row>
    <row r="11754" spans="5:5" ht="16.5">
      <c r="E11754" s="123"/>
    </row>
    <row r="11755" spans="5:5" ht="16.5">
      <c r="E11755" s="123"/>
    </row>
    <row r="11756" spans="5:5" ht="16.5">
      <c r="E11756" s="123"/>
    </row>
    <row r="11757" spans="5:5" ht="16.5">
      <c r="E11757" s="123"/>
    </row>
    <row r="11758" spans="5:5" ht="16.5">
      <c r="E11758" s="123"/>
    </row>
    <row r="11759" spans="5:5" ht="16.5">
      <c r="E11759" s="123"/>
    </row>
    <row r="11760" spans="5:5" ht="16.5">
      <c r="E11760" s="123"/>
    </row>
    <row r="11761" spans="5:5" ht="16.5">
      <c r="E11761" s="123"/>
    </row>
    <row r="11762" spans="5:5" ht="16.5">
      <c r="E11762" s="123"/>
    </row>
    <row r="11763" spans="5:5" ht="16.5">
      <c r="E11763" s="123"/>
    </row>
    <row r="11764" spans="5:5" ht="16.5">
      <c r="E11764" s="123"/>
    </row>
    <row r="11765" spans="5:5" ht="16.5">
      <c r="E11765" s="123"/>
    </row>
    <row r="11766" spans="5:5" ht="16.5">
      <c r="E11766" s="123"/>
    </row>
    <row r="11767" spans="5:5" ht="16.5">
      <c r="E11767" s="123"/>
    </row>
    <row r="11768" spans="5:5" ht="16.5">
      <c r="E11768" s="123"/>
    </row>
    <row r="11769" spans="5:5" ht="16.5">
      <c r="E11769" s="123"/>
    </row>
    <row r="11770" spans="5:5" ht="16.5">
      <c r="E11770" s="123"/>
    </row>
    <row r="11771" spans="5:5" ht="16.5">
      <c r="E11771" s="123"/>
    </row>
    <row r="11772" spans="5:5" ht="16.5">
      <c r="E11772" s="123"/>
    </row>
    <row r="11773" spans="5:5" ht="16.5">
      <c r="E11773" s="123"/>
    </row>
    <row r="11774" spans="5:5" ht="16.5">
      <c r="E11774" s="123"/>
    </row>
    <row r="11775" spans="5:5" ht="16.5">
      <c r="E11775" s="123"/>
    </row>
    <row r="11776" spans="5:5" ht="16.5">
      <c r="E11776" s="123"/>
    </row>
    <row r="11777" spans="5:5" ht="16.5">
      <c r="E11777" s="123"/>
    </row>
    <row r="11778" spans="5:5" ht="16.5">
      <c r="E11778" s="123"/>
    </row>
    <row r="11779" spans="5:5" ht="16.5">
      <c r="E11779" s="123"/>
    </row>
    <row r="11780" spans="5:5" ht="16.5">
      <c r="E11780" s="123"/>
    </row>
    <row r="11781" spans="5:5" ht="16.5">
      <c r="E11781" s="123"/>
    </row>
    <row r="11782" spans="5:5" ht="16.5">
      <c r="E11782" s="123"/>
    </row>
    <row r="11783" spans="5:5" ht="16.5">
      <c r="E11783" s="123"/>
    </row>
    <row r="11784" spans="5:5" ht="16.5">
      <c r="E11784" s="123"/>
    </row>
    <row r="11785" spans="5:5" ht="16.5">
      <c r="E11785" s="123"/>
    </row>
    <row r="11786" spans="5:5" ht="16.5">
      <c r="E11786" s="123"/>
    </row>
    <row r="11787" spans="5:5" ht="16.5">
      <c r="E11787" s="123"/>
    </row>
    <row r="11788" spans="5:5" ht="16.5">
      <c r="E11788" s="123"/>
    </row>
    <row r="11789" spans="5:5" ht="16.5">
      <c r="E11789" s="123"/>
    </row>
    <row r="11790" spans="5:5" ht="16.5">
      <c r="E11790" s="123"/>
    </row>
    <row r="11791" spans="5:5" ht="16.5">
      <c r="E11791" s="123"/>
    </row>
    <row r="11792" spans="5:5" ht="16.5">
      <c r="E11792" s="123"/>
    </row>
    <row r="11793" spans="5:5" ht="16.5">
      <c r="E11793" s="123"/>
    </row>
    <row r="11794" spans="5:5" ht="16.5">
      <c r="E11794" s="123"/>
    </row>
    <row r="11795" spans="5:5" ht="16.5">
      <c r="E11795" s="123"/>
    </row>
    <row r="11796" spans="5:5" ht="16.5">
      <c r="E11796" s="123"/>
    </row>
    <row r="11797" spans="5:5" ht="16.5">
      <c r="E11797" s="123"/>
    </row>
    <row r="11798" spans="5:5" ht="16.5">
      <c r="E11798" s="123"/>
    </row>
    <row r="11799" spans="5:5" ht="16.5">
      <c r="E11799" s="123"/>
    </row>
    <row r="11800" spans="5:5" ht="16.5">
      <c r="E11800" s="123"/>
    </row>
    <row r="11801" spans="5:5" ht="16.5">
      <c r="E11801" s="123"/>
    </row>
    <row r="11802" spans="5:5" ht="16.5">
      <c r="E11802" s="123"/>
    </row>
    <row r="11803" spans="5:5" ht="16.5">
      <c r="E11803" s="123"/>
    </row>
    <row r="11804" spans="5:5" ht="16.5">
      <c r="E11804" s="123"/>
    </row>
    <row r="11805" spans="5:5" ht="16.5">
      <c r="E11805" s="123"/>
    </row>
    <row r="11806" spans="5:5" ht="16.5">
      <c r="E11806" s="123"/>
    </row>
    <row r="11807" spans="5:5" ht="16.5">
      <c r="E11807" s="123"/>
    </row>
    <row r="11808" spans="5:5" ht="16.5">
      <c r="E11808" s="123"/>
    </row>
    <row r="11809" spans="5:5" ht="16.5">
      <c r="E11809" s="123"/>
    </row>
    <row r="11810" spans="5:5" ht="16.5">
      <c r="E11810" s="123"/>
    </row>
    <row r="11811" spans="5:5" ht="16.5">
      <c r="E11811" s="123"/>
    </row>
    <row r="11812" spans="5:5" ht="16.5">
      <c r="E11812" s="123"/>
    </row>
    <row r="11813" spans="5:5" ht="16.5">
      <c r="E11813" s="123"/>
    </row>
    <row r="11814" spans="5:5" ht="16.5">
      <c r="E11814" s="123"/>
    </row>
    <row r="11815" spans="5:5" ht="16.5">
      <c r="E11815" s="123"/>
    </row>
    <row r="11816" spans="5:5" ht="16.5">
      <c r="E11816" s="123"/>
    </row>
    <row r="11817" spans="5:5" ht="16.5">
      <c r="E11817" s="123"/>
    </row>
    <row r="11818" spans="5:5" ht="16.5">
      <c r="E11818" s="123"/>
    </row>
    <row r="11819" spans="5:5" ht="16.5">
      <c r="E11819" s="123"/>
    </row>
    <row r="11820" spans="5:5" ht="16.5">
      <c r="E11820" s="123"/>
    </row>
    <row r="11821" spans="5:5" ht="16.5">
      <c r="E11821" s="123"/>
    </row>
    <row r="11822" spans="5:5" ht="16.5">
      <c r="E11822" s="123"/>
    </row>
    <row r="11823" spans="5:5" ht="16.5">
      <c r="E11823" s="123"/>
    </row>
    <row r="11824" spans="5:5" ht="16.5">
      <c r="E11824" s="123"/>
    </row>
    <row r="11825" spans="5:5" ht="16.5">
      <c r="E11825" s="123"/>
    </row>
    <row r="11826" spans="5:5" ht="16.5">
      <c r="E11826" s="123"/>
    </row>
    <row r="11827" spans="5:5" ht="16.5">
      <c r="E11827" s="123"/>
    </row>
    <row r="11828" spans="5:5" ht="16.5">
      <c r="E11828" s="123"/>
    </row>
    <row r="11829" spans="5:5" ht="16.5">
      <c r="E11829" s="123"/>
    </row>
    <row r="11830" spans="5:5" ht="16.5">
      <c r="E11830" s="123"/>
    </row>
    <row r="11831" spans="5:5" ht="16.5">
      <c r="E11831" s="123"/>
    </row>
    <row r="11832" spans="5:5" ht="16.5">
      <c r="E11832" s="123"/>
    </row>
    <row r="11833" spans="5:5" ht="16.5">
      <c r="E11833" s="123"/>
    </row>
    <row r="11834" spans="5:5" ht="16.5">
      <c r="E11834" s="123"/>
    </row>
    <row r="11835" spans="5:5" ht="16.5">
      <c r="E11835" s="123"/>
    </row>
    <row r="11836" spans="5:5" ht="16.5">
      <c r="E11836" s="123"/>
    </row>
    <row r="11837" spans="5:5" ht="16.5">
      <c r="E11837" s="123"/>
    </row>
    <row r="11838" spans="5:5" ht="16.5">
      <c r="E11838" s="123"/>
    </row>
    <row r="11839" spans="5:5" ht="16.5">
      <c r="E11839" s="123"/>
    </row>
    <row r="11840" spans="5:5" ht="16.5">
      <c r="E11840" s="123"/>
    </row>
    <row r="11841" spans="5:5" ht="16.5">
      <c r="E11841" s="123"/>
    </row>
    <row r="11842" spans="5:5" ht="16.5">
      <c r="E11842" s="123"/>
    </row>
    <row r="11843" spans="5:5" ht="16.5">
      <c r="E11843" s="123"/>
    </row>
    <row r="11844" spans="5:5" ht="16.5">
      <c r="E11844" s="123"/>
    </row>
    <row r="11845" spans="5:5" ht="16.5">
      <c r="E11845" s="123"/>
    </row>
    <row r="11846" spans="5:5" ht="16.5">
      <c r="E11846" s="123"/>
    </row>
    <row r="11847" spans="5:5" ht="16.5">
      <c r="E11847" s="123"/>
    </row>
    <row r="11848" spans="5:5" ht="16.5">
      <c r="E11848" s="123"/>
    </row>
    <row r="11849" spans="5:5" ht="16.5">
      <c r="E11849" s="123"/>
    </row>
    <row r="11850" spans="5:5" ht="16.5">
      <c r="E11850" s="123"/>
    </row>
    <row r="11851" spans="5:5" ht="16.5">
      <c r="E11851" s="123"/>
    </row>
    <row r="11852" spans="5:5" ht="16.5">
      <c r="E11852" s="123"/>
    </row>
    <row r="11853" spans="5:5" ht="16.5">
      <c r="E11853" s="123"/>
    </row>
    <row r="11854" spans="5:5" ht="16.5">
      <c r="E11854" s="123"/>
    </row>
    <row r="11855" spans="5:5" ht="16.5">
      <c r="E11855" s="123"/>
    </row>
    <row r="11856" spans="5:5" ht="16.5">
      <c r="E11856" s="123"/>
    </row>
    <row r="11857" spans="5:5" ht="16.5">
      <c r="E11857" s="123"/>
    </row>
    <row r="11858" spans="5:5" ht="16.5">
      <c r="E11858" s="123"/>
    </row>
    <row r="11859" spans="5:5" ht="16.5">
      <c r="E11859" s="123"/>
    </row>
    <row r="11860" spans="5:5" ht="16.5">
      <c r="E11860" s="123"/>
    </row>
    <row r="11861" spans="5:5" ht="16.5">
      <c r="E11861" s="123"/>
    </row>
    <row r="11862" spans="5:5" ht="16.5">
      <c r="E11862" s="123"/>
    </row>
    <row r="11863" spans="5:5" ht="16.5">
      <c r="E11863" s="123"/>
    </row>
    <row r="11864" spans="5:5" ht="16.5">
      <c r="E11864" s="123"/>
    </row>
    <row r="11865" spans="5:5" ht="16.5">
      <c r="E11865" s="123"/>
    </row>
    <row r="11866" spans="5:5" ht="16.5">
      <c r="E11866" s="123"/>
    </row>
    <row r="11867" spans="5:5" ht="16.5">
      <c r="E11867" s="123"/>
    </row>
    <row r="11868" spans="5:5" ht="16.5">
      <c r="E11868" s="123"/>
    </row>
    <row r="11869" spans="5:5" ht="16.5">
      <c r="E11869" s="123"/>
    </row>
    <row r="11870" spans="5:5" ht="16.5">
      <c r="E11870" s="123"/>
    </row>
    <row r="11871" spans="5:5" ht="16.5">
      <c r="E11871" s="123"/>
    </row>
    <row r="11872" spans="5:5" ht="16.5">
      <c r="E11872" s="123"/>
    </row>
    <row r="11873" spans="5:5" ht="16.5">
      <c r="E11873" s="123"/>
    </row>
    <row r="11874" spans="5:5" ht="16.5">
      <c r="E11874" s="123"/>
    </row>
    <row r="11875" spans="5:5" ht="16.5">
      <c r="E11875" s="123"/>
    </row>
    <row r="11876" spans="5:5" ht="16.5">
      <c r="E11876" s="123"/>
    </row>
    <row r="11877" spans="5:5" ht="16.5">
      <c r="E11877" s="123"/>
    </row>
    <row r="11878" spans="5:5" ht="16.5">
      <c r="E11878" s="123"/>
    </row>
    <row r="11879" spans="5:5" ht="16.5">
      <c r="E11879" s="123"/>
    </row>
    <row r="11880" spans="5:5" ht="16.5">
      <c r="E11880" s="123"/>
    </row>
    <row r="11881" spans="5:5" ht="16.5">
      <c r="E11881" s="123"/>
    </row>
    <row r="11882" spans="5:5" ht="16.5">
      <c r="E11882" s="123"/>
    </row>
    <row r="11883" spans="5:5" ht="16.5">
      <c r="E11883" s="123"/>
    </row>
    <row r="11884" spans="5:5" ht="16.5">
      <c r="E11884" s="123"/>
    </row>
    <row r="11885" spans="5:5" ht="16.5">
      <c r="E11885" s="123"/>
    </row>
    <row r="11886" spans="5:5" ht="16.5">
      <c r="E11886" s="123"/>
    </row>
    <row r="11887" spans="5:5" ht="16.5">
      <c r="E11887" s="123"/>
    </row>
    <row r="11888" spans="5:5" ht="16.5">
      <c r="E11888" s="123"/>
    </row>
    <row r="11889" spans="5:5" ht="16.5">
      <c r="E11889" s="123"/>
    </row>
    <row r="11890" spans="5:5" ht="16.5">
      <c r="E11890" s="123"/>
    </row>
    <row r="11891" spans="5:5" ht="16.5">
      <c r="E11891" s="123"/>
    </row>
    <row r="11892" spans="5:5" ht="16.5">
      <c r="E11892" s="123"/>
    </row>
    <row r="11893" spans="5:5" ht="16.5">
      <c r="E11893" s="123"/>
    </row>
    <row r="11894" spans="5:5" ht="16.5">
      <c r="E11894" s="123"/>
    </row>
    <row r="11895" spans="5:5" ht="16.5">
      <c r="E11895" s="123"/>
    </row>
    <row r="11896" spans="5:5" ht="16.5">
      <c r="E11896" s="123"/>
    </row>
    <row r="11897" spans="5:5" ht="16.5">
      <c r="E11897" s="123"/>
    </row>
    <row r="11898" spans="5:5" ht="16.5">
      <c r="E11898" s="123"/>
    </row>
    <row r="11899" spans="5:5" ht="16.5">
      <c r="E11899" s="123"/>
    </row>
    <row r="11900" spans="5:5" ht="16.5">
      <c r="E11900" s="123"/>
    </row>
    <row r="11901" spans="5:5" ht="16.5">
      <c r="E11901" s="123"/>
    </row>
    <row r="11902" spans="5:5" ht="16.5">
      <c r="E11902" s="123"/>
    </row>
    <row r="11903" spans="5:5" ht="16.5">
      <c r="E11903" s="123"/>
    </row>
    <row r="11904" spans="5:5" ht="16.5">
      <c r="E11904" s="123"/>
    </row>
    <row r="11905" spans="5:5" ht="16.5">
      <c r="E11905" s="123"/>
    </row>
    <row r="11906" spans="5:5" ht="16.5">
      <c r="E11906" s="123"/>
    </row>
    <row r="11907" spans="5:5" ht="16.5">
      <c r="E11907" s="123"/>
    </row>
    <row r="11908" spans="5:5" ht="16.5">
      <c r="E11908" s="123"/>
    </row>
    <row r="11909" spans="5:5" ht="16.5">
      <c r="E11909" s="123"/>
    </row>
    <row r="11910" spans="5:5" ht="16.5">
      <c r="E11910" s="123"/>
    </row>
    <row r="11911" spans="5:5" ht="16.5">
      <c r="E11911" s="123"/>
    </row>
    <row r="11912" spans="5:5" ht="16.5">
      <c r="E11912" s="123"/>
    </row>
    <row r="11913" spans="5:5" ht="16.5">
      <c r="E11913" s="123"/>
    </row>
    <row r="11914" spans="5:5" ht="16.5">
      <c r="E11914" s="123"/>
    </row>
    <row r="11915" spans="5:5" ht="16.5">
      <c r="E11915" s="123"/>
    </row>
    <row r="11916" spans="5:5" ht="16.5">
      <c r="E11916" s="123"/>
    </row>
    <row r="11917" spans="5:5" ht="16.5">
      <c r="E11917" s="123"/>
    </row>
    <row r="11918" spans="5:5" ht="16.5">
      <c r="E11918" s="123"/>
    </row>
    <row r="11919" spans="5:5" ht="16.5">
      <c r="E11919" s="123"/>
    </row>
    <row r="11920" spans="5:5" ht="16.5">
      <c r="E11920" s="123"/>
    </row>
    <row r="11921" spans="5:5" ht="16.5">
      <c r="E11921" s="123"/>
    </row>
    <row r="11922" spans="5:5" ht="16.5">
      <c r="E11922" s="123"/>
    </row>
    <row r="11923" spans="5:5" ht="16.5">
      <c r="E11923" s="123"/>
    </row>
    <row r="11924" spans="5:5" ht="16.5">
      <c r="E11924" s="123"/>
    </row>
    <row r="11925" spans="5:5" ht="16.5">
      <c r="E11925" s="123"/>
    </row>
    <row r="11926" spans="5:5" ht="16.5">
      <c r="E11926" s="123"/>
    </row>
    <row r="11927" spans="5:5" ht="16.5">
      <c r="E11927" s="123"/>
    </row>
    <row r="11928" spans="5:5" ht="16.5">
      <c r="E11928" s="123"/>
    </row>
    <row r="11929" spans="5:5" ht="16.5">
      <c r="E11929" s="123"/>
    </row>
    <row r="11930" spans="5:5" ht="16.5">
      <c r="E11930" s="123"/>
    </row>
    <row r="11931" spans="5:5" ht="16.5">
      <c r="E11931" s="123"/>
    </row>
    <row r="11932" spans="5:5" ht="16.5">
      <c r="E11932" s="123"/>
    </row>
    <row r="11933" spans="5:5" ht="16.5">
      <c r="E11933" s="123"/>
    </row>
    <row r="11934" spans="5:5" ht="16.5">
      <c r="E11934" s="123"/>
    </row>
    <row r="11935" spans="5:5" ht="16.5">
      <c r="E11935" s="123"/>
    </row>
    <row r="11936" spans="5:5" ht="16.5">
      <c r="E11936" s="123"/>
    </row>
    <row r="11937" spans="5:5" ht="16.5">
      <c r="E11937" s="123"/>
    </row>
    <row r="11938" spans="5:5" ht="16.5">
      <c r="E11938" s="123"/>
    </row>
    <row r="11939" spans="5:5" ht="16.5">
      <c r="E11939" s="123"/>
    </row>
    <row r="11940" spans="5:5" ht="16.5">
      <c r="E11940" s="123"/>
    </row>
    <row r="11941" spans="5:5" ht="16.5">
      <c r="E11941" s="123"/>
    </row>
    <row r="11942" spans="5:5" ht="16.5">
      <c r="E11942" s="123"/>
    </row>
    <row r="11943" spans="5:5" ht="16.5">
      <c r="E11943" s="123"/>
    </row>
    <row r="11944" spans="5:5" ht="16.5">
      <c r="E11944" s="123"/>
    </row>
    <row r="11945" spans="5:5" ht="16.5">
      <c r="E11945" s="123"/>
    </row>
    <row r="11946" spans="5:5" ht="16.5">
      <c r="E11946" s="123"/>
    </row>
    <row r="11947" spans="5:5" ht="16.5">
      <c r="E11947" s="123"/>
    </row>
    <row r="11948" spans="5:5" ht="16.5">
      <c r="E11948" s="123"/>
    </row>
    <row r="11949" spans="5:5" ht="16.5">
      <c r="E11949" s="123"/>
    </row>
    <row r="11950" spans="5:5" ht="16.5">
      <c r="E11950" s="123"/>
    </row>
    <row r="11951" spans="5:5" ht="16.5">
      <c r="E11951" s="123"/>
    </row>
    <row r="11952" spans="5:5" ht="16.5">
      <c r="E11952" s="123"/>
    </row>
    <row r="11953" spans="5:5" ht="16.5">
      <c r="E11953" s="123"/>
    </row>
    <row r="11954" spans="5:5" ht="16.5">
      <c r="E11954" s="123"/>
    </row>
    <row r="11955" spans="5:5" ht="16.5">
      <c r="E11955" s="123"/>
    </row>
    <row r="11956" spans="5:5" ht="16.5">
      <c r="E11956" s="123"/>
    </row>
    <row r="11957" spans="5:5" ht="16.5">
      <c r="E11957" s="123"/>
    </row>
    <row r="11958" spans="5:5" ht="16.5">
      <c r="E11958" s="123"/>
    </row>
    <row r="11959" spans="5:5" ht="16.5">
      <c r="E11959" s="123"/>
    </row>
    <row r="11960" spans="5:5" ht="16.5">
      <c r="E11960" s="123"/>
    </row>
    <row r="11961" spans="5:5" ht="16.5">
      <c r="E11961" s="123"/>
    </row>
    <row r="11962" spans="5:5" ht="16.5">
      <c r="E11962" s="123"/>
    </row>
    <row r="11963" spans="5:5" ht="16.5">
      <c r="E11963" s="123"/>
    </row>
    <row r="11964" spans="5:5" ht="16.5">
      <c r="E11964" s="123"/>
    </row>
    <row r="11965" spans="5:5" ht="16.5">
      <c r="E11965" s="123"/>
    </row>
    <row r="11966" spans="5:5" ht="16.5">
      <c r="E11966" s="123"/>
    </row>
    <row r="11967" spans="5:5" ht="16.5">
      <c r="E11967" s="123"/>
    </row>
    <row r="11968" spans="5:5" ht="16.5">
      <c r="E11968" s="123"/>
    </row>
    <row r="11969" spans="5:5" ht="16.5">
      <c r="E11969" s="123"/>
    </row>
    <row r="11970" spans="5:5" ht="16.5">
      <c r="E11970" s="123"/>
    </row>
    <row r="11971" spans="5:5" ht="16.5">
      <c r="E11971" s="123"/>
    </row>
    <row r="11972" spans="5:5" ht="16.5">
      <c r="E11972" s="123"/>
    </row>
    <row r="11973" spans="5:5" ht="16.5">
      <c r="E11973" s="123"/>
    </row>
    <row r="11974" spans="5:5" ht="16.5">
      <c r="E11974" s="123"/>
    </row>
    <row r="11975" spans="5:5" ht="16.5">
      <c r="E11975" s="123"/>
    </row>
    <row r="11976" spans="5:5" ht="16.5">
      <c r="E11976" s="123"/>
    </row>
    <row r="11977" spans="5:5" ht="16.5">
      <c r="E11977" s="123"/>
    </row>
    <row r="11978" spans="5:5" ht="16.5">
      <c r="E11978" s="123"/>
    </row>
    <row r="11979" spans="5:5" ht="16.5">
      <c r="E11979" s="123"/>
    </row>
    <row r="11980" spans="5:5" ht="16.5">
      <c r="E11980" s="123"/>
    </row>
    <row r="11981" spans="5:5" ht="16.5">
      <c r="E11981" s="123"/>
    </row>
    <row r="11982" spans="5:5" ht="16.5">
      <c r="E11982" s="123"/>
    </row>
    <row r="11983" spans="5:5" ht="16.5">
      <c r="E11983" s="123"/>
    </row>
    <row r="11984" spans="5:5" ht="16.5">
      <c r="E11984" s="123"/>
    </row>
    <row r="11985" spans="5:5" ht="16.5">
      <c r="E11985" s="123"/>
    </row>
    <row r="11986" spans="5:5" ht="16.5">
      <c r="E11986" s="123"/>
    </row>
    <row r="11987" spans="5:5" ht="16.5">
      <c r="E11987" s="123"/>
    </row>
    <row r="11988" spans="5:5" ht="16.5">
      <c r="E11988" s="123"/>
    </row>
    <row r="11989" spans="5:5" ht="16.5">
      <c r="E11989" s="123"/>
    </row>
    <row r="11990" spans="5:5" ht="16.5">
      <c r="E11990" s="123"/>
    </row>
    <row r="11991" spans="5:5" ht="16.5">
      <c r="E11991" s="123"/>
    </row>
    <row r="11992" spans="5:5" ht="16.5">
      <c r="E11992" s="123"/>
    </row>
    <row r="11993" spans="5:5" ht="16.5">
      <c r="E11993" s="123"/>
    </row>
    <row r="11994" spans="5:5" ht="16.5">
      <c r="E11994" s="123"/>
    </row>
    <row r="11995" spans="5:5" ht="16.5">
      <c r="E11995" s="123"/>
    </row>
    <row r="11996" spans="5:5" ht="16.5">
      <c r="E11996" s="123"/>
    </row>
    <row r="11997" spans="5:5" ht="16.5">
      <c r="E11997" s="123"/>
    </row>
    <row r="11998" spans="5:5" ht="16.5">
      <c r="E11998" s="123"/>
    </row>
    <row r="11999" spans="5:5" ht="16.5">
      <c r="E11999" s="123"/>
    </row>
    <row r="12000" spans="5:5" ht="16.5">
      <c r="E12000" s="123"/>
    </row>
    <row r="12001" spans="5:5" ht="16.5">
      <c r="E12001" s="123"/>
    </row>
    <row r="12002" spans="5:5" ht="16.5">
      <c r="E12002" s="123"/>
    </row>
    <row r="12003" spans="5:5" ht="16.5">
      <c r="E12003" s="123"/>
    </row>
    <row r="12004" spans="5:5" ht="16.5">
      <c r="E12004" s="123"/>
    </row>
    <row r="12005" spans="5:5" ht="16.5">
      <c r="E12005" s="123"/>
    </row>
    <row r="12006" spans="5:5" ht="16.5">
      <c r="E12006" s="123"/>
    </row>
    <row r="12007" spans="5:5" ht="16.5">
      <c r="E12007" s="123"/>
    </row>
    <row r="12008" spans="5:5" ht="16.5">
      <c r="E12008" s="123"/>
    </row>
    <row r="12009" spans="5:5" ht="16.5">
      <c r="E12009" s="123"/>
    </row>
    <row r="12010" spans="5:5" ht="16.5">
      <c r="E12010" s="123"/>
    </row>
    <row r="12011" spans="5:5" ht="16.5">
      <c r="E12011" s="123"/>
    </row>
    <row r="12012" spans="5:5" ht="16.5">
      <c r="E12012" s="123"/>
    </row>
    <row r="12013" spans="5:5" ht="16.5">
      <c r="E12013" s="123"/>
    </row>
    <row r="12014" spans="5:5" ht="16.5">
      <c r="E12014" s="123"/>
    </row>
    <row r="12015" spans="5:5" ht="16.5">
      <c r="E12015" s="123"/>
    </row>
    <row r="12016" spans="5:5" ht="16.5">
      <c r="E12016" s="123"/>
    </row>
    <row r="12017" spans="5:5" ht="16.5">
      <c r="E12017" s="123"/>
    </row>
    <row r="12018" spans="5:5" ht="16.5">
      <c r="E12018" s="123"/>
    </row>
    <row r="12019" spans="5:5" ht="16.5">
      <c r="E12019" s="123"/>
    </row>
    <row r="12020" spans="5:5" ht="16.5">
      <c r="E12020" s="123"/>
    </row>
    <row r="12021" spans="5:5" ht="16.5">
      <c r="E12021" s="123"/>
    </row>
    <row r="12022" spans="5:5" ht="16.5">
      <c r="E12022" s="123"/>
    </row>
    <row r="12023" spans="5:5" ht="16.5">
      <c r="E12023" s="123"/>
    </row>
    <row r="12024" spans="5:5" ht="16.5">
      <c r="E12024" s="123"/>
    </row>
    <row r="12025" spans="5:5" ht="16.5">
      <c r="E12025" s="123"/>
    </row>
    <row r="12026" spans="5:5" ht="16.5">
      <c r="E12026" s="123"/>
    </row>
    <row r="12027" spans="5:5" ht="16.5">
      <c r="E12027" s="123"/>
    </row>
    <row r="12028" spans="5:5" ht="16.5">
      <c r="E12028" s="123"/>
    </row>
    <row r="12029" spans="5:5" ht="16.5">
      <c r="E12029" s="123"/>
    </row>
    <row r="12030" spans="5:5" ht="16.5">
      <c r="E12030" s="123"/>
    </row>
    <row r="12031" spans="5:5" ht="16.5">
      <c r="E12031" s="123"/>
    </row>
    <row r="12032" spans="5:5" ht="16.5">
      <c r="E12032" s="123"/>
    </row>
    <row r="12033" spans="5:5" ht="16.5">
      <c r="E12033" s="123"/>
    </row>
    <row r="12034" spans="5:5" ht="16.5">
      <c r="E12034" s="123"/>
    </row>
    <row r="12035" spans="5:5" ht="16.5">
      <c r="E12035" s="123"/>
    </row>
    <row r="12036" spans="5:5" ht="16.5">
      <c r="E12036" s="123"/>
    </row>
    <row r="12037" spans="5:5" ht="16.5">
      <c r="E12037" s="123"/>
    </row>
    <row r="12038" spans="5:5" ht="16.5">
      <c r="E12038" s="123"/>
    </row>
    <row r="12039" spans="5:5" ht="16.5">
      <c r="E12039" s="123"/>
    </row>
    <row r="12040" spans="5:5" ht="16.5">
      <c r="E12040" s="123"/>
    </row>
    <row r="12041" spans="5:5" ht="16.5">
      <c r="E12041" s="123"/>
    </row>
    <row r="12042" spans="5:5" ht="16.5">
      <c r="E12042" s="123"/>
    </row>
    <row r="12043" spans="5:5" ht="16.5">
      <c r="E12043" s="123"/>
    </row>
    <row r="12044" spans="5:5" ht="16.5">
      <c r="E12044" s="123"/>
    </row>
    <row r="12045" spans="5:5" ht="16.5">
      <c r="E12045" s="123"/>
    </row>
    <row r="12046" spans="5:5" ht="16.5">
      <c r="E12046" s="123"/>
    </row>
    <row r="12047" spans="5:5" ht="16.5">
      <c r="E12047" s="123"/>
    </row>
    <row r="12048" spans="5:5" ht="16.5">
      <c r="E12048" s="123"/>
    </row>
    <row r="12049" spans="5:5" ht="16.5">
      <c r="E12049" s="123"/>
    </row>
    <row r="12050" spans="5:5" ht="16.5">
      <c r="E12050" s="123"/>
    </row>
    <row r="12051" spans="5:5" ht="16.5">
      <c r="E12051" s="123"/>
    </row>
    <row r="12052" spans="5:5" ht="16.5">
      <c r="E12052" s="123"/>
    </row>
    <row r="12053" spans="5:5" ht="16.5">
      <c r="E12053" s="123"/>
    </row>
    <row r="12054" spans="5:5" ht="16.5">
      <c r="E12054" s="123"/>
    </row>
    <row r="12055" spans="5:5" ht="16.5">
      <c r="E12055" s="123"/>
    </row>
    <row r="12056" spans="5:5" ht="16.5">
      <c r="E12056" s="123"/>
    </row>
    <row r="12057" spans="5:5" ht="16.5">
      <c r="E12057" s="123"/>
    </row>
    <row r="12058" spans="5:5" ht="16.5">
      <c r="E12058" s="123"/>
    </row>
    <row r="12059" spans="5:5" ht="16.5">
      <c r="E12059" s="123"/>
    </row>
    <row r="12060" spans="5:5" ht="16.5">
      <c r="E12060" s="123"/>
    </row>
    <row r="12061" spans="5:5" ht="16.5">
      <c r="E12061" s="123"/>
    </row>
    <row r="12062" spans="5:5" ht="16.5">
      <c r="E12062" s="123"/>
    </row>
    <row r="12063" spans="5:5" ht="16.5">
      <c r="E12063" s="123"/>
    </row>
    <row r="12064" spans="5:5" ht="16.5">
      <c r="E12064" s="123"/>
    </row>
    <row r="12065" spans="5:5" ht="16.5">
      <c r="E12065" s="123"/>
    </row>
    <row r="12066" spans="5:5" ht="16.5">
      <c r="E12066" s="123"/>
    </row>
    <row r="12067" spans="5:5" ht="16.5">
      <c r="E12067" s="123"/>
    </row>
    <row r="12068" spans="5:5" ht="16.5">
      <c r="E12068" s="123"/>
    </row>
    <row r="12069" spans="5:5" ht="16.5">
      <c r="E12069" s="123"/>
    </row>
    <row r="12070" spans="5:5" ht="16.5">
      <c r="E12070" s="123"/>
    </row>
    <row r="12071" spans="5:5" ht="16.5">
      <c r="E12071" s="123"/>
    </row>
    <row r="12072" spans="5:5" ht="16.5">
      <c r="E12072" s="123"/>
    </row>
    <row r="12073" spans="5:5" ht="16.5">
      <c r="E12073" s="123"/>
    </row>
    <row r="12074" spans="5:5" ht="16.5">
      <c r="E12074" s="123"/>
    </row>
    <row r="12075" spans="5:5" ht="16.5">
      <c r="E12075" s="123"/>
    </row>
    <row r="12076" spans="5:5" ht="16.5">
      <c r="E12076" s="123"/>
    </row>
    <row r="12077" spans="5:5" ht="16.5">
      <c r="E12077" s="123"/>
    </row>
    <row r="12078" spans="5:5" ht="16.5">
      <c r="E12078" s="123"/>
    </row>
    <row r="12079" spans="5:5" ht="16.5">
      <c r="E12079" s="123"/>
    </row>
    <row r="12080" spans="5:5" ht="16.5">
      <c r="E12080" s="123"/>
    </row>
    <row r="12081" spans="5:5" ht="16.5">
      <c r="E12081" s="123"/>
    </row>
    <row r="12082" spans="5:5" ht="16.5">
      <c r="E12082" s="123"/>
    </row>
    <row r="12083" spans="5:5" ht="16.5">
      <c r="E12083" s="123"/>
    </row>
    <row r="12084" spans="5:5" ht="16.5">
      <c r="E12084" s="123"/>
    </row>
    <row r="12085" spans="5:5" ht="16.5">
      <c r="E12085" s="123"/>
    </row>
    <row r="12086" spans="5:5" ht="16.5">
      <c r="E12086" s="123"/>
    </row>
    <row r="12087" spans="5:5" ht="16.5">
      <c r="E12087" s="123"/>
    </row>
    <row r="12088" spans="5:5" ht="16.5">
      <c r="E12088" s="123"/>
    </row>
    <row r="12089" spans="5:5" ht="16.5">
      <c r="E12089" s="123"/>
    </row>
    <row r="12090" spans="5:5" ht="16.5">
      <c r="E12090" s="123"/>
    </row>
    <row r="12091" spans="5:5" ht="16.5">
      <c r="E12091" s="123"/>
    </row>
    <row r="12092" spans="5:5" ht="16.5">
      <c r="E12092" s="123"/>
    </row>
    <row r="12093" spans="5:5" ht="16.5">
      <c r="E12093" s="123"/>
    </row>
    <row r="12094" spans="5:5" ht="16.5">
      <c r="E12094" s="123"/>
    </row>
    <row r="12095" spans="5:5" ht="16.5">
      <c r="E12095" s="123"/>
    </row>
    <row r="12096" spans="5:5" ht="16.5">
      <c r="E12096" s="123"/>
    </row>
    <row r="12097" spans="5:5" ht="16.5">
      <c r="E12097" s="123"/>
    </row>
    <row r="12098" spans="5:5" ht="16.5">
      <c r="E12098" s="123"/>
    </row>
    <row r="12099" spans="5:5" ht="16.5">
      <c r="E12099" s="123"/>
    </row>
    <row r="12100" spans="5:5" ht="16.5">
      <c r="E12100" s="123"/>
    </row>
    <row r="12101" spans="5:5" ht="16.5">
      <c r="E12101" s="123"/>
    </row>
    <row r="12102" spans="5:5" ht="16.5">
      <c r="E12102" s="123"/>
    </row>
    <row r="12103" spans="5:5" ht="16.5">
      <c r="E12103" s="123"/>
    </row>
    <row r="12104" spans="5:5" ht="16.5">
      <c r="E12104" s="123"/>
    </row>
    <row r="12105" spans="5:5" ht="16.5">
      <c r="E12105" s="123"/>
    </row>
    <row r="12106" spans="5:5" ht="16.5">
      <c r="E12106" s="123"/>
    </row>
    <row r="12107" spans="5:5" ht="16.5">
      <c r="E12107" s="123"/>
    </row>
    <row r="12108" spans="5:5" ht="16.5">
      <c r="E12108" s="123"/>
    </row>
    <row r="12109" spans="5:5" ht="16.5">
      <c r="E12109" s="123"/>
    </row>
    <row r="12110" spans="5:5" ht="16.5">
      <c r="E12110" s="123"/>
    </row>
    <row r="12111" spans="5:5" ht="16.5">
      <c r="E12111" s="123"/>
    </row>
    <row r="12112" spans="5:5" ht="16.5">
      <c r="E12112" s="123"/>
    </row>
    <row r="12113" spans="5:5" ht="16.5">
      <c r="E12113" s="123"/>
    </row>
    <row r="12114" spans="5:5" ht="16.5">
      <c r="E12114" s="123"/>
    </row>
    <row r="12115" spans="5:5" ht="16.5">
      <c r="E12115" s="123"/>
    </row>
    <row r="12116" spans="5:5" ht="16.5">
      <c r="E12116" s="123"/>
    </row>
    <row r="12117" spans="5:5" ht="16.5">
      <c r="E12117" s="123"/>
    </row>
    <row r="12118" spans="5:5" ht="16.5">
      <c r="E12118" s="123"/>
    </row>
    <row r="12119" spans="5:5" ht="16.5">
      <c r="E12119" s="123"/>
    </row>
    <row r="12120" spans="5:5" ht="16.5">
      <c r="E12120" s="123"/>
    </row>
    <row r="12121" spans="5:5" ht="16.5">
      <c r="E12121" s="123"/>
    </row>
    <row r="12122" spans="5:5" ht="16.5">
      <c r="E12122" s="123"/>
    </row>
    <row r="12123" spans="5:5" ht="16.5">
      <c r="E12123" s="123"/>
    </row>
    <row r="12124" spans="5:5" ht="16.5">
      <c r="E12124" s="123"/>
    </row>
    <row r="12125" spans="5:5" ht="16.5">
      <c r="E12125" s="123"/>
    </row>
    <row r="12126" spans="5:5" ht="16.5">
      <c r="E12126" s="123"/>
    </row>
    <row r="12127" spans="5:5" ht="16.5">
      <c r="E12127" s="123"/>
    </row>
    <row r="12128" spans="5:5" ht="16.5">
      <c r="E12128" s="123"/>
    </row>
    <row r="12129" spans="5:5" ht="16.5">
      <c r="E12129" s="123"/>
    </row>
    <row r="12130" spans="5:5" ht="16.5">
      <c r="E12130" s="123"/>
    </row>
    <row r="12131" spans="5:5" ht="16.5">
      <c r="E12131" s="123"/>
    </row>
    <row r="12132" spans="5:5" ht="16.5">
      <c r="E12132" s="123"/>
    </row>
    <row r="12133" spans="5:5" ht="16.5">
      <c r="E12133" s="123"/>
    </row>
    <row r="12134" spans="5:5" ht="16.5">
      <c r="E12134" s="123"/>
    </row>
    <row r="12135" spans="5:5" ht="16.5">
      <c r="E12135" s="123"/>
    </row>
    <row r="12136" spans="5:5" ht="16.5">
      <c r="E12136" s="123"/>
    </row>
    <row r="12137" spans="5:5" ht="16.5">
      <c r="E12137" s="123"/>
    </row>
    <row r="12138" spans="5:5" ht="16.5">
      <c r="E12138" s="123"/>
    </row>
    <row r="12139" spans="5:5" ht="16.5">
      <c r="E12139" s="123"/>
    </row>
    <row r="12140" spans="5:5" ht="16.5">
      <c r="E12140" s="123"/>
    </row>
    <row r="12141" spans="5:5" ht="16.5">
      <c r="E12141" s="123"/>
    </row>
    <row r="12142" spans="5:5" ht="16.5">
      <c r="E12142" s="123"/>
    </row>
    <row r="12143" spans="5:5" ht="16.5">
      <c r="E12143" s="123"/>
    </row>
    <row r="12144" spans="5:5" ht="16.5">
      <c r="E12144" s="123"/>
    </row>
    <row r="12145" spans="5:5" ht="16.5">
      <c r="E12145" s="123"/>
    </row>
    <row r="12146" spans="5:5" ht="16.5">
      <c r="E12146" s="123"/>
    </row>
    <row r="12147" spans="5:5" ht="16.5">
      <c r="E12147" s="123"/>
    </row>
    <row r="12148" spans="5:5" ht="16.5">
      <c r="E12148" s="123"/>
    </row>
    <row r="12149" spans="5:5" ht="16.5">
      <c r="E12149" s="123"/>
    </row>
    <row r="12150" spans="5:5" ht="16.5">
      <c r="E12150" s="123"/>
    </row>
    <row r="12151" spans="5:5" ht="16.5">
      <c r="E12151" s="123"/>
    </row>
    <row r="12152" spans="5:5" ht="16.5">
      <c r="E12152" s="123"/>
    </row>
    <row r="12153" spans="5:5" ht="16.5">
      <c r="E12153" s="123"/>
    </row>
    <row r="12154" spans="5:5" ht="16.5">
      <c r="E12154" s="123"/>
    </row>
    <row r="12155" spans="5:5" ht="16.5">
      <c r="E12155" s="123"/>
    </row>
    <row r="12156" spans="5:5" ht="16.5">
      <c r="E12156" s="123"/>
    </row>
    <row r="12157" spans="5:5" ht="16.5">
      <c r="E12157" s="123"/>
    </row>
    <row r="12158" spans="5:5" ht="16.5">
      <c r="E12158" s="123"/>
    </row>
    <row r="12159" spans="5:5" ht="16.5">
      <c r="E12159" s="123"/>
    </row>
    <row r="12160" spans="5:5" ht="16.5">
      <c r="E12160" s="123"/>
    </row>
    <row r="12161" spans="5:5" ht="16.5">
      <c r="E12161" s="123"/>
    </row>
    <row r="12162" spans="5:5" ht="16.5">
      <c r="E12162" s="123"/>
    </row>
    <row r="12163" spans="5:5" ht="16.5">
      <c r="E12163" s="123"/>
    </row>
    <row r="12164" spans="5:5" ht="16.5">
      <c r="E12164" s="123"/>
    </row>
    <row r="12165" spans="5:5" ht="16.5">
      <c r="E12165" s="123"/>
    </row>
    <row r="12166" spans="5:5" ht="16.5">
      <c r="E12166" s="123"/>
    </row>
    <row r="12167" spans="5:5" ht="16.5">
      <c r="E12167" s="123"/>
    </row>
    <row r="12168" spans="5:5" ht="16.5">
      <c r="E12168" s="123"/>
    </row>
    <row r="12169" spans="5:5" ht="16.5">
      <c r="E12169" s="123"/>
    </row>
    <row r="12170" spans="5:5" ht="16.5">
      <c r="E12170" s="123"/>
    </row>
    <row r="12171" spans="5:5" ht="16.5">
      <c r="E12171" s="123"/>
    </row>
    <row r="12172" spans="5:5" ht="16.5">
      <c r="E12172" s="123"/>
    </row>
    <row r="12173" spans="5:5" ht="16.5">
      <c r="E12173" s="123"/>
    </row>
    <row r="12174" spans="5:5" ht="16.5">
      <c r="E12174" s="123"/>
    </row>
    <row r="12175" spans="5:5" ht="16.5">
      <c r="E12175" s="123"/>
    </row>
    <row r="12176" spans="5:5" ht="16.5">
      <c r="E12176" s="123"/>
    </row>
    <row r="12177" spans="5:5" ht="16.5">
      <c r="E12177" s="123"/>
    </row>
    <row r="12178" spans="5:5" ht="16.5">
      <c r="E12178" s="123"/>
    </row>
    <row r="12179" spans="5:5" ht="16.5">
      <c r="E12179" s="123"/>
    </row>
    <row r="12180" spans="5:5" ht="16.5">
      <c r="E12180" s="123"/>
    </row>
    <row r="12181" spans="5:5" ht="16.5">
      <c r="E12181" s="123"/>
    </row>
    <row r="12182" spans="5:5" ht="16.5">
      <c r="E12182" s="123"/>
    </row>
    <row r="12183" spans="5:5" ht="16.5">
      <c r="E12183" s="123"/>
    </row>
    <row r="12184" spans="5:5" ht="16.5">
      <c r="E12184" s="123"/>
    </row>
    <row r="12185" spans="5:5" ht="16.5">
      <c r="E12185" s="123"/>
    </row>
    <row r="12186" spans="5:5" ht="16.5">
      <c r="E12186" s="123"/>
    </row>
    <row r="12187" spans="5:5" ht="16.5">
      <c r="E12187" s="123"/>
    </row>
    <row r="12188" spans="5:5" ht="16.5">
      <c r="E12188" s="123"/>
    </row>
    <row r="12189" spans="5:5" ht="16.5">
      <c r="E12189" s="123"/>
    </row>
    <row r="12190" spans="5:5" ht="16.5">
      <c r="E12190" s="123"/>
    </row>
    <row r="12191" spans="5:5" ht="16.5">
      <c r="E12191" s="123"/>
    </row>
    <row r="12192" spans="5:5" ht="16.5">
      <c r="E12192" s="123"/>
    </row>
    <row r="12193" spans="5:5" ht="16.5">
      <c r="E12193" s="123"/>
    </row>
    <row r="12194" spans="5:5" ht="16.5">
      <c r="E12194" s="123"/>
    </row>
    <row r="12195" spans="5:5" ht="16.5">
      <c r="E12195" s="123"/>
    </row>
    <row r="12196" spans="5:5" ht="16.5">
      <c r="E12196" s="123"/>
    </row>
    <row r="12197" spans="5:5" ht="16.5">
      <c r="E12197" s="123"/>
    </row>
    <row r="12198" spans="5:5" ht="16.5">
      <c r="E12198" s="123"/>
    </row>
    <row r="12199" spans="5:5" ht="16.5">
      <c r="E12199" s="123"/>
    </row>
    <row r="12200" spans="5:5" ht="16.5">
      <c r="E12200" s="123"/>
    </row>
    <row r="12201" spans="5:5" ht="16.5">
      <c r="E12201" s="123"/>
    </row>
    <row r="12202" spans="5:5" ht="16.5">
      <c r="E12202" s="123"/>
    </row>
    <row r="12203" spans="5:5" ht="16.5">
      <c r="E12203" s="123"/>
    </row>
    <row r="12204" spans="5:5" ht="16.5">
      <c r="E12204" s="123"/>
    </row>
    <row r="12205" spans="5:5" ht="16.5">
      <c r="E12205" s="123"/>
    </row>
    <row r="12206" spans="5:5" ht="16.5">
      <c r="E12206" s="123"/>
    </row>
    <row r="12207" spans="5:5" ht="16.5">
      <c r="E12207" s="123"/>
    </row>
    <row r="12208" spans="5:5" ht="16.5">
      <c r="E12208" s="123"/>
    </row>
    <row r="12209" spans="5:5" ht="16.5">
      <c r="E12209" s="123"/>
    </row>
    <row r="12210" spans="5:5" ht="16.5">
      <c r="E12210" s="123"/>
    </row>
    <row r="12211" spans="5:5" ht="16.5">
      <c r="E12211" s="123"/>
    </row>
    <row r="12212" spans="5:5" ht="16.5">
      <c r="E12212" s="123"/>
    </row>
    <row r="12213" spans="5:5" ht="16.5">
      <c r="E12213" s="123"/>
    </row>
    <row r="12214" spans="5:5" ht="16.5">
      <c r="E12214" s="123"/>
    </row>
    <row r="12215" spans="5:5" ht="16.5">
      <c r="E12215" s="123"/>
    </row>
    <row r="12216" spans="5:5" ht="16.5">
      <c r="E12216" s="123"/>
    </row>
    <row r="12217" spans="5:5" ht="16.5">
      <c r="E12217" s="123"/>
    </row>
    <row r="12218" spans="5:5" ht="16.5">
      <c r="E12218" s="123"/>
    </row>
    <row r="12219" spans="5:5" ht="16.5">
      <c r="E12219" s="123"/>
    </row>
    <row r="12220" spans="5:5" ht="16.5">
      <c r="E12220" s="123"/>
    </row>
    <row r="12221" spans="5:5" ht="16.5">
      <c r="E12221" s="123"/>
    </row>
    <row r="12222" spans="5:5" ht="16.5">
      <c r="E12222" s="123"/>
    </row>
    <row r="12223" spans="5:5" ht="16.5">
      <c r="E12223" s="123"/>
    </row>
    <row r="12224" spans="5:5" ht="16.5">
      <c r="E12224" s="123"/>
    </row>
    <row r="12225" spans="5:5" ht="16.5">
      <c r="E12225" s="123"/>
    </row>
    <row r="12226" spans="5:5" ht="16.5">
      <c r="E12226" s="123"/>
    </row>
    <row r="12227" spans="5:5" ht="16.5">
      <c r="E12227" s="123"/>
    </row>
    <row r="12228" spans="5:5" ht="16.5">
      <c r="E12228" s="123"/>
    </row>
    <row r="12229" spans="5:5" ht="16.5">
      <c r="E12229" s="123"/>
    </row>
    <row r="12230" spans="5:5" ht="16.5">
      <c r="E12230" s="123"/>
    </row>
    <row r="12231" spans="5:5" ht="16.5">
      <c r="E12231" s="123"/>
    </row>
    <row r="12232" spans="5:5" ht="16.5">
      <c r="E12232" s="123"/>
    </row>
    <row r="12233" spans="5:5" ht="16.5">
      <c r="E12233" s="123"/>
    </row>
    <row r="12234" spans="5:5" ht="16.5">
      <c r="E12234" s="123"/>
    </row>
    <row r="12235" spans="5:5" ht="16.5">
      <c r="E12235" s="123"/>
    </row>
    <row r="12236" spans="5:5" ht="16.5">
      <c r="E12236" s="123"/>
    </row>
    <row r="12237" spans="5:5" ht="16.5">
      <c r="E12237" s="123"/>
    </row>
    <row r="12238" spans="5:5" ht="16.5">
      <c r="E12238" s="123"/>
    </row>
    <row r="12239" spans="5:5" ht="16.5">
      <c r="E12239" s="123"/>
    </row>
    <row r="12240" spans="5:5" ht="16.5">
      <c r="E12240" s="123"/>
    </row>
    <row r="12241" spans="5:5" ht="16.5">
      <c r="E12241" s="123"/>
    </row>
    <row r="12242" spans="5:5" ht="16.5">
      <c r="E12242" s="123"/>
    </row>
    <row r="12243" spans="5:5" ht="16.5">
      <c r="E12243" s="123"/>
    </row>
    <row r="12244" spans="5:5" ht="16.5">
      <c r="E12244" s="123"/>
    </row>
    <row r="12245" spans="5:5" ht="16.5">
      <c r="E12245" s="123"/>
    </row>
    <row r="12246" spans="5:5" ht="16.5">
      <c r="E12246" s="123"/>
    </row>
    <row r="12247" spans="5:5" ht="16.5">
      <c r="E12247" s="123"/>
    </row>
    <row r="12248" spans="5:5" ht="16.5">
      <c r="E12248" s="123"/>
    </row>
    <row r="12249" spans="5:5" ht="16.5">
      <c r="E12249" s="123"/>
    </row>
    <row r="12250" spans="5:5" ht="16.5">
      <c r="E12250" s="123"/>
    </row>
    <row r="12251" spans="5:5" ht="16.5">
      <c r="E12251" s="123"/>
    </row>
    <row r="12252" spans="5:5" ht="16.5">
      <c r="E12252" s="123"/>
    </row>
    <row r="12253" spans="5:5" ht="16.5">
      <c r="E12253" s="123"/>
    </row>
    <row r="12254" spans="5:5" ht="16.5">
      <c r="E12254" s="123"/>
    </row>
    <row r="12255" spans="5:5" ht="16.5">
      <c r="E12255" s="123"/>
    </row>
    <row r="12256" spans="5:5" ht="16.5">
      <c r="E12256" s="123"/>
    </row>
    <row r="12257" spans="5:5" ht="16.5">
      <c r="E12257" s="123"/>
    </row>
    <row r="12258" spans="5:5" ht="16.5">
      <c r="E12258" s="123"/>
    </row>
    <row r="12259" spans="5:5" ht="16.5">
      <c r="E12259" s="123"/>
    </row>
    <row r="12260" spans="5:5" ht="16.5">
      <c r="E12260" s="123"/>
    </row>
    <row r="12261" spans="5:5" ht="16.5">
      <c r="E12261" s="123"/>
    </row>
    <row r="12262" spans="5:5" ht="16.5">
      <c r="E12262" s="123"/>
    </row>
    <row r="12263" spans="5:5" ht="16.5">
      <c r="E12263" s="123"/>
    </row>
    <row r="12264" spans="5:5" ht="16.5">
      <c r="E12264" s="123"/>
    </row>
    <row r="12265" spans="5:5" ht="16.5">
      <c r="E12265" s="123"/>
    </row>
    <row r="12266" spans="5:5" ht="16.5">
      <c r="E12266" s="123"/>
    </row>
    <row r="12267" spans="5:5" ht="16.5">
      <c r="E12267" s="123"/>
    </row>
    <row r="12268" spans="5:5" ht="16.5">
      <c r="E12268" s="123"/>
    </row>
    <row r="12269" spans="5:5" ht="16.5">
      <c r="E12269" s="123"/>
    </row>
    <row r="12270" spans="5:5" ht="16.5">
      <c r="E12270" s="123"/>
    </row>
    <row r="12271" spans="5:5" ht="16.5">
      <c r="E12271" s="123"/>
    </row>
    <row r="12272" spans="5:5" ht="16.5">
      <c r="E12272" s="123"/>
    </row>
    <row r="12273" spans="5:5" ht="16.5">
      <c r="E12273" s="123"/>
    </row>
    <row r="12274" spans="5:5" ht="16.5">
      <c r="E12274" s="123"/>
    </row>
    <row r="12275" spans="5:5" ht="16.5">
      <c r="E12275" s="123"/>
    </row>
    <row r="12276" spans="5:5" ht="16.5">
      <c r="E12276" s="123"/>
    </row>
    <row r="12277" spans="5:5" ht="16.5">
      <c r="E12277" s="123"/>
    </row>
    <row r="12278" spans="5:5" ht="16.5">
      <c r="E12278" s="123"/>
    </row>
    <row r="12279" spans="5:5" ht="16.5">
      <c r="E12279" s="123"/>
    </row>
    <row r="12280" spans="5:5" ht="16.5">
      <c r="E12280" s="123"/>
    </row>
    <row r="12281" spans="5:5" ht="16.5">
      <c r="E12281" s="123"/>
    </row>
    <row r="12282" spans="5:5" ht="16.5">
      <c r="E12282" s="123"/>
    </row>
    <row r="12283" spans="5:5" ht="16.5">
      <c r="E12283" s="123"/>
    </row>
    <row r="12284" spans="5:5" ht="16.5">
      <c r="E12284" s="123"/>
    </row>
    <row r="12285" spans="5:5" ht="16.5">
      <c r="E12285" s="123"/>
    </row>
    <row r="12286" spans="5:5" ht="16.5">
      <c r="E12286" s="123"/>
    </row>
    <row r="12287" spans="5:5" ht="16.5">
      <c r="E12287" s="123"/>
    </row>
    <row r="12288" spans="5:5" ht="16.5">
      <c r="E12288" s="123"/>
    </row>
    <row r="12289" spans="5:5" ht="16.5">
      <c r="E12289" s="123"/>
    </row>
    <row r="12290" spans="5:5" ht="16.5">
      <c r="E12290" s="123"/>
    </row>
    <row r="12291" spans="5:5" ht="16.5">
      <c r="E12291" s="123"/>
    </row>
    <row r="12292" spans="5:5" ht="16.5">
      <c r="E12292" s="123"/>
    </row>
    <row r="12293" spans="5:5" ht="16.5">
      <c r="E12293" s="123"/>
    </row>
    <row r="12294" spans="5:5" ht="16.5">
      <c r="E12294" s="123"/>
    </row>
    <row r="12295" spans="5:5" ht="16.5">
      <c r="E12295" s="123"/>
    </row>
    <row r="12296" spans="5:5" ht="16.5">
      <c r="E12296" s="123"/>
    </row>
    <row r="12297" spans="5:5" ht="16.5">
      <c r="E12297" s="123"/>
    </row>
    <row r="12298" spans="5:5" ht="16.5">
      <c r="E12298" s="123"/>
    </row>
    <row r="12299" spans="5:5" ht="16.5">
      <c r="E12299" s="123"/>
    </row>
    <row r="12300" spans="5:5" ht="16.5">
      <c r="E12300" s="123"/>
    </row>
    <row r="12301" spans="5:5" ht="16.5">
      <c r="E12301" s="123"/>
    </row>
    <row r="12302" spans="5:5" ht="16.5">
      <c r="E12302" s="123"/>
    </row>
    <row r="12303" spans="5:5" ht="16.5">
      <c r="E12303" s="123"/>
    </row>
    <row r="12304" spans="5:5" ht="16.5">
      <c r="E12304" s="123"/>
    </row>
    <row r="12305" spans="5:5" ht="16.5">
      <c r="E12305" s="123"/>
    </row>
    <row r="12306" spans="5:5" ht="16.5">
      <c r="E12306" s="123"/>
    </row>
    <row r="12307" spans="5:5" ht="16.5">
      <c r="E12307" s="123"/>
    </row>
    <row r="12308" spans="5:5" ht="16.5">
      <c r="E12308" s="123"/>
    </row>
    <row r="12309" spans="5:5" ht="16.5">
      <c r="E12309" s="123"/>
    </row>
    <row r="12310" spans="5:5" ht="16.5">
      <c r="E12310" s="123"/>
    </row>
    <row r="12311" spans="5:5" ht="16.5">
      <c r="E12311" s="123"/>
    </row>
    <row r="12312" spans="5:5" ht="16.5">
      <c r="E12312" s="123"/>
    </row>
    <row r="12313" spans="5:5" ht="16.5">
      <c r="E12313" s="123"/>
    </row>
    <row r="12314" spans="5:5" ht="16.5">
      <c r="E12314" s="123"/>
    </row>
    <row r="12315" spans="5:5" ht="16.5">
      <c r="E12315" s="123"/>
    </row>
    <row r="12316" spans="5:5" ht="16.5">
      <c r="E12316" s="123"/>
    </row>
    <row r="12317" spans="5:5" ht="16.5">
      <c r="E12317" s="123"/>
    </row>
    <row r="12318" spans="5:5" ht="16.5">
      <c r="E12318" s="123"/>
    </row>
    <row r="12319" spans="5:5" ht="16.5">
      <c r="E12319" s="123"/>
    </row>
    <row r="12320" spans="5:5" ht="16.5">
      <c r="E12320" s="123"/>
    </row>
    <row r="12321" spans="5:5" ht="16.5">
      <c r="E12321" s="123"/>
    </row>
    <row r="12322" spans="5:5" ht="16.5">
      <c r="E12322" s="123"/>
    </row>
    <row r="12323" spans="5:5" ht="16.5">
      <c r="E12323" s="123"/>
    </row>
    <row r="12324" spans="5:5" ht="16.5">
      <c r="E12324" s="123"/>
    </row>
    <row r="12325" spans="5:5" ht="16.5">
      <c r="E12325" s="123"/>
    </row>
    <row r="12326" spans="5:5" ht="16.5">
      <c r="E12326" s="123"/>
    </row>
    <row r="12327" spans="5:5" ht="16.5">
      <c r="E12327" s="123"/>
    </row>
    <row r="12328" spans="5:5" ht="16.5">
      <c r="E12328" s="123"/>
    </row>
    <row r="12329" spans="5:5" ht="16.5">
      <c r="E12329" s="123"/>
    </row>
    <row r="12330" spans="5:5" ht="16.5">
      <c r="E12330" s="123"/>
    </row>
    <row r="12331" spans="5:5" ht="16.5">
      <c r="E12331" s="123"/>
    </row>
    <row r="12332" spans="5:5" ht="16.5">
      <c r="E12332" s="123"/>
    </row>
    <row r="12333" spans="5:5" ht="16.5">
      <c r="E12333" s="123"/>
    </row>
    <row r="12334" spans="5:5" ht="16.5">
      <c r="E12334" s="123"/>
    </row>
    <row r="12335" spans="5:5" ht="16.5">
      <c r="E12335" s="123"/>
    </row>
    <row r="12336" spans="5:5" ht="16.5">
      <c r="E12336" s="123"/>
    </row>
    <row r="12337" spans="5:5" ht="16.5">
      <c r="E12337" s="123"/>
    </row>
    <row r="12338" spans="5:5" ht="16.5">
      <c r="E12338" s="123"/>
    </row>
    <row r="12339" spans="5:5" ht="16.5">
      <c r="E12339" s="123"/>
    </row>
    <row r="12340" spans="5:5" ht="16.5">
      <c r="E12340" s="123"/>
    </row>
    <row r="12341" spans="5:5" ht="16.5">
      <c r="E12341" s="123"/>
    </row>
    <row r="12342" spans="5:5" ht="16.5">
      <c r="E12342" s="123"/>
    </row>
    <row r="12343" spans="5:5" ht="16.5">
      <c r="E12343" s="123"/>
    </row>
    <row r="12344" spans="5:5" ht="16.5">
      <c r="E12344" s="123"/>
    </row>
    <row r="12345" spans="5:5" ht="16.5">
      <c r="E12345" s="123"/>
    </row>
    <row r="12346" spans="5:5" ht="16.5">
      <c r="E12346" s="123"/>
    </row>
    <row r="12347" spans="5:5" ht="16.5">
      <c r="E12347" s="123"/>
    </row>
    <row r="12348" spans="5:5" ht="16.5">
      <c r="E12348" s="123"/>
    </row>
    <row r="12349" spans="5:5" ht="16.5">
      <c r="E12349" s="123"/>
    </row>
    <row r="12350" spans="5:5" ht="16.5">
      <c r="E12350" s="123"/>
    </row>
    <row r="12351" spans="5:5" ht="16.5">
      <c r="E12351" s="123"/>
    </row>
    <row r="12352" spans="5:5" ht="16.5">
      <c r="E12352" s="123"/>
    </row>
    <row r="12353" spans="5:5" ht="16.5">
      <c r="E12353" s="123"/>
    </row>
    <row r="12354" spans="5:5" ht="16.5">
      <c r="E12354" s="123"/>
    </row>
    <row r="12355" spans="5:5" ht="16.5">
      <c r="E12355" s="123"/>
    </row>
    <row r="12356" spans="5:5" ht="16.5">
      <c r="E12356" s="123"/>
    </row>
    <row r="12357" spans="5:5" ht="16.5">
      <c r="E12357" s="123"/>
    </row>
    <row r="12358" spans="5:5" ht="16.5">
      <c r="E12358" s="123"/>
    </row>
    <row r="12359" spans="5:5" ht="16.5">
      <c r="E12359" s="123"/>
    </row>
    <row r="12360" spans="5:5" ht="16.5">
      <c r="E12360" s="123"/>
    </row>
    <row r="12361" spans="5:5" ht="16.5">
      <c r="E12361" s="123"/>
    </row>
    <row r="12362" spans="5:5" ht="16.5">
      <c r="E12362" s="123"/>
    </row>
    <row r="12363" spans="5:5" ht="16.5">
      <c r="E12363" s="123"/>
    </row>
    <row r="12364" spans="5:5" ht="16.5">
      <c r="E12364" s="123"/>
    </row>
    <row r="12365" spans="5:5" ht="16.5">
      <c r="E12365" s="123"/>
    </row>
    <row r="12366" spans="5:5" ht="16.5">
      <c r="E12366" s="123"/>
    </row>
    <row r="12367" spans="5:5" ht="16.5">
      <c r="E12367" s="123"/>
    </row>
    <row r="12368" spans="5:5" ht="16.5">
      <c r="E12368" s="123"/>
    </row>
    <row r="12369" spans="5:5" ht="16.5">
      <c r="E12369" s="123"/>
    </row>
    <row r="12370" spans="5:5" ht="16.5">
      <c r="E12370" s="123"/>
    </row>
    <row r="12371" spans="5:5" ht="16.5">
      <c r="E12371" s="123"/>
    </row>
    <row r="12372" spans="5:5" ht="16.5">
      <c r="E12372" s="123"/>
    </row>
    <row r="12373" spans="5:5" ht="16.5">
      <c r="E12373" s="123"/>
    </row>
    <row r="12374" spans="5:5" ht="16.5">
      <c r="E12374" s="123"/>
    </row>
    <row r="12375" spans="5:5" ht="16.5">
      <c r="E12375" s="123"/>
    </row>
    <row r="12376" spans="5:5" ht="16.5">
      <c r="E12376" s="123"/>
    </row>
    <row r="12377" spans="5:5" ht="16.5">
      <c r="E12377" s="123"/>
    </row>
    <row r="12378" spans="5:5" ht="16.5">
      <c r="E12378" s="123"/>
    </row>
    <row r="12379" spans="5:5" ht="16.5">
      <c r="E12379" s="123"/>
    </row>
    <row r="12380" spans="5:5" ht="16.5">
      <c r="E12380" s="123"/>
    </row>
    <row r="12381" spans="5:5" ht="16.5">
      <c r="E12381" s="123"/>
    </row>
    <row r="12382" spans="5:5" ht="16.5">
      <c r="E12382" s="123"/>
    </row>
    <row r="12383" spans="5:5" ht="16.5">
      <c r="E12383" s="123"/>
    </row>
    <row r="12384" spans="5:5" ht="16.5">
      <c r="E12384" s="123"/>
    </row>
    <row r="12385" spans="5:5" ht="16.5">
      <c r="E12385" s="123"/>
    </row>
    <row r="12386" spans="5:5" ht="16.5">
      <c r="E12386" s="123"/>
    </row>
    <row r="12387" spans="5:5" ht="16.5">
      <c r="E12387" s="123"/>
    </row>
    <row r="12388" spans="5:5" ht="16.5">
      <c r="E12388" s="123"/>
    </row>
    <row r="12389" spans="5:5" ht="16.5">
      <c r="E12389" s="123"/>
    </row>
    <row r="12390" spans="5:5" ht="16.5">
      <c r="E12390" s="123"/>
    </row>
    <row r="12391" spans="5:5" ht="16.5">
      <c r="E12391" s="123"/>
    </row>
    <row r="12392" spans="5:5" ht="16.5">
      <c r="E12392" s="123"/>
    </row>
    <row r="12393" spans="5:5" ht="16.5">
      <c r="E12393" s="123"/>
    </row>
    <row r="12394" spans="5:5" ht="16.5">
      <c r="E12394" s="123"/>
    </row>
    <row r="12395" spans="5:5" ht="16.5">
      <c r="E12395" s="123"/>
    </row>
    <row r="12396" spans="5:5" ht="16.5">
      <c r="E12396" s="123"/>
    </row>
    <row r="12397" spans="5:5" ht="16.5">
      <c r="E12397" s="123"/>
    </row>
    <row r="12398" spans="5:5" ht="16.5">
      <c r="E12398" s="123"/>
    </row>
    <row r="12399" spans="5:5" ht="16.5">
      <c r="E12399" s="123"/>
    </row>
    <row r="12400" spans="5:5" ht="16.5">
      <c r="E12400" s="123"/>
    </row>
    <row r="12401" spans="5:5" ht="16.5">
      <c r="E12401" s="123"/>
    </row>
    <row r="12402" spans="5:5" ht="16.5">
      <c r="E12402" s="123"/>
    </row>
    <row r="12403" spans="5:5" ht="16.5">
      <c r="E12403" s="123"/>
    </row>
    <row r="12404" spans="5:5" ht="16.5">
      <c r="E12404" s="123"/>
    </row>
    <row r="12405" spans="5:5" ht="16.5">
      <c r="E12405" s="123"/>
    </row>
    <row r="12406" spans="5:5" ht="16.5">
      <c r="E12406" s="123"/>
    </row>
    <row r="12407" spans="5:5" ht="16.5">
      <c r="E12407" s="123"/>
    </row>
    <row r="12408" spans="5:5" ht="16.5">
      <c r="E12408" s="123"/>
    </row>
    <row r="12409" spans="5:5" ht="16.5">
      <c r="E12409" s="123"/>
    </row>
    <row r="12410" spans="5:5" ht="16.5">
      <c r="E12410" s="123"/>
    </row>
    <row r="12411" spans="5:5" ht="16.5">
      <c r="E12411" s="123"/>
    </row>
    <row r="12412" spans="5:5" ht="16.5">
      <c r="E12412" s="123"/>
    </row>
    <row r="12413" spans="5:5" ht="16.5">
      <c r="E12413" s="123"/>
    </row>
    <row r="12414" spans="5:5" ht="16.5">
      <c r="E12414" s="123"/>
    </row>
    <row r="12415" spans="5:5" ht="16.5">
      <c r="E12415" s="123"/>
    </row>
    <row r="12416" spans="5:5" ht="16.5">
      <c r="E12416" s="123"/>
    </row>
    <row r="12417" spans="5:5" ht="16.5">
      <c r="E12417" s="123"/>
    </row>
    <row r="12418" spans="5:5" ht="16.5">
      <c r="E12418" s="123"/>
    </row>
    <row r="12419" spans="5:5" ht="16.5">
      <c r="E12419" s="123"/>
    </row>
    <row r="12420" spans="5:5" ht="16.5">
      <c r="E12420" s="123"/>
    </row>
    <row r="12421" spans="5:5" ht="16.5">
      <c r="E12421" s="123"/>
    </row>
    <row r="12422" spans="5:5" ht="16.5">
      <c r="E12422" s="123"/>
    </row>
    <row r="12423" spans="5:5" ht="16.5">
      <c r="E12423" s="123"/>
    </row>
    <row r="12424" spans="5:5" ht="16.5">
      <c r="E12424" s="123"/>
    </row>
    <row r="12425" spans="5:5" ht="16.5">
      <c r="E12425" s="123"/>
    </row>
    <row r="12426" spans="5:5" ht="16.5">
      <c r="E12426" s="123"/>
    </row>
    <row r="12427" spans="5:5" ht="16.5">
      <c r="E12427" s="123"/>
    </row>
    <row r="12428" spans="5:5" ht="16.5">
      <c r="E12428" s="123"/>
    </row>
    <row r="12429" spans="5:5" ht="16.5">
      <c r="E12429" s="123"/>
    </row>
    <row r="12430" spans="5:5" ht="16.5">
      <c r="E12430" s="123"/>
    </row>
    <row r="12431" spans="5:5" ht="16.5">
      <c r="E12431" s="123"/>
    </row>
    <row r="12432" spans="5:5" ht="16.5">
      <c r="E12432" s="123"/>
    </row>
    <row r="12433" spans="5:5" ht="16.5">
      <c r="E12433" s="123"/>
    </row>
    <row r="12434" spans="5:5" ht="16.5">
      <c r="E12434" s="123"/>
    </row>
    <row r="12435" spans="5:5" ht="16.5">
      <c r="E12435" s="123"/>
    </row>
    <row r="12436" spans="5:5" ht="16.5">
      <c r="E12436" s="123"/>
    </row>
    <row r="12437" spans="5:5" ht="16.5">
      <c r="E12437" s="123"/>
    </row>
    <row r="12438" spans="5:5" ht="16.5">
      <c r="E12438" s="123"/>
    </row>
    <row r="12439" spans="5:5" ht="16.5">
      <c r="E12439" s="123"/>
    </row>
    <row r="12440" spans="5:5" ht="16.5">
      <c r="E12440" s="123"/>
    </row>
    <row r="12441" spans="5:5" ht="16.5">
      <c r="E12441" s="123"/>
    </row>
    <row r="12442" spans="5:5" ht="16.5">
      <c r="E12442" s="123"/>
    </row>
    <row r="12443" spans="5:5" ht="16.5">
      <c r="E12443" s="123"/>
    </row>
    <row r="12444" spans="5:5" ht="16.5">
      <c r="E12444" s="123"/>
    </row>
    <row r="12445" spans="5:5" ht="16.5">
      <c r="E12445" s="123"/>
    </row>
    <row r="12446" spans="5:5" ht="16.5">
      <c r="E12446" s="123"/>
    </row>
    <row r="12447" spans="5:5" ht="16.5">
      <c r="E12447" s="123"/>
    </row>
    <row r="12448" spans="5:5" ht="16.5">
      <c r="E12448" s="123"/>
    </row>
    <row r="12449" spans="5:5" ht="16.5">
      <c r="E12449" s="123"/>
    </row>
    <row r="12450" spans="5:5" ht="16.5">
      <c r="E12450" s="123"/>
    </row>
    <row r="12451" spans="5:5" ht="16.5">
      <c r="E12451" s="123"/>
    </row>
    <row r="12452" spans="5:5" ht="16.5">
      <c r="E12452" s="123"/>
    </row>
    <row r="12453" spans="5:5" ht="16.5">
      <c r="E12453" s="123"/>
    </row>
    <row r="12454" spans="5:5" ht="16.5">
      <c r="E12454" s="123"/>
    </row>
    <row r="12455" spans="5:5" ht="16.5">
      <c r="E12455" s="123"/>
    </row>
    <row r="12456" spans="5:5" ht="16.5">
      <c r="E12456" s="123"/>
    </row>
    <row r="12457" spans="5:5" ht="16.5">
      <c r="E12457" s="123"/>
    </row>
    <row r="12458" spans="5:5" ht="16.5">
      <c r="E12458" s="123"/>
    </row>
    <row r="12459" spans="5:5" ht="16.5">
      <c r="E12459" s="123"/>
    </row>
    <row r="12460" spans="5:5" ht="16.5">
      <c r="E12460" s="123"/>
    </row>
    <row r="12461" spans="5:5" ht="16.5">
      <c r="E12461" s="123"/>
    </row>
    <row r="12462" spans="5:5" ht="16.5">
      <c r="E12462" s="123"/>
    </row>
    <row r="12463" spans="5:5" ht="16.5">
      <c r="E12463" s="123"/>
    </row>
    <row r="12464" spans="5:5" ht="16.5">
      <c r="E12464" s="123"/>
    </row>
    <row r="12465" spans="5:5" ht="16.5">
      <c r="E12465" s="123"/>
    </row>
    <row r="12466" spans="5:5" ht="16.5">
      <c r="E12466" s="123"/>
    </row>
    <row r="12467" spans="5:5" ht="16.5">
      <c r="E12467" s="123"/>
    </row>
    <row r="12468" spans="5:5" ht="16.5">
      <c r="E12468" s="123"/>
    </row>
    <row r="12469" spans="5:5" ht="16.5">
      <c r="E12469" s="123"/>
    </row>
    <row r="12470" spans="5:5" ht="16.5">
      <c r="E12470" s="123"/>
    </row>
    <row r="12471" spans="5:5" ht="16.5">
      <c r="E12471" s="123"/>
    </row>
    <row r="12472" spans="5:5" ht="16.5">
      <c r="E12472" s="123"/>
    </row>
    <row r="12473" spans="5:5" ht="16.5">
      <c r="E12473" s="123"/>
    </row>
    <row r="12474" spans="5:5" ht="16.5">
      <c r="E12474" s="123"/>
    </row>
    <row r="12475" spans="5:5" ht="16.5">
      <c r="E12475" s="123"/>
    </row>
    <row r="12476" spans="5:5" ht="16.5">
      <c r="E12476" s="123"/>
    </row>
    <row r="12477" spans="5:5" ht="16.5">
      <c r="E12477" s="123"/>
    </row>
    <row r="12478" spans="5:5" ht="16.5">
      <c r="E12478" s="123"/>
    </row>
    <row r="12479" spans="5:5" ht="16.5">
      <c r="E12479" s="123"/>
    </row>
    <row r="12480" spans="5:5" ht="16.5">
      <c r="E12480" s="123"/>
    </row>
    <row r="12481" spans="5:5" ht="16.5">
      <c r="E12481" s="123"/>
    </row>
    <row r="12482" spans="5:5" ht="16.5">
      <c r="E12482" s="123"/>
    </row>
    <row r="12483" spans="5:5" ht="16.5">
      <c r="E12483" s="123"/>
    </row>
    <row r="12484" spans="5:5" ht="16.5">
      <c r="E12484" s="123"/>
    </row>
    <row r="12485" spans="5:5" ht="16.5">
      <c r="E12485" s="123"/>
    </row>
    <row r="12486" spans="5:5" ht="16.5">
      <c r="E12486" s="123"/>
    </row>
    <row r="12487" spans="5:5" ht="16.5">
      <c r="E12487" s="123"/>
    </row>
    <row r="12488" spans="5:5" ht="16.5">
      <c r="E12488" s="123"/>
    </row>
    <row r="12489" spans="5:5" ht="16.5">
      <c r="E12489" s="123"/>
    </row>
    <row r="12490" spans="5:5" ht="16.5">
      <c r="E12490" s="123"/>
    </row>
    <row r="12491" spans="5:5" ht="16.5">
      <c r="E12491" s="123"/>
    </row>
    <row r="12492" spans="5:5" ht="16.5">
      <c r="E12492" s="123"/>
    </row>
    <row r="12493" spans="5:5" ht="16.5">
      <c r="E12493" s="123"/>
    </row>
    <row r="12494" spans="5:5" ht="16.5">
      <c r="E12494" s="123"/>
    </row>
    <row r="12495" spans="5:5" ht="16.5">
      <c r="E12495" s="123"/>
    </row>
    <row r="12496" spans="5:5" ht="16.5">
      <c r="E12496" s="123"/>
    </row>
    <row r="12497" spans="5:5" ht="16.5">
      <c r="E12497" s="123"/>
    </row>
    <row r="12498" spans="5:5" ht="16.5">
      <c r="E12498" s="123"/>
    </row>
    <row r="12499" spans="5:5" ht="16.5">
      <c r="E12499" s="123"/>
    </row>
    <row r="12500" spans="5:5" ht="16.5">
      <c r="E12500" s="123"/>
    </row>
    <row r="12501" spans="5:5" ht="16.5">
      <c r="E12501" s="123"/>
    </row>
    <row r="12502" spans="5:5" ht="16.5">
      <c r="E12502" s="123"/>
    </row>
    <row r="12503" spans="5:5" ht="16.5">
      <c r="E12503" s="123"/>
    </row>
    <row r="12504" spans="5:5" ht="16.5">
      <c r="E12504" s="123"/>
    </row>
    <row r="12505" spans="5:5" ht="16.5">
      <c r="E12505" s="123"/>
    </row>
    <row r="12506" spans="5:5" ht="16.5">
      <c r="E12506" s="123"/>
    </row>
    <row r="12507" spans="5:5" ht="16.5">
      <c r="E12507" s="123"/>
    </row>
    <row r="12508" spans="5:5" ht="16.5">
      <c r="E12508" s="123"/>
    </row>
    <row r="12509" spans="5:5" ht="16.5">
      <c r="E12509" s="123"/>
    </row>
    <row r="12510" spans="5:5" ht="16.5">
      <c r="E12510" s="123"/>
    </row>
    <row r="12511" spans="5:5" ht="16.5">
      <c r="E12511" s="123"/>
    </row>
    <row r="12512" spans="5:5" ht="16.5">
      <c r="E12512" s="123"/>
    </row>
    <row r="12513" spans="5:5" ht="16.5">
      <c r="E12513" s="123"/>
    </row>
    <row r="12514" spans="5:5" ht="16.5">
      <c r="E12514" s="123"/>
    </row>
    <row r="12515" spans="5:5" ht="16.5">
      <c r="E12515" s="123"/>
    </row>
    <row r="12516" spans="5:5" ht="16.5">
      <c r="E12516" s="123"/>
    </row>
    <row r="12517" spans="5:5" ht="16.5">
      <c r="E12517" s="123"/>
    </row>
    <row r="12518" spans="5:5" ht="16.5">
      <c r="E12518" s="123"/>
    </row>
    <row r="12519" spans="5:5" ht="16.5">
      <c r="E12519" s="123"/>
    </row>
    <row r="12520" spans="5:5" ht="16.5">
      <c r="E12520" s="123"/>
    </row>
    <row r="12521" spans="5:5" ht="16.5">
      <c r="E12521" s="123"/>
    </row>
    <row r="12522" spans="5:5" ht="16.5">
      <c r="E12522" s="123"/>
    </row>
    <row r="12523" spans="5:5" ht="16.5">
      <c r="E12523" s="123"/>
    </row>
    <row r="12524" spans="5:5" ht="16.5">
      <c r="E12524" s="123"/>
    </row>
    <row r="12525" spans="5:5" ht="16.5">
      <c r="E12525" s="123"/>
    </row>
    <row r="12526" spans="5:5" ht="16.5">
      <c r="E12526" s="123"/>
    </row>
    <row r="12527" spans="5:5" ht="16.5">
      <c r="E12527" s="123"/>
    </row>
    <row r="12528" spans="5:5" ht="16.5">
      <c r="E12528" s="123"/>
    </row>
    <row r="12529" spans="5:5" ht="16.5">
      <c r="E12529" s="123"/>
    </row>
    <row r="12530" spans="5:5" ht="16.5">
      <c r="E12530" s="123"/>
    </row>
    <row r="12531" spans="5:5" ht="16.5">
      <c r="E12531" s="123"/>
    </row>
    <row r="12532" spans="5:5" ht="16.5">
      <c r="E12532" s="123"/>
    </row>
    <row r="12533" spans="5:5" ht="16.5">
      <c r="E12533" s="123"/>
    </row>
    <row r="12534" spans="5:5" ht="16.5">
      <c r="E12534" s="123"/>
    </row>
    <row r="12535" spans="5:5" ht="16.5">
      <c r="E12535" s="123"/>
    </row>
    <row r="12536" spans="5:5" ht="16.5">
      <c r="E12536" s="123"/>
    </row>
    <row r="12537" spans="5:5" ht="16.5">
      <c r="E12537" s="123"/>
    </row>
    <row r="12538" spans="5:5" ht="16.5">
      <c r="E12538" s="123"/>
    </row>
    <row r="12539" spans="5:5" ht="16.5">
      <c r="E12539" s="123"/>
    </row>
    <row r="12540" spans="5:5" ht="16.5">
      <c r="E12540" s="123"/>
    </row>
    <row r="12541" spans="5:5" ht="16.5">
      <c r="E12541" s="123"/>
    </row>
    <row r="12542" spans="5:5" ht="16.5">
      <c r="E12542" s="123"/>
    </row>
    <row r="12543" spans="5:5" ht="16.5">
      <c r="E12543" s="123"/>
    </row>
    <row r="12544" spans="5:5" ht="16.5">
      <c r="E12544" s="123"/>
    </row>
    <row r="12545" spans="5:5" ht="16.5">
      <c r="E12545" s="123"/>
    </row>
    <row r="12546" spans="5:5" ht="16.5">
      <c r="E12546" s="123"/>
    </row>
    <row r="12547" spans="5:5" ht="16.5">
      <c r="E12547" s="123"/>
    </row>
    <row r="12548" spans="5:5" ht="16.5">
      <c r="E12548" s="123"/>
    </row>
    <row r="12549" spans="5:5" ht="16.5">
      <c r="E12549" s="123"/>
    </row>
    <row r="12550" spans="5:5" ht="16.5">
      <c r="E12550" s="123"/>
    </row>
    <row r="12551" spans="5:5" ht="16.5">
      <c r="E12551" s="123"/>
    </row>
    <row r="12552" spans="5:5" ht="16.5">
      <c r="E12552" s="123"/>
    </row>
    <row r="12553" spans="5:5" ht="16.5">
      <c r="E12553" s="123"/>
    </row>
    <row r="12554" spans="5:5" ht="16.5">
      <c r="E12554" s="123"/>
    </row>
    <row r="12555" spans="5:5" ht="16.5">
      <c r="E12555" s="123"/>
    </row>
    <row r="12556" spans="5:5" ht="16.5">
      <c r="E12556" s="123"/>
    </row>
    <row r="12557" spans="5:5" ht="16.5">
      <c r="E12557" s="123"/>
    </row>
    <row r="12558" spans="5:5" ht="16.5">
      <c r="E12558" s="123"/>
    </row>
    <row r="12559" spans="5:5" ht="16.5">
      <c r="E12559" s="123"/>
    </row>
    <row r="12560" spans="5:5" ht="16.5">
      <c r="E12560" s="123"/>
    </row>
    <row r="12561" spans="5:5" ht="16.5">
      <c r="E12561" s="123"/>
    </row>
    <row r="12562" spans="5:5" ht="16.5">
      <c r="E12562" s="123"/>
    </row>
    <row r="12563" spans="5:5" ht="16.5">
      <c r="E12563" s="123"/>
    </row>
    <row r="12564" spans="5:5" ht="16.5">
      <c r="E12564" s="123"/>
    </row>
    <row r="12565" spans="5:5" ht="16.5">
      <c r="E12565" s="123"/>
    </row>
    <row r="12566" spans="5:5" ht="16.5">
      <c r="E12566" s="123"/>
    </row>
    <row r="12567" spans="5:5" ht="16.5">
      <c r="E12567" s="123"/>
    </row>
    <row r="12568" spans="5:5" ht="16.5">
      <c r="E12568" s="123"/>
    </row>
    <row r="12569" spans="5:5" ht="16.5">
      <c r="E12569" s="123"/>
    </row>
    <row r="12570" spans="5:5" ht="16.5">
      <c r="E12570" s="123"/>
    </row>
    <row r="12571" spans="5:5" ht="16.5">
      <c r="E12571" s="123"/>
    </row>
    <row r="12572" spans="5:5" ht="16.5">
      <c r="E12572" s="123"/>
    </row>
    <row r="12573" spans="5:5" ht="16.5">
      <c r="E12573" s="123"/>
    </row>
    <row r="12574" spans="5:5" ht="16.5">
      <c r="E12574" s="123"/>
    </row>
    <row r="12575" spans="5:5" ht="16.5">
      <c r="E12575" s="123"/>
    </row>
    <row r="12576" spans="5:5" ht="16.5">
      <c r="E12576" s="123"/>
    </row>
    <row r="12577" spans="5:5" ht="16.5">
      <c r="E12577" s="123"/>
    </row>
    <row r="12578" spans="5:5" ht="16.5">
      <c r="E12578" s="123"/>
    </row>
    <row r="12579" spans="5:5" ht="16.5">
      <c r="E12579" s="123"/>
    </row>
    <row r="12580" spans="5:5" ht="16.5">
      <c r="E12580" s="123"/>
    </row>
    <row r="12581" spans="5:5" ht="16.5">
      <c r="E12581" s="123"/>
    </row>
    <row r="12582" spans="5:5" ht="16.5">
      <c r="E12582" s="123"/>
    </row>
    <row r="12583" spans="5:5" ht="16.5">
      <c r="E12583" s="123"/>
    </row>
    <row r="12584" spans="5:5" ht="16.5">
      <c r="E12584" s="123"/>
    </row>
    <row r="12585" spans="5:5" ht="16.5">
      <c r="E12585" s="123"/>
    </row>
    <row r="12586" spans="5:5" ht="16.5">
      <c r="E12586" s="123"/>
    </row>
    <row r="12587" spans="5:5" ht="16.5">
      <c r="E12587" s="123"/>
    </row>
    <row r="12588" spans="5:5" ht="16.5">
      <c r="E12588" s="123"/>
    </row>
    <row r="12589" spans="5:5" ht="16.5">
      <c r="E12589" s="123"/>
    </row>
    <row r="12590" spans="5:5" ht="16.5">
      <c r="E12590" s="123"/>
    </row>
    <row r="12591" spans="5:5" ht="16.5">
      <c r="E12591" s="123"/>
    </row>
    <row r="12592" spans="5:5" ht="16.5">
      <c r="E12592" s="123"/>
    </row>
    <row r="12593" spans="5:5" ht="16.5">
      <c r="E12593" s="123"/>
    </row>
    <row r="12594" spans="5:5" ht="16.5">
      <c r="E12594" s="123"/>
    </row>
    <row r="12595" spans="5:5" ht="16.5">
      <c r="E12595" s="123"/>
    </row>
    <row r="12596" spans="5:5" ht="16.5">
      <c r="E12596" s="123"/>
    </row>
    <row r="12597" spans="5:5" ht="16.5">
      <c r="E12597" s="123"/>
    </row>
    <row r="12598" spans="5:5" ht="16.5">
      <c r="E12598" s="123"/>
    </row>
    <row r="12599" spans="5:5" ht="16.5">
      <c r="E12599" s="123"/>
    </row>
    <row r="12600" spans="5:5" ht="16.5">
      <c r="E12600" s="123"/>
    </row>
    <row r="12601" spans="5:5" ht="16.5">
      <c r="E12601" s="123"/>
    </row>
    <row r="12602" spans="5:5" ht="16.5">
      <c r="E12602" s="123"/>
    </row>
    <row r="12603" spans="5:5" ht="16.5">
      <c r="E12603" s="123"/>
    </row>
    <row r="12604" spans="5:5" ht="16.5">
      <c r="E12604" s="123"/>
    </row>
    <row r="12605" spans="5:5" ht="16.5">
      <c r="E12605" s="123"/>
    </row>
    <row r="12606" spans="5:5" ht="16.5">
      <c r="E12606" s="123"/>
    </row>
    <row r="12607" spans="5:5" ht="16.5">
      <c r="E12607" s="123"/>
    </row>
    <row r="12608" spans="5:5" ht="16.5">
      <c r="E12608" s="123"/>
    </row>
    <row r="12609" spans="5:5" ht="16.5">
      <c r="E12609" s="123"/>
    </row>
    <row r="12610" spans="5:5" ht="16.5">
      <c r="E12610" s="123"/>
    </row>
    <row r="12611" spans="5:5" ht="16.5">
      <c r="E12611" s="123"/>
    </row>
    <row r="12612" spans="5:5" ht="16.5">
      <c r="E12612" s="123"/>
    </row>
    <row r="12613" spans="5:5" ht="16.5">
      <c r="E12613" s="123"/>
    </row>
    <row r="12614" spans="5:5" ht="16.5">
      <c r="E12614" s="123"/>
    </row>
    <row r="12615" spans="5:5" ht="16.5">
      <c r="E12615" s="123"/>
    </row>
    <row r="12616" spans="5:5" ht="16.5">
      <c r="E12616" s="123"/>
    </row>
    <row r="12617" spans="5:5" ht="16.5">
      <c r="E12617" s="123"/>
    </row>
    <row r="12618" spans="5:5" ht="16.5">
      <c r="E12618" s="123"/>
    </row>
    <row r="12619" spans="5:5" ht="16.5">
      <c r="E12619" s="123"/>
    </row>
    <row r="12620" spans="5:5" ht="16.5">
      <c r="E12620" s="123"/>
    </row>
    <row r="12621" spans="5:5" ht="16.5">
      <c r="E12621" s="123"/>
    </row>
    <row r="12622" spans="5:5" ht="16.5">
      <c r="E12622" s="123"/>
    </row>
    <row r="12623" spans="5:5" ht="16.5">
      <c r="E12623" s="123"/>
    </row>
    <row r="12624" spans="5:5" ht="16.5">
      <c r="E12624" s="123"/>
    </row>
    <row r="12625" spans="5:5" ht="16.5">
      <c r="E12625" s="123"/>
    </row>
    <row r="12626" spans="5:5" ht="16.5">
      <c r="E12626" s="123"/>
    </row>
    <row r="12627" spans="5:5" ht="16.5">
      <c r="E12627" s="123"/>
    </row>
    <row r="12628" spans="5:5" ht="16.5">
      <c r="E12628" s="123"/>
    </row>
    <row r="12629" spans="5:5" ht="16.5">
      <c r="E12629" s="123"/>
    </row>
    <row r="12630" spans="5:5" ht="16.5">
      <c r="E12630" s="123"/>
    </row>
    <row r="12631" spans="5:5" ht="16.5">
      <c r="E12631" s="123"/>
    </row>
    <row r="12632" spans="5:5" ht="16.5">
      <c r="E12632" s="123"/>
    </row>
    <row r="12633" spans="5:5" ht="16.5">
      <c r="E12633" s="123"/>
    </row>
    <row r="12634" spans="5:5" ht="16.5">
      <c r="E12634" s="123"/>
    </row>
    <row r="12635" spans="5:5" ht="16.5">
      <c r="E12635" s="123"/>
    </row>
    <row r="12636" spans="5:5" ht="16.5">
      <c r="E12636" s="123"/>
    </row>
    <row r="12637" spans="5:5" ht="16.5">
      <c r="E12637" s="123"/>
    </row>
    <row r="12638" spans="5:5" ht="16.5">
      <c r="E12638" s="123"/>
    </row>
    <row r="12639" spans="5:5" ht="16.5">
      <c r="E12639" s="123"/>
    </row>
    <row r="12640" spans="5:5" ht="16.5">
      <c r="E12640" s="123"/>
    </row>
    <row r="12641" spans="5:5" ht="16.5">
      <c r="E12641" s="123"/>
    </row>
    <row r="12642" spans="5:5" ht="16.5">
      <c r="E12642" s="123"/>
    </row>
    <row r="12643" spans="5:5" ht="16.5">
      <c r="E12643" s="123"/>
    </row>
    <row r="12644" spans="5:5" ht="16.5">
      <c r="E12644" s="123"/>
    </row>
    <row r="12645" spans="5:5" ht="16.5">
      <c r="E12645" s="123"/>
    </row>
    <row r="12646" spans="5:5" ht="16.5">
      <c r="E12646" s="123"/>
    </row>
    <row r="12647" spans="5:5" ht="16.5">
      <c r="E12647" s="123"/>
    </row>
    <row r="12648" spans="5:5" ht="16.5">
      <c r="E12648" s="123"/>
    </row>
    <row r="12649" spans="5:5" ht="16.5">
      <c r="E12649" s="123"/>
    </row>
    <row r="12650" spans="5:5" ht="16.5">
      <c r="E12650" s="123"/>
    </row>
    <row r="12651" spans="5:5" ht="16.5">
      <c r="E12651" s="123"/>
    </row>
    <row r="12652" spans="5:5" ht="16.5">
      <c r="E12652" s="123"/>
    </row>
    <row r="12653" spans="5:5" ht="16.5">
      <c r="E12653" s="123"/>
    </row>
    <row r="12654" spans="5:5" ht="16.5">
      <c r="E12654" s="123"/>
    </row>
    <row r="12655" spans="5:5" ht="16.5">
      <c r="E12655" s="123"/>
    </row>
    <row r="12656" spans="5:5" ht="16.5">
      <c r="E12656" s="123"/>
    </row>
    <row r="12657" spans="5:5" ht="16.5">
      <c r="E12657" s="123"/>
    </row>
    <row r="12658" spans="5:5" ht="16.5">
      <c r="E12658" s="123"/>
    </row>
    <row r="12659" spans="5:5" ht="16.5">
      <c r="E12659" s="123"/>
    </row>
    <row r="12660" spans="5:5" ht="16.5">
      <c r="E12660" s="123"/>
    </row>
    <row r="12661" spans="5:5" ht="16.5">
      <c r="E12661" s="123"/>
    </row>
    <row r="12662" spans="5:5" ht="16.5">
      <c r="E12662" s="123"/>
    </row>
    <row r="12663" spans="5:5" ht="16.5">
      <c r="E12663" s="123"/>
    </row>
    <row r="12664" spans="5:5" ht="16.5">
      <c r="E12664" s="123"/>
    </row>
    <row r="12665" spans="5:5" ht="16.5">
      <c r="E12665" s="123"/>
    </row>
    <row r="12666" spans="5:5" ht="16.5">
      <c r="E12666" s="123"/>
    </row>
    <row r="12667" spans="5:5" ht="16.5">
      <c r="E12667" s="123"/>
    </row>
    <row r="12668" spans="5:5" ht="16.5">
      <c r="E12668" s="123"/>
    </row>
    <row r="12669" spans="5:5" ht="16.5">
      <c r="E12669" s="123"/>
    </row>
    <row r="12670" spans="5:5" ht="16.5">
      <c r="E12670" s="123"/>
    </row>
    <row r="12671" spans="5:5" ht="16.5">
      <c r="E12671" s="123"/>
    </row>
    <row r="12672" spans="5:5" ht="16.5">
      <c r="E12672" s="123"/>
    </row>
    <row r="12673" spans="5:5" ht="16.5">
      <c r="E12673" s="123"/>
    </row>
    <row r="12674" spans="5:5" ht="16.5">
      <c r="E12674" s="123"/>
    </row>
    <row r="12675" spans="5:5" ht="16.5">
      <c r="E12675" s="123"/>
    </row>
    <row r="12676" spans="5:5" ht="16.5">
      <c r="E12676" s="123"/>
    </row>
    <row r="12677" spans="5:5" ht="16.5">
      <c r="E12677" s="123"/>
    </row>
    <row r="12678" spans="5:5" ht="16.5">
      <c r="E12678" s="123"/>
    </row>
    <row r="12679" spans="5:5" ht="16.5">
      <c r="E12679" s="123"/>
    </row>
    <row r="12680" spans="5:5" ht="16.5">
      <c r="E12680" s="123"/>
    </row>
    <row r="12681" spans="5:5" ht="16.5">
      <c r="E12681" s="123"/>
    </row>
    <row r="12682" spans="5:5" ht="16.5">
      <c r="E12682" s="123"/>
    </row>
    <row r="12683" spans="5:5" ht="16.5">
      <c r="E12683" s="123"/>
    </row>
    <row r="12684" spans="5:5" ht="16.5">
      <c r="E12684" s="123"/>
    </row>
    <row r="12685" spans="5:5" ht="16.5">
      <c r="E12685" s="123"/>
    </row>
    <row r="12686" spans="5:5" ht="16.5">
      <c r="E12686" s="123"/>
    </row>
    <row r="12687" spans="5:5" ht="16.5">
      <c r="E12687" s="123"/>
    </row>
    <row r="12688" spans="5:5" ht="16.5">
      <c r="E12688" s="123"/>
    </row>
    <row r="12689" spans="5:5" ht="16.5">
      <c r="E12689" s="123"/>
    </row>
    <row r="12690" spans="5:5" ht="16.5">
      <c r="E12690" s="123"/>
    </row>
    <row r="12691" spans="5:5" ht="16.5">
      <c r="E12691" s="123"/>
    </row>
    <row r="12692" spans="5:5" ht="16.5">
      <c r="E12692" s="123"/>
    </row>
    <row r="12693" spans="5:5" ht="16.5">
      <c r="E12693" s="123"/>
    </row>
    <row r="12694" spans="5:5" ht="16.5">
      <c r="E12694" s="123"/>
    </row>
    <row r="12695" spans="5:5" ht="16.5">
      <c r="E12695" s="123"/>
    </row>
    <row r="12696" spans="5:5" ht="16.5">
      <c r="E12696" s="123"/>
    </row>
    <row r="12697" spans="5:5" ht="16.5">
      <c r="E12697" s="123"/>
    </row>
    <row r="12698" spans="5:5" ht="16.5">
      <c r="E12698" s="123"/>
    </row>
    <row r="12699" spans="5:5" ht="16.5">
      <c r="E12699" s="123"/>
    </row>
    <row r="12700" spans="5:5" ht="16.5">
      <c r="E12700" s="123"/>
    </row>
    <row r="12701" spans="5:5" ht="16.5">
      <c r="E12701" s="123"/>
    </row>
    <row r="12702" spans="5:5" ht="16.5">
      <c r="E12702" s="123"/>
    </row>
    <row r="12703" spans="5:5" ht="16.5">
      <c r="E12703" s="123"/>
    </row>
    <row r="12704" spans="5:5" ht="16.5">
      <c r="E12704" s="123"/>
    </row>
    <row r="12705" spans="5:5" ht="16.5">
      <c r="E12705" s="123"/>
    </row>
    <row r="12706" spans="5:5" ht="16.5">
      <c r="E12706" s="123"/>
    </row>
    <row r="12707" spans="5:5" ht="16.5">
      <c r="E12707" s="123"/>
    </row>
    <row r="12708" spans="5:5" ht="16.5">
      <c r="E12708" s="123"/>
    </row>
    <row r="12709" spans="5:5" ht="16.5">
      <c r="E12709" s="123"/>
    </row>
    <row r="12710" spans="5:5" ht="16.5">
      <c r="E12710" s="123"/>
    </row>
    <row r="12711" spans="5:5" ht="16.5">
      <c r="E12711" s="123"/>
    </row>
    <row r="12712" spans="5:5" ht="16.5">
      <c r="E12712" s="123"/>
    </row>
    <row r="12713" spans="5:5" ht="16.5">
      <c r="E12713" s="123"/>
    </row>
    <row r="12714" spans="5:5" ht="16.5">
      <c r="E12714" s="123"/>
    </row>
    <row r="12715" spans="5:5" ht="16.5">
      <c r="E12715" s="123"/>
    </row>
    <row r="12716" spans="5:5" ht="16.5">
      <c r="E12716" s="123"/>
    </row>
    <row r="12717" spans="5:5" ht="16.5">
      <c r="E12717" s="123"/>
    </row>
    <row r="12718" spans="5:5" ht="16.5">
      <c r="E12718" s="123"/>
    </row>
    <row r="12719" spans="5:5" ht="16.5">
      <c r="E12719" s="123"/>
    </row>
    <row r="12720" spans="5:5" ht="16.5">
      <c r="E12720" s="123"/>
    </row>
    <row r="12721" spans="5:5" ht="16.5">
      <c r="E12721" s="123"/>
    </row>
    <row r="12722" spans="5:5" ht="16.5">
      <c r="E12722" s="123"/>
    </row>
    <row r="12723" spans="5:5" ht="16.5">
      <c r="E12723" s="123"/>
    </row>
    <row r="12724" spans="5:5" ht="16.5">
      <c r="E12724" s="123"/>
    </row>
    <row r="12725" spans="5:5" ht="16.5">
      <c r="E12725" s="123"/>
    </row>
    <row r="12726" spans="5:5" ht="16.5">
      <c r="E12726" s="123"/>
    </row>
    <row r="12727" spans="5:5" ht="16.5">
      <c r="E12727" s="123"/>
    </row>
    <row r="12728" spans="5:5" ht="16.5">
      <c r="E12728" s="123"/>
    </row>
    <row r="12729" spans="5:5" ht="16.5">
      <c r="E12729" s="123"/>
    </row>
    <row r="12730" spans="5:5" ht="16.5">
      <c r="E12730" s="123"/>
    </row>
    <row r="12731" spans="5:5" ht="16.5">
      <c r="E12731" s="123"/>
    </row>
    <row r="12732" spans="5:5" ht="16.5">
      <c r="E12732" s="123"/>
    </row>
    <row r="12733" spans="5:5" ht="16.5">
      <c r="E12733" s="123"/>
    </row>
    <row r="12734" spans="5:5" ht="16.5">
      <c r="E12734" s="123"/>
    </row>
    <row r="12735" spans="5:5" ht="16.5">
      <c r="E12735" s="123"/>
    </row>
    <row r="12736" spans="5:5" ht="16.5">
      <c r="E12736" s="123"/>
    </row>
    <row r="12737" spans="5:5" ht="16.5">
      <c r="E12737" s="123"/>
    </row>
    <row r="12738" spans="5:5" ht="16.5">
      <c r="E12738" s="123"/>
    </row>
    <row r="12739" spans="5:5" ht="16.5">
      <c r="E12739" s="123"/>
    </row>
    <row r="12740" spans="5:5" ht="16.5">
      <c r="E12740" s="123"/>
    </row>
    <row r="12741" spans="5:5" ht="16.5">
      <c r="E12741" s="123"/>
    </row>
    <row r="12742" spans="5:5" ht="16.5">
      <c r="E12742" s="123"/>
    </row>
    <row r="12743" spans="5:5" ht="16.5">
      <c r="E12743" s="123"/>
    </row>
    <row r="12744" spans="5:5" ht="16.5">
      <c r="E12744" s="123"/>
    </row>
    <row r="12745" spans="5:5" ht="16.5">
      <c r="E12745" s="123"/>
    </row>
    <row r="12746" spans="5:5" ht="16.5">
      <c r="E12746" s="123"/>
    </row>
    <row r="12747" spans="5:5" ht="16.5">
      <c r="E12747" s="123"/>
    </row>
    <row r="12748" spans="5:5" ht="16.5">
      <c r="E12748" s="123"/>
    </row>
    <row r="12749" spans="5:5" ht="16.5">
      <c r="E12749" s="123"/>
    </row>
    <row r="12750" spans="5:5" ht="16.5">
      <c r="E12750" s="123"/>
    </row>
    <row r="12751" spans="5:5" ht="16.5">
      <c r="E12751" s="123"/>
    </row>
    <row r="12752" spans="5:5" ht="16.5">
      <c r="E12752" s="123"/>
    </row>
    <row r="12753" spans="5:5" ht="16.5">
      <c r="E12753" s="123"/>
    </row>
    <row r="12754" spans="5:5" ht="16.5">
      <c r="E12754" s="123"/>
    </row>
    <row r="12755" spans="5:5" ht="16.5">
      <c r="E12755" s="123"/>
    </row>
    <row r="12756" spans="5:5" ht="16.5">
      <c r="E12756" s="123"/>
    </row>
    <row r="12757" spans="5:5" ht="16.5">
      <c r="E12757" s="123"/>
    </row>
    <row r="12758" spans="5:5" ht="16.5">
      <c r="E12758" s="123"/>
    </row>
    <row r="12759" spans="5:5" ht="16.5">
      <c r="E12759" s="123"/>
    </row>
    <row r="12760" spans="5:5" ht="16.5">
      <c r="E12760" s="123"/>
    </row>
    <row r="12761" spans="5:5" ht="16.5">
      <c r="E12761" s="123"/>
    </row>
    <row r="12762" spans="5:5" ht="16.5">
      <c r="E12762" s="123"/>
    </row>
    <row r="12763" spans="5:5" ht="16.5">
      <c r="E12763" s="123"/>
    </row>
    <row r="12764" spans="5:5" ht="16.5">
      <c r="E12764" s="123"/>
    </row>
    <row r="12765" spans="5:5" ht="16.5">
      <c r="E12765" s="123"/>
    </row>
    <row r="12766" spans="5:5" ht="16.5">
      <c r="E12766" s="123"/>
    </row>
    <row r="12767" spans="5:5" ht="16.5">
      <c r="E12767" s="123"/>
    </row>
    <row r="12768" spans="5:5" ht="16.5">
      <c r="E12768" s="123"/>
    </row>
    <row r="12769" spans="5:5" ht="16.5">
      <c r="E12769" s="123"/>
    </row>
    <row r="12770" spans="5:5" ht="16.5">
      <c r="E12770" s="123"/>
    </row>
    <row r="12771" spans="5:5" ht="16.5">
      <c r="E12771" s="123"/>
    </row>
    <row r="12772" spans="5:5" ht="16.5">
      <c r="E12772" s="123"/>
    </row>
    <row r="12773" spans="5:5" ht="16.5">
      <c r="E12773" s="123"/>
    </row>
    <row r="12774" spans="5:5" ht="16.5">
      <c r="E12774" s="123"/>
    </row>
    <row r="12775" spans="5:5" ht="16.5">
      <c r="E12775" s="123"/>
    </row>
    <row r="12776" spans="5:5" ht="16.5">
      <c r="E12776" s="123"/>
    </row>
    <row r="12777" spans="5:5" ht="16.5">
      <c r="E12777" s="123"/>
    </row>
    <row r="12778" spans="5:5" ht="16.5">
      <c r="E12778" s="123"/>
    </row>
    <row r="12779" spans="5:5" ht="16.5">
      <c r="E12779" s="123"/>
    </row>
    <row r="12780" spans="5:5" ht="16.5">
      <c r="E12780" s="123"/>
    </row>
    <row r="12781" spans="5:5" ht="16.5">
      <c r="E12781" s="123"/>
    </row>
    <row r="12782" spans="5:5" ht="16.5">
      <c r="E12782" s="123"/>
    </row>
    <row r="12783" spans="5:5" ht="16.5">
      <c r="E12783" s="123"/>
    </row>
    <row r="12784" spans="5:5" ht="16.5">
      <c r="E12784" s="123"/>
    </row>
    <row r="12785" spans="5:5" ht="16.5">
      <c r="E12785" s="123"/>
    </row>
    <row r="12786" spans="5:5" ht="16.5">
      <c r="E12786" s="123"/>
    </row>
    <row r="12787" spans="5:5" ht="16.5">
      <c r="E12787" s="123"/>
    </row>
    <row r="12788" spans="5:5" ht="16.5">
      <c r="E12788" s="123"/>
    </row>
    <row r="12789" spans="5:5" ht="16.5">
      <c r="E12789" s="123"/>
    </row>
    <row r="12790" spans="5:5" ht="16.5">
      <c r="E12790" s="123"/>
    </row>
    <row r="12791" spans="5:5" ht="16.5">
      <c r="E12791" s="123"/>
    </row>
    <row r="12792" spans="5:5" ht="16.5">
      <c r="E12792" s="123"/>
    </row>
    <row r="12793" spans="5:5" ht="16.5">
      <c r="E12793" s="123"/>
    </row>
    <row r="12794" spans="5:5" ht="16.5">
      <c r="E12794" s="123"/>
    </row>
    <row r="12795" spans="5:5" ht="16.5">
      <c r="E12795" s="123"/>
    </row>
    <row r="12796" spans="5:5" ht="16.5">
      <c r="E12796" s="123"/>
    </row>
    <row r="12797" spans="5:5" ht="16.5">
      <c r="E12797" s="123"/>
    </row>
    <row r="12798" spans="5:5" ht="16.5">
      <c r="E12798" s="123"/>
    </row>
    <row r="12799" spans="5:5" ht="16.5">
      <c r="E12799" s="123"/>
    </row>
    <row r="12800" spans="5:5" ht="16.5">
      <c r="E12800" s="123"/>
    </row>
    <row r="12801" spans="5:5" ht="16.5">
      <c r="E12801" s="123"/>
    </row>
    <row r="12802" spans="5:5" ht="16.5">
      <c r="E12802" s="123"/>
    </row>
    <row r="12803" spans="5:5" ht="16.5">
      <c r="E12803" s="123"/>
    </row>
    <row r="12804" spans="5:5" ht="16.5">
      <c r="E12804" s="123"/>
    </row>
    <row r="12805" spans="5:5" ht="16.5">
      <c r="E12805" s="123"/>
    </row>
    <row r="12806" spans="5:5" ht="16.5">
      <c r="E12806" s="123"/>
    </row>
    <row r="12807" spans="5:5" ht="16.5">
      <c r="E12807" s="123"/>
    </row>
    <row r="12808" spans="5:5" ht="16.5">
      <c r="E12808" s="123"/>
    </row>
    <row r="12809" spans="5:5" ht="16.5">
      <c r="E12809" s="123"/>
    </row>
    <row r="12810" spans="5:5" ht="16.5">
      <c r="E12810" s="123"/>
    </row>
    <row r="12811" spans="5:5" ht="16.5">
      <c r="E12811" s="123"/>
    </row>
    <row r="12812" spans="5:5" ht="16.5">
      <c r="E12812" s="123"/>
    </row>
    <row r="12813" spans="5:5" ht="16.5">
      <c r="E12813" s="123"/>
    </row>
    <row r="12814" spans="5:5" ht="16.5">
      <c r="E12814" s="123"/>
    </row>
    <row r="12815" spans="5:5" ht="16.5">
      <c r="E12815" s="123"/>
    </row>
    <row r="12816" spans="5:5" ht="16.5">
      <c r="E12816" s="123"/>
    </row>
    <row r="12817" spans="5:5" ht="16.5">
      <c r="E12817" s="123"/>
    </row>
    <row r="12818" spans="5:5" ht="16.5">
      <c r="E12818" s="123"/>
    </row>
    <row r="12819" spans="5:5" ht="16.5">
      <c r="E12819" s="123"/>
    </row>
    <row r="12820" spans="5:5" ht="16.5">
      <c r="E12820" s="123"/>
    </row>
    <row r="12821" spans="5:5" ht="16.5">
      <c r="E12821" s="123"/>
    </row>
    <row r="12822" spans="5:5" ht="16.5">
      <c r="E12822" s="123"/>
    </row>
    <row r="12823" spans="5:5" ht="16.5">
      <c r="E12823" s="123"/>
    </row>
    <row r="12824" spans="5:5" ht="16.5">
      <c r="E12824" s="123"/>
    </row>
    <row r="12825" spans="5:5" ht="16.5">
      <c r="E12825" s="123"/>
    </row>
    <row r="12826" spans="5:5" ht="16.5">
      <c r="E12826" s="123"/>
    </row>
    <row r="12827" spans="5:5" ht="16.5">
      <c r="E12827" s="123"/>
    </row>
    <row r="12828" spans="5:5" ht="16.5">
      <c r="E12828" s="123"/>
    </row>
    <row r="12829" spans="5:5" ht="16.5">
      <c r="E12829" s="123"/>
    </row>
    <row r="12830" spans="5:5" ht="16.5">
      <c r="E12830" s="123"/>
    </row>
    <row r="12831" spans="5:5" ht="16.5">
      <c r="E12831" s="123"/>
    </row>
    <row r="12832" spans="5:5" ht="16.5">
      <c r="E12832" s="123"/>
    </row>
    <row r="12833" spans="5:5" ht="16.5">
      <c r="E12833" s="123"/>
    </row>
    <row r="12834" spans="5:5" ht="16.5">
      <c r="E12834" s="123"/>
    </row>
    <row r="12835" spans="5:5" ht="16.5">
      <c r="E12835" s="123"/>
    </row>
    <row r="12836" spans="5:5" ht="16.5">
      <c r="E12836" s="123"/>
    </row>
    <row r="12837" spans="5:5" ht="16.5">
      <c r="E12837" s="123"/>
    </row>
    <row r="12838" spans="5:5" ht="16.5">
      <c r="E12838" s="123"/>
    </row>
    <row r="12839" spans="5:5" ht="16.5">
      <c r="E12839" s="123"/>
    </row>
    <row r="12840" spans="5:5" ht="16.5">
      <c r="E12840" s="123"/>
    </row>
    <row r="12841" spans="5:5" ht="16.5">
      <c r="E12841" s="123"/>
    </row>
    <row r="12842" spans="5:5" ht="16.5">
      <c r="E12842" s="123"/>
    </row>
    <row r="12843" spans="5:5" ht="16.5">
      <c r="E12843" s="123"/>
    </row>
    <row r="12844" spans="5:5" ht="16.5">
      <c r="E12844" s="123"/>
    </row>
    <row r="12845" spans="5:5" ht="16.5">
      <c r="E12845" s="123"/>
    </row>
    <row r="12846" spans="5:5" ht="16.5">
      <c r="E12846" s="123"/>
    </row>
    <row r="12847" spans="5:5" ht="16.5">
      <c r="E12847" s="123"/>
    </row>
    <row r="12848" spans="5:5" ht="16.5">
      <c r="E12848" s="123"/>
    </row>
    <row r="12849" spans="5:5" ht="16.5">
      <c r="E12849" s="123"/>
    </row>
    <row r="12850" spans="5:5" ht="16.5">
      <c r="E12850" s="123"/>
    </row>
    <row r="12851" spans="5:5" ht="16.5">
      <c r="E12851" s="123"/>
    </row>
    <row r="12852" spans="5:5" ht="16.5">
      <c r="E12852" s="123"/>
    </row>
    <row r="12853" spans="5:5" ht="16.5">
      <c r="E12853" s="123"/>
    </row>
    <row r="12854" spans="5:5" ht="16.5">
      <c r="E12854" s="123"/>
    </row>
    <row r="12855" spans="5:5" ht="16.5">
      <c r="E12855" s="123"/>
    </row>
    <row r="12856" spans="5:5" ht="16.5">
      <c r="E12856" s="123"/>
    </row>
    <row r="12857" spans="5:5" ht="16.5">
      <c r="E12857" s="123"/>
    </row>
    <row r="12858" spans="5:5" ht="16.5">
      <c r="E12858" s="123"/>
    </row>
    <row r="12859" spans="5:5" ht="16.5">
      <c r="E12859" s="123"/>
    </row>
    <row r="12860" spans="5:5" ht="16.5">
      <c r="E12860" s="123"/>
    </row>
    <row r="12861" spans="5:5" ht="16.5">
      <c r="E12861" s="123"/>
    </row>
    <row r="12862" spans="5:5" ht="16.5">
      <c r="E12862" s="123"/>
    </row>
    <row r="12863" spans="5:5" ht="16.5">
      <c r="E12863" s="123"/>
    </row>
    <row r="12864" spans="5:5" ht="16.5">
      <c r="E12864" s="123"/>
    </row>
    <row r="12865" spans="5:5" ht="16.5">
      <c r="E12865" s="123"/>
    </row>
    <row r="12866" spans="5:5" ht="16.5">
      <c r="E12866" s="123"/>
    </row>
    <row r="12867" spans="5:5" ht="16.5">
      <c r="E12867" s="123"/>
    </row>
    <row r="12868" spans="5:5" ht="16.5">
      <c r="E12868" s="123"/>
    </row>
    <row r="12869" spans="5:5" ht="16.5">
      <c r="E12869" s="123"/>
    </row>
    <row r="12870" spans="5:5" ht="16.5">
      <c r="E12870" s="123"/>
    </row>
    <row r="12871" spans="5:5" ht="16.5">
      <c r="E12871" s="123"/>
    </row>
    <row r="12872" spans="5:5" ht="16.5">
      <c r="E12872" s="123"/>
    </row>
    <row r="12873" spans="5:5" ht="16.5">
      <c r="E12873" s="123"/>
    </row>
    <row r="12874" spans="5:5" ht="16.5">
      <c r="E12874" s="123"/>
    </row>
    <row r="12875" spans="5:5" ht="16.5">
      <c r="E12875" s="123"/>
    </row>
    <row r="12876" spans="5:5" ht="16.5">
      <c r="E12876" s="123"/>
    </row>
    <row r="12877" spans="5:5" ht="16.5">
      <c r="E12877" s="123"/>
    </row>
    <row r="12878" spans="5:5" ht="16.5">
      <c r="E12878" s="123"/>
    </row>
    <row r="12879" spans="5:5" ht="16.5">
      <c r="E12879" s="123"/>
    </row>
    <row r="12880" spans="5:5" ht="16.5">
      <c r="E12880" s="123"/>
    </row>
    <row r="12881" spans="5:5" ht="16.5">
      <c r="E12881" s="123"/>
    </row>
    <row r="12882" spans="5:5" ht="16.5">
      <c r="E12882" s="123"/>
    </row>
    <row r="12883" spans="5:5" ht="16.5">
      <c r="E12883" s="123"/>
    </row>
    <row r="12884" spans="5:5" ht="16.5">
      <c r="E12884" s="123"/>
    </row>
    <row r="12885" spans="5:5" ht="16.5">
      <c r="E12885" s="123"/>
    </row>
    <row r="12886" spans="5:5" ht="16.5">
      <c r="E12886" s="123"/>
    </row>
    <row r="12887" spans="5:5" ht="16.5">
      <c r="E12887" s="123"/>
    </row>
    <row r="12888" spans="5:5" ht="16.5">
      <c r="E12888" s="123"/>
    </row>
    <row r="12889" spans="5:5" ht="16.5">
      <c r="E12889" s="123"/>
    </row>
    <row r="12890" spans="5:5" ht="16.5">
      <c r="E12890" s="123"/>
    </row>
    <row r="12891" spans="5:5" ht="16.5">
      <c r="E12891" s="123"/>
    </row>
    <row r="12892" spans="5:5" ht="16.5">
      <c r="E12892" s="123"/>
    </row>
    <row r="12893" spans="5:5" ht="16.5">
      <c r="E12893" s="123"/>
    </row>
    <row r="12894" spans="5:5" ht="16.5">
      <c r="E12894" s="123"/>
    </row>
    <row r="12895" spans="5:5" ht="16.5">
      <c r="E12895" s="123"/>
    </row>
    <row r="12896" spans="5:5" ht="16.5">
      <c r="E12896" s="123"/>
    </row>
    <row r="12897" spans="5:5" ht="16.5">
      <c r="E12897" s="123"/>
    </row>
    <row r="12898" spans="5:5" ht="16.5">
      <c r="E12898" s="123"/>
    </row>
    <row r="12899" spans="5:5" ht="16.5">
      <c r="E12899" s="123"/>
    </row>
    <row r="12900" spans="5:5" ht="16.5">
      <c r="E12900" s="123"/>
    </row>
    <row r="12901" spans="5:5" ht="16.5">
      <c r="E12901" s="123"/>
    </row>
    <row r="12902" spans="5:5" ht="16.5">
      <c r="E12902" s="123"/>
    </row>
    <row r="12903" spans="5:5" ht="16.5">
      <c r="E12903" s="123"/>
    </row>
    <row r="12904" spans="5:5" ht="16.5">
      <c r="E12904" s="123"/>
    </row>
    <row r="12905" spans="5:5" ht="16.5">
      <c r="E12905" s="123"/>
    </row>
    <row r="12906" spans="5:5" ht="16.5">
      <c r="E12906" s="123"/>
    </row>
    <row r="12907" spans="5:5" ht="16.5">
      <c r="E12907" s="123"/>
    </row>
    <row r="12908" spans="5:5" ht="16.5">
      <c r="E12908" s="123"/>
    </row>
    <row r="12909" spans="5:5" ht="16.5">
      <c r="E12909" s="123"/>
    </row>
    <row r="12910" spans="5:5" ht="16.5">
      <c r="E12910" s="123"/>
    </row>
    <row r="12911" spans="5:5" ht="16.5">
      <c r="E12911" s="123"/>
    </row>
    <row r="12912" spans="5:5" ht="16.5">
      <c r="E12912" s="123"/>
    </row>
    <row r="12913" spans="5:5" ht="16.5">
      <c r="E12913" s="123"/>
    </row>
    <row r="12914" spans="5:5" ht="16.5">
      <c r="E12914" s="123"/>
    </row>
    <row r="12915" spans="5:5" ht="16.5">
      <c r="E12915" s="123"/>
    </row>
    <row r="12916" spans="5:5" ht="16.5">
      <c r="E12916" s="123"/>
    </row>
    <row r="12917" spans="5:5" ht="16.5">
      <c r="E12917" s="123"/>
    </row>
    <row r="12918" spans="5:5" ht="16.5">
      <c r="E12918" s="123"/>
    </row>
    <row r="12919" spans="5:5" ht="16.5">
      <c r="E12919" s="123"/>
    </row>
    <row r="12920" spans="5:5" ht="16.5">
      <c r="E12920" s="123"/>
    </row>
    <row r="12921" spans="5:5" ht="16.5">
      <c r="E12921" s="123"/>
    </row>
    <row r="12922" spans="5:5" ht="16.5">
      <c r="E12922" s="123"/>
    </row>
    <row r="12923" spans="5:5" ht="16.5">
      <c r="E12923" s="123"/>
    </row>
    <row r="12924" spans="5:5" ht="16.5">
      <c r="E12924" s="123"/>
    </row>
    <row r="12925" spans="5:5" ht="16.5">
      <c r="E12925" s="123"/>
    </row>
    <row r="12926" spans="5:5" ht="16.5">
      <c r="E12926" s="123"/>
    </row>
    <row r="12927" spans="5:5" ht="16.5">
      <c r="E12927" s="123"/>
    </row>
    <row r="12928" spans="5:5" ht="16.5">
      <c r="E12928" s="123"/>
    </row>
    <row r="12929" spans="5:5" ht="16.5">
      <c r="E12929" s="123"/>
    </row>
    <row r="12930" spans="5:5" ht="16.5">
      <c r="E12930" s="123"/>
    </row>
    <row r="12931" spans="5:5" ht="16.5">
      <c r="E12931" s="123"/>
    </row>
    <row r="12932" spans="5:5" ht="16.5">
      <c r="E12932" s="123"/>
    </row>
    <row r="12933" spans="5:5" ht="16.5">
      <c r="E12933" s="123"/>
    </row>
    <row r="12934" spans="5:5" ht="16.5">
      <c r="E12934" s="123"/>
    </row>
    <row r="12935" spans="5:5" ht="16.5">
      <c r="E12935" s="123"/>
    </row>
    <row r="12936" spans="5:5" ht="16.5">
      <c r="E12936" s="123"/>
    </row>
    <row r="12937" spans="5:5" ht="16.5">
      <c r="E12937" s="123"/>
    </row>
    <row r="12938" spans="5:5" ht="16.5">
      <c r="E12938" s="123"/>
    </row>
    <row r="12939" spans="5:5" ht="16.5">
      <c r="E12939" s="123"/>
    </row>
    <row r="12940" spans="5:5" ht="16.5">
      <c r="E12940" s="123"/>
    </row>
    <row r="12941" spans="5:5" ht="16.5">
      <c r="E12941" s="123"/>
    </row>
    <row r="12942" spans="5:5" ht="16.5">
      <c r="E12942" s="123"/>
    </row>
    <row r="12943" spans="5:5" ht="16.5">
      <c r="E12943" s="123"/>
    </row>
    <row r="12944" spans="5:5" ht="16.5">
      <c r="E12944" s="123"/>
    </row>
    <row r="12945" spans="5:5" ht="16.5">
      <c r="E12945" s="123"/>
    </row>
    <row r="12946" spans="5:5" ht="16.5">
      <c r="E12946" s="123"/>
    </row>
    <row r="12947" spans="5:5" ht="16.5">
      <c r="E12947" s="123"/>
    </row>
    <row r="12948" spans="5:5" ht="16.5">
      <c r="E12948" s="123"/>
    </row>
    <row r="12949" spans="5:5" ht="16.5">
      <c r="E12949" s="123"/>
    </row>
    <row r="12950" spans="5:5" ht="16.5">
      <c r="E12950" s="123"/>
    </row>
    <row r="12951" spans="5:5" ht="16.5">
      <c r="E12951" s="123"/>
    </row>
    <row r="12952" spans="5:5" ht="16.5">
      <c r="E12952" s="123"/>
    </row>
    <row r="12953" spans="5:5" ht="16.5">
      <c r="E12953" s="123"/>
    </row>
    <row r="12954" spans="5:5" ht="16.5">
      <c r="E12954" s="123"/>
    </row>
    <row r="12955" spans="5:5" ht="16.5">
      <c r="E12955" s="123"/>
    </row>
    <row r="12956" spans="5:5" ht="16.5">
      <c r="E12956" s="123"/>
    </row>
    <row r="12957" spans="5:5" ht="16.5">
      <c r="E12957" s="123"/>
    </row>
    <row r="12958" spans="5:5" ht="16.5">
      <c r="E12958" s="123"/>
    </row>
    <row r="12959" spans="5:5" ht="16.5">
      <c r="E12959" s="123"/>
    </row>
    <row r="12960" spans="5:5" ht="16.5">
      <c r="E12960" s="123"/>
    </row>
    <row r="12961" spans="5:5" ht="16.5">
      <c r="E12961" s="123"/>
    </row>
    <row r="12962" spans="5:5" ht="16.5">
      <c r="E12962" s="123"/>
    </row>
    <row r="12963" spans="5:5" ht="16.5">
      <c r="E12963" s="123"/>
    </row>
    <row r="12964" spans="5:5" ht="16.5">
      <c r="E12964" s="123"/>
    </row>
    <row r="12965" spans="5:5" ht="16.5">
      <c r="E12965" s="123"/>
    </row>
    <row r="12966" spans="5:5" ht="16.5">
      <c r="E12966" s="123"/>
    </row>
    <row r="12967" spans="5:5" ht="16.5">
      <c r="E12967" s="123"/>
    </row>
    <row r="12968" spans="5:5" ht="16.5">
      <c r="E12968" s="123"/>
    </row>
    <row r="12969" spans="5:5" ht="16.5">
      <c r="E12969" s="123"/>
    </row>
    <row r="12970" spans="5:5" ht="16.5">
      <c r="E12970" s="123"/>
    </row>
    <row r="12971" spans="5:5" ht="16.5">
      <c r="E12971" s="123"/>
    </row>
    <row r="12972" spans="5:5" ht="16.5">
      <c r="E12972" s="123"/>
    </row>
    <row r="12973" spans="5:5" ht="16.5">
      <c r="E12973" s="123"/>
    </row>
    <row r="12974" spans="5:5" ht="16.5">
      <c r="E12974" s="123"/>
    </row>
    <row r="12975" spans="5:5" ht="16.5">
      <c r="E12975" s="123"/>
    </row>
    <row r="12976" spans="5:5" ht="16.5">
      <c r="E12976" s="123"/>
    </row>
    <row r="12977" spans="5:5" ht="16.5">
      <c r="E12977" s="123"/>
    </row>
    <row r="12978" spans="5:5" ht="16.5">
      <c r="E12978" s="123"/>
    </row>
    <row r="12979" spans="5:5" ht="16.5">
      <c r="E12979" s="123"/>
    </row>
    <row r="12980" spans="5:5" ht="16.5">
      <c r="E12980" s="123"/>
    </row>
    <row r="12981" spans="5:5" ht="16.5">
      <c r="E12981" s="123"/>
    </row>
    <row r="12982" spans="5:5" ht="16.5">
      <c r="E12982" s="123"/>
    </row>
    <row r="12983" spans="5:5" ht="16.5">
      <c r="E12983" s="123"/>
    </row>
    <row r="12984" spans="5:5" ht="16.5">
      <c r="E12984" s="123"/>
    </row>
    <row r="12985" spans="5:5" ht="16.5">
      <c r="E12985" s="123"/>
    </row>
    <row r="12986" spans="5:5" ht="16.5">
      <c r="E12986" s="123"/>
    </row>
    <row r="12987" spans="5:5" ht="16.5">
      <c r="E12987" s="123"/>
    </row>
    <row r="12988" spans="5:5" ht="16.5">
      <c r="E12988" s="123"/>
    </row>
    <row r="12989" spans="5:5" ht="16.5">
      <c r="E12989" s="123"/>
    </row>
    <row r="12990" spans="5:5" ht="16.5">
      <c r="E12990" s="123"/>
    </row>
    <row r="12991" spans="5:5" ht="16.5">
      <c r="E12991" s="123"/>
    </row>
    <row r="12992" spans="5:5" ht="16.5">
      <c r="E12992" s="123"/>
    </row>
    <row r="12993" spans="5:5" ht="16.5">
      <c r="E12993" s="123"/>
    </row>
    <row r="12994" spans="5:5" ht="16.5">
      <c r="E12994" s="123"/>
    </row>
    <row r="12995" spans="5:5" ht="16.5">
      <c r="E12995" s="123"/>
    </row>
    <row r="12996" spans="5:5" ht="16.5">
      <c r="E12996" s="123"/>
    </row>
    <row r="12997" spans="5:5" ht="16.5">
      <c r="E12997" s="123"/>
    </row>
    <row r="12998" spans="5:5" ht="16.5">
      <c r="E12998" s="123"/>
    </row>
    <row r="12999" spans="5:5" ht="16.5">
      <c r="E12999" s="123"/>
    </row>
    <row r="13000" spans="5:5" ht="16.5">
      <c r="E13000" s="123"/>
    </row>
    <row r="13001" spans="5:5" ht="16.5">
      <c r="E13001" s="123"/>
    </row>
    <row r="13002" spans="5:5" ht="16.5">
      <c r="E13002" s="123"/>
    </row>
    <row r="13003" spans="5:5" ht="16.5">
      <c r="E13003" s="123"/>
    </row>
    <row r="13004" spans="5:5" ht="16.5">
      <c r="E13004" s="123"/>
    </row>
    <row r="13005" spans="5:5" ht="16.5">
      <c r="E13005" s="123"/>
    </row>
    <row r="13006" spans="5:5" ht="16.5">
      <c r="E13006" s="123"/>
    </row>
    <row r="13007" spans="5:5" ht="16.5">
      <c r="E13007" s="123"/>
    </row>
    <row r="13008" spans="5:5" ht="16.5">
      <c r="E13008" s="123"/>
    </row>
    <row r="13009" spans="5:5" ht="16.5">
      <c r="E13009" s="123"/>
    </row>
    <row r="13010" spans="5:5" ht="16.5">
      <c r="E13010" s="123"/>
    </row>
    <row r="13011" spans="5:5" ht="16.5">
      <c r="E13011" s="123"/>
    </row>
    <row r="13012" spans="5:5" ht="16.5">
      <c r="E13012" s="123"/>
    </row>
    <row r="13013" spans="5:5" ht="16.5">
      <c r="E13013" s="123"/>
    </row>
    <row r="13014" spans="5:5" ht="16.5">
      <c r="E13014" s="123"/>
    </row>
    <row r="13015" spans="5:5" ht="16.5">
      <c r="E13015" s="123"/>
    </row>
    <row r="13016" spans="5:5" ht="16.5">
      <c r="E13016" s="123"/>
    </row>
    <row r="13017" spans="5:5" ht="16.5">
      <c r="E13017" s="123"/>
    </row>
    <row r="13018" spans="5:5" ht="16.5">
      <c r="E13018" s="123"/>
    </row>
    <row r="13019" spans="5:5" ht="16.5">
      <c r="E13019" s="123"/>
    </row>
    <row r="13020" spans="5:5" ht="16.5">
      <c r="E13020" s="123"/>
    </row>
    <row r="13021" spans="5:5" ht="16.5">
      <c r="E13021" s="123"/>
    </row>
    <row r="13022" spans="5:5" ht="16.5">
      <c r="E13022" s="123"/>
    </row>
    <row r="13023" spans="5:5" ht="16.5">
      <c r="E13023" s="123"/>
    </row>
    <row r="13024" spans="5:5" ht="16.5">
      <c r="E13024" s="123"/>
    </row>
    <row r="13025" spans="5:5" ht="16.5">
      <c r="E13025" s="123"/>
    </row>
    <row r="13026" spans="5:5" ht="16.5">
      <c r="E13026" s="123"/>
    </row>
    <row r="13027" spans="5:5" ht="16.5">
      <c r="E13027" s="123"/>
    </row>
    <row r="13028" spans="5:5" ht="16.5">
      <c r="E13028" s="123"/>
    </row>
    <row r="13029" spans="5:5" ht="16.5">
      <c r="E13029" s="123"/>
    </row>
    <row r="13030" spans="5:5" ht="16.5">
      <c r="E13030" s="123"/>
    </row>
    <row r="13031" spans="5:5" ht="16.5">
      <c r="E13031" s="123"/>
    </row>
    <row r="13032" spans="5:5" ht="16.5">
      <c r="E13032" s="123"/>
    </row>
    <row r="13033" spans="5:5" ht="16.5">
      <c r="E13033" s="123"/>
    </row>
    <row r="13034" spans="5:5" ht="16.5">
      <c r="E13034" s="123"/>
    </row>
    <row r="13035" spans="5:5" ht="16.5">
      <c r="E13035" s="123"/>
    </row>
    <row r="13036" spans="5:5" ht="16.5">
      <c r="E13036" s="123"/>
    </row>
    <row r="13037" spans="5:5" ht="16.5">
      <c r="E13037" s="123"/>
    </row>
    <row r="13038" spans="5:5" ht="16.5">
      <c r="E13038" s="123"/>
    </row>
    <row r="13039" spans="5:5" ht="16.5">
      <c r="E13039" s="123"/>
    </row>
    <row r="13040" spans="5:5" ht="16.5">
      <c r="E13040" s="123"/>
    </row>
    <row r="13041" spans="5:5" ht="16.5">
      <c r="E13041" s="123"/>
    </row>
    <row r="13042" spans="5:5" ht="16.5">
      <c r="E13042" s="123"/>
    </row>
    <row r="13043" spans="5:5" ht="16.5">
      <c r="E13043" s="123"/>
    </row>
    <row r="13044" spans="5:5" ht="16.5">
      <c r="E13044" s="123"/>
    </row>
    <row r="13045" spans="5:5" ht="16.5">
      <c r="E13045" s="123"/>
    </row>
    <row r="13046" spans="5:5" ht="16.5">
      <c r="E13046" s="123"/>
    </row>
    <row r="13047" spans="5:5" ht="16.5">
      <c r="E13047" s="123"/>
    </row>
    <row r="13048" spans="5:5" ht="16.5">
      <c r="E13048" s="123"/>
    </row>
    <row r="13049" spans="5:5" ht="16.5">
      <c r="E13049" s="123"/>
    </row>
    <row r="13050" spans="5:5" ht="16.5">
      <c r="E13050" s="123"/>
    </row>
    <row r="13051" spans="5:5" ht="16.5">
      <c r="E13051" s="123"/>
    </row>
    <row r="13052" spans="5:5" ht="16.5">
      <c r="E13052" s="123"/>
    </row>
    <row r="13053" spans="5:5" ht="16.5">
      <c r="E13053" s="123"/>
    </row>
    <row r="13054" spans="5:5" ht="16.5">
      <c r="E13054" s="123"/>
    </row>
    <row r="13055" spans="5:5" ht="16.5">
      <c r="E13055" s="123"/>
    </row>
    <row r="13056" spans="5:5" ht="16.5">
      <c r="E13056" s="123"/>
    </row>
    <row r="13057" spans="5:5" ht="16.5">
      <c r="E13057" s="123"/>
    </row>
    <row r="13058" spans="5:5" ht="16.5">
      <c r="E13058" s="123"/>
    </row>
    <row r="13059" spans="5:5" ht="16.5">
      <c r="E13059" s="123"/>
    </row>
    <row r="13060" spans="5:5" ht="16.5">
      <c r="E13060" s="123"/>
    </row>
    <row r="13061" spans="5:5" ht="16.5">
      <c r="E13061" s="123"/>
    </row>
    <row r="13062" spans="5:5" ht="16.5">
      <c r="E13062" s="123"/>
    </row>
    <row r="13063" spans="5:5" ht="16.5">
      <c r="E13063" s="123"/>
    </row>
    <row r="13064" spans="5:5" ht="16.5">
      <c r="E13064" s="123"/>
    </row>
    <row r="13065" spans="5:5" ht="16.5">
      <c r="E13065" s="123"/>
    </row>
    <row r="13066" spans="5:5" ht="16.5">
      <c r="E13066" s="123"/>
    </row>
    <row r="13067" spans="5:5" ht="16.5">
      <c r="E13067" s="123"/>
    </row>
    <row r="13068" spans="5:5" ht="16.5">
      <c r="E13068" s="123"/>
    </row>
    <row r="13069" spans="5:5" ht="16.5">
      <c r="E13069" s="123"/>
    </row>
    <row r="13070" spans="5:5" ht="16.5">
      <c r="E13070" s="123"/>
    </row>
    <row r="13071" spans="5:5" ht="16.5">
      <c r="E13071" s="123"/>
    </row>
    <row r="13072" spans="5:5" ht="16.5">
      <c r="E13072" s="123"/>
    </row>
    <row r="13073" spans="5:5" ht="16.5">
      <c r="E13073" s="123"/>
    </row>
    <row r="13074" spans="5:5" ht="16.5">
      <c r="E13074" s="123"/>
    </row>
    <row r="13075" spans="5:5" ht="16.5">
      <c r="E13075" s="123"/>
    </row>
    <row r="13076" spans="5:5" ht="16.5">
      <c r="E13076" s="123"/>
    </row>
    <row r="13077" spans="5:5" ht="16.5">
      <c r="E13077" s="123"/>
    </row>
    <row r="13078" spans="5:5" ht="16.5">
      <c r="E13078" s="123"/>
    </row>
    <row r="13079" spans="5:5" ht="16.5">
      <c r="E13079" s="123"/>
    </row>
    <row r="13080" spans="5:5" ht="16.5">
      <c r="E13080" s="123"/>
    </row>
    <row r="13081" spans="5:5" ht="16.5">
      <c r="E13081" s="123"/>
    </row>
    <row r="13082" spans="5:5" ht="16.5">
      <c r="E13082" s="123"/>
    </row>
    <row r="13083" spans="5:5" ht="16.5">
      <c r="E13083" s="123"/>
    </row>
    <row r="13084" spans="5:5" ht="16.5">
      <c r="E13084" s="123"/>
    </row>
    <row r="13085" spans="5:5" ht="16.5">
      <c r="E13085" s="123"/>
    </row>
    <row r="13086" spans="5:5" ht="16.5">
      <c r="E13086" s="123"/>
    </row>
    <row r="13087" spans="5:5" ht="16.5">
      <c r="E13087" s="123"/>
    </row>
    <row r="13088" spans="5:5" ht="16.5">
      <c r="E13088" s="123"/>
    </row>
    <row r="13089" spans="5:5" ht="16.5">
      <c r="E13089" s="123"/>
    </row>
    <row r="13090" spans="5:5" ht="16.5">
      <c r="E13090" s="123"/>
    </row>
    <row r="13091" spans="5:5" ht="16.5">
      <c r="E13091" s="123"/>
    </row>
    <row r="13092" spans="5:5" ht="16.5">
      <c r="E13092" s="123"/>
    </row>
    <row r="13093" spans="5:5" ht="16.5">
      <c r="E13093" s="123"/>
    </row>
    <row r="13094" spans="5:5" ht="16.5">
      <c r="E13094" s="123"/>
    </row>
    <row r="13095" spans="5:5" ht="16.5">
      <c r="E13095" s="123"/>
    </row>
    <row r="13096" spans="5:5" ht="16.5">
      <c r="E13096" s="123"/>
    </row>
    <row r="13097" spans="5:5" ht="16.5">
      <c r="E13097" s="123"/>
    </row>
    <row r="13098" spans="5:5" ht="16.5">
      <c r="E13098" s="123"/>
    </row>
    <row r="13099" spans="5:5" ht="16.5">
      <c r="E13099" s="123"/>
    </row>
    <row r="13100" spans="5:5" ht="16.5">
      <c r="E13100" s="123"/>
    </row>
    <row r="13101" spans="5:5" ht="16.5">
      <c r="E13101" s="123"/>
    </row>
    <row r="13102" spans="5:5" ht="16.5">
      <c r="E13102" s="123"/>
    </row>
    <row r="13103" spans="5:5" ht="16.5">
      <c r="E13103" s="123"/>
    </row>
    <row r="13104" spans="5:5" ht="16.5">
      <c r="E13104" s="123"/>
    </row>
    <row r="13105" spans="5:5" ht="16.5">
      <c r="E13105" s="123"/>
    </row>
    <row r="13106" spans="5:5" ht="16.5">
      <c r="E13106" s="123"/>
    </row>
    <row r="13107" spans="5:5" ht="16.5">
      <c r="E13107" s="123"/>
    </row>
    <row r="13108" spans="5:5" ht="16.5">
      <c r="E13108" s="123"/>
    </row>
    <row r="13109" spans="5:5" ht="16.5">
      <c r="E13109" s="123"/>
    </row>
    <row r="13110" spans="5:5" ht="16.5">
      <c r="E13110" s="123"/>
    </row>
    <row r="13111" spans="5:5" ht="16.5">
      <c r="E13111" s="123"/>
    </row>
    <row r="13112" spans="5:5" ht="16.5">
      <c r="E13112" s="123"/>
    </row>
    <row r="13113" spans="5:5" ht="16.5">
      <c r="E13113" s="123"/>
    </row>
    <row r="13114" spans="5:5" ht="16.5">
      <c r="E13114" s="123"/>
    </row>
    <row r="13115" spans="5:5" ht="16.5">
      <c r="E13115" s="123"/>
    </row>
    <row r="13116" spans="5:5" ht="16.5">
      <c r="E13116" s="123"/>
    </row>
    <row r="13117" spans="5:5" ht="16.5">
      <c r="E13117" s="123"/>
    </row>
    <row r="13118" spans="5:5" ht="16.5">
      <c r="E13118" s="123"/>
    </row>
    <row r="13119" spans="5:5" ht="16.5">
      <c r="E13119" s="123"/>
    </row>
    <row r="13120" spans="5:5" ht="16.5">
      <c r="E13120" s="123"/>
    </row>
    <row r="13121" spans="5:5" ht="16.5">
      <c r="E13121" s="123"/>
    </row>
    <row r="13122" spans="5:5" ht="16.5">
      <c r="E13122" s="123"/>
    </row>
    <row r="13123" spans="5:5" ht="16.5">
      <c r="E13123" s="123"/>
    </row>
    <row r="13124" spans="5:5" ht="16.5">
      <c r="E13124" s="123"/>
    </row>
    <row r="13125" spans="5:5" ht="16.5">
      <c r="E13125" s="123"/>
    </row>
    <row r="13126" spans="5:5" ht="16.5">
      <c r="E13126" s="123"/>
    </row>
    <row r="13127" spans="5:5" ht="16.5">
      <c r="E13127" s="123"/>
    </row>
    <row r="13128" spans="5:5" ht="16.5">
      <c r="E13128" s="123"/>
    </row>
    <row r="13129" spans="5:5" ht="16.5">
      <c r="E13129" s="123"/>
    </row>
    <row r="13130" spans="5:5" ht="16.5">
      <c r="E13130" s="123"/>
    </row>
    <row r="13131" spans="5:5" ht="16.5">
      <c r="E13131" s="123"/>
    </row>
    <row r="13132" spans="5:5" ht="16.5">
      <c r="E13132" s="123"/>
    </row>
    <row r="13133" spans="5:5" ht="16.5">
      <c r="E13133" s="123"/>
    </row>
    <row r="13134" spans="5:5" ht="16.5">
      <c r="E13134" s="123"/>
    </row>
    <row r="13135" spans="5:5" ht="16.5">
      <c r="E13135" s="123"/>
    </row>
    <row r="13136" spans="5:5" ht="16.5">
      <c r="E13136" s="123"/>
    </row>
    <row r="13137" spans="5:5" ht="16.5">
      <c r="E13137" s="123"/>
    </row>
    <row r="13138" spans="5:5" ht="16.5">
      <c r="E13138" s="123"/>
    </row>
    <row r="13139" spans="5:5" ht="16.5">
      <c r="E13139" s="123"/>
    </row>
    <row r="13140" spans="5:5" ht="16.5">
      <c r="E13140" s="123"/>
    </row>
    <row r="13141" spans="5:5" ht="16.5">
      <c r="E13141" s="123"/>
    </row>
    <row r="13142" spans="5:5" ht="16.5">
      <c r="E13142" s="123"/>
    </row>
    <row r="13143" spans="5:5" ht="16.5">
      <c r="E13143" s="123"/>
    </row>
    <row r="13144" spans="5:5" ht="16.5">
      <c r="E13144" s="123"/>
    </row>
    <row r="13145" spans="5:5" ht="16.5">
      <c r="E13145" s="123"/>
    </row>
    <row r="13146" spans="5:5" ht="16.5">
      <c r="E13146" s="123"/>
    </row>
    <row r="13147" spans="5:5" ht="16.5">
      <c r="E13147" s="123"/>
    </row>
    <row r="13148" spans="5:5" ht="16.5">
      <c r="E13148" s="123"/>
    </row>
    <row r="13149" spans="5:5" ht="16.5">
      <c r="E13149" s="123"/>
    </row>
    <row r="13150" spans="5:5" ht="16.5">
      <c r="E13150" s="123"/>
    </row>
    <row r="13151" spans="5:5" ht="16.5">
      <c r="E13151" s="123"/>
    </row>
    <row r="13152" spans="5:5" ht="16.5">
      <c r="E13152" s="123"/>
    </row>
    <row r="13153" spans="5:5" ht="16.5">
      <c r="E13153" s="123"/>
    </row>
    <row r="13154" spans="5:5" ht="16.5">
      <c r="E13154" s="123"/>
    </row>
    <row r="13155" spans="5:5" ht="16.5">
      <c r="E13155" s="123"/>
    </row>
    <row r="13156" spans="5:5" ht="16.5">
      <c r="E13156" s="123"/>
    </row>
    <row r="13157" spans="5:5" ht="16.5">
      <c r="E13157" s="123"/>
    </row>
    <row r="13158" spans="5:5" ht="16.5">
      <c r="E13158" s="123"/>
    </row>
    <row r="13159" spans="5:5" ht="16.5">
      <c r="E13159" s="123"/>
    </row>
    <row r="13160" spans="5:5" ht="16.5">
      <c r="E13160" s="123"/>
    </row>
    <row r="13161" spans="5:5" ht="16.5">
      <c r="E13161" s="123"/>
    </row>
    <row r="13162" spans="5:5" ht="16.5">
      <c r="E13162" s="123"/>
    </row>
    <row r="13163" spans="5:5" ht="16.5">
      <c r="E13163" s="123"/>
    </row>
    <row r="13164" spans="5:5" ht="16.5">
      <c r="E13164" s="123"/>
    </row>
    <row r="13165" spans="5:5" ht="16.5">
      <c r="E13165" s="123"/>
    </row>
    <row r="13166" spans="5:5" ht="16.5">
      <c r="E13166" s="123"/>
    </row>
    <row r="13167" spans="5:5" ht="16.5">
      <c r="E13167" s="123"/>
    </row>
    <row r="13168" spans="5:5" ht="16.5">
      <c r="E13168" s="123"/>
    </row>
    <row r="13169" spans="5:5" ht="16.5">
      <c r="E13169" s="123"/>
    </row>
    <row r="13170" spans="5:5" ht="16.5">
      <c r="E13170" s="123"/>
    </row>
    <row r="13171" spans="5:5" ht="16.5">
      <c r="E13171" s="123"/>
    </row>
    <row r="13172" spans="5:5" ht="16.5">
      <c r="E13172" s="123"/>
    </row>
    <row r="13173" spans="5:5" ht="16.5">
      <c r="E13173" s="123"/>
    </row>
    <row r="13174" spans="5:5" ht="16.5">
      <c r="E13174" s="123"/>
    </row>
    <row r="13175" spans="5:5" ht="16.5">
      <c r="E13175" s="123"/>
    </row>
    <row r="13176" spans="5:5" ht="16.5">
      <c r="E13176" s="123"/>
    </row>
    <row r="13177" spans="5:5" ht="16.5">
      <c r="E13177" s="123"/>
    </row>
    <row r="13178" spans="5:5" ht="16.5">
      <c r="E13178" s="123"/>
    </row>
    <row r="13179" spans="5:5" ht="16.5">
      <c r="E13179" s="123"/>
    </row>
    <row r="13180" spans="5:5" ht="16.5">
      <c r="E13180" s="123"/>
    </row>
    <row r="13181" spans="5:5" ht="16.5">
      <c r="E13181" s="123"/>
    </row>
    <row r="13182" spans="5:5" ht="16.5">
      <c r="E13182" s="123"/>
    </row>
    <row r="13183" spans="5:5" ht="16.5">
      <c r="E13183" s="123"/>
    </row>
    <row r="13184" spans="5:5" ht="16.5">
      <c r="E13184" s="123"/>
    </row>
    <row r="13185" spans="5:5" ht="16.5">
      <c r="E13185" s="123"/>
    </row>
    <row r="13186" spans="5:5" ht="16.5">
      <c r="E13186" s="123"/>
    </row>
    <row r="13187" spans="5:5" ht="16.5">
      <c r="E13187" s="123"/>
    </row>
    <row r="13188" spans="5:5" ht="16.5">
      <c r="E13188" s="123"/>
    </row>
    <row r="13189" spans="5:5" ht="16.5">
      <c r="E13189" s="123"/>
    </row>
    <row r="13190" spans="5:5" ht="16.5">
      <c r="E13190" s="123"/>
    </row>
    <row r="13191" spans="5:5" ht="16.5">
      <c r="E13191" s="123"/>
    </row>
    <row r="13192" spans="5:5" ht="16.5">
      <c r="E13192" s="123"/>
    </row>
    <row r="13193" spans="5:5" ht="16.5">
      <c r="E13193" s="123"/>
    </row>
    <row r="13194" spans="5:5" ht="16.5">
      <c r="E13194" s="123"/>
    </row>
    <row r="13195" spans="5:5" ht="16.5">
      <c r="E13195" s="123"/>
    </row>
    <row r="13196" spans="5:5" ht="16.5">
      <c r="E13196" s="123"/>
    </row>
    <row r="13197" spans="5:5" ht="16.5">
      <c r="E13197" s="123"/>
    </row>
    <row r="13198" spans="5:5" ht="16.5">
      <c r="E13198" s="123"/>
    </row>
    <row r="13199" spans="5:5" ht="16.5">
      <c r="E13199" s="123"/>
    </row>
    <row r="13200" spans="5:5" ht="16.5">
      <c r="E13200" s="123"/>
    </row>
    <row r="13201" spans="5:5" ht="16.5">
      <c r="E13201" s="123"/>
    </row>
    <row r="13202" spans="5:5" ht="16.5">
      <c r="E13202" s="123"/>
    </row>
    <row r="13203" spans="5:5" ht="16.5">
      <c r="E13203" s="123"/>
    </row>
    <row r="13204" spans="5:5" ht="16.5">
      <c r="E13204" s="123"/>
    </row>
    <row r="13205" spans="5:5" ht="16.5">
      <c r="E13205" s="123"/>
    </row>
    <row r="13206" spans="5:5" ht="16.5">
      <c r="E13206" s="123"/>
    </row>
    <row r="13207" spans="5:5" ht="16.5">
      <c r="E13207" s="123"/>
    </row>
    <row r="13208" spans="5:5" ht="16.5">
      <c r="E13208" s="123"/>
    </row>
    <row r="13209" spans="5:5" ht="16.5">
      <c r="E13209" s="123"/>
    </row>
    <row r="13210" spans="5:5" ht="16.5">
      <c r="E13210" s="123"/>
    </row>
    <row r="13211" spans="5:5" ht="16.5">
      <c r="E13211" s="123"/>
    </row>
    <row r="13212" spans="5:5" ht="16.5">
      <c r="E13212" s="123"/>
    </row>
    <row r="13213" spans="5:5" ht="16.5">
      <c r="E13213" s="123"/>
    </row>
    <row r="13214" spans="5:5" ht="16.5">
      <c r="E13214" s="123"/>
    </row>
    <row r="13215" spans="5:5" ht="16.5">
      <c r="E13215" s="123"/>
    </row>
    <row r="13216" spans="5:5" ht="16.5">
      <c r="E13216" s="123"/>
    </row>
    <row r="13217" spans="5:5" ht="16.5">
      <c r="E13217" s="123"/>
    </row>
    <row r="13218" spans="5:5" ht="16.5">
      <c r="E13218" s="123"/>
    </row>
    <row r="13219" spans="5:5" ht="16.5">
      <c r="E13219" s="123"/>
    </row>
    <row r="13220" spans="5:5" ht="16.5">
      <c r="E13220" s="123"/>
    </row>
    <row r="13221" spans="5:5" ht="16.5">
      <c r="E13221" s="123"/>
    </row>
    <row r="13222" spans="5:5" ht="16.5">
      <c r="E13222" s="123"/>
    </row>
    <row r="13223" spans="5:5" ht="16.5">
      <c r="E13223" s="123"/>
    </row>
    <row r="13224" spans="5:5" ht="16.5">
      <c r="E13224" s="123"/>
    </row>
    <row r="13225" spans="5:5" ht="16.5">
      <c r="E13225" s="123"/>
    </row>
    <row r="13226" spans="5:5" ht="16.5">
      <c r="E13226" s="123"/>
    </row>
    <row r="13227" spans="5:5" ht="16.5">
      <c r="E13227" s="123"/>
    </row>
    <row r="13228" spans="5:5" ht="16.5">
      <c r="E13228" s="123"/>
    </row>
    <row r="13229" spans="5:5" ht="16.5">
      <c r="E13229" s="123"/>
    </row>
    <row r="13230" spans="5:5" ht="16.5">
      <c r="E13230" s="123"/>
    </row>
    <row r="13231" spans="5:5" ht="16.5">
      <c r="E13231" s="123"/>
    </row>
    <row r="13232" spans="5:5" ht="16.5">
      <c r="E13232" s="123"/>
    </row>
    <row r="13233" spans="5:5" ht="16.5">
      <c r="E13233" s="123"/>
    </row>
    <row r="13234" spans="5:5" ht="16.5">
      <c r="E13234" s="123"/>
    </row>
    <row r="13235" spans="5:5" ht="16.5">
      <c r="E13235" s="123"/>
    </row>
    <row r="13236" spans="5:5" ht="16.5">
      <c r="E13236" s="123"/>
    </row>
    <row r="13237" spans="5:5" ht="16.5">
      <c r="E13237" s="123"/>
    </row>
    <row r="13238" spans="5:5" ht="16.5">
      <c r="E13238" s="123"/>
    </row>
    <row r="13239" spans="5:5" ht="16.5">
      <c r="E13239" s="123"/>
    </row>
    <row r="13240" spans="5:5" ht="16.5">
      <c r="E13240" s="123"/>
    </row>
    <row r="13241" spans="5:5" ht="16.5">
      <c r="E13241" s="123"/>
    </row>
    <row r="13242" spans="5:5" ht="16.5">
      <c r="E13242" s="123"/>
    </row>
    <row r="13243" spans="5:5" ht="16.5">
      <c r="E13243" s="123"/>
    </row>
    <row r="13244" spans="5:5" ht="16.5">
      <c r="E13244" s="123"/>
    </row>
    <row r="13245" spans="5:5" ht="16.5">
      <c r="E13245" s="123"/>
    </row>
    <row r="13246" spans="5:5" ht="16.5">
      <c r="E13246" s="123"/>
    </row>
    <row r="13247" spans="5:5" ht="16.5">
      <c r="E13247" s="123"/>
    </row>
    <row r="13248" spans="5:5" ht="16.5">
      <c r="E13248" s="123"/>
    </row>
    <row r="13249" spans="5:5" ht="16.5">
      <c r="E13249" s="123"/>
    </row>
    <row r="13250" spans="5:5" ht="16.5">
      <c r="E13250" s="123"/>
    </row>
    <row r="13251" spans="5:5" ht="16.5">
      <c r="E13251" s="123"/>
    </row>
    <row r="13252" spans="5:5" ht="16.5">
      <c r="E13252" s="123"/>
    </row>
    <row r="13253" spans="5:5" ht="16.5">
      <c r="E13253" s="123"/>
    </row>
    <row r="13254" spans="5:5" ht="16.5">
      <c r="E13254" s="123"/>
    </row>
    <row r="13255" spans="5:5" ht="16.5">
      <c r="E13255" s="123"/>
    </row>
    <row r="13256" spans="5:5" ht="16.5">
      <c r="E13256" s="123"/>
    </row>
    <row r="13257" spans="5:5" ht="16.5">
      <c r="E13257" s="123"/>
    </row>
    <row r="13258" spans="5:5" ht="16.5">
      <c r="E13258" s="123"/>
    </row>
    <row r="13259" spans="5:5" ht="16.5">
      <c r="E13259" s="123"/>
    </row>
    <row r="13260" spans="5:5" ht="16.5">
      <c r="E13260" s="123"/>
    </row>
    <row r="13261" spans="5:5" ht="16.5">
      <c r="E13261" s="123"/>
    </row>
    <row r="13262" spans="5:5" ht="16.5">
      <c r="E13262" s="123"/>
    </row>
    <row r="13263" spans="5:5" ht="16.5">
      <c r="E13263" s="123"/>
    </row>
    <row r="13264" spans="5:5" ht="16.5">
      <c r="E13264" s="123"/>
    </row>
    <row r="13265" spans="5:5" ht="16.5">
      <c r="E13265" s="123"/>
    </row>
    <row r="13266" spans="5:5" ht="16.5">
      <c r="E13266" s="123"/>
    </row>
    <row r="13267" spans="5:5" ht="16.5">
      <c r="E13267" s="123"/>
    </row>
    <row r="13268" spans="5:5" ht="16.5">
      <c r="E13268" s="123"/>
    </row>
    <row r="13269" spans="5:5" ht="16.5">
      <c r="E13269" s="123"/>
    </row>
    <row r="13270" spans="5:5" ht="16.5">
      <c r="E13270" s="123"/>
    </row>
    <row r="13271" spans="5:5" ht="16.5">
      <c r="E13271" s="123"/>
    </row>
    <row r="13272" spans="5:5" ht="16.5">
      <c r="E13272" s="123"/>
    </row>
    <row r="13273" spans="5:5" ht="16.5">
      <c r="E13273" s="123"/>
    </row>
    <row r="13274" spans="5:5" ht="16.5">
      <c r="E13274" s="123"/>
    </row>
    <row r="13275" spans="5:5" ht="16.5">
      <c r="E13275" s="123"/>
    </row>
    <row r="13276" spans="5:5" ht="16.5">
      <c r="E13276" s="123"/>
    </row>
    <row r="13277" spans="5:5" ht="16.5">
      <c r="E13277" s="123"/>
    </row>
    <row r="13278" spans="5:5" ht="16.5">
      <c r="E13278" s="123"/>
    </row>
    <row r="13279" spans="5:5" ht="16.5">
      <c r="E13279" s="123"/>
    </row>
    <row r="13280" spans="5:5" ht="16.5">
      <c r="E13280" s="123"/>
    </row>
    <row r="13281" spans="5:5" ht="16.5">
      <c r="E13281" s="123"/>
    </row>
    <row r="13282" spans="5:5" ht="16.5">
      <c r="E13282" s="123"/>
    </row>
    <row r="13283" spans="5:5" ht="16.5">
      <c r="E13283" s="123"/>
    </row>
    <row r="13284" spans="5:5" ht="16.5">
      <c r="E13284" s="123"/>
    </row>
    <row r="13285" spans="5:5" ht="16.5">
      <c r="E13285" s="123"/>
    </row>
    <row r="13286" spans="5:5" ht="16.5">
      <c r="E13286" s="123"/>
    </row>
    <row r="13287" spans="5:5" ht="16.5">
      <c r="E13287" s="123"/>
    </row>
    <row r="13288" spans="5:5" ht="16.5">
      <c r="E13288" s="123"/>
    </row>
    <row r="13289" spans="5:5" ht="16.5">
      <c r="E13289" s="123"/>
    </row>
    <row r="13290" spans="5:5" ht="16.5">
      <c r="E13290" s="123"/>
    </row>
    <row r="13291" spans="5:5" ht="16.5">
      <c r="E13291" s="123"/>
    </row>
    <row r="13292" spans="5:5" ht="16.5">
      <c r="E13292" s="123"/>
    </row>
    <row r="13293" spans="5:5" ht="16.5">
      <c r="E13293" s="123"/>
    </row>
    <row r="13294" spans="5:5" ht="16.5">
      <c r="E13294" s="123"/>
    </row>
    <row r="13295" spans="5:5" ht="16.5">
      <c r="E13295" s="123"/>
    </row>
    <row r="13296" spans="5:5" ht="16.5">
      <c r="E13296" s="123"/>
    </row>
    <row r="13297" spans="5:5" ht="16.5">
      <c r="E13297" s="123"/>
    </row>
    <row r="13298" spans="5:5" ht="16.5">
      <c r="E13298" s="123"/>
    </row>
    <row r="13299" spans="5:5" ht="16.5">
      <c r="E13299" s="123"/>
    </row>
    <row r="13300" spans="5:5" ht="16.5">
      <c r="E13300" s="123"/>
    </row>
    <row r="13301" spans="5:5" ht="16.5">
      <c r="E13301" s="123"/>
    </row>
    <row r="13302" spans="5:5" ht="16.5">
      <c r="E13302" s="123"/>
    </row>
    <row r="13303" spans="5:5" ht="16.5">
      <c r="E13303" s="123"/>
    </row>
    <row r="13304" spans="5:5" ht="16.5">
      <c r="E13304" s="123"/>
    </row>
    <row r="13305" spans="5:5" ht="16.5">
      <c r="E13305" s="123"/>
    </row>
    <row r="13306" spans="5:5" ht="16.5">
      <c r="E13306" s="123"/>
    </row>
    <row r="13307" spans="5:5" ht="16.5">
      <c r="E13307" s="123"/>
    </row>
    <row r="13308" spans="5:5" ht="16.5">
      <c r="E13308" s="123"/>
    </row>
    <row r="13309" spans="5:5" ht="16.5">
      <c r="E13309" s="123"/>
    </row>
    <row r="13310" spans="5:5" ht="16.5">
      <c r="E13310" s="123"/>
    </row>
    <row r="13311" spans="5:5" ht="16.5">
      <c r="E13311" s="123"/>
    </row>
    <row r="13312" spans="5:5" ht="16.5">
      <c r="E13312" s="123"/>
    </row>
    <row r="13313" spans="5:5" ht="16.5">
      <c r="E13313" s="123"/>
    </row>
    <row r="13314" spans="5:5" ht="16.5">
      <c r="E13314" s="123"/>
    </row>
    <row r="13315" spans="5:5" ht="16.5">
      <c r="E13315" s="123"/>
    </row>
    <row r="13316" spans="5:5" ht="16.5">
      <c r="E13316" s="123"/>
    </row>
    <row r="13317" spans="5:5" ht="16.5">
      <c r="E13317" s="123"/>
    </row>
    <row r="13318" spans="5:5" ht="16.5">
      <c r="E13318" s="123"/>
    </row>
    <row r="13319" spans="5:5" ht="16.5">
      <c r="E13319" s="123"/>
    </row>
    <row r="13320" spans="5:5" ht="16.5">
      <c r="E13320" s="123"/>
    </row>
    <row r="13321" spans="5:5" ht="16.5">
      <c r="E13321" s="123"/>
    </row>
    <row r="13322" spans="5:5" ht="16.5">
      <c r="E13322" s="123"/>
    </row>
    <row r="13323" spans="5:5" ht="16.5">
      <c r="E13323" s="123"/>
    </row>
    <row r="13324" spans="5:5" ht="16.5">
      <c r="E13324" s="123"/>
    </row>
    <row r="13325" spans="5:5" ht="16.5">
      <c r="E13325" s="123"/>
    </row>
    <row r="13326" spans="5:5" ht="16.5">
      <c r="E13326" s="123"/>
    </row>
    <row r="13327" spans="5:5" ht="16.5">
      <c r="E13327" s="123"/>
    </row>
    <row r="13328" spans="5:5" ht="16.5">
      <c r="E13328" s="123"/>
    </row>
    <row r="13329" spans="5:5" ht="16.5">
      <c r="E13329" s="123"/>
    </row>
    <row r="13330" spans="5:5" ht="16.5">
      <c r="E13330" s="123"/>
    </row>
    <row r="13331" spans="5:5" ht="16.5">
      <c r="E13331" s="123"/>
    </row>
    <row r="13332" spans="5:5" ht="16.5">
      <c r="E13332" s="123"/>
    </row>
    <row r="13333" spans="5:5" ht="16.5">
      <c r="E13333" s="123"/>
    </row>
    <row r="13334" spans="5:5" ht="16.5">
      <c r="E13334" s="123"/>
    </row>
    <row r="13335" spans="5:5" ht="16.5">
      <c r="E13335" s="123"/>
    </row>
    <row r="13336" spans="5:5" ht="16.5">
      <c r="E13336" s="123"/>
    </row>
    <row r="13337" spans="5:5" ht="16.5">
      <c r="E13337" s="123"/>
    </row>
    <row r="13338" spans="5:5" ht="16.5">
      <c r="E13338" s="123"/>
    </row>
    <row r="13339" spans="5:5" ht="16.5">
      <c r="E13339" s="123"/>
    </row>
    <row r="13340" spans="5:5" ht="16.5">
      <c r="E13340" s="123"/>
    </row>
    <row r="13341" spans="5:5" ht="16.5">
      <c r="E13341" s="123"/>
    </row>
    <row r="13342" spans="5:5" ht="16.5">
      <c r="E13342" s="123"/>
    </row>
    <row r="13343" spans="5:5" ht="16.5">
      <c r="E13343" s="123"/>
    </row>
    <row r="13344" spans="5:5" ht="16.5">
      <c r="E13344" s="123"/>
    </row>
    <row r="13345" spans="5:5" ht="16.5">
      <c r="E13345" s="123"/>
    </row>
    <row r="13346" spans="5:5" ht="16.5">
      <c r="E13346" s="123"/>
    </row>
    <row r="13347" spans="5:5" ht="16.5">
      <c r="E13347" s="123"/>
    </row>
    <row r="13348" spans="5:5" ht="16.5">
      <c r="E13348" s="123"/>
    </row>
    <row r="13349" spans="5:5" ht="16.5">
      <c r="E13349" s="123"/>
    </row>
    <row r="13350" spans="5:5" ht="16.5">
      <c r="E13350" s="123"/>
    </row>
    <row r="13351" spans="5:5" ht="16.5">
      <c r="E13351" s="123"/>
    </row>
    <row r="13352" spans="5:5" ht="16.5">
      <c r="E13352" s="123"/>
    </row>
    <row r="13353" spans="5:5" ht="16.5">
      <c r="E13353" s="123"/>
    </row>
    <row r="13354" spans="5:5" ht="16.5">
      <c r="E13354" s="123"/>
    </row>
    <row r="13355" spans="5:5" ht="16.5">
      <c r="E13355" s="123"/>
    </row>
    <row r="13356" spans="5:5" ht="16.5">
      <c r="E13356" s="123"/>
    </row>
    <row r="13357" spans="5:5" ht="16.5">
      <c r="E13357" s="123"/>
    </row>
    <row r="13358" spans="5:5" ht="16.5">
      <c r="E13358" s="123"/>
    </row>
    <row r="13359" spans="5:5" ht="16.5">
      <c r="E13359" s="123"/>
    </row>
    <row r="13360" spans="5:5" ht="16.5">
      <c r="E13360" s="123"/>
    </row>
    <row r="13361" spans="5:5" ht="16.5">
      <c r="E13361" s="123"/>
    </row>
    <row r="13362" spans="5:5" ht="16.5">
      <c r="E13362" s="123"/>
    </row>
    <row r="13363" spans="5:5" ht="16.5">
      <c r="E13363" s="123"/>
    </row>
    <row r="13364" spans="5:5" ht="16.5">
      <c r="E13364" s="123"/>
    </row>
    <row r="13365" spans="5:5" ht="16.5">
      <c r="E13365" s="123"/>
    </row>
    <row r="13366" spans="5:5" ht="16.5">
      <c r="E13366" s="123"/>
    </row>
    <row r="13367" spans="5:5" ht="16.5">
      <c r="E13367" s="123"/>
    </row>
    <row r="13368" spans="5:5" ht="16.5">
      <c r="E13368" s="123"/>
    </row>
    <row r="13369" spans="5:5" ht="16.5">
      <c r="E13369" s="123"/>
    </row>
    <row r="13370" spans="5:5" ht="16.5">
      <c r="E13370" s="123"/>
    </row>
    <row r="13371" spans="5:5" ht="16.5">
      <c r="E13371" s="123"/>
    </row>
    <row r="13372" spans="5:5" ht="16.5">
      <c r="E13372" s="123"/>
    </row>
    <row r="13373" spans="5:5" ht="16.5">
      <c r="E13373" s="123"/>
    </row>
    <row r="13374" spans="5:5" ht="16.5">
      <c r="E13374" s="123"/>
    </row>
    <row r="13375" spans="5:5" ht="16.5">
      <c r="E13375" s="123"/>
    </row>
    <row r="13376" spans="5:5" ht="16.5">
      <c r="E13376" s="123"/>
    </row>
    <row r="13377" spans="5:5" ht="16.5">
      <c r="E13377" s="123"/>
    </row>
    <row r="13378" spans="5:5" ht="16.5">
      <c r="E13378" s="123"/>
    </row>
    <row r="13379" spans="5:5" ht="16.5">
      <c r="E13379" s="123"/>
    </row>
    <row r="13380" spans="5:5" ht="16.5">
      <c r="E13380" s="123"/>
    </row>
    <row r="13381" spans="5:5" ht="16.5">
      <c r="E13381" s="123"/>
    </row>
    <row r="13382" spans="5:5" ht="16.5">
      <c r="E13382" s="123"/>
    </row>
    <row r="13383" spans="5:5" ht="16.5">
      <c r="E13383" s="123"/>
    </row>
    <row r="13384" spans="5:5" ht="16.5">
      <c r="E13384" s="123"/>
    </row>
    <row r="13385" spans="5:5" ht="16.5">
      <c r="E13385" s="123"/>
    </row>
    <row r="13386" spans="5:5" ht="16.5">
      <c r="E13386" s="123"/>
    </row>
    <row r="13387" spans="5:5" ht="16.5">
      <c r="E13387" s="123"/>
    </row>
    <row r="13388" spans="5:5" ht="16.5">
      <c r="E13388" s="123"/>
    </row>
    <row r="13389" spans="5:5" ht="16.5">
      <c r="E13389" s="123"/>
    </row>
    <row r="13390" spans="5:5" ht="16.5">
      <c r="E13390" s="123"/>
    </row>
    <row r="13391" spans="5:5" ht="16.5">
      <c r="E13391" s="123"/>
    </row>
    <row r="13392" spans="5:5" ht="16.5">
      <c r="E13392" s="123"/>
    </row>
    <row r="13393" spans="5:5" ht="16.5">
      <c r="E13393" s="123"/>
    </row>
    <row r="13394" spans="5:5" ht="16.5">
      <c r="E13394" s="123"/>
    </row>
    <row r="13395" spans="5:5" ht="16.5">
      <c r="E13395" s="123"/>
    </row>
    <row r="13396" spans="5:5" ht="16.5">
      <c r="E13396" s="123"/>
    </row>
    <row r="13397" spans="5:5" ht="16.5">
      <c r="E13397" s="123"/>
    </row>
    <row r="13398" spans="5:5" ht="16.5">
      <c r="E13398" s="123"/>
    </row>
    <row r="13399" spans="5:5" ht="16.5">
      <c r="E13399" s="123"/>
    </row>
    <row r="13400" spans="5:5" ht="16.5">
      <c r="E13400" s="123"/>
    </row>
    <row r="13401" spans="5:5" ht="16.5">
      <c r="E13401" s="123"/>
    </row>
    <row r="13402" spans="5:5" ht="16.5">
      <c r="E13402" s="123"/>
    </row>
    <row r="13403" spans="5:5" ht="16.5">
      <c r="E13403" s="123"/>
    </row>
    <row r="13404" spans="5:5" ht="16.5">
      <c r="E13404" s="123"/>
    </row>
    <row r="13405" spans="5:5" ht="16.5">
      <c r="E13405" s="123"/>
    </row>
    <row r="13406" spans="5:5" ht="16.5">
      <c r="E13406" s="123"/>
    </row>
    <row r="13407" spans="5:5" ht="16.5">
      <c r="E13407" s="123"/>
    </row>
    <row r="13408" spans="5:5" ht="16.5">
      <c r="E13408" s="123"/>
    </row>
    <row r="13409" spans="5:5" ht="16.5">
      <c r="E13409" s="123"/>
    </row>
    <row r="13410" spans="5:5" ht="16.5">
      <c r="E13410" s="123"/>
    </row>
    <row r="13411" spans="5:5" ht="16.5">
      <c r="E13411" s="123"/>
    </row>
    <row r="13412" spans="5:5" ht="16.5">
      <c r="E13412" s="123"/>
    </row>
    <row r="13413" spans="5:5" ht="16.5">
      <c r="E13413" s="123"/>
    </row>
    <row r="13414" spans="5:5" ht="16.5">
      <c r="E13414" s="123"/>
    </row>
    <row r="13415" spans="5:5" ht="16.5">
      <c r="E13415" s="123"/>
    </row>
    <row r="13416" spans="5:5" ht="16.5">
      <c r="E13416" s="123"/>
    </row>
    <row r="13417" spans="5:5" ht="16.5">
      <c r="E13417" s="123"/>
    </row>
    <row r="13418" spans="5:5" ht="16.5">
      <c r="E13418" s="123"/>
    </row>
    <row r="13419" spans="5:5" ht="16.5">
      <c r="E13419" s="123"/>
    </row>
    <row r="13420" spans="5:5" ht="16.5">
      <c r="E13420" s="123"/>
    </row>
    <row r="13421" spans="5:5" ht="16.5">
      <c r="E13421" s="123"/>
    </row>
    <row r="13422" spans="5:5" ht="16.5">
      <c r="E13422" s="123"/>
    </row>
    <row r="13423" spans="5:5" ht="16.5">
      <c r="E13423" s="123"/>
    </row>
    <row r="13424" spans="5:5" ht="16.5">
      <c r="E13424" s="123"/>
    </row>
    <row r="13425" spans="5:5" ht="16.5">
      <c r="E13425" s="123"/>
    </row>
    <row r="13426" spans="5:5" ht="16.5">
      <c r="E13426" s="123"/>
    </row>
    <row r="13427" spans="5:5" ht="16.5">
      <c r="E13427" s="123"/>
    </row>
    <row r="13428" spans="5:5" ht="16.5">
      <c r="E13428" s="123"/>
    </row>
    <row r="13429" spans="5:5" ht="16.5">
      <c r="E13429" s="123"/>
    </row>
    <row r="13430" spans="5:5" ht="16.5">
      <c r="E13430" s="123"/>
    </row>
    <row r="13431" spans="5:5" ht="16.5">
      <c r="E13431" s="123"/>
    </row>
    <row r="13432" spans="5:5" ht="16.5">
      <c r="E13432" s="123"/>
    </row>
    <row r="13433" spans="5:5" ht="16.5">
      <c r="E13433" s="123"/>
    </row>
    <row r="13434" spans="5:5" ht="16.5">
      <c r="E13434" s="123"/>
    </row>
    <row r="13435" spans="5:5" ht="16.5">
      <c r="E13435" s="123"/>
    </row>
    <row r="13436" spans="5:5" ht="16.5">
      <c r="E13436" s="123"/>
    </row>
    <row r="13437" spans="5:5" ht="16.5">
      <c r="E13437" s="123"/>
    </row>
    <row r="13438" spans="5:5" ht="16.5">
      <c r="E13438" s="123"/>
    </row>
    <row r="13439" spans="5:5" ht="16.5">
      <c r="E13439" s="123"/>
    </row>
    <row r="13440" spans="5:5" ht="16.5">
      <c r="E13440" s="123"/>
    </row>
    <row r="13441" spans="5:5" ht="16.5">
      <c r="E13441" s="123"/>
    </row>
    <row r="13442" spans="5:5" ht="16.5">
      <c r="E13442" s="123"/>
    </row>
    <row r="13443" spans="5:5" ht="16.5">
      <c r="E13443" s="123"/>
    </row>
    <row r="13444" spans="5:5" ht="16.5">
      <c r="E13444" s="123"/>
    </row>
    <row r="13445" spans="5:5" ht="16.5">
      <c r="E13445" s="123"/>
    </row>
    <row r="13446" spans="5:5" ht="16.5">
      <c r="E13446" s="123"/>
    </row>
    <row r="13447" spans="5:5" ht="16.5">
      <c r="E13447" s="123"/>
    </row>
    <row r="13448" spans="5:5" ht="16.5">
      <c r="E13448" s="123"/>
    </row>
    <row r="13449" spans="5:5" ht="16.5">
      <c r="E13449" s="123"/>
    </row>
    <row r="13450" spans="5:5" ht="16.5">
      <c r="E13450" s="123"/>
    </row>
    <row r="13451" spans="5:5" ht="16.5">
      <c r="E13451" s="123"/>
    </row>
    <row r="13452" spans="5:5" ht="16.5">
      <c r="E13452" s="123"/>
    </row>
    <row r="13453" spans="5:5" ht="16.5">
      <c r="E13453" s="123"/>
    </row>
    <row r="13454" spans="5:5" ht="16.5">
      <c r="E13454" s="123"/>
    </row>
    <row r="13455" spans="5:5" ht="16.5">
      <c r="E13455" s="123"/>
    </row>
    <row r="13456" spans="5:5" ht="16.5">
      <c r="E13456" s="123"/>
    </row>
    <row r="13457" spans="5:5" ht="16.5">
      <c r="E13457" s="123"/>
    </row>
    <row r="13458" spans="5:5" ht="16.5">
      <c r="E13458" s="123"/>
    </row>
    <row r="13459" spans="5:5" ht="16.5">
      <c r="E13459" s="123"/>
    </row>
    <row r="13460" spans="5:5" ht="16.5">
      <c r="E13460" s="123"/>
    </row>
    <row r="13461" spans="5:5" ht="16.5">
      <c r="E13461" s="123"/>
    </row>
    <row r="13462" spans="5:5" ht="16.5">
      <c r="E13462" s="123"/>
    </row>
    <row r="13463" spans="5:5" ht="16.5">
      <c r="E13463" s="123"/>
    </row>
    <row r="13464" spans="5:5" ht="16.5">
      <c r="E13464" s="123"/>
    </row>
    <row r="13465" spans="5:5" ht="16.5">
      <c r="E13465" s="123"/>
    </row>
    <row r="13466" spans="5:5" ht="16.5">
      <c r="E13466" s="123"/>
    </row>
    <row r="13467" spans="5:5" ht="16.5">
      <c r="E13467" s="123"/>
    </row>
    <row r="13468" spans="5:5" ht="16.5">
      <c r="E13468" s="123"/>
    </row>
    <row r="13469" spans="5:5" ht="16.5">
      <c r="E13469" s="123"/>
    </row>
    <row r="13470" spans="5:5" ht="16.5">
      <c r="E13470" s="123"/>
    </row>
    <row r="13471" spans="5:5" ht="16.5">
      <c r="E13471" s="123"/>
    </row>
    <row r="13472" spans="5:5" ht="16.5">
      <c r="E13472" s="123"/>
    </row>
    <row r="13473" spans="5:5" ht="16.5">
      <c r="E13473" s="123"/>
    </row>
    <row r="13474" spans="5:5" ht="16.5">
      <c r="E13474" s="123"/>
    </row>
    <row r="13475" spans="5:5" ht="16.5">
      <c r="E13475" s="123"/>
    </row>
    <row r="13476" spans="5:5" ht="16.5">
      <c r="E13476" s="123"/>
    </row>
    <row r="13477" spans="5:5" ht="16.5">
      <c r="E13477" s="123"/>
    </row>
    <row r="13478" spans="5:5" ht="16.5">
      <c r="E13478" s="123"/>
    </row>
    <row r="13479" spans="5:5" ht="16.5">
      <c r="E13479" s="123"/>
    </row>
    <row r="13480" spans="5:5" ht="16.5">
      <c r="E13480" s="123"/>
    </row>
    <row r="13481" spans="5:5" ht="16.5">
      <c r="E13481" s="123"/>
    </row>
    <row r="13482" spans="5:5" ht="16.5">
      <c r="E13482" s="123"/>
    </row>
    <row r="13483" spans="5:5" ht="16.5">
      <c r="E13483" s="123"/>
    </row>
    <row r="13484" spans="5:5" ht="16.5">
      <c r="E13484" s="123"/>
    </row>
    <row r="13485" spans="5:5" ht="16.5">
      <c r="E13485" s="123"/>
    </row>
    <row r="13486" spans="5:5" ht="16.5">
      <c r="E13486" s="123"/>
    </row>
    <row r="13487" spans="5:5" ht="16.5">
      <c r="E13487" s="123"/>
    </row>
    <row r="13488" spans="5:5" ht="16.5">
      <c r="E13488" s="123"/>
    </row>
    <row r="13489" spans="5:5" ht="16.5">
      <c r="E13489" s="123"/>
    </row>
    <row r="13490" spans="5:5" ht="16.5">
      <c r="E13490" s="123"/>
    </row>
    <row r="13491" spans="5:5" ht="16.5">
      <c r="E13491" s="123"/>
    </row>
    <row r="13492" spans="5:5" ht="16.5">
      <c r="E13492" s="123"/>
    </row>
    <row r="13493" spans="5:5" ht="16.5">
      <c r="E13493" s="123"/>
    </row>
    <row r="13494" spans="5:5" ht="16.5">
      <c r="E13494" s="123"/>
    </row>
    <row r="13495" spans="5:5" ht="16.5">
      <c r="E13495" s="123"/>
    </row>
    <row r="13496" spans="5:5" ht="16.5">
      <c r="E13496" s="123"/>
    </row>
    <row r="13497" spans="5:5" ht="16.5">
      <c r="E13497" s="123"/>
    </row>
    <row r="13498" spans="5:5" ht="16.5">
      <c r="E13498" s="123"/>
    </row>
    <row r="13499" spans="5:5" ht="16.5">
      <c r="E13499" s="123"/>
    </row>
    <row r="13500" spans="5:5" ht="16.5">
      <c r="E13500" s="123"/>
    </row>
    <row r="13501" spans="5:5" ht="16.5">
      <c r="E13501" s="123"/>
    </row>
    <row r="13502" spans="5:5" ht="16.5">
      <c r="E13502" s="123"/>
    </row>
    <row r="13503" spans="5:5" ht="16.5">
      <c r="E13503" s="123"/>
    </row>
    <row r="13504" spans="5:5" ht="16.5">
      <c r="E13504" s="123"/>
    </row>
    <row r="13505" spans="5:5" ht="16.5">
      <c r="E13505" s="123"/>
    </row>
    <row r="13506" spans="5:5" ht="16.5">
      <c r="E13506" s="123"/>
    </row>
    <row r="13507" spans="5:5" ht="16.5">
      <c r="E13507" s="123"/>
    </row>
    <row r="13508" spans="5:5" ht="16.5">
      <c r="E13508" s="123"/>
    </row>
    <row r="13509" spans="5:5" ht="16.5">
      <c r="E13509" s="123"/>
    </row>
    <row r="13510" spans="5:5" ht="16.5">
      <c r="E13510" s="123"/>
    </row>
    <row r="13511" spans="5:5" ht="16.5">
      <c r="E13511" s="123"/>
    </row>
    <row r="13512" spans="5:5" ht="16.5">
      <c r="E13512" s="123"/>
    </row>
    <row r="13513" spans="5:5" ht="16.5">
      <c r="E13513" s="123"/>
    </row>
    <row r="13514" spans="5:5" ht="16.5">
      <c r="E13514" s="123"/>
    </row>
    <row r="13515" spans="5:5" ht="16.5">
      <c r="E13515" s="123"/>
    </row>
    <row r="13516" spans="5:5" ht="16.5">
      <c r="E13516" s="123"/>
    </row>
    <row r="13517" spans="5:5" ht="16.5">
      <c r="E13517" s="123"/>
    </row>
    <row r="13518" spans="5:5" ht="16.5">
      <c r="E13518" s="123"/>
    </row>
    <row r="13519" spans="5:5" ht="16.5">
      <c r="E13519" s="123"/>
    </row>
    <row r="13520" spans="5:5" ht="16.5">
      <c r="E13520" s="123"/>
    </row>
    <row r="13521" spans="5:5" ht="16.5">
      <c r="E13521" s="123"/>
    </row>
    <row r="13522" spans="5:5" ht="16.5">
      <c r="E13522" s="123"/>
    </row>
    <row r="13523" spans="5:5" ht="16.5">
      <c r="E13523" s="123"/>
    </row>
    <row r="13524" spans="5:5" ht="16.5">
      <c r="E13524" s="123"/>
    </row>
    <row r="13525" spans="5:5" ht="16.5">
      <c r="E13525" s="123"/>
    </row>
    <row r="13526" spans="5:5" ht="16.5">
      <c r="E13526" s="123"/>
    </row>
    <row r="13527" spans="5:5" ht="16.5">
      <c r="E13527" s="123"/>
    </row>
    <row r="13528" spans="5:5" ht="16.5">
      <c r="E13528" s="123"/>
    </row>
    <row r="13529" spans="5:5" ht="16.5">
      <c r="E13529" s="123"/>
    </row>
    <row r="13530" spans="5:5" ht="16.5">
      <c r="E13530" s="123"/>
    </row>
    <row r="13531" spans="5:5" ht="16.5">
      <c r="E13531" s="123"/>
    </row>
    <row r="13532" spans="5:5" ht="16.5">
      <c r="E13532" s="123"/>
    </row>
    <row r="13533" spans="5:5" ht="16.5">
      <c r="E13533" s="123"/>
    </row>
    <row r="13534" spans="5:5" ht="16.5">
      <c r="E13534" s="123"/>
    </row>
    <row r="13535" spans="5:5" ht="16.5">
      <c r="E13535" s="123"/>
    </row>
    <row r="13536" spans="5:5" ht="16.5">
      <c r="E13536" s="123"/>
    </row>
    <row r="13537" spans="5:5" ht="16.5">
      <c r="E13537" s="123"/>
    </row>
    <row r="13538" spans="5:5" ht="16.5">
      <c r="E13538" s="123"/>
    </row>
    <row r="13539" spans="5:5" ht="16.5">
      <c r="E13539" s="123"/>
    </row>
    <row r="13540" spans="5:5" ht="16.5">
      <c r="E13540" s="123"/>
    </row>
    <row r="13541" spans="5:5" ht="16.5">
      <c r="E13541" s="123"/>
    </row>
    <row r="13542" spans="5:5" ht="16.5">
      <c r="E13542" s="123"/>
    </row>
    <row r="13543" spans="5:5" ht="16.5">
      <c r="E13543" s="123"/>
    </row>
    <row r="13544" spans="5:5" ht="16.5">
      <c r="E13544" s="123"/>
    </row>
    <row r="13545" spans="5:5" ht="16.5">
      <c r="E13545" s="123"/>
    </row>
    <row r="13546" spans="5:5" ht="16.5">
      <c r="E13546" s="123"/>
    </row>
    <row r="13547" spans="5:5" ht="16.5">
      <c r="E13547" s="123"/>
    </row>
    <row r="13548" spans="5:5" ht="16.5">
      <c r="E13548" s="123"/>
    </row>
    <row r="13549" spans="5:5" ht="16.5">
      <c r="E13549" s="123"/>
    </row>
    <row r="13550" spans="5:5" ht="16.5">
      <c r="E13550" s="123"/>
    </row>
    <row r="13551" spans="5:5" ht="16.5">
      <c r="E13551" s="123"/>
    </row>
    <row r="13552" spans="5:5" ht="16.5">
      <c r="E13552" s="123"/>
    </row>
    <row r="13553" spans="5:5" ht="16.5">
      <c r="E13553" s="123"/>
    </row>
    <row r="13554" spans="5:5" ht="16.5">
      <c r="E13554" s="123"/>
    </row>
    <row r="13555" spans="5:5" ht="16.5">
      <c r="E13555" s="123"/>
    </row>
    <row r="13556" spans="5:5" ht="16.5">
      <c r="E13556" s="123"/>
    </row>
    <row r="13557" spans="5:5" ht="16.5">
      <c r="E13557" s="123"/>
    </row>
    <row r="13558" spans="5:5" ht="16.5">
      <c r="E13558" s="123"/>
    </row>
    <row r="13559" spans="5:5" ht="16.5">
      <c r="E13559" s="123"/>
    </row>
    <row r="13560" spans="5:5" ht="16.5">
      <c r="E13560" s="123"/>
    </row>
    <row r="13561" spans="5:5" ht="16.5">
      <c r="E13561" s="123"/>
    </row>
    <row r="13562" spans="5:5" ht="16.5">
      <c r="E13562" s="123"/>
    </row>
    <row r="13563" spans="5:5" ht="16.5">
      <c r="E13563" s="123"/>
    </row>
    <row r="13564" spans="5:5" ht="16.5">
      <c r="E13564" s="123"/>
    </row>
    <row r="13565" spans="5:5" ht="16.5">
      <c r="E13565" s="123"/>
    </row>
    <row r="13566" spans="5:5" ht="16.5">
      <c r="E13566" s="123"/>
    </row>
    <row r="13567" spans="5:5" ht="16.5">
      <c r="E13567" s="123"/>
    </row>
    <row r="13568" spans="5:5" ht="16.5">
      <c r="E13568" s="123"/>
    </row>
    <row r="13569" spans="5:5" ht="16.5">
      <c r="E13569" s="123"/>
    </row>
    <row r="13570" spans="5:5" ht="16.5">
      <c r="E13570" s="123"/>
    </row>
    <row r="13571" spans="5:5" ht="16.5">
      <c r="E13571" s="123"/>
    </row>
    <row r="13572" spans="5:5" ht="16.5">
      <c r="E13572" s="123"/>
    </row>
    <row r="13573" spans="5:5" ht="16.5">
      <c r="E13573" s="123"/>
    </row>
    <row r="13574" spans="5:5" ht="16.5">
      <c r="E13574" s="123"/>
    </row>
    <row r="13575" spans="5:5" ht="16.5">
      <c r="E13575" s="123"/>
    </row>
    <row r="13576" spans="5:5" ht="16.5">
      <c r="E13576" s="123"/>
    </row>
    <row r="13577" spans="5:5" ht="16.5">
      <c r="E13577" s="123"/>
    </row>
    <row r="13578" spans="5:5" ht="16.5">
      <c r="E13578" s="123"/>
    </row>
    <row r="13579" spans="5:5" ht="16.5">
      <c r="E13579" s="123"/>
    </row>
    <row r="13580" spans="5:5" ht="16.5">
      <c r="E13580" s="123"/>
    </row>
    <row r="13581" spans="5:5" ht="16.5">
      <c r="E13581" s="123"/>
    </row>
    <row r="13582" spans="5:5" ht="16.5">
      <c r="E13582" s="123"/>
    </row>
    <row r="13583" spans="5:5" ht="16.5">
      <c r="E13583" s="123"/>
    </row>
    <row r="13584" spans="5:5" ht="16.5">
      <c r="E13584" s="123"/>
    </row>
    <row r="13585" spans="5:5" ht="16.5">
      <c r="E13585" s="123"/>
    </row>
    <row r="13586" spans="5:5" ht="16.5">
      <c r="E13586" s="123"/>
    </row>
    <row r="13587" spans="5:5" ht="16.5">
      <c r="E13587" s="123"/>
    </row>
    <row r="13588" spans="5:5" ht="16.5">
      <c r="E13588" s="123"/>
    </row>
    <row r="13589" spans="5:5" ht="16.5">
      <c r="E13589" s="123"/>
    </row>
    <row r="13590" spans="5:5" ht="16.5">
      <c r="E13590" s="123"/>
    </row>
    <row r="13591" spans="5:5" ht="16.5">
      <c r="E13591" s="123"/>
    </row>
    <row r="13592" spans="5:5" ht="16.5">
      <c r="E13592" s="123"/>
    </row>
    <row r="13593" spans="5:5" ht="16.5">
      <c r="E13593" s="123"/>
    </row>
    <row r="13594" spans="5:5" ht="16.5">
      <c r="E13594" s="123"/>
    </row>
    <row r="13595" spans="5:5" ht="16.5">
      <c r="E13595" s="123"/>
    </row>
    <row r="13596" spans="5:5" ht="16.5">
      <c r="E13596" s="123"/>
    </row>
    <row r="13597" spans="5:5" ht="16.5">
      <c r="E13597" s="123"/>
    </row>
    <row r="13598" spans="5:5" ht="16.5">
      <c r="E13598" s="123"/>
    </row>
    <row r="13599" spans="5:5" ht="16.5">
      <c r="E13599" s="123"/>
    </row>
    <row r="13600" spans="5:5" ht="16.5">
      <c r="E13600" s="123"/>
    </row>
    <row r="13601" spans="5:5" ht="16.5">
      <c r="E13601" s="123"/>
    </row>
    <row r="13602" spans="5:5" ht="16.5">
      <c r="E13602" s="123"/>
    </row>
    <row r="13603" spans="5:5" ht="16.5">
      <c r="E13603" s="123"/>
    </row>
    <row r="13604" spans="5:5" ht="16.5">
      <c r="E13604" s="123"/>
    </row>
    <row r="13605" spans="5:5" ht="16.5">
      <c r="E13605" s="123"/>
    </row>
    <row r="13606" spans="5:5" ht="16.5">
      <c r="E13606" s="123"/>
    </row>
    <row r="13607" spans="5:5" ht="16.5">
      <c r="E13607" s="123"/>
    </row>
    <row r="13608" spans="5:5" ht="16.5">
      <c r="E13608" s="123"/>
    </row>
    <row r="13609" spans="5:5" ht="16.5">
      <c r="E13609" s="123"/>
    </row>
    <row r="13610" spans="5:5" ht="16.5">
      <c r="E13610" s="123"/>
    </row>
    <row r="13611" spans="5:5" ht="16.5">
      <c r="E13611" s="123"/>
    </row>
    <row r="13612" spans="5:5" ht="16.5">
      <c r="E13612" s="123"/>
    </row>
    <row r="13613" spans="5:5" ht="16.5">
      <c r="E13613" s="123"/>
    </row>
    <row r="13614" spans="5:5" ht="16.5">
      <c r="E13614" s="123"/>
    </row>
    <row r="13615" spans="5:5" ht="16.5">
      <c r="E13615" s="123"/>
    </row>
    <row r="13616" spans="5:5" ht="16.5">
      <c r="E13616" s="123"/>
    </row>
    <row r="13617" spans="5:5" ht="16.5">
      <c r="E13617" s="123"/>
    </row>
    <row r="13618" spans="5:5" ht="16.5">
      <c r="E13618" s="123"/>
    </row>
    <row r="13619" spans="5:5" ht="16.5">
      <c r="E13619" s="123"/>
    </row>
    <row r="13620" spans="5:5" ht="16.5">
      <c r="E13620" s="123"/>
    </row>
    <row r="13621" spans="5:5" ht="16.5">
      <c r="E13621" s="123"/>
    </row>
    <row r="13622" spans="5:5" ht="16.5">
      <c r="E13622" s="123"/>
    </row>
    <row r="13623" spans="5:5" ht="16.5">
      <c r="E13623" s="123"/>
    </row>
    <row r="13624" spans="5:5" ht="16.5">
      <c r="E13624" s="123"/>
    </row>
    <row r="13625" spans="5:5" ht="16.5">
      <c r="E13625" s="123"/>
    </row>
    <row r="13626" spans="5:5" ht="16.5">
      <c r="E13626" s="123"/>
    </row>
    <row r="13627" spans="5:5" ht="16.5">
      <c r="E13627" s="123"/>
    </row>
    <row r="13628" spans="5:5" ht="16.5">
      <c r="E13628" s="123"/>
    </row>
    <row r="13629" spans="5:5" ht="16.5">
      <c r="E13629" s="123"/>
    </row>
    <row r="13630" spans="5:5" ht="16.5">
      <c r="E13630" s="123"/>
    </row>
    <row r="13631" spans="5:5" ht="16.5">
      <c r="E13631" s="123"/>
    </row>
    <row r="13632" spans="5:5" ht="16.5">
      <c r="E13632" s="123"/>
    </row>
    <row r="13633" spans="5:5" ht="16.5">
      <c r="E13633" s="123"/>
    </row>
    <row r="13634" spans="5:5" ht="16.5">
      <c r="E13634" s="123"/>
    </row>
    <row r="13635" spans="5:5" ht="16.5">
      <c r="E13635" s="123"/>
    </row>
    <row r="13636" spans="5:5" ht="16.5">
      <c r="E13636" s="123"/>
    </row>
    <row r="13637" spans="5:5" ht="16.5">
      <c r="E13637" s="123"/>
    </row>
    <row r="13638" spans="5:5" ht="16.5">
      <c r="E13638" s="123"/>
    </row>
    <row r="13639" spans="5:5" ht="16.5">
      <c r="E13639" s="123"/>
    </row>
    <row r="13640" spans="5:5" ht="16.5">
      <c r="E13640" s="123"/>
    </row>
    <row r="13641" spans="5:5" ht="16.5">
      <c r="E13641" s="123"/>
    </row>
    <row r="13642" spans="5:5" ht="16.5">
      <c r="E13642" s="123"/>
    </row>
    <row r="13643" spans="5:5" ht="16.5">
      <c r="E13643" s="123"/>
    </row>
    <row r="13644" spans="5:5" ht="16.5">
      <c r="E13644" s="123"/>
    </row>
    <row r="13645" spans="5:5" ht="16.5">
      <c r="E13645" s="123"/>
    </row>
    <row r="13646" spans="5:5" ht="16.5">
      <c r="E13646" s="123"/>
    </row>
    <row r="13647" spans="5:5" ht="16.5">
      <c r="E13647" s="123"/>
    </row>
    <row r="13648" spans="5:5" ht="16.5">
      <c r="E13648" s="123"/>
    </row>
    <row r="13649" spans="5:5" ht="16.5">
      <c r="E13649" s="123"/>
    </row>
    <row r="13650" spans="5:5" ht="16.5">
      <c r="E13650" s="123"/>
    </row>
    <row r="13651" spans="5:5" ht="16.5">
      <c r="E13651" s="123"/>
    </row>
    <row r="13652" spans="5:5" ht="16.5">
      <c r="E13652" s="123"/>
    </row>
    <row r="13653" spans="5:5" ht="16.5">
      <c r="E13653" s="123"/>
    </row>
    <row r="13654" spans="5:5" ht="16.5">
      <c r="E13654" s="123"/>
    </row>
    <row r="13655" spans="5:5" ht="16.5">
      <c r="E13655" s="123"/>
    </row>
    <row r="13656" spans="5:5" ht="16.5">
      <c r="E13656" s="123"/>
    </row>
    <row r="13657" spans="5:5" ht="16.5">
      <c r="E13657" s="123"/>
    </row>
    <row r="13658" spans="5:5" ht="16.5">
      <c r="E13658" s="123"/>
    </row>
    <row r="13659" spans="5:5" ht="16.5">
      <c r="E13659" s="123"/>
    </row>
    <row r="13660" spans="5:5" ht="16.5">
      <c r="E13660" s="123"/>
    </row>
    <row r="13661" spans="5:5" ht="16.5">
      <c r="E13661" s="123"/>
    </row>
    <row r="13662" spans="5:5" ht="16.5">
      <c r="E13662" s="123"/>
    </row>
    <row r="13663" spans="5:5" ht="16.5">
      <c r="E13663" s="123"/>
    </row>
    <row r="13664" spans="5:5" ht="16.5">
      <c r="E13664" s="123"/>
    </row>
    <row r="13665" spans="5:5" ht="16.5">
      <c r="E13665" s="123"/>
    </row>
    <row r="13666" spans="5:5" ht="16.5">
      <c r="E13666" s="123"/>
    </row>
    <row r="13667" spans="5:5" ht="16.5">
      <c r="E13667" s="123"/>
    </row>
    <row r="13668" spans="5:5" ht="16.5">
      <c r="E13668" s="123"/>
    </row>
    <row r="13669" spans="5:5" ht="16.5">
      <c r="E13669" s="123"/>
    </row>
    <row r="13670" spans="5:5" ht="16.5">
      <c r="E13670" s="123"/>
    </row>
    <row r="13671" spans="5:5" ht="16.5">
      <c r="E13671" s="123"/>
    </row>
    <row r="13672" spans="5:5" ht="16.5">
      <c r="E13672" s="123"/>
    </row>
    <row r="13673" spans="5:5" ht="16.5">
      <c r="E13673" s="123"/>
    </row>
    <row r="13674" spans="5:5" ht="16.5">
      <c r="E13674" s="123"/>
    </row>
    <row r="13675" spans="5:5" ht="16.5">
      <c r="E13675" s="123"/>
    </row>
    <row r="13676" spans="5:5" ht="16.5">
      <c r="E13676" s="123"/>
    </row>
    <row r="13677" spans="5:5" ht="16.5">
      <c r="E13677" s="123"/>
    </row>
    <row r="13678" spans="5:5" ht="16.5">
      <c r="E13678" s="123"/>
    </row>
    <row r="13679" spans="5:5" ht="16.5">
      <c r="E13679" s="123"/>
    </row>
    <row r="13680" spans="5:5" ht="16.5">
      <c r="E13680" s="123"/>
    </row>
    <row r="13681" spans="5:5" ht="16.5">
      <c r="E13681" s="123"/>
    </row>
    <row r="13682" spans="5:5" ht="16.5">
      <c r="E13682" s="123"/>
    </row>
    <row r="13683" spans="5:5" ht="16.5">
      <c r="E13683" s="123"/>
    </row>
    <row r="13684" spans="5:5" ht="16.5">
      <c r="E13684" s="123"/>
    </row>
    <row r="13685" spans="5:5" ht="16.5">
      <c r="E13685" s="123"/>
    </row>
    <row r="13686" spans="5:5" ht="16.5">
      <c r="E13686" s="123"/>
    </row>
    <row r="13687" spans="5:5" ht="16.5">
      <c r="E13687" s="123"/>
    </row>
    <row r="13688" spans="5:5" ht="16.5">
      <c r="E13688" s="123"/>
    </row>
    <row r="13689" spans="5:5" ht="16.5">
      <c r="E13689" s="123"/>
    </row>
    <row r="13690" spans="5:5" ht="16.5">
      <c r="E13690" s="123"/>
    </row>
    <row r="13691" spans="5:5" ht="16.5">
      <c r="E13691" s="123"/>
    </row>
    <row r="13692" spans="5:5" ht="16.5">
      <c r="E13692" s="123"/>
    </row>
    <row r="13693" spans="5:5" ht="16.5">
      <c r="E13693" s="123"/>
    </row>
    <row r="13694" spans="5:5" ht="16.5">
      <c r="E13694" s="123"/>
    </row>
    <row r="13695" spans="5:5" ht="16.5">
      <c r="E13695" s="123"/>
    </row>
    <row r="13696" spans="5:5" ht="16.5">
      <c r="E13696" s="123"/>
    </row>
    <row r="13697" spans="5:5" ht="16.5">
      <c r="E13697" s="123"/>
    </row>
    <row r="13698" spans="5:5" ht="16.5">
      <c r="E13698" s="123"/>
    </row>
    <row r="13699" spans="5:5" ht="16.5">
      <c r="E13699" s="123"/>
    </row>
    <row r="13700" spans="5:5" ht="16.5">
      <c r="E13700" s="123"/>
    </row>
    <row r="13701" spans="5:5" ht="16.5">
      <c r="E13701" s="123"/>
    </row>
    <row r="13702" spans="5:5" ht="16.5">
      <c r="E13702" s="123"/>
    </row>
    <row r="13703" spans="5:5" ht="16.5">
      <c r="E13703" s="123"/>
    </row>
    <row r="13704" spans="5:5" ht="16.5">
      <c r="E13704" s="123"/>
    </row>
    <row r="13705" spans="5:5" ht="16.5">
      <c r="E13705" s="123"/>
    </row>
    <row r="13706" spans="5:5" ht="16.5">
      <c r="E13706" s="123"/>
    </row>
    <row r="13707" spans="5:5" ht="16.5">
      <c r="E13707" s="123"/>
    </row>
    <row r="13708" spans="5:5" ht="16.5">
      <c r="E13708" s="123"/>
    </row>
    <row r="13709" spans="5:5" ht="16.5">
      <c r="E13709" s="123"/>
    </row>
    <row r="13710" spans="5:5" ht="16.5">
      <c r="E13710" s="123"/>
    </row>
    <row r="13711" spans="5:5" ht="16.5">
      <c r="E13711" s="123"/>
    </row>
    <row r="13712" spans="5:5" ht="16.5">
      <c r="E13712" s="123"/>
    </row>
    <row r="13713" spans="5:5" ht="16.5">
      <c r="E13713" s="123"/>
    </row>
    <row r="13714" spans="5:5" ht="16.5">
      <c r="E13714" s="123"/>
    </row>
    <row r="13715" spans="5:5" ht="16.5">
      <c r="E13715" s="123"/>
    </row>
    <row r="13716" spans="5:5" ht="16.5">
      <c r="E13716" s="123"/>
    </row>
    <row r="13717" spans="5:5" ht="16.5">
      <c r="E13717" s="123"/>
    </row>
    <row r="13718" spans="5:5" ht="16.5">
      <c r="E13718" s="123"/>
    </row>
    <row r="13719" spans="5:5" ht="16.5">
      <c r="E13719" s="123"/>
    </row>
    <row r="13720" spans="5:5" ht="16.5">
      <c r="E13720" s="123"/>
    </row>
    <row r="13721" spans="5:5" ht="16.5">
      <c r="E13721" s="123"/>
    </row>
    <row r="13722" spans="5:5" ht="16.5">
      <c r="E13722" s="123"/>
    </row>
    <row r="13723" spans="5:5" ht="16.5">
      <c r="E13723" s="123"/>
    </row>
    <row r="13724" spans="5:5" ht="16.5">
      <c r="E13724" s="123"/>
    </row>
    <row r="13725" spans="5:5" ht="16.5">
      <c r="E13725" s="123"/>
    </row>
    <row r="13726" spans="5:5" ht="16.5">
      <c r="E13726" s="123"/>
    </row>
    <row r="13727" spans="5:5" ht="16.5">
      <c r="E13727" s="123"/>
    </row>
    <row r="13728" spans="5:5" ht="16.5">
      <c r="E13728" s="123"/>
    </row>
    <row r="13729" spans="5:5" ht="16.5">
      <c r="E13729" s="123"/>
    </row>
    <row r="13730" spans="5:5" ht="16.5">
      <c r="E13730" s="123"/>
    </row>
    <row r="13731" spans="5:5" ht="16.5">
      <c r="E13731" s="123"/>
    </row>
    <row r="13732" spans="5:5" ht="16.5">
      <c r="E13732" s="123"/>
    </row>
    <row r="13733" spans="5:5" ht="16.5">
      <c r="E13733" s="123"/>
    </row>
    <row r="13734" spans="5:5" ht="16.5">
      <c r="E13734" s="123"/>
    </row>
    <row r="13735" spans="5:5" ht="16.5">
      <c r="E13735" s="123"/>
    </row>
    <row r="13736" spans="5:5" ht="16.5">
      <c r="E13736" s="123"/>
    </row>
    <row r="13737" spans="5:5" ht="16.5">
      <c r="E13737" s="123"/>
    </row>
    <row r="13738" spans="5:5" ht="16.5">
      <c r="E13738" s="123"/>
    </row>
    <row r="13739" spans="5:5" ht="16.5">
      <c r="E13739" s="123"/>
    </row>
    <row r="13740" spans="5:5" ht="16.5">
      <c r="E13740" s="123"/>
    </row>
    <row r="13741" spans="5:5" ht="16.5">
      <c r="E13741" s="123"/>
    </row>
    <row r="13742" spans="5:5" ht="16.5">
      <c r="E13742" s="123"/>
    </row>
    <row r="13743" spans="5:5" ht="16.5">
      <c r="E13743" s="123"/>
    </row>
    <row r="13744" spans="5:5" ht="16.5">
      <c r="E13744" s="123"/>
    </row>
    <row r="13745" spans="5:5" ht="16.5">
      <c r="E13745" s="123"/>
    </row>
    <row r="13746" spans="5:5" ht="16.5">
      <c r="E13746" s="123"/>
    </row>
    <row r="13747" spans="5:5" ht="16.5">
      <c r="E13747" s="123"/>
    </row>
    <row r="13748" spans="5:5" ht="16.5">
      <c r="E13748" s="123"/>
    </row>
    <row r="13749" spans="5:5" ht="16.5">
      <c r="E13749" s="123"/>
    </row>
    <row r="13750" spans="5:5" ht="16.5">
      <c r="E13750" s="123"/>
    </row>
    <row r="13751" spans="5:5" ht="16.5">
      <c r="E13751" s="123"/>
    </row>
    <row r="13752" spans="5:5" ht="16.5">
      <c r="E13752" s="123"/>
    </row>
    <row r="13753" spans="5:5" ht="16.5">
      <c r="E13753" s="123"/>
    </row>
    <row r="13754" spans="5:5" ht="16.5">
      <c r="E13754" s="123"/>
    </row>
    <row r="13755" spans="5:5" ht="16.5">
      <c r="E13755" s="123"/>
    </row>
    <row r="13756" spans="5:5" ht="16.5">
      <c r="E13756" s="123"/>
    </row>
    <row r="13757" spans="5:5" ht="16.5">
      <c r="E13757" s="123"/>
    </row>
    <row r="13758" spans="5:5" ht="16.5">
      <c r="E13758" s="123"/>
    </row>
    <row r="13759" spans="5:5" ht="16.5">
      <c r="E13759" s="123"/>
    </row>
    <row r="13760" spans="5:5" ht="16.5">
      <c r="E13760" s="123"/>
    </row>
    <row r="13761" spans="5:5" ht="16.5">
      <c r="E13761" s="123"/>
    </row>
    <row r="13762" spans="5:5" ht="16.5">
      <c r="E13762" s="123"/>
    </row>
    <row r="13763" spans="5:5" ht="16.5">
      <c r="E13763" s="123"/>
    </row>
    <row r="13764" spans="5:5" ht="16.5">
      <c r="E13764" s="123"/>
    </row>
    <row r="13765" spans="5:5" ht="16.5">
      <c r="E13765" s="123"/>
    </row>
    <row r="13766" spans="5:5" ht="16.5">
      <c r="E13766" s="123"/>
    </row>
    <row r="13767" spans="5:5" ht="16.5">
      <c r="E13767" s="123"/>
    </row>
    <row r="13768" spans="5:5" ht="16.5">
      <c r="E13768" s="123"/>
    </row>
    <row r="13769" spans="5:5" ht="16.5">
      <c r="E13769" s="123"/>
    </row>
    <row r="13770" spans="5:5" ht="16.5">
      <c r="E13770" s="123"/>
    </row>
    <row r="13771" spans="5:5" ht="16.5">
      <c r="E13771" s="123"/>
    </row>
    <row r="13772" spans="5:5" ht="16.5">
      <c r="E13772" s="123"/>
    </row>
    <row r="13773" spans="5:5" ht="16.5">
      <c r="E13773" s="123"/>
    </row>
    <row r="13774" spans="5:5" ht="16.5">
      <c r="E13774" s="123"/>
    </row>
    <row r="13775" spans="5:5" ht="16.5">
      <c r="E13775" s="123"/>
    </row>
    <row r="13776" spans="5:5" ht="16.5">
      <c r="E13776" s="123"/>
    </row>
    <row r="13777" spans="5:5" ht="16.5">
      <c r="E13777" s="123"/>
    </row>
    <row r="13778" spans="5:5" ht="16.5">
      <c r="E13778" s="123"/>
    </row>
    <row r="13779" spans="5:5" ht="16.5">
      <c r="E13779" s="123"/>
    </row>
    <row r="13780" spans="5:5" ht="16.5">
      <c r="E13780" s="123"/>
    </row>
    <row r="13781" spans="5:5" ht="16.5">
      <c r="E13781" s="123"/>
    </row>
    <row r="13782" spans="5:5" ht="16.5">
      <c r="E13782" s="123"/>
    </row>
    <row r="13783" spans="5:5" ht="16.5">
      <c r="E13783" s="123"/>
    </row>
    <row r="13784" spans="5:5" ht="16.5">
      <c r="E13784" s="123"/>
    </row>
    <row r="13785" spans="5:5" ht="16.5">
      <c r="E13785" s="123"/>
    </row>
    <row r="13786" spans="5:5" ht="16.5">
      <c r="E13786" s="123"/>
    </row>
    <row r="13787" spans="5:5" ht="16.5">
      <c r="E13787" s="123"/>
    </row>
    <row r="13788" spans="5:5" ht="16.5">
      <c r="E13788" s="123"/>
    </row>
    <row r="13789" spans="5:5" ht="16.5">
      <c r="E13789" s="123"/>
    </row>
    <row r="13790" spans="5:5" ht="16.5">
      <c r="E13790" s="123"/>
    </row>
    <row r="13791" spans="5:5" ht="16.5">
      <c r="E13791" s="123"/>
    </row>
    <row r="13792" spans="5:5" ht="16.5">
      <c r="E13792" s="123"/>
    </row>
    <row r="13793" spans="5:5" ht="16.5">
      <c r="E13793" s="123"/>
    </row>
    <row r="13794" spans="5:5" ht="16.5">
      <c r="E13794" s="123"/>
    </row>
    <row r="13795" spans="5:5" ht="16.5">
      <c r="E13795" s="123"/>
    </row>
    <row r="13796" spans="5:5" ht="16.5">
      <c r="E13796" s="123"/>
    </row>
    <row r="13797" spans="5:5" ht="16.5">
      <c r="E13797" s="123"/>
    </row>
    <row r="13798" spans="5:5" ht="16.5">
      <c r="E13798" s="123"/>
    </row>
    <row r="13799" spans="5:5" ht="16.5">
      <c r="E13799" s="123"/>
    </row>
    <row r="13800" spans="5:5" ht="16.5">
      <c r="E13800" s="123"/>
    </row>
    <row r="13801" spans="5:5" ht="16.5">
      <c r="E13801" s="123"/>
    </row>
    <row r="13802" spans="5:5" ht="16.5">
      <c r="E13802" s="123"/>
    </row>
    <row r="13803" spans="5:5" ht="16.5">
      <c r="E13803" s="123"/>
    </row>
    <row r="13804" spans="5:5" ht="16.5">
      <c r="E13804" s="123"/>
    </row>
    <row r="13805" spans="5:5" ht="16.5">
      <c r="E13805" s="123"/>
    </row>
    <row r="13806" spans="5:5" ht="16.5">
      <c r="E13806" s="123"/>
    </row>
    <row r="13807" spans="5:5" ht="16.5">
      <c r="E13807" s="123"/>
    </row>
    <row r="13808" spans="5:5" ht="16.5">
      <c r="E13808" s="123"/>
    </row>
    <row r="13809" spans="5:5" ht="16.5">
      <c r="E13809" s="123"/>
    </row>
    <row r="13810" spans="5:5" ht="16.5">
      <c r="E13810" s="123"/>
    </row>
    <row r="13811" spans="5:5" ht="16.5">
      <c r="E13811" s="123"/>
    </row>
    <row r="13812" spans="5:5" ht="16.5">
      <c r="E13812" s="123"/>
    </row>
    <row r="13813" spans="5:5" ht="16.5">
      <c r="E13813" s="123"/>
    </row>
    <row r="13814" spans="5:5" ht="16.5">
      <c r="E13814" s="123"/>
    </row>
    <row r="13815" spans="5:5" ht="16.5">
      <c r="E13815" s="123"/>
    </row>
    <row r="13816" spans="5:5" ht="16.5">
      <c r="E13816" s="123"/>
    </row>
    <row r="13817" spans="5:5" ht="16.5">
      <c r="E13817" s="123"/>
    </row>
    <row r="13818" spans="5:5" ht="16.5">
      <c r="E13818" s="123"/>
    </row>
    <row r="13819" spans="5:5" ht="16.5">
      <c r="E13819" s="123"/>
    </row>
    <row r="13820" spans="5:5" ht="16.5">
      <c r="E13820" s="123"/>
    </row>
    <row r="13821" spans="5:5" ht="16.5">
      <c r="E13821" s="123"/>
    </row>
    <row r="13822" spans="5:5" ht="16.5">
      <c r="E13822" s="123"/>
    </row>
    <row r="13823" spans="5:5" ht="16.5">
      <c r="E13823" s="123"/>
    </row>
    <row r="13824" spans="5:5" ht="16.5">
      <c r="E13824" s="123"/>
    </row>
    <row r="13825" spans="5:5" ht="16.5">
      <c r="E13825" s="123"/>
    </row>
    <row r="13826" spans="5:5" ht="16.5">
      <c r="E13826" s="123"/>
    </row>
    <row r="13827" spans="5:5" ht="16.5">
      <c r="E13827" s="123"/>
    </row>
    <row r="13828" spans="5:5" ht="16.5">
      <c r="E13828" s="123"/>
    </row>
    <row r="13829" spans="5:5" ht="16.5">
      <c r="E13829" s="123"/>
    </row>
    <row r="13830" spans="5:5" ht="16.5">
      <c r="E13830" s="123"/>
    </row>
    <row r="13831" spans="5:5" ht="16.5">
      <c r="E13831" s="123"/>
    </row>
    <row r="13832" spans="5:5" ht="16.5">
      <c r="E13832" s="123"/>
    </row>
    <row r="13833" spans="5:5" ht="16.5">
      <c r="E13833" s="123"/>
    </row>
    <row r="13834" spans="5:5" ht="16.5">
      <c r="E13834" s="123"/>
    </row>
    <row r="13835" spans="5:5" ht="16.5">
      <c r="E13835" s="123"/>
    </row>
    <row r="13836" spans="5:5" ht="16.5">
      <c r="E13836" s="123"/>
    </row>
    <row r="13837" spans="5:5" ht="16.5">
      <c r="E13837" s="123"/>
    </row>
    <row r="13838" spans="5:5" ht="16.5">
      <c r="E13838" s="123"/>
    </row>
    <row r="13839" spans="5:5" ht="16.5">
      <c r="E13839" s="123"/>
    </row>
    <row r="13840" spans="5:5" ht="16.5">
      <c r="E13840" s="123"/>
    </row>
    <row r="13841" spans="5:5" ht="16.5">
      <c r="E13841" s="123"/>
    </row>
    <row r="13842" spans="5:5" ht="16.5">
      <c r="E13842" s="123"/>
    </row>
    <row r="13843" spans="5:5" ht="16.5">
      <c r="E13843" s="123"/>
    </row>
    <row r="13844" spans="5:5" ht="16.5">
      <c r="E13844" s="123"/>
    </row>
    <row r="13845" spans="5:5" ht="16.5">
      <c r="E13845" s="123"/>
    </row>
    <row r="13846" spans="5:5" ht="16.5">
      <c r="E13846" s="123"/>
    </row>
    <row r="13847" spans="5:5" ht="16.5">
      <c r="E13847" s="123"/>
    </row>
    <row r="13848" spans="5:5" ht="16.5">
      <c r="E13848" s="123"/>
    </row>
    <row r="13849" spans="5:5" ht="16.5">
      <c r="E13849" s="123"/>
    </row>
    <row r="13850" spans="5:5" ht="16.5">
      <c r="E13850" s="123"/>
    </row>
    <row r="13851" spans="5:5" ht="16.5">
      <c r="E13851" s="123"/>
    </row>
    <row r="13852" spans="5:5" ht="16.5">
      <c r="E13852" s="123"/>
    </row>
    <row r="13853" spans="5:5" ht="16.5">
      <c r="E13853" s="123"/>
    </row>
    <row r="13854" spans="5:5" ht="16.5">
      <c r="E13854" s="123"/>
    </row>
    <row r="13855" spans="5:5" ht="16.5">
      <c r="E13855" s="123"/>
    </row>
    <row r="13856" spans="5:5" ht="16.5">
      <c r="E13856" s="123"/>
    </row>
    <row r="13857" spans="5:5" ht="16.5">
      <c r="E13857" s="123"/>
    </row>
    <row r="13858" spans="5:5" ht="16.5">
      <c r="E13858" s="123"/>
    </row>
    <row r="13859" spans="5:5" ht="16.5">
      <c r="E13859" s="123"/>
    </row>
    <row r="13860" spans="5:5" ht="16.5">
      <c r="E13860" s="123"/>
    </row>
    <row r="13861" spans="5:5" ht="16.5">
      <c r="E13861" s="123"/>
    </row>
    <row r="13862" spans="5:5" ht="16.5">
      <c r="E13862" s="123"/>
    </row>
    <row r="13863" spans="5:5" ht="16.5">
      <c r="E13863" s="123"/>
    </row>
    <row r="13864" spans="5:5" ht="16.5">
      <c r="E13864" s="123"/>
    </row>
    <row r="13865" spans="5:5" ht="16.5">
      <c r="E13865" s="123"/>
    </row>
    <row r="13866" spans="5:5" ht="16.5">
      <c r="E13866" s="123"/>
    </row>
    <row r="13867" spans="5:5" ht="16.5">
      <c r="E13867" s="123"/>
    </row>
    <row r="13868" spans="5:5" ht="16.5">
      <c r="E13868" s="123"/>
    </row>
    <row r="13869" spans="5:5" ht="16.5">
      <c r="E13869" s="123"/>
    </row>
    <row r="13870" spans="5:5" ht="16.5">
      <c r="E13870" s="123"/>
    </row>
    <row r="13871" spans="5:5" ht="16.5">
      <c r="E13871" s="123"/>
    </row>
    <row r="13872" spans="5:5" ht="16.5">
      <c r="E13872" s="123"/>
    </row>
    <row r="13873" spans="5:5" ht="16.5">
      <c r="E13873" s="123"/>
    </row>
    <row r="13874" spans="5:5" ht="16.5">
      <c r="E13874" s="123"/>
    </row>
    <row r="13875" spans="5:5" ht="16.5">
      <c r="E13875" s="123"/>
    </row>
    <row r="13876" spans="5:5" ht="16.5">
      <c r="E13876" s="123"/>
    </row>
    <row r="13877" spans="5:5" ht="16.5">
      <c r="E13877" s="123"/>
    </row>
    <row r="13878" spans="5:5" ht="16.5">
      <c r="E13878" s="123"/>
    </row>
    <row r="13879" spans="5:5" ht="16.5">
      <c r="E13879" s="123"/>
    </row>
    <row r="13880" spans="5:5" ht="16.5">
      <c r="E13880" s="123"/>
    </row>
    <row r="13881" spans="5:5" ht="16.5">
      <c r="E13881" s="123"/>
    </row>
    <row r="13882" spans="5:5" ht="16.5">
      <c r="E13882" s="123"/>
    </row>
    <row r="13883" spans="5:5" ht="16.5">
      <c r="E13883" s="123"/>
    </row>
    <row r="13884" spans="5:5" ht="16.5">
      <c r="E13884" s="123"/>
    </row>
    <row r="13885" spans="5:5" ht="16.5">
      <c r="E13885" s="123"/>
    </row>
    <row r="13886" spans="5:5" ht="16.5">
      <c r="E13886" s="123"/>
    </row>
    <row r="13887" spans="5:5" ht="16.5">
      <c r="E13887" s="123"/>
    </row>
    <row r="13888" spans="5:5" ht="16.5">
      <c r="E13888" s="123"/>
    </row>
    <row r="13889" spans="5:5" ht="16.5">
      <c r="E13889" s="123"/>
    </row>
    <row r="13890" spans="5:5" ht="16.5">
      <c r="E13890" s="123"/>
    </row>
    <row r="13891" spans="5:5" ht="16.5">
      <c r="E13891" s="123"/>
    </row>
    <row r="13892" spans="5:5" ht="16.5">
      <c r="E13892" s="123"/>
    </row>
    <row r="13893" spans="5:5" ht="16.5">
      <c r="E13893" s="123"/>
    </row>
    <row r="13894" spans="5:5" ht="16.5">
      <c r="E13894" s="123"/>
    </row>
    <row r="13895" spans="5:5" ht="16.5">
      <c r="E13895" s="123"/>
    </row>
    <row r="13896" spans="5:5" ht="16.5">
      <c r="E13896" s="123"/>
    </row>
    <row r="13897" spans="5:5" ht="16.5">
      <c r="E13897" s="123"/>
    </row>
    <row r="13898" spans="5:5" ht="16.5">
      <c r="E13898" s="123"/>
    </row>
    <row r="13899" spans="5:5" ht="16.5">
      <c r="E13899" s="123"/>
    </row>
    <row r="13900" spans="5:5" ht="16.5">
      <c r="E13900" s="123"/>
    </row>
    <row r="13901" spans="5:5" ht="16.5">
      <c r="E13901" s="123"/>
    </row>
    <row r="13902" spans="5:5" ht="16.5">
      <c r="E13902" s="123"/>
    </row>
    <row r="13903" spans="5:5" ht="16.5">
      <c r="E13903" s="123"/>
    </row>
    <row r="13904" spans="5:5" ht="16.5">
      <c r="E13904" s="123"/>
    </row>
    <row r="13905" spans="5:5" ht="16.5">
      <c r="E13905" s="123"/>
    </row>
    <row r="13906" spans="5:5" ht="16.5">
      <c r="E13906" s="123"/>
    </row>
    <row r="13907" spans="5:5" ht="16.5">
      <c r="E13907" s="123"/>
    </row>
    <row r="13908" spans="5:5" ht="16.5">
      <c r="E13908" s="123"/>
    </row>
    <row r="13909" spans="5:5" ht="16.5">
      <c r="E13909" s="123"/>
    </row>
    <row r="13910" spans="5:5" ht="16.5">
      <c r="E13910" s="123"/>
    </row>
    <row r="13911" spans="5:5" ht="16.5">
      <c r="E13911" s="123"/>
    </row>
    <row r="13912" spans="5:5" ht="16.5">
      <c r="E13912" s="123"/>
    </row>
    <row r="13913" spans="5:5" ht="16.5">
      <c r="E13913" s="123"/>
    </row>
    <row r="13914" spans="5:5" ht="16.5">
      <c r="E13914" s="123"/>
    </row>
    <row r="13915" spans="5:5" ht="16.5">
      <c r="E13915" s="123"/>
    </row>
    <row r="13916" spans="5:5" ht="16.5">
      <c r="E13916" s="123"/>
    </row>
    <row r="13917" spans="5:5" ht="16.5">
      <c r="E13917" s="123"/>
    </row>
    <row r="13918" spans="5:5" ht="16.5">
      <c r="E13918" s="123"/>
    </row>
    <row r="13919" spans="5:5" ht="16.5">
      <c r="E13919" s="123"/>
    </row>
    <row r="13920" spans="5:5" ht="16.5">
      <c r="E13920" s="123"/>
    </row>
    <row r="13921" spans="5:5" ht="16.5">
      <c r="E13921" s="123"/>
    </row>
    <row r="13922" spans="5:5" ht="16.5">
      <c r="E13922" s="123"/>
    </row>
    <row r="13923" spans="5:5" ht="16.5">
      <c r="E13923" s="123"/>
    </row>
    <row r="13924" spans="5:5" ht="16.5">
      <c r="E13924" s="123"/>
    </row>
    <row r="13925" spans="5:5" ht="16.5">
      <c r="E13925" s="123"/>
    </row>
    <row r="13926" spans="5:5" ht="16.5">
      <c r="E13926" s="123"/>
    </row>
    <row r="13927" spans="5:5" ht="16.5">
      <c r="E13927" s="123"/>
    </row>
    <row r="13928" spans="5:5" ht="16.5">
      <c r="E13928" s="123"/>
    </row>
    <row r="13929" spans="5:5" ht="16.5">
      <c r="E13929" s="123"/>
    </row>
    <row r="13930" spans="5:5" ht="16.5">
      <c r="E13930" s="123"/>
    </row>
    <row r="13931" spans="5:5" ht="16.5">
      <c r="E13931" s="123"/>
    </row>
    <row r="13932" spans="5:5" ht="16.5">
      <c r="E13932" s="123"/>
    </row>
    <row r="13933" spans="5:5" ht="16.5">
      <c r="E13933" s="123"/>
    </row>
    <row r="13934" spans="5:5" ht="16.5">
      <c r="E13934" s="123"/>
    </row>
    <row r="13935" spans="5:5" ht="16.5">
      <c r="E13935" s="123"/>
    </row>
    <row r="13936" spans="5:5" ht="16.5">
      <c r="E13936" s="123"/>
    </row>
    <row r="13937" spans="5:5" ht="16.5">
      <c r="E13937" s="123"/>
    </row>
    <row r="13938" spans="5:5" ht="16.5">
      <c r="E13938" s="123"/>
    </row>
    <row r="13939" spans="5:5" ht="16.5">
      <c r="E13939" s="123"/>
    </row>
    <row r="13940" spans="5:5" ht="16.5">
      <c r="E13940" s="123"/>
    </row>
    <row r="13941" spans="5:5" ht="16.5">
      <c r="E13941" s="123"/>
    </row>
    <row r="13942" spans="5:5" ht="16.5">
      <c r="E13942" s="123"/>
    </row>
    <row r="13943" spans="5:5" ht="16.5">
      <c r="E13943" s="123"/>
    </row>
    <row r="13944" spans="5:5" ht="16.5">
      <c r="E13944" s="123"/>
    </row>
    <row r="13945" spans="5:5" ht="16.5">
      <c r="E13945" s="123"/>
    </row>
    <row r="13946" spans="5:5" ht="16.5">
      <c r="E13946" s="123"/>
    </row>
    <row r="13947" spans="5:5" ht="16.5">
      <c r="E13947" s="123"/>
    </row>
    <row r="13948" spans="5:5" ht="16.5">
      <c r="E13948" s="123"/>
    </row>
    <row r="13949" spans="5:5" ht="16.5">
      <c r="E13949" s="123"/>
    </row>
    <row r="13950" spans="5:5" ht="16.5">
      <c r="E13950" s="123"/>
    </row>
    <row r="13951" spans="5:5" ht="16.5">
      <c r="E13951" s="123"/>
    </row>
    <row r="13952" spans="5:5" ht="16.5">
      <c r="E13952" s="123"/>
    </row>
    <row r="13953" spans="5:5" ht="16.5">
      <c r="E13953" s="123"/>
    </row>
    <row r="13954" spans="5:5" ht="16.5">
      <c r="E13954" s="123"/>
    </row>
    <row r="13955" spans="5:5" ht="16.5">
      <c r="E13955" s="123"/>
    </row>
    <row r="13956" spans="5:5" ht="16.5">
      <c r="E13956" s="123"/>
    </row>
    <row r="13957" spans="5:5" ht="16.5">
      <c r="E13957" s="123"/>
    </row>
    <row r="13958" spans="5:5" ht="16.5">
      <c r="E13958" s="123"/>
    </row>
    <row r="13959" spans="5:5" ht="16.5">
      <c r="E13959" s="123"/>
    </row>
    <row r="13960" spans="5:5" ht="16.5">
      <c r="E13960" s="123"/>
    </row>
    <row r="13961" spans="5:5" ht="16.5">
      <c r="E13961" s="123"/>
    </row>
    <row r="13962" spans="5:5" ht="16.5">
      <c r="E13962" s="123"/>
    </row>
    <row r="13963" spans="5:5" ht="16.5">
      <c r="E13963" s="123"/>
    </row>
    <row r="13964" spans="5:5" ht="16.5">
      <c r="E13964" s="123"/>
    </row>
    <row r="13965" spans="5:5" ht="16.5">
      <c r="E13965" s="123"/>
    </row>
    <row r="13966" spans="5:5" ht="16.5">
      <c r="E13966" s="123"/>
    </row>
    <row r="13967" spans="5:5" ht="16.5">
      <c r="E13967" s="123"/>
    </row>
    <row r="13968" spans="5:5" ht="16.5">
      <c r="E13968" s="123"/>
    </row>
    <row r="13969" spans="5:5" ht="16.5">
      <c r="E13969" s="123"/>
    </row>
    <row r="13970" spans="5:5" ht="16.5">
      <c r="E13970" s="123"/>
    </row>
    <row r="13971" spans="5:5" ht="16.5">
      <c r="E13971" s="123"/>
    </row>
    <row r="13972" spans="5:5" ht="16.5">
      <c r="E13972" s="123"/>
    </row>
    <row r="13973" spans="5:5" ht="16.5">
      <c r="E13973" s="123"/>
    </row>
    <row r="13974" spans="5:5" ht="16.5">
      <c r="E13974" s="123"/>
    </row>
    <row r="13975" spans="5:5" ht="16.5">
      <c r="E13975" s="123"/>
    </row>
    <row r="13976" spans="5:5" ht="16.5">
      <c r="E13976" s="123"/>
    </row>
    <row r="13977" spans="5:5" ht="16.5">
      <c r="E13977" s="123"/>
    </row>
    <row r="13978" spans="5:5" ht="16.5">
      <c r="E13978" s="123"/>
    </row>
    <row r="13979" spans="5:5" ht="16.5">
      <c r="E13979" s="123"/>
    </row>
    <row r="13980" spans="5:5" ht="16.5">
      <c r="E13980" s="123"/>
    </row>
    <row r="13981" spans="5:5" ht="16.5">
      <c r="E13981" s="123"/>
    </row>
    <row r="13982" spans="5:5" ht="16.5">
      <c r="E13982" s="123"/>
    </row>
    <row r="13983" spans="5:5" ht="16.5">
      <c r="E13983" s="123"/>
    </row>
    <row r="13984" spans="5:5" ht="16.5">
      <c r="E13984" s="123"/>
    </row>
    <row r="13985" spans="5:5" ht="16.5">
      <c r="E13985" s="123"/>
    </row>
    <row r="13986" spans="5:5" ht="16.5">
      <c r="E13986" s="123"/>
    </row>
    <row r="13987" spans="5:5" ht="16.5">
      <c r="E13987" s="123"/>
    </row>
    <row r="13988" spans="5:5" ht="16.5">
      <c r="E13988" s="123"/>
    </row>
    <row r="13989" spans="5:5" ht="16.5">
      <c r="E13989" s="123"/>
    </row>
    <row r="13990" spans="5:5" ht="16.5">
      <c r="E13990" s="123"/>
    </row>
    <row r="13991" spans="5:5" ht="16.5">
      <c r="E13991" s="123"/>
    </row>
    <row r="13992" spans="5:5" ht="16.5">
      <c r="E13992" s="123"/>
    </row>
    <row r="13993" spans="5:5" ht="16.5">
      <c r="E13993" s="123"/>
    </row>
    <row r="13994" spans="5:5" ht="16.5">
      <c r="E13994" s="123"/>
    </row>
    <row r="13995" spans="5:5" ht="16.5">
      <c r="E13995" s="123"/>
    </row>
    <row r="13996" spans="5:5" ht="16.5">
      <c r="E13996" s="123"/>
    </row>
    <row r="13997" spans="5:5" ht="16.5">
      <c r="E13997" s="123"/>
    </row>
    <row r="13998" spans="5:5" ht="16.5">
      <c r="E13998" s="123"/>
    </row>
    <row r="13999" spans="5:5" ht="16.5">
      <c r="E13999" s="123"/>
    </row>
    <row r="14000" spans="5:5" ht="16.5">
      <c r="E14000" s="123"/>
    </row>
    <row r="14001" spans="5:5" ht="16.5">
      <c r="E14001" s="123"/>
    </row>
    <row r="14002" spans="5:5" ht="16.5">
      <c r="E14002" s="123"/>
    </row>
    <row r="14003" spans="5:5" ht="16.5">
      <c r="E14003" s="123"/>
    </row>
    <row r="14004" spans="5:5" ht="16.5">
      <c r="E14004" s="123"/>
    </row>
    <row r="14005" spans="5:5" ht="16.5">
      <c r="E14005" s="123"/>
    </row>
    <row r="14006" spans="5:5" ht="16.5">
      <c r="E14006" s="123"/>
    </row>
    <row r="14007" spans="5:5" ht="16.5">
      <c r="E14007" s="123"/>
    </row>
    <row r="14008" spans="5:5" ht="16.5">
      <c r="E14008" s="123"/>
    </row>
    <row r="14009" spans="5:5" ht="16.5">
      <c r="E14009" s="123"/>
    </row>
    <row r="14010" spans="5:5" ht="16.5">
      <c r="E14010" s="123"/>
    </row>
    <row r="14011" spans="5:5" ht="16.5">
      <c r="E14011" s="123"/>
    </row>
    <row r="14012" spans="5:5" ht="16.5">
      <c r="E14012" s="123"/>
    </row>
    <row r="14013" spans="5:5" ht="16.5">
      <c r="E14013" s="123"/>
    </row>
    <row r="14014" spans="5:5" ht="16.5">
      <c r="E14014" s="123"/>
    </row>
    <row r="14015" spans="5:5" ht="16.5">
      <c r="E14015" s="123"/>
    </row>
    <row r="14016" spans="5:5" ht="16.5">
      <c r="E14016" s="123"/>
    </row>
    <row r="14017" spans="5:5" ht="16.5">
      <c r="E14017" s="123"/>
    </row>
    <row r="14018" spans="5:5" ht="16.5">
      <c r="E14018" s="123"/>
    </row>
    <row r="14019" spans="5:5" ht="16.5">
      <c r="E14019" s="123"/>
    </row>
    <row r="14020" spans="5:5" ht="16.5">
      <c r="E14020" s="123"/>
    </row>
    <row r="14021" spans="5:5" ht="16.5">
      <c r="E14021" s="123"/>
    </row>
    <row r="14022" spans="5:5" ht="16.5">
      <c r="E14022" s="123"/>
    </row>
    <row r="14023" spans="5:5" ht="16.5">
      <c r="E14023" s="123"/>
    </row>
    <row r="14024" spans="5:5" ht="16.5">
      <c r="E14024" s="123"/>
    </row>
    <row r="14025" spans="5:5" ht="16.5">
      <c r="E14025" s="123"/>
    </row>
    <row r="14026" spans="5:5" ht="16.5">
      <c r="E14026" s="123"/>
    </row>
    <row r="14027" spans="5:5" ht="16.5">
      <c r="E14027" s="123"/>
    </row>
    <row r="14028" spans="5:5" ht="16.5">
      <c r="E14028" s="123"/>
    </row>
    <row r="14029" spans="5:5" ht="16.5">
      <c r="E14029" s="123"/>
    </row>
    <row r="14030" spans="5:5" ht="16.5">
      <c r="E14030" s="123"/>
    </row>
    <row r="14031" spans="5:5" ht="16.5">
      <c r="E14031" s="123"/>
    </row>
    <row r="14032" spans="5:5" ht="16.5">
      <c r="E14032" s="123"/>
    </row>
    <row r="14033" spans="5:5" ht="16.5">
      <c r="E14033" s="123"/>
    </row>
    <row r="14034" spans="5:5" ht="16.5">
      <c r="E14034" s="123"/>
    </row>
    <row r="14035" spans="5:5" ht="16.5">
      <c r="E14035" s="123"/>
    </row>
    <row r="14036" spans="5:5" ht="16.5">
      <c r="E14036" s="123"/>
    </row>
    <row r="14037" spans="5:5" ht="16.5">
      <c r="E14037" s="123"/>
    </row>
    <row r="14038" spans="5:5" ht="16.5">
      <c r="E14038" s="123"/>
    </row>
    <row r="14039" spans="5:5" ht="16.5">
      <c r="E14039" s="123"/>
    </row>
    <row r="14040" spans="5:5" ht="16.5">
      <c r="E14040" s="123"/>
    </row>
    <row r="14041" spans="5:5" ht="16.5">
      <c r="E14041" s="123"/>
    </row>
    <row r="14042" spans="5:5" ht="16.5">
      <c r="E14042" s="123"/>
    </row>
    <row r="14043" spans="5:5" ht="16.5">
      <c r="E14043" s="123"/>
    </row>
    <row r="14044" spans="5:5" ht="16.5">
      <c r="E14044" s="123"/>
    </row>
    <row r="14045" spans="5:5" ht="16.5">
      <c r="E14045" s="123"/>
    </row>
    <row r="14046" spans="5:5" ht="16.5">
      <c r="E14046" s="123"/>
    </row>
    <row r="14047" spans="5:5" ht="16.5">
      <c r="E14047" s="123"/>
    </row>
    <row r="14048" spans="5:5" ht="16.5">
      <c r="E14048" s="123"/>
    </row>
    <row r="14049" spans="5:5" ht="16.5">
      <c r="E14049" s="123"/>
    </row>
    <row r="14050" spans="5:5" ht="16.5">
      <c r="E14050" s="123"/>
    </row>
    <row r="14051" spans="5:5" ht="16.5">
      <c r="E14051" s="123"/>
    </row>
    <row r="14052" spans="5:5" ht="16.5">
      <c r="E14052" s="123"/>
    </row>
    <row r="14053" spans="5:5" ht="16.5">
      <c r="E14053" s="123"/>
    </row>
    <row r="14054" spans="5:5" ht="16.5">
      <c r="E14054" s="123"/>
    </row>
    <row r="14055" spans="5:5" ht="16.5">
      <c r="E14055" s="123"/>
    </row>
    <row r="14056" spans="5:5" ht="16.5">
      <c r="E14056" s="123"/>
    </row>
    <row r="14057" spans="5:5" ht="16.5">
      <c r="E14057" s="123"/>
    </row>
    <row r="14058" spans="5:5" ht="16.5">
      <c r="E14058" s="123"/>
    </row>
    <row r="14059" spans="5:5" ht="16.5">
      <c r="E14059" s="123"/>
    </row>
    <row r="14060" spans="5:5" ht="16.5">
      <c r="E14060" s="123"/>
    </row>
    <row r="14061" spans="5:5" ht="16.5">
      <c r="E14061" s="123"/>
    </row>
    <row r="14062" spans="5:5" ht="16.5">
      <c r="E14062" s="123"/>
    </row>
    <row r="14063" spans="5:5" ht="16.5">
      <c r="E14063" s="123"/>
    </row>
    <row r="14064" spans="5:5" ht="16.5">
      <c r="E14064" s="123"/>
    </row>
    <row r="14065" spans="5:5" ht="16.5">
      <c r="E14065" s="123"/>
    </row>
    <row r="14066" spans="5:5" ht="16.5">
      <c r="E14066" s="123"/>
    </row>
    <row r="14067" spans="5:5" ht="16.5">
      <c r="E14067" s="123"/>
    </row>
    <row r="14068" spans="5:5" ht="16.5">
      <c r="E14068" s="123"/>
    </row>
    <row r="14069" spans="5:5" ht="16.5">
      <c r="E14069" s="123"/>
    </row>
    <row r="14070" spans="5:5" ht="16.5">
      <c r="E14070" s="123"/>
    </row>
    <row r="14071" spans="5:5" ht="16.5">
      <c r="E14071" s="123"/>
    </row>
    <row r="14072" spans="5:5" ht="16.5">
      <c r="E14072" s="123"/>
    </row>
    <row r="14073" spans="5:5" ht="16.5">
      <c r="E14073" s="123"/>
    </row>
    <row r="14074" spans="5:5" ht="16.5">
      <c r="E14074" s="123"/>
    </row>
    <row r="14075" spans="5:5" ht="16.5">
      <c r="E14075" s="123"/>
    </row>
    <row r="14076" spans="5:5" ht="16.5">
      <c r="E14076" s="123"/>
    </row>
    <row r="14077" spans="5:5" ht="16.5">
      <c r="E14077" s="123"/>
    </row>
    <row r="14078" spans="5:5" ht="16.5">
      <c r="E14078" s="123"/>
    </row>
    <row r="14079" spans="5:5" ht="16.5">
      <c r="E14079" s="123"/>
    </row>
    <row r="14080" spans="5:5" ht="16.5">
      <c r="E14080" s="123"/>
    </row>
    <row r="14081" spans="5:5" ht="16.5">
      <c r="E14081" s="123"/>
    </row>
    <row r="14082" spans="5:5" ht="16.5">
      <c r="E14082" s="123"/>
    </row>
    <row r="14083" spans="5:5" ht="16.5">
      <c r="E14083" s="123"/>
    </row>
    <row r="14084" spans="5:5" ht="16.5">
      <c r="E14084" s="123"/>
    </row>
    <row r="14085" spans="5:5" ht="16.5">
      <c r="E14085" s="123"/>
    </row>
    <row r="14086" spans="5:5" ht="16.5">
      <c r="E14086" s="123"/>
    </row>
    <row r="14087" spans="5:5" ht="16.5">
      <c r="E14087" s="123"/>
    </row>
    <row r="14088" spans="5:5" ht="16.5">
      <c r="E14088" s="123"/>
    </row>
    <row r="14089" spans="5:5" ht="16.5">
      <c r="E14089" s="123"/>
    </row>
    <row r="14090" spans="5:5" ht="16.5">
      <c r="E14090" s="123"/>
    </row>
    <row r="14091" spans="5:5" ht="16.5">
      <c r="E14091" s="123"/>
    </row>
    <row r="14092" spans="5:5" ht="16.5">
      <c r="E14092" s="123"/>
    </row>
    <row r="14093" spans="5:5" ht="16.5">
      <c r="E14093" s="123"/>
    </row>
    <row r="14094" spans="5:5" ht="16.5">
      <c r="E14094" s="123"/>
    </row>
    <row r="14095" spans="5:5" ht="16.5">
      <c r="E14095" s="123"/>
    </row>
    <row r="14096" spans="5:5" ht="16.5">
      <c r="E14096" s="123"/>
    </row>
    <row r="14097" spans="5:5" ht="16.5">
      <c r="E14097" s="123"/>
    </row>
    <row r="14098" spans="5:5" ht="16.5">
      <c r="E14098" s="123"/>
    </row>
    <row r="14099" spans="5:5" ht="16.5">
      <c r="E14099" s="123"/>
    </row>
    <row r="14100" spans="5:5" ht="16.5">
      <c r="E14100" s="123"/>
    </row>
    <row r="14101" spans="5:5" ht="16.5">
      <c r="E14101" s="123"/>
    </row>
    <row r="14102" spans="5:5" ht="16.5">
      <c r="E14102" s="123"/>
    </row>
    <row r="14103" spans="5:5" ht="16.5">
      <c r="E14103" s="123"/>
    </row>
    <row r="14104" spans="5:5" ht="16.5">
      <c r="E14104" s="123"/>
    </row>
    <row r="14105" spans="5:5" ht="16.5">
      <c r="E14105" s="123"/>
    </row>
    <row r="14106" spans="5:5" ht="16.5">
      <c r="E14106" s="123"/>
    </row>
    <row r="14107" spans="5:5" ht="16.5">
      <c r="E14107" s="123"/>
    </row>
    <row r="14108" spans="5:5" ht="16.5">
      <c r="E14108" s="123"/>
    </row>
    <row r="14109" spans="5:5" ht="16.5">
      <c r="E14109" s="123"/>
    </row>
    <row r="14110" spans="5:5" ht="16.5">
      <c r="E14110" s="123"/>
    </row>
    <row r="14111" spans="5:5" ht="16.5">
      <c r="E14111" s="123"/>
    </row>
    <row r="14112" spans="5:5" ht="16.5">
      <c r="E14112" s="123"/>
    </row>
    <row r="14113" spans="5:5" ht="16.5">
      <c r="E14113" s="123"/>
    </row>
    <row r="14114" spans="5:5" ht="16.5">
      <c r="E14114" s="123"/>
    </row>
    <row r="14115" spans="5:5" ht="16.5">
      <c r="E14115" s="123"/>
    </row>
    <row r="14116" spans="5:5" ht="16.5">
      <c r="E14116" s="123"/>
    </row>
    <row r="14117" spans="5:5" ht="16.5">
      <c r="E14117" s="123"/>
    </row>
    <row r="14118" spans="5:5" ht="16.5">
      <c r="E14118" s="123"/>
    </row>
    <row r="14119" spans="5:5" ht="16.5">
      <c r="E14119" s="123"/>
    </row>
    <row r="14120" spans="5:5" ht="16.5">
      <c r="E14120" s="123"/>
    </row>
    <row r="14121" spans="5:5" ht="16.5">
      <c r="E14121" s="123"/>
    </row>
    <row r="14122" spans="5:5" ht="16.5">
      <c r="E14122" s="123"/>
    </row>
    <row r="14123" spans="5:5" ht="16.5">
      <c r="E14123" s="123"/>
    </row>
    <row r="14124" spans="5:5" ht="16.5">
      <c r="E14124" s="123"/>
    </row>
    <row r="14125" spans="5:5" ht="16.5">
      <c r="E14125" s="123"/>
    </row>
    <row r="14126" spans="5:5" ht="16.5">
      <c r="E14126" s="123"/>
    </row>
    <row r="14127" spans="5:5" ht="16.5">
      <c r="E14127" s="123"/>
    </row>
    <row r="14128" spans="5:5" ht="16.5">
      <c r="E14128" s="123"/>
    </row>
    <row r="14129" spans="5:5" ht="16.5">
      <c r="E14129" s="123"/>
    </row>
    <row r="14130" spans="5:5" ht="16.5">
      <c r="E14130" s="123"/>
    </row>
    <row r="14131" spans="5:5" ht="16.5">
      <c r="E14131" s="123"/>
    </row>
    <row r="14132" spans="5:5" ht="16.5">
      <c r="E14132" s="123"/>
    </row>
    <row r="14133" spans="5:5" ht="16.5">
      <c r="E14133" s="123"/>
    </row>
    <row r="14134" spans="5:5" ht="16.5">
      <c r="E14134" s="123"/>
    </row>
    <row r="14135" spans="5:5" ht="16.5">
      <c r="E14135" s="123"/>
    </row>
    <row r="14136" spans="5:5" ht="16.5">
      <c r="E14136" s="123"/>
    </row>
    <row r="14137" spans="5:5" ht="16.5">
      <c r="E14137" s="123"/>
    </row>
    <row r="14138" spans="5:5" ht="16.5">
      <c r="E14138" s="123"/>
    </row>
    <row r="14139" spans="5:5" ht="16.5">
      <c r="E14139" s="123"/>
    </row>
    <row r="14140" spans="5:5" ht="16.5">
      <c r="E14140" s="123"/>
    </row>
    <row r="14141" spans="5:5" ht="16.5">
      <c r="E14141" s="123"/>
    </row>
    <row r="14142" spans="5:5" ht="16.5">
      <c r="E14142" s="123"/>
    </row>
    <row r="14143" spans="5:5" ht="16.5">
      <c r="E14143" s="123"/>
    </row>
    <row r="14144" spans="5:5" ht="16.5">
      <c r="E14144" s="123"/>
    </row>
    <row r="14145" spans="5:5" ht="16.5">
      <c r="E14145" s="123"/>
    </row>
    <row r="14146" spans="5:5" ht="16.5">
      <c r="E14146" s="123"/>
    </row>
    <row r="14147" spans="5:5" ht="16.5">
      <c r="E14147" s="123"/>
    </row>
    <row r="14148" spans="5:5" ht="16.5">
      <c r="E14148" s="123"/>
    </row>
    <row r="14149" spans="5:5" ht="16.5">
      <c r="E14149" s="123"/>
    </row>
    <row r="14150" spans="5:5" ht="16.5">
      <c r="E14150" s="123"/>
    </row>
    <row r="14151" spans="5:5" ht="16.5">
      <c r="E14151" s="123"/>
    </row>
    <row r="14152" spans="5:5" ht="16.5">
      <c r="E14152" s="123"/>
    </row>
    <row r="14153" spans="5:5" ht="16.5">
      <c r="E14153" s="123"/>
    </row>
    <row r="14154" spans="5:5" ht="16.5">
      <c r="E14154" s="123"/>
    </row>
    <row r="14155" spans="5:5" ht="16.5">
      <c r="E14155" s="123"/>
    </row>
    <row r="14156" spans="5:5" ht="16.5">
      <c r="E14156" s="123"/>
    </row>
    <row r="14157" spans="5:5" ht="16.5">
      <c r="E14157" s="123"/>
    </row>
    <row r="14158" spans="5:5" ht="16.5">
      <c r="E14158" s="123"/>
    </row>
    <row r="14159" spans="5:5" ht="16.5">
      <c r="E14159" s="123"/>
    </row>
    <row r="14160" spans="5:5" ht="16.5">
      <c r="E14160" s="123"/>
    </row>
    <row r="14161" spans="5:5" ht="16.5">
      <c r="E14161" s="123"/>
    </row>
    <row r="14162" spans="5:5" ht="16.5">
      <c r="E14162" s="123"/>
    </row>
    <row r="14163" spans="5:5" ht="16.5">
      <c r="E14163" s="123"/>
    </row>
    <row r="14164" spans="5:5" ht="16.5">
      <c r="E14164" s="123"/>
    </row>
    <row r="14165" spans="5:5" ht="16.5">
      <c r="E14165" s="123"/>
    </row>
    <row r="14166" spans="5:5" ht="16.5">
      <c r="E14166" s="123"/>
    </row>
    <row r="14167" spans="5:5" ht="16.5">
      <c r="E14167" s="123"/>
    </row>
    <row r="14168" spans="5:5" ht="16.5">
      <c r="E14168" s="123"/>
    </row>
    <row r="14169" spans="5:5" ht="16.5">
      <c r="E14169" s="123"/>
    </row>
    <row r="14170" spans="5:5" ht="16.5">
      <c r="E14170" s="123"/>
    </row>
    <row r="14171" spans="5:5" ht="16.5">
      <c r="E14171" s="123"/>
    </row>
    <row r="14172" spans="5:5" ht="16.5">
      <c r="E14172" s="123"/>
    </row>
    <row r="14173" spans="5:5" ht="16.5">
      <c r="E14173" s="123"/>
    </row>
    <row r="14174" spans="5:5" ht="16.5">
      <c r="E14174" s="123"/>
    </row>
    <row r="14175" spans="5:5" ht="16.5">
      <c r="E14175" s="123"/>
    </row>
    <row r="14176" spans="5:5" ht="16.5">
      <c r="E14176" s="123"/>
    </row>
    <row r="14177" spans="5:5" ht="16.5">
      <c r="E14177" s="123"/>
    </row>
    <row r="14178" spans="5:5" ht="16.5">
      <c r="E14178" s="123"/>
    </row>
    <row r="14179" spans="5:5" ht="16.5">
      <c r="E14179" s="123"/>
    </row>
    <row r="14180" spans="5:5" ht="16.5">
      <c r="E14180" s="123"/>
    </row>
    <row r="14181" spans="5:5" ht="16.5">
      <c r="E14181" s="123"/>
    </row>
    <row r="14182" spans="5:5" ht="16.5">
      <c r="E14182" s="123"/>
    </row>
    <row r="14183" spans="5:5" ht="16.5">
      <c r="E14183" s="123"/>
    </row>
    <row r="14184" spans="5:5" ht="16.5">
      <c r="E14184" s="123"/>
    </row>
    <row r="14185" spans="5:5" ht="16.5">
      <c r="E14185" s="123"/>
    </row>
    <row r="14186" spans="5:5" ht="16.5">
      <c r="E14186" s="123"/>
    </row>
    <row r="14187" spans="5:5" ht="16.5">
      <c r="E14187" s="123"/>
    </row>
    <row r="14188" spans="5:5" ht="16.5">
      <c r="E14188" s="123"/>
    </row>
    <row r="14189" spans="5:5" ht="16.5">
      <c r="E14189" s="123"/>
    </row>
    <row r="14190" spans="5:5" ht="16.5">
      <c r="E14190" s="123"/>
    </row>
    <row r="14191" spans="5:5" ht="16.5">
      <c r="E14191" s="123"/>
    </row>
    <row r="14192" spans="5:5" ht="16.5">
      <c r="E14192" s="123"/>
    </row>
    <row r="14193" spans="5:5" ht="16.5">
      <c r="E14193" s="123"/>
    </row>
    <row r="14194" spans="5:5" ht="16.5">
      <c r="E14194" s="123"/>
    </row>
    <row r="14195" spans="5:5" ht="16.5">
      <c r="E14195" s="123"/>
    </row>
    <row r="14196" spans="5:5" ht="16.5">
      <c r="E14196" s="123"/>
    </row>
    <row r="14197" spans="5:5" ht="16.5">
      <c r="E14197" s="123"/>
    </row>
    <row r="14198" spans="5:5" ht="16.5">
      <c r="E14198" s="123"/>
    </row>
    <row r="14199" spans="5:5" ht="16.5">
      <c r="E14199" s="123"/>
    </row>
    <row r="14200" spans="5:5" ht="16.5">
      <c r="E14200" s="123"/>
    </row>
    <row r="14201" spans="5:5" ht="16.5">
      <c r="E14201" s="123"/>
    </row>
    <row r="14202" spans="5:5" ht="16.5">
      <c r="E14202" s="123"/>
    </row>
    <row r="14203" spans="5:5" ht="16.5">
      <c r="E14203" s="123"/>
    </row>
    <row r="14204" spans="5:5" ht="16.5">
      <c r="E14204" s="123"/>
    </row>
    <row r="14205" spans="5:5" ht="16.5">
      <c r="E14205" s="123"/>
    </row>
    <row r="14206" spans="5:5" ht="16.5">
      <c r="E14206" s="123"/>
    </row>
    <row r="14207" spans="5:5" ht="16.5">
      <c r="E14207" s="123"/>
    </row>
    <row r="14208" spans="5:5" ht="16.5">
      <c r="E14208" s="123"/>
    </row>
    <row r="14209" spans="5:5" ht="16.5">
      <c r="E14209" s="123"/>
    </row>
    <row r="14210" spans="5:5" ht="16.5">
      <c r="E14210" s="123"/>
    </row>
    <row r="14211" spans="5:5" ht="16.5">
      <c r="E14211" s="123"/>
    </row>
    <row r="14212" spans="5:5" ht="16.5">
      <c r="E14212" s="123"/>
    </row>
    <row r="14213" spans="5:5" ht="16.5">
      <c r="E14213" s="123"/>
    </row>
    <row r="14214" spans="5:5" ht="16.5">
      <c r="E14214" s="123"/>
    </row>
    <row r="14215" spans="5:5" ht="16.5">
      <c r="E14215" s="123"/>
    </row>
    <row r="14216" spans="5:5" ht="16.5">
      <c r="E14216" s="123"/>
    </row>
    <row r="14217" spans="5:5" ht="16.5">
      <c r="E14217" s="123"/>
    </row>
    <row r="14218" spans="5:5" ht="16.5">
      <c r="E14218" s="123"/>
    </row>
    <row r="14219" spans="5:5" ht="16.5">
      <c r="E14219" s="123"/>
    </row>
    <row r="14220" spans="5:5" ht="16.5">
      <c r="E14220" s="123"/>
    </row>
    <row r="14221" spans="5:5" ht="16.5">
      <c r="E14221" s="123"/>
    </row>
    <row r="14222" spans="5:5" ht="16.5">
      <c r="E14222" s="123"/>
    </row>
    <row r="14223" spans="5:5" ht="16.5">
      <c r="E14223" s="123"/>
    </row>
    <row r="14224" spans="5:5" ht="16.5">
      <c r="E14224" s="123"/>
    </row>
    <row r="14225" spans="5:5" ht="16.5">
      <c r="E14225" s="123"/>
    </row>
    <row r="14226" spans="5:5" ht="16.5">
      <c r="E14226" s="123"/>
    </row>
    <row r="14227" spans="5:5" ht="16.5">
      <c r="E14227" s="123"/>
    </row>
    <row r="14228" spans="5:5" ht="16.5">
      <c r="E14228" s="123"/>
    </row>
    <row r="14229" spans="5:5" ht="16.5">
      <c r="E14229" s="123"/>
    </row>
    <row r="14230" spans="5:5" ht="16.5">
      <c r="E14230" s="123"/>
    </row>
    <row r="14231" spans="5:5" ht="16.5">
      <c r="E14231" s="123"/>
    </row>
    <row r="14232" spans="5:5" ht="16.5">
      <c r="E14232" s="123"/>
    </row>
    <row r="14233" spans="5:5" ht="16.5">
      <c r="E14233" s="123"/>
    </row>
    <row r="14234" spans="5:5" ht="16.5">
      <c r="E14234" s="123"/>
    </row>
    <row r="14235" spans="5:5" ht="16.5">
      <c r="E14235" s="123"/>
    </row>
    <row r="14236" spans="5:5" ht="16.5">
      <c r="E14236" s="123"/>
    </row>
    <row r="14237" spans="5:5" ht="16.5">
      <c r="E14237" s="123"/>
    </row>
    <row r="14238" spans="5:5" ht="16.5">
      <c r="E14238" s="123"/>
    </row>
    <row r="14239" spans="5:5" ht="16.5">
      <c r="E14239" s="123"/>
    </row>
    <row r="14240" spans="5:5" ht="16.5">
      <c r="E14240" s="123"/>
    </row>
    <row r="14241" spans="5:5" ht="16.5">
      <c r="E14241" s="123"/>
    </row>
    <row r="14242" spans="5:5" ht="16.5">
      <c r="E14242" s="123"/>
    </row>
    <row r="14243" spans="5:5" ht="16.5">
      <c r="E14243" s="123"/>
    </row>
    <row r="14244" spans="5:5" ht="16.5">
      <c r="E14244" s="123"/>
    </row>
    <row r="14245" spans="5:5" ht="16.5">
      <c r="E14245" s="123"/>
    </row>
    <row r="14246" spans="5:5" ht="16.5">
      <c r="E14246" s="123"/>
    </row>
    <row r="14247" spans="5:5" ht="16.5">
      <c r="E14247" s="123"/>
    </row>
    <row r="14248" spans="5:5" ht="16.5">
      <c r="E14248" s="123"/>
    </row>
    <row r="14249" spans="5:5" ht="16.5">
      <c r="E14249" s="123"/>
    </row>
    <row r="14250" spans="5:5" ht="16.5">
      <c r="E14250" s="123"/>
    </row>
    <row r="14251" spans="5:5" ht="16.5">
      <c r="E14251" s="123"/>
    </row>
    <row r="14252" spans="5:5" ht="16.5">
      <c r="E14252" s="123"/>
    </row>
    <row r="14253" spans="5:5" ht="16.5">
      <c r="E14253" s="123"/>
    </row>
    <row r="14254" spans="5:5" ht="16.5">
      <c r="E14254" s="123"/>
    </row>
    <row r="14255" spans="5:5" ht="16.5">
      <c r="E14255" s="123"/>
    </row>
    <row r="14256" spans="5:5" ht="16.5">
      <c r="E14256" s="123"/>
    </row>
    <row r="14257" spans="5:5" ht="16.5">
      <c r="E14257" s="123"/>
    </row>
    <row r="14258" spans="5:5" ht="16.5">
      <c r="E14258" s="123"/>
    </row>
    <row r="14259" spans="5:5" ht="16.5">
      <c r="E14259" s="123"/>
    </row>
    <row r="14260" spans="5:5" ht="16.5">
      <c r="E14260" s="123"/>
    </row>
    <row r="14261" spans="5:5" ht="16.5">
      <c r="E14261" s="123"/>
    </row>
    <row r="14262" spans="5:5" ht="16.5">
      <c r="E14262" s="123"/>
    </row>
    <row r="14263" spans="5:5" ht="16.5">
      <c r="E14263" s="123"/>
    </row>
    <row r="14264" spans="5:5" ht="16.5">
      <c r="E14264" s="123"/>
    </row>
    <row r="14265" spans="5:5" ht="16.5">
      <c r="E14265" s="123"/>
    </row>
    <row r="14266" spans="5:5" ht="16.5">
      <c r="E14266" s="123"/>
    </row>
    <row r="14267" spans="5:5" ht="16.5">
      <c r="E14267" s="123"/>
    </row>
    <row r="14268" spans="5:5" ht="16.5">
      <c r="E14268" s="123"/>
    </row>
    <row r="14269" spans="5:5" ht="16.5">
      <c r="E14269" s="123"/>
    </row>
    <row r="14270" spans="5:5" ht="16.5">
      <c r="E14270" s="123"/>
    </row>
    <row r="14271" spans="5:5" ht="16.5">
      <c r="E14271" s="123"/>
    </row>
    <row r="14272" spans="5:5" ht="16.5">
      <c r="E14272" s="123"/>
    </row>
    <row r="14273" spans="5:5" ht="16.5">
      <c r="E14273" s="123"/>
    </row>
    <row r="14274" spans="5:5" ht="16.5">
      <c r="E14274" s="123"/>
    </row>
    <row r="14275" spans="5:5" ht="16.5">
      <c r="E14275" s="123"/>
    </row>
    <row r="14276" spans="5:5" ht="16.5">
      <c r="E14276" s="123"/>
    </row>
    <row r="14277" spans="5:5" ht="16.5">
      <c r="E14277" s="123"/>
    </row>
    <row r="14278" spans="5:5" ht="16.5">
      <c r="E14278" s="123"/>
    </row>
    <row r="14279" spans="5:5" ht="16.5">
      <c r="E14279" s="123"/>
    </row>
    <row r="14280" spans="5:5" ht="16.5">
      <c r="E14280" s="123"/>
    </row>
    <row r="14281" spans="5:5" ht="16.5">
      <c r="E14281" s="123"/>
    </row>
    <row r="14282" spans="5:5" ht="16.5">
      <c r="E14282" s="123"/>
    </row>
    <row r="14283" spans="5:5" ht="16.5">
      <c r="E14283" s="123"/>
    </row>
    <row r="14284" spans="5:5" ht="16.5">
      <c r="E14284" s="123"/>
    </row>
    <row r="14285" spans="5:5" ht="16.5">
      <c r="E14285" s="123"/>
    </row>
    <row r="14286" spans="5:5" ht="16.5">
      <c r="E14286" s="123"/>
    </row>
    <row r="14287" spans="5:5" ht="16.5">
      <c r="E14287" s="123"/>
    </row>
    <row r="14288" spans="5:5" ht="16.5">
      <c r="E14288" s="123"/>
    </row>
    <row r="14289" spans="5:5" ht="16.5">
      <c r="E14289" s="123"/>
    </row>
    <row r="14290" spans="5:5" ht="16.5">
      <c r="E14290" s="123"/>
    </row>
    <row r="14291" spans="5:5" ht="16.5">
      <c r="E14291" s="123"/>
    </row>
    <row r="14292" spans="5:5" ht="16.5">
      <c r="E14292" s="123"/>
    </row>
    <row r="14293" spans="5:5" ht="16.5">
      <c r="E14293" s="123"/>
    </row>
    <row r="14294" spans="5:5" ht="16.5">
      <c r="E14294" s="123"/>
    </row>
    <row r="14295" spans="5:5" ht="16.5">
      <c r="E14295" s="123"/>
    </row>
    <row r="14296" spans="5:5" ht="16.5">
      <c r="E14296" s="123"/>
    </row>
    <row r="14297" spans="5:5" ht="16.5">
      <c r="E14297" s="123"/>
    </row>
    <row r="14298" spans="5:5" ht="16.5">
      <c r="E14298" s="123"/>
    </row>
    <row r="14299" spans="5:5" ht="16.5">
      <c r="E14299" s="123"/>
    </row>
    <row r="14300" spans="5:5" ht="16.5">
      <c r="E14300" s="123"/>
    </row>
    <row r="14301" spans="5:5" ht="16.5">
      <c r="E14301" s="123"/>
    </row>
    <row r="14302" spans="5:5" ht="16.5">
      <c r="E14302" s="123"/>
    </row>
    <row r="14303" spans="5:5" ht="16.5">
      <c r="E14303" s="123"/>
    </row>
    <row r="14304" spans="5:5" ht="16.5">
      <c r="E14304" s="123"/>
    </row>
    <row r="14305" spans="5:5" ht="16.5">
      <c r="E14305" s="123"/>
    </row>
    <row r="14306" spans="5:5" ht="16.5">
      <c r="E14306" s="123"/>
    </row>
    <row r="14307" spans="5:5" ht="16.5">
      <c r="E14307" s="123"/>
    </row>
    <row r="14308" spans="5:5" ht="16.5">
      <c r="E14308" s="123"/>
    </row>
    <row r="14309" spans="5:5" ht="16.5">
      <c r="E14309" s="123"/>
    </row>
    <row r="14310" spans="5:5" ht="16.5">
      <c r="E14310" s="123"/>
    </row>
    <row r="14311" spans="5:5" ht="16.5">
      <c r="E14311" s="123"/>
    </row>
    <row r="14312" spans="5:5" ht="16.5">
      <c r="E14312" s="123"/>
    </row>
    <row r="14313" spans="5:5" ht="16.5">
      <c r="E14313" s="123"/>
    </row>
    <row r="14314" spans="5:5" ht="16.5">
      <c r="E14314" s="123"/>
    </row>
    <row r="14315" spans="5:5" ht="16.5">
      <c r="E14315" s="123"/>
    </row>
    <row r="14316" spans="5:5" ht="16.5">
      <c r="E14316" s="123"/>
    </row>
    <row r="14317" spans="5:5" ht="16.5">
      <c r="E14317" s="123"/>
    </row>
    <row r="14318" spans="5:5" ht="16.5">
      <c r="E14318" s="123"/>
    </row>
    <row r="14319" spans="5:5" ht="16.5">
      <c r="E14319" s="123"/>
    </row>
    <row r="14320" spans="5:5" ht="16.5">
      <c r="E14320" s="123"/>
    </row>
    <row r="14321" spans="5:5" ht="16.5">
      <c r="E14321" s="123"/>
    </row>
    <row r="14322" spans="5:5" ht="16.5">
      <c r="E14322" s="123"/>
    </row>
    <row r="14323" spans="5:5" ht="16.5">
      <c r="E14323" s="123"/>
    </row>
    <row r="14324" spans="5:5" ht="16.5">
      <c r="E14324" s="123"/>
    </row>
    <row r="14325" spans="5:5" ht="16.5">
      <c r="E14325" s="123"/>
    </row>
    <row r="14326" spans="5:5" ht="16.5">
      <c r="E14326" s="123"/>
    </row>
    <row r="14327" spans="5:5" ht="16.5">
      <c r="E14327" s="123"/>
    </row>
    <row r="14328" spans="5:5" ht="16.5">
      <c r="E14328" s="123"/>
    </row>
    <row r="14329" spans="5:5" ht="16.5">
      <c r="E14329" s="123"/>
    </row>
    <row r="14330" spans="5:5" ht="16.5">
      <c r="E14330" s="123"/>
    </row>
    <row r="14331" spans="5:5" ht="16.5">
      <c r="E14331" s="123"/>
    </row>
    <row r="14332" spans="5:5" ht="16.5">
      <c r="E14332" s="123"/>
    </row>
    <row r="14333" spans="5:5" ht="16.5">
      <c r="E14333" s="123"/>
    </row>
    <row r="14334" spans="5:5" ht="16.5">
      <c r="E14334" s="123"/>
    </row>
    <row r="14335" spans="5:5" ht="16.5">
      <c r="E14335" s="123"/>
    </row>
    <row r="14336" spans="5:5" ht="16.5">
      <c r="E14336" s="123"/>
    </row>
    <row r="14337" spans="5:5" ht="16.5">
      <c r="E14337" s="123"/>
    </row>
    <row r="14338" spans="5:5" ht="16.5">
      <c r="E14338" s="123"/>
    </row>
    <row r="14339" spans="5:5" ht="16.5">
      <c r="E14339" s="123"/>
    </row>
    <row r="14340" spans="5:5" ht="16.5">
      <c r="E14340" s="123"/>
    </row>
    <row r="14341" spans="5:5" ht="16.5">
      <c r="E14341" s="123"/>
    </row>
    <row r="14342" spans="5:5" ht="16.5">
      <c r="E14342" s="123"/>
    </row>
    <row r="14343" spans="5:5" ht="16.5">
      <c r="E14343" s="123"/>
    </row>
    <row r="14344" spans="5:5" ht="16.5">
      <c r="E14344" s="123"/>
    </row>
    <row r="14345" spans="5:5" ht="16.5">
      <c r="E14345" s="123"/>
    </row>
    <row r="14346" spans="5:5" ht="16.5">
      <c r="E14346" s="123"/>
    </row>
    <row r="14347" spans="5:5" ht="16.5">
      <c r="E14347" s="123"/>
    </row>
    <row r="14348" spans="5:5" ht="16.5">
      <c r="E14348" s="123"/>
    </row>
    <row r="14349" spans="5:5" ht="16.5">
      <c r="E14349" s="123"/>
    </row>
    <row r="14350" spans="5:5" ht="16.5">
      <c r="E14350" s="123"/>
    </row>
    <row r="14351" spans="5:5" ht="16.5">
      <c r="E14351" s="123"/>
    </row>
    <row r="14352" spans="5:5" ht="16.5">
      <c r="E14352" s="123"/>
    </row>
    <row r="14353" spans="5:5" ht="16.5">
      <c r="E14353" s="123"/>
    </row>
    <row r="14354" spans="5:5" ht="16.5">
      <c r="E14354" s="123"/>
    </row>
    <row r="14355" spans="5:5" ht="16.5">
      <c r="E14355" s="123"/>
    </row>
    <row r="14356" spans="5:5" ht="16.5">
      <c r="E14356" s="123"/>
    </row>
    <row r="14357" spans="5:5" ht="16.5">
      <c r="E14357" s="123"/>
    </row>
    <row r="14358" spans="5:5" ht="16.5">
      <c r="E14358" s="123"/>
    </row>
    <row r="14359" spans="5:5" ht="16.5">
      <c r="E14359" s="123"/>
    </row>
    <row r="14360" spans="5:5" ht="16.5">
      <c r="E14360" s="123"/>
    </row>
    <row r="14361" spans="5:5" ht="16.5">
      <c r="E14361" s="123"/>
    </row>
    <row r="14362" spans="5:5" ht="16.5">
      <c r="E14362" s="123"/>
    </row>
    <row r="14363" spans="5:5" ht="16.5">
      <c r="E14363" s="123"/>
    </row>
    <row r="14364" spans="5:5" ht="16.5">
      <c r="E14364" s="123"/>
    </row>
    <row r="14365" spans="5:5" ht="16.5">
      <c r="E14365" s="123"/>
    </row>
    <row r="14366" spans="5:5" ht="16.5">
      <c r="E14366" s="123"/>
    </row>
    <row r="14367" spans="5:5" ht="16.5">
      <c r="E14367" s="123"/>
    </row>
    <row r="14368" spans="5:5" ht="16.5">
      <c r="E14368" s="123"/>
    </row>
    <row r="14369" spans="5:5" ht="16.5">
      <c r="E14369" s="123"/>
    </row>
    <row r="14370" spans="5:5" ht="16.5">
      <c r="E14370" s="123"/>
    </row>
    <row r="14371" spans="5:5" ht="16.5">
      <c r="E14371" s="123"/>
    </row>
    <row r="14372" spans="5:5" ht="16.5">
      <c r="E14372" s="123"/>
    </row>
    <row r="14373" spans="5:5" ht="16.5">
      <c r="E14373" s="123"/>
    </row>
    <row r="14374" spans="5:5" ht="16.5">
      <c r="E14374" s="123"/>
    </row>
    <row r="14375" spans="5:5" ht="16.5">
      <c r="E14375" s="123"/>
    </row>
    <row r="14376" spans="5:5" ht="16.5">
      <c r="E14376" s="123"/>
    </row>
    <row r="14377" spans="5:5" ht="16.5">
      <c r="E14377" s="123"/>
    </row>
    <row r="14378" spans="5:5" ht="16.5">
      <c r="E14378" s="123"/>
    </row>
    <row r="14379" spans="5:5" ht="16.5">
      <c r="E14379" s="123"/>
    </row>
    <row r="14380" spans="5:5" ht="16.5">
      <c r="E14380" s="123"/>
    </row>
    <row r="14381" spans="5:5" ht="16.5">
      <c r="E14381" s="123"/>
    </row>
    <row r="14382" spans="5:5" ht="16.5">
      <c r="E14382" s="123"/>
    </row>
    <row r="14383" spans="5:5" ht="16.5">
      <c r="E14383" s="123"/>
    </row>
    <row r="14384" spans="5:5" ht="16.5">
      <c r="E14384" s="123"/>
    </row>
    <row r="14385" spans="5:5" ht="16.5">
      <c r="E14385" s="123"/>
    </row>
    <row r="14386" spans="5:5" ht="16.5">
      <c r="E14386" s="123"/>
    </row>
    <row r="14387" spans="5:5" ht="16.5">
      <c r="E14387" s="123"/>
    </row>
    <row r="14388" spans="5:5" ht="16.5">
      <c r="E14388" s="123"/>
    </row>
    <row r="14389" spans="5:5" ht="16.5">
      <c r="E14389" s="123"/>
    </row>
    <row r="14390" spans="5:5" ht="16.5">
      <c r="E14390" s="123"/>
    </row>
    <row r="14391" spans="5:5" ht="16.5">
      <c r="E14391" s="123"/>
    </row>
    <row r="14392" spans="5:5" ht="16.5">
      <c r="E14392" s="123"/>
    </row>
    <row r="14393" spans="5:5" ht="16.5">
      <c r="E14393" s="123"/>
    </row>
    <row r="14394" spans="5:5" ht="16.5">
      <c r="E14394" s="123"/>
    </row>
    <row r="14395" spans="5:5" ht="16.5">
      <c r="E14395" s="123"/>
    </row>
    <row r="14396" spans="5:5" ht="16.5">
      <c r="E14396" s="123"/>
    </row>
    <row r="14397" spans="5:5" ht="16.5">
      <c r="E14397" s="123"/>
    </row>
    <row r="14398" spans="5:5" ht="16.5">
      <c r="E14398" s="123"/>
    </row>
    <row r="14399" spans="5:5" ht="16.5">
      <c r="E14399" s="123"/>
    </row>
    <row r="14400" spans="5:5" ht="16.5">
      <c r="E14400" s="123"/>
    </row>
    <row r="14401" spans="5:5" ht="16.5">
      <c r="E14401" s="123"/>
    </row>
    <row r="14402" spans="5:5" ht="16.5">
      <c r="E14402" s="123"/>
    </row>
    <row r="14403" spans="5:5" ht="16.5">
      <c r="E14403" s="123"/>
    </row>
    <row r="14404" spans="5:5" ht="16.5">
      <c r="E14404" s="123"/>
    </row>
    <row r="14405" spans="5:5" ht="16.5">
      <c r="E14405" s="123"/>
    </row>
    <row r="14406" spans="5:5" ht="16.5">
      <c r="E14406" s="123"/>
    </row>
    <row r="14407" spans="5:5" ht="16.5">
      <c r="E14407" s="123"/>
    </row>
    <row r="14408" spans="5:5" ht="16.5">
      <c r="E14408" s="123"/>
    </row>
    <row r="14409" spans="5:5" ht="16.5">
      <c r="E14409" s="123"/>
    </row>
    <row r="14410" spans="5:5" ht="16.5">
      <c r="E14410" s="123"/>
    </row>
    <row r="14411" spans="5:5" ht="16.5">
      <c r="E14411" s="123"/>
    </row>
    <row r="14412" spans="5:5" ht="16.5">
      <c r="E14412" s="123"/>
    </row>
    <row r="14413" spans="5:5" ht="16.5">
      <c r="E14413" s="123"/>
    </row>
    <row r="14414" spans="5:5" ht="16.5">
      <c r="E14414" s="123"/>
    </row>
    <row r="14415" spans="5:5" ht="16.5">
      <c r="E14415" s="123"/>
    </row>
    <row r="14416" spans="5:5" ht="16.5">
      <c r="E14416" s="123"/>
    </row>
    <row r="14417" spans="5:5" ht="16.5">
      <c r="E14417" s="123"/>
    </row>
    <row r="14418" spans="5:5" ht="16.5">
      <c r="E14418" s="123"/>
    </row>
    <row r="14419" spans="5:5" ht="16.5">
      <c r="E14419" s="123"/>
    </row>
    <row r="14420" spans="5:5" ht="16.5">
      <c r="E14420" s="123"/>
    </row>
    <row r="14421" spans="5:5" ht="16.5">
      <c r="E14421" s="123"/>
    </row>
    <row r="14422" spans="5:5" ht="16.5">
      <c r="E14422" s="123"/>
    </row>
    <row r="14423" spans="5:5" ht="16.5">
      <c r="E14423" s="123"/>
    </row>
    <row r="14424" spans="5:5" ht="16.5">
      <c r="E14424" s="123"/>
    </row>
    <row r="14425" spans="5:5" ht="16.5">
      <c r="E14425" s="123"/>
    </row>
    <row r="14426" spans="5:5" ht="16.5">
      <c r="E14426" s="123"/>
    </row>
    <row r="14427" spans="5:5" ht="16.5">
      <c r="E14427" s="123"/>
    </row>
    <row r="14428" spans="5:5" ht="16.5">
      <c r="E14428" s="123"/>
    </row>
    <row r="14429" spans="5:5" ht="16.5">
      <c r="E14429" s="123"/>
    </row>
    <row r="14430" spans="5:5" ht="16.5">
      <c r="E14430" s="123"/>
    </row>
    <row r="14431" spans="5:5" ht="16.5">
      <c r="E14431" s="123"/>
    </row>
    <row r="14432" spans="5:5" ht="16.5">
      <c r="E14432" s="123"/>
    </row>
    <row r="14433" spans="5:5" ht="16.5">
      <c r="E14433" s="123"/>
    </row>
    <row r="14434" spans="5:5" ht="16.5">
      <c r="E14434" s="123"/>
    </row>
    <row r="14435" spans="5:5" ht="16.5">
      <c r="E14435" s="123"/>
    </row>
    <row r="14436" spans="5:5" ht="16.5">
      <c r="E14436" s="123"/>
    </row>
    <row r="14437" spans="5:5" ht="16.5">
      <c r="E14437" s="123"/>
    </row>
    <row r="14438" spans="5:5" ht="16.5">
      <c r="E14438" s="123"/>
    </row>
    <row r="14439" spans="5:5" ht="16.5">
      <c r="E14439" s="123"/>
    </row>
    <row r="14440" spans="5:5" ht="16.5">
      <c r="E14440" s="123"/>
    </row>
    <row r="14441" spans="5:5" ht="16.5">
      <c r="E14441" s="123"/>
    </row>
    <row r="14442" spans="5:5" ht="16.5">
      <c r="E14442" s="123"/>
    </row>
    <row r="14443" spans="5:5" ht="16.5">
      <c r="E14443" s="123"/>
    </row>
    <row r="14444" spans="5:5" ht="16.5">
      <c r="E14444" s="123"/>
    </row>
    <row r="14445" spans="5:5" ht="16.5">
      <c r="E14445" s="123"/>
    </row>
    <row r="14446" spans="5:5" ht="16.5">
      <c r="E14446" s="123"/>
    </row>
    <row r="14447" spans="5:5" ht="16.5">
      <c r="E14447" s="123"/>
    </row>
    <row r="14448" spans="5:5" ht="16.5">
      <c r="E14448" s="123"/>
    </row>
    <row r="14449" spans="5:5" ht="16.5">
      <c r="E14449" s="123"/>
    </row>
    <row r="14450" spans="5:5" ht="16.5">
      <c r="E14450" s="123"/>
    </row>
    <row r="14451" spans="5:5" ht="16.5">
      <c r="E14451" s="123"/>
    </row>
    <row r="14452" spans="5:5" ht="16.5">
      <c r="E14452" s="123"/>
    </row>
    <row r="14453" spans="5:5" ht="16.5">
      <c r="E14453" s="123"/>
    </row>
    <row r="14454" spans="5:5" ht="16.5">
      <c r="E14454" s="123"/>
    </row>
    <row r="14455" spans="5:5" ht="16.5">
      <c r="E14455" s="123"/>
    </row>
    <row r="14456" spans="5:5" ht="16.5">
      <c r="E14456" s="123"/>
    </row>
    <row r="14457" spans="5:5" ht="16.5">
      <c r="E14457" s="123"/>
    </row>
    <row r="14458" spans="5:5" ht="16.5">
      <c r="E14458" s="123"/>
    </row>
    <row r="14459" spans="5:5" ht="16.5">
      <c r="E14459" s="123"/>
    </row>
    <row r="14460" spans="5:5" ht="16.5">
      <c r="E14460" s="123"/>
    </row>
    <row r="14461" spans="5:5" ht="16.5">
      <c r="E14461" s="123"/>
    </row>
    <row r="14462" spans="5:5" ht="16.5">
      <c r="E14462" s="123"/>
    </row>
    <row r="14463" spans="5:5" ht="16.5">
      <c r="E14463" s="123"/>
    </row>
    <row r="14464" spans="5:5" ht="16.5">
      <c r="E14464" s="123"/>
    </row>
    <row r="14465" spans="5:5" ht="16.5">
      <c r="E14465" s="123"/>
    </row>
    <row r="14466" spans="5:5" ht="16.5">
      <c r="E14466" s="123"/>
    </row>
    <row r="14467" spans="5:5" ht="16.5">
      <c r="E14467" s="123"/>
    </row>
    <row r="14468" spans="5:5" ht="16.5">
      <c r="E14468" s="123"/>
    </row>
    <row r="14469" spans="5:5" ht="16.5">
      <c r="E14469" s="123"/>
    </row>
    <row r="14470" spans="5:5" ht="16.5">
      <c r="E14470" s="123"/>
    </row>
    <row r="14471" spans="5:5" ht="16.5">
      <c r="E14471" s="123"/>
    </row>
    <row r="14472" spans="5:5" ht="16.5">
      <c r="E14472" s="123"/>
    </row>
    <row r="14473" spans="5:5" ht="16.5">
      <c r="E14473" s="123"/>
    </row>
    <row r="14474" spans="5:5" ht="16.5">
      <c r="E14474" s="123"/>
    </row>
    <row r="14475" spans="5:5" ht="16.5">
      <c r="E14475" s="123"/>
    </row>
    <row r="14476" spans="5:5" ht="16.5">
      <c r="E14476" s="123"/>
    </row>
    <row r="14477" spans="5:5" ht="16.5">
      <c r="E14477" s="123"/>
    </row>
    <row r="14478" spans="5:5" ht="16.5">
      <c r="E14478" s="123"/>
    </row>
    <row r="14479" spans="5:5" ht="16.5">
      <c r="E14479" s="123"/>
    </row>
    <row r="14480" spans="5:5" ht="16.5">
      <c r="E14480" s="123"/>
    </row>
    <row r="14481" spans="5:5" ht="16.5">
      <c r="E14481" s="123"/>
    </row>
    <row r="14482" spans="5:5" ht="16.5">
      <c r="E14482" s="123"/>
    </row>
    <row r="14483" spans="5:5" ht="16.5">
      <c r="E14483" s="123"/>
    </row>
    <row r="14484" spans="5:5" ht="16.5">
      <c r="E14484" s="123"/>
    </row>
    <row r="14485" spans="5:5" ht="16.5">
      <c r="E14485" s="123"/>
    </row>
    <row r="14486" spans="5:5" ht="16.5">
      <c r="E14486" s="123"/>
    </row>
    <row r="14487" spans="5:5" ht="16.5">
      <c r="E14487" s="123"/>
    </row>
    <row r="14488" spans="5:5" ht="16.5">
      <c r="E14488" s="123"/>
    </row>
    <row r="14489" spans="5:5" ht="16.5">
      <c r="E14489" s="123"/>
    </row>
    <row r="14490" spans="5:5" ht="16.5">
      <c r="E14490" s="123"/>
    </row>
    <row r="14491" spans="5:5" ht="16.5">
      <c r="E14491" s="123"/>
    </row>
    <row r="14492" spans="5:5" ht="16.5">
      <c r="E14492" s="123"/>
    </row>
    <row r="14493" spans="5:5" ht="16.5">
      <c r="E14493" s="123"/>
    </row>
    <row r="14494" spans="5:5" ht="16.5">
      <c r="E14494" s="123"/>
    </row>
    <row r="14495" spans="5:5" ht="16.5">
      <c r="E14495" s="123"/>
    </row>
    <row r="14496" spans="5:5" ht="16.5">
      <c r="E14496" s="123"/>
    </row>
    <row r="14497" spans="5:5" ht="16.5">
      <c r="E14497" s="123"/>
    </row>
    <row r="14498" spans="5:5" ht="16.5">
      <c r="E14498" s="123"/>
    </row>
    <row r="14499" spans="5:5" ht="16.5">
      <c r="E14499" s="123"/>
    </row>
    <row r="14500" spans="5:5" ht="16.5">
      <c r="E14500" s="123"/>
    </row>
    <row r="14501" spans="5:5" ht="16.5">
      <c r="E14501" s="123"/>
    </row>
    <row r="14502" spans="5:5" ht="16.5">
      <c r="E14502" s="123"/>
    </row>
    <row r="14503" spans="5:5" ht="16.5">
      <c r="E14503" s="123"/>
    </row>
    <row r="14504" spans="5:5" ht="16.5">
      <c r="E14504" s="123"/>
    </row>
    <row r="14505" spans="5:5" ht="16.5">
      <c r="E14505" s="123"/>
    </row>
    <row r="14506" spans="5:5" ht="16.5">
      <c r="E14506" s="123"/>
    </row>
    <row r="14507" spans="5:5" ht="16.5">
      <c r="E14507" s="123"/>
    </row>
    <row r="14508" spans="5:5" ht="16.5">
      <c r="E14508" s="123"/>
    </row>
    <row r="14509" spans="5:5" ht="16.5">
      <c r="E14509" s="123"/>
    </row>
    <row r="14510" spans="5:5" ht="16.5">
      <c r="E14510" s="123"/>
    </row>
    <row r="14511" spans="5:5" ht="16.5">
      <c r="E14511" s="123"/>
    </row>
    <row r="14512" spans="5:5" ht="16.5">
      <c r="E14512" s="123"/>
    </row>
    <row r="14513" spans="5:5" ht="16.5">
      <c r="E14513" s="123"/>
    </row>
    <row r="14514" spans="5:5" ht="16.5">
      <c r="E14514" s="123"/>
    </row>
    <row r="14515" spans="5:5" ht="16.5">
      <c r="E14515" s="123"/>
    </row>
    <row r="14516" spans="5:5" ht="16.5">
      <c r="E14516" s="123"/>
    </row>
    <row r="14517" spans="5:5" ht="16.5">
      <c r="E14517" s="123"/>
    </row>
    <row r="14518" spans="5:5" ht="16.5">
      <c r="E14518" s="123"/>
    </row>
    <row r="14519" spans="5:5" ht="16.5">
      <c r="E14519" s="123"/>
    </row>
    <row r="14520" spans="5:5" ht="16.5">
      <c r="E14520" s="123"/>
    </row>
    <row r="14521" spans="5:5" ht="16.5">
      <c r="E14521" s="123"/>
    </row>
    <row r="14522" spans="5:5" ht="16.5">
      <c r="E14522" s="123"/>
    </row>
    <row r="14523" spans="5:5" ht="16.5">
      <c r="E14523" s="123"/>
    </row>
    <row r="14524" spans="5:5" ht="16.5">
      <c r="E14524" s="123"/>
    </row>
    <row r="14525" spans="5:5" ht="16.5">
      <c r="E14525" s="123"/>
    </row>
    <row r="14526" spans="5:5" ht="16.5">
      <c r="E14526" s="123"/>
    </row>
    <row r="14527" spans="5:5" ht="16.5">
      <c r="E14527" s="123"/>
    </row>
    <row r="14528" spans="5:5" ht="16.5">
      <c r="E14528" s="123"/>
    </row>
    <row r="14529" spans="5:5" ht="16.5">
      <c r="E14529" s="123"/>
    </row>
    <row r="14530" spans="5:5" ht="16.5">
      <c r="E14530" s="123"/>
    </row>
    <row r="14531" spans="5:5" ht="16.5">
      <c r="E14531" s="123"/>
    </row>
    <row r="14532" spans="5:5" ht="16.5">
      <c r="E14532" s="123"/>
    </row>
    <row r="14533" spans="5:5" ht="16.5">
      <c r="E14533" s="123"/>
    </row>
    <row r="14534" spans="5:5" ht="16.5">
      <c r="E14534" s="123"/>
    </row>
    <row r="14535" spans="5:5" ht="16.5">
      <c r="E14535" s="123"/>
    </row>
    <row r="14536" spans="5:5" ht="16.5">
      <c r="E14536" s="123"/>
    </row>
    <row r="14537" spans="5:5" ht="16.5">
      <c r="E14537" s="123"/>
    </row>
    <row r="14538" spans="5:5" ht="16.5">
      <c r="E14538" s="123"/>
    </row>
    <row r="14539" spans="5:5" ht="16.5">
      <c r="E14539" s="123"/>
    </row>
    <row r="14540" spans="5:5" ht="16.5">
      <c r="E14540" s="123"/>
    </row>
    <row r="14541" spans="5:5" ht="16.5">
      <c r="E14541" s="123"/>
    </row>
    <row r="14542" spans="5:5" ht="16.5">
      <c r="E14542" s="123"/>
    </row>
    <row r="14543" spans="5:5" ht="16.5">
      <c r="E14543" s="123"/>
    </row>
    <row r="14544" spans="5:5" ht="16.5">
      <c r="E14544" s="123"/>
    </row>
    <row r="14545" spans="5:5" ht="16.5">
      <c r="E14545" s="123"/>
    </row>
    <row r="14546" spans="5:5" ht="16.5">
      <c r="E14546" s="123"/>
    </row>
    <row r="14547" spans="5:5" ht="16.5">
      <c r="E14547" s="123"/>
    </row>
    <row r="14548" spans="5:5" ht="16.5">
      <c r="E14548" s="123"/>
    </row>
    <row r="14549" spans="5:5" ht="16.5">
      <c r="E14549" s="123"/>
    </row>
    <row r="14550" spans="5:5" ht="16.5">
      <c r="E14550" s="123"/>
    </row>
    <row r="14551" spans="5:5" ht="16.5">
      <c r="E14551" s="123"/>
    </row>
    <row r="14552" spans="5:5" ht="16.5">
      <c r="E14552" s="123"/>
    </row>
    <row r="14553" spans="5:5" ht="16.5">
      <c r="E14553" s="123"/>
    </row>
    <row r="14554" spans="5:5" ht="16.5">
      <c r="E14554" s="123"/>
    </row>
    <row r="14555" spans="5:5" ht="16.5">
      <c r="E14555" s="123"/>
    </row>
    <row r="14556" spans="5:5" ht="16.5">
      <c r="E14556" s="123"/>
    </row>
    <row r="14557" spans="5:5" ht="16.5">
      <c r="E14557" s="123"/>
    </row>
    <row r="14558" spans="5:5" ht="16.5">
      <c r="E14558" s="123"/>
    </row>
    <row r="14559" spans="5:5" ht="16.5">
      <c r="E14559" s="123"/>
    </row>
    <row r="14560" spans="5:5" ht="16.5">
      <c r="E14560" s="123"/>
    </row>
    <row r="14561" spans="5:5" ht="16.5">
      <c r="E14561" s="123"/>
    </row>
    <row r="14562" spans="5:5" ht="16.5">
      <c r="E14562" s="123"/>
    </row>
    <row r="14563" spans="5:5" ht="16.5">
      <c r="E14563" s="123"/>
    </row>
    <row r="14564" spans="5:5" ht="16.5">
      <c r="E14564" s="123"/>
    </row>
    <row r="14565" spans="5:5" ht="16.5">
      <c r="E14565" s="123"/>
    </row>
    <row r="14566" spans="5:5" ht="16.5">
      <c r="E14566" s="123"/>
    </row>
    <row r="14567" spans="5:5" ht="16.5">
      <c r="E14567" s="123"/>
    </row>
    <row r="14568" spans="5:5" ht="16.5">
      <c r="E14568" s="123"/>
    </row>
    <row r="14569" spans="5:5" ht="16.5">
      <c r="E14569" s="123"/>
    </row>
    <row r="14570" spans="5:5" ht="16.5">
      <c r="E14570" s="123"/>
    </row>
    <row r="14571" spans="5:5" ht="16.5">
      <c r="E14571" s="123"/>
    </row>
    <row r="14572" spans="5:5" ht="16.5">
      <c r="E14572" s="123"/>
    </row>
    <row r="14573" spans="5:5" ht="16.5">
      <c r="E14573" s="123"/>
    </row>
    <row r="14574" spans="5:5" ht="16.5">
      <c r="E14574" s="123"/>
    </row>
    <row r="14575" spans="5:5" ht="16.5">
      <c r="E14575" s="123"/>
    </row>
    <row r="14576" spans="5:5" ht="16.5">
      <c r="E14576" s="123"/>
    </row>
    <row r="14577" spans="5:5" ht="16.5">
      <c r="E14577" s="123"/>
    </row>
    <row r="14578" spans="5:5" ht="16.5">
      <c r="E14578" s="123"/>
    </row>
    <row r="14579" spans="5:5" ht="16.5">
      <c r="E14579" s="123"/>
    </row>
    <row r="14580" spans="5:5" ht="16.5">
      <c r="E14580" s="123"/>
    </row>
    <row r="14581" spans="5:5" ht="16.5">
      <c r="E14581" s="123"/>
    </row>
    <row r="14582" spans="5:5" ht="16.5">
      <c r="E14582" s="123"/>
    </row>
    <row r="14583" spans="5:5" ht="16.5">
      <c r="E14583" s="123"/>
    </row>
    <row r="14584" spans="5:5" ht="16.5">
      <c r="E14584" s="123"/>
    </row>
    <row r="14585" spans="5:5" ht="16.5">
      <c r="E14585" s="123"/>
    </row>
    <row r="14586" spans="5:5" ht="16.5">
      <c r="E14586" s="123"/>
    </row>
    <row r="14587" spans="5:5" ht="16.5">
      <c r="E14587" s="123"/>
    </row>
    <row r="14588" spans="5:5" ht="16.5">
      <c r="E14588" s="123"/>
    </row>
    <row r="14589" spans="5:5" ht="16.5">
      <c r="E14589" s="123"/>
    </row>
    <row r="14590" spans="5:5" ht="16.5">
      <c r="E14590" s="123"/>
    </row>
    <row r="14591" spans="5:5" ht="16.5">
      <c r="E14591" s="123"/>
    </row>
    <row r="14592" spans="5:5" ht="16.5">
      <c r="E14592" s="123"/>
    </row>
    <row r="14593" spans="5:5" ht="16.5">
      <c r="E14593" s="123"/>
    </row>
    <row r="14594" spans="5:5" ht="16.5">
      <c r="E14594" s="123"/>
    </row>
    <row r="14595" spans="5:5" ht="16.5">
      <c r="E14595" s="123"/>
    </row>
    <row r="14596" spans="5:5" ht="16.5">
      <c r="E14596" s="123"/>
    </row>
    <row r="14597" spans="5:5" ht="16.5">
      <c r="E14597" s="123"/>
    </row>
    <row r="14598" spans="5:5" ht="16.5">
      <c r="E14598" s="123"/>
    </row>
    <row r="14599" spans="5:5" ht="16.5">
      <c r="E14599" s="123"/>
    </row>
    <row r="14600" spans="5:5" ht="16.5">
      <c r="E14600" s="123"/>
    </row>
    <row r="14601" spans="5:5" ht="16.5">
      <c r="E14601" s="123"/>
    </row>
    <row r="14602" spans="5:5" ht="16.5">
      <c r="E14602" s="123"/>
    </row>
    <row r="14603" spans="5:5" ht="16.5">
      <c r="E14603" s="123"/>
    </row>
    <row r="14604" spans="5:5" ht="16.5">
      <c r="E14604" s="123"/>
    </row>
    <row r="14605" spans="5:5" ht="16.5">
      <c r="E14605" s="123"/>
    </row>
    <row r="14606" spans="5:5" ht="16.5">
      <c r="E14606" s="123"/>
    </row>
    <row r="14607" spans="5:5" ht="16.5">
      <c r="E14607" s="123"/>
    </row>
    <row r="14608" spans="5:5" ht="16.5">
      <c r="E14608" s="123"/>
    </row>
    <row r="14609" spans="5:5" ht="16.5">
      <c r="E14609" s="123"/>
    </row>
    <row r="14610" spans="5:5" ht="16.5">
      <c r="E14610" s="123"/>
    </row>
    <row r="14611" spans="5:5" ht="16.5">
      <c r="E14611" s="123"/>
    </row>
    <row r="14612" spans="5:5" ht="16.5">
      <c r="E14612" s="123"/>
    </row>
    <row r="14613" spans="5:5" ht="16.5">
      <c r="E14613" s="123"/>
    </row>
    <row r="14614" spans="5:5" ht="16.5">
      <c r="E14614" s="123"/>
    </row>
    <row r="14615" spans="5:5" ht="16.5">
      <c r="E14615" s="123"/>
    </row>
    <row r="14616" spans="5:5" ht="16.5">
      <c r="E14616" s="123"/>
    </row>
    <row r="14617" spans="5:5" ht="16.5">
      <c r="E14617" s="123"/>
    </row>
    <row r="14618" spans="5:5" ht="16.5">
      <c r="E14618" s="123"/>
    </row>
    <row r="14619" spans="5:5" ht="16.5">
      <c r="E14619" s="123"/>
    </row>
    <row r="14620" spans="5:5" ht="16.5">
      <c r="E14620" s="123"/>
    </row>
    <row r="14621" spans="5:5" ht="16.5">
      <c r="E14621" s="123"/>
    </row>
    <row r="14622" spans="5:5" ht="16.5">
      <c r="E14622" s="123"/>
    </row>
    <row r="14623" spans="5:5" ht="16.5">
      <c r="E14623" s="123"/>
    </row>
    <row r="14624" spans="5:5" ht="16.5">
      <c r="E14624" s="123"/>
    </row>
    <row r="14625" spans="5:5" ht="16.5">
      <c r="E14625" s="123"/>
    </row>
    <row r="14626" spans="5:5" ht="16.5">
      <c r="E14626" s="123"/>
    </row>
    <row r="14627" spans="5:5" ht="16.5">
      <c r="E14627" s="123"/>
    </row>
    <row r="14628" spans="5:5" ht="16.5">
      <c r="E14628" s="123"/>
    </row>
    <row r="14629" spans="5:5" ht="16.5">
      <c r="E14629" s="123"/>
    </row>
    <row r="14630" spans="5:5" ht="16.5">
      <c r="E14630" s="123"/>
    </row>
    <row r="14631" spans="5:5" ht="16.5">
      <c r="E14631" s="123"/>
    </row>
    <row r="14632" spans="5:5" ht="16.5">
      <c r="E14632" s="123"/>
    </row>
    <row r="14633" spans="5:5" ht="16.5">
      <c r="E14633" s="123"/>
    </row>
    <row r="14634" spans="5:5" ht="16.5">
      <c r="E14634" s="123"/>
    </row>
    <row r="14635" spans="5:5" ht="16.5">
      <c r="E14635" s="123"/>
    </row>
    <row r="14636" spans="5:5" ht="16.5">
      <c r="E14636" s="123"/>
    </row>
    <row r="14637" spans="5:5" ht="16.5">
      <c r="E14637" s="123"/>
    </row>
    <row r="14638" spans="5:5" ht="16.5">
      <c r="E14638" s="123"/>
    </row>
    <row r="14639" spans="5:5" ht="16.5">
      <c r="E14639" s="123"/>
    </row>
    <row r="14640" spans="5:5" ht="16.5">
      <c r="E14640" s="123"/>
    </row>
    <row r="14641" spans="5:5" ht="16.5">
      <c r="E14641" s="123"/>
    </row>
    <row r="14642" spans="5:5" ht="16.5">
      <c r="E14642" s="123"/>
    </row>
    <row r="14643" spans="5:5" ht="16.5">
      <c r="E14643" s="123"/>
    </row>
    <row r="14644" spans="5:5" ht="16.5">
      <c r="E14644" s="123"/>
    </row>
    <row r="14645" spans="5:5" ht="16.5">
      <c r="E14645" s="123"/>
    </row>
    <row r="14646" spans="5:5" ht="16.5">
      <c r="E14646" s="123"/>
    </row>
    <row r="14647" spans="5:5" ht="16.5">
      <c r="E14647" s="123"/>
    </row>
    <row r="14648" spans="5:5" ht="16.5">
      <c r="E14648" s="123"/>
    </row>
    <row r="14649" spans="5:5" ht="16.5">
      <c r="E14649" s="123"/>
    </row>
    <row r="14650" spans="5:5" ht="16.5">
      <c r="E14650" s="123"/>
    </row>
    <row r="14651" spans="5:5" ht="16.5">
      <c r="E14651" s="123"/>
    </row>
    <row r="14652" spans="5:5" ht="16.5">
      <c r="E14652" s="123"/>
    </row>
    <row r="14653" spans="5:5" ht="16.5">
      <c r="E14653" s="123"/>
    </row>
    <row r="14654" spans="5:5" ht="16.5">
      <c r="E14654" s="123"/>
    </row>
    <row r="14655" spans="5:5" ht="16.5">
      <c r="E14655" s="123"/>
    </row>
    <row r="14656" spans="5:5" ht="16.5">
      <c r="E14656" s="123"/>
    </row>
    <row r="14657" spans="5:5" ht="16.5">
      <c r="E14657" s="123"/>
    </row>
    <row r="14658" spans="5:5" ht="16.5">
      <c r="E14658" s="123"/>
    </row>
    <row r="14659" spans="5:5" ht="16.5">
      <c r="E14659" s="123"/>
    </row>
    <row r="14660" spans="5:5" ht="16.5">
      <c r="E14660" s="123"/>
    </row>
    <row r="14661" spans="5:5" ht="16.5">
      <c r="E14661" s="123"/>
    </row>
    <row r="14662" spans="5:5" ht="16.5">
      <c r="E14662" s="123"/>
    </row>
    <row r="14663" spans="5:5" ht="16.5">
      <c r="E14663" s="123"/>
    </row>
    <row r="14664" spans="5:5" ht="16.5">
      <c r="E14664" s="123"/>
    </row>
    <row r="14665" spans="5:5" ht="16.5">
      <c r="E14665" s="123"/>
    </row>
    <row r="14666" spans="5:5" ht="16.5">
      <c r="E14666" s="123"/>
    </row>
    <row r="14667" spans="5:5" ht="16.5">
      <c r="E14667" s="123"/>
    </row>
    <row r="14668" spans="5:5" ht="16.5">
      <c r="E14668" s="123"/>
    </row>
    <row r="14669" spans="5:5" ht="16.5">
      <c r="E14669" s="123"/>
    </row>
    <row r="14670" spans="5:5" ht="16.5">
      <c r="E14670" s="123"/>
    </row>
    <row r="14671" spans="5:5" ht="16.5">
      <c r="E14671" s="123"/>
    </row>
    <row r="14672" spans="5:5" ht="16.5">
      <c r="E14672" s="123"/>
    </row>
    <row r="14673" spans="5:5" ht="16.5">
      <c r="E14673" s="123"/>
    </row>
    <row r="14674" spans="5:5" ht="16.5">
      <c r="E14674" s="123"/>
    </row>
    <row r="14675" spans="5:5" ht="16.5">
      <c r="E14675" s="123"/>
    </row>
    <row r="14676" spans="5:5" ht="16.5">
      <c r="E14676" s="123"/>
    </row>
    <row r="14677" spans="5:5" ht="16.5">
      <c r="E14677" s="123"/>
    </row>
    <row r="14678" spans="5:5" ht="16.5">
      <c r="E14678" s="123"/>
    </row>
    <row r="14679" spans="5:5" ht="16.5">
      <c r="E14679" s="123"/>
    </row>
    <row r="14680" spans="5:5" ht="16.5">
      <c r="E14680" s="123"/>
    </row>
    <row r="14681" spans="5:5" ht="16.5">
      <c r="E14681" s="123"/>
    </row>
    <row r="14682" spans="5:5" ht="16.5">
      <c r="E14682" s="123"/>
    </row>
    <row r="14683" spans="5:5" ht="16.5">
      <c r="E14683" s="123"/>
    </row>
    <row r="14684" spans="5:5" ht="16.5">
      <c r="E14684" s="123"/>
    </row>
    <row r="14685" spans="5:5" ht="16.5">
      <c r="E14685" s="123"/>
    </row>
    <row r="14686" spans="5:5" ht="16.5">
      <c r="E14686" s="123"/>
    </row>
    <row r="14687" spans="5:5" ht="16.5">
      <c r="E14687" s="123"/>
    </row>
    <row r="14688" spans="5:5" ht="16.5">
      <c r="E14688" s="123"/>
    </row>
    <row r="14689" spans="5:5" ht="16.5">
      <c r="E14689" s="123"/>
    </row>
    <row r="14690" spans="5:5" ht="16.5">
      <c r="E14690" s="123"/>
    </row>
    <row r="14691" spans="5:5" ht="16.5">
      <c r="E14691" s="123"/>
    </row>
    <row r="14692" spans="5:5" ht="16.5">
      <c r="E14692" s="123"/>
    </row>
    <row r="14693" spans="5:5" ht="16.5">
      <c r="E14693" s="123"/>
    </row>
    <row r="14694" spans="5:5" ht="16.5">
      <c r="E14694" s="123"/>
    </row>
    <row r="14695" spans="5:5" ht="16.5">
      <c r="E14695" s="123"/>
    </row>
    <row r="14696" spans="5:5" ht="16.5">
      <c r="E14696" s="123"/>
    </row>
    <row r="14697" spans="5:5" ht="16.5">
      <c r="E14697" s="123"/>
    </row>
    <row r="14698" spans="5:5" ht="16.5">
      <c r="E14698" s="123"/>
    </row>
    <row r="14699" spans="5:5" ht="16.5">
      <c r="E14699" s="123"/>
    </row>
    <row r="14700" spans="5:5" ht="16.5">
      <c r="E14700" s="123"/>
    </row>
    <row r="14701" spans="5:5" ht="16.5">
      <c r="E14701" s="123"/>
    </row>
    <row r="14702" spans="5:5" ht="16.5">
      <c r="E14702" s="123"/>
    </row>
    <row r="14703" spans="5:5" ht="16.5">
      <c r="E14703" s="123"/>
    </row>
    <row r="14704" spans="5:5" ht="16.5">
      <c r="E14704" s="123"/>
    </row>
    <row r="14705" spans="5:5" ht="16.5">
      <c r="E14705" s="123"/>
    </row>
    <row r="14706" spans="5:5" ht="16.5">
      <c r="E14706" s="123"/>
    </row>
    <row r="14707" spans="5:5" ht="16.5">
      <c r="E14707" s="123"/>
    </row>
    <row r="14708" spans="5:5" ht="16.5">
      <c r="E14708" s="123"/>
    </row>
    <row r="14709" spans="5:5" ht="16.5">
      <c r="E14709" s="123"/>
    </row>
    <row r="14710" spans="5:5" ht="16.5">
      <c r="E14710" s="123"/>
    </row>
    <row r="14711" spans="5:5" ht="16.5">
      <c r="E14711" s="123"/>
    </row>
    <row r="14712" spans="5:5" ht="16.5">
      <c r="E14712" s="123"/>
    </row>
    <row r="14713" spans="5:5" ht="16.5">
      <c r="E14713" s="123"/>
    </row>
    <row r="14714" spans="5:5" ht="16.5">
      <c r="E14714" s="123"/>
    </row>
    <row r="14715" spans="5:5" ht="16.5">
      <c r="E14715" s="123"/>
    </row>
    <row r="14716" spans="5:5" ht="16.5">
      <c r="E14716" s="123"/>
    </row>
    <row r="14717" spans="5:5" ht="16.5">
      <c r="E14717" s="123"/>
    </row>
    <row r="14718" spans="5:5" ht="16.5">
      <c r="E14718" s="123"/>
    </row>
    <row r="14719" spans="5:5" ht="16.5">
      <c r="E14719" s="123"/>
    </row>
    <row r="14720" spans="5:5" ht="16.5">
      <c r="E14720" s="123"/>
    </row>
    <row r="14721" spans="5:5" ht="16.5">
      <c r="E14721" s="123"/>
    </row>
    <row r="14722" spans="5:5" ht="16.5">
      <c r="E14722" s="123"/>
    </row>
    <row r="14723" spans="5:5" ht="16.5">
      <c r="E14723" s="123"/>
    </row>
    <row r="14724" spans="5:5" ht="16.5">
      <c r="E14724" s="123"/>
    </row>
    <row r="14725" spans="5:5" ht="16.5">
      <c r="E14725" s="123"/>
    </row>
    <row r="14726" spans="5:5" ht="16.5">
      <c r="E14726" s="123"/>
    </row>
    <row r="14727" spans="5:5" ht="16.5">
      <c r="E14727" s="123"/>
    </row>
    <row r="14728" spans="5:5" ht="16.5">
      <c r="E14728" s="123"/>
    </row>
    <row r="14729" spans="5:5" ht="16.5">
      <c r="E14729" s="123"/>
    </row>
    <row r="14730" spans="5:5" ht="16.5">
      <c r="E14730" s="123"/>
    </row>
    <row r="14731" spans="5:5" ht="16.5">
      <c r="E14731" s="123"/>
    </row>
    <row r="14732" spans="5:5" ht="16.5">
      <c r="E14732" s="123"/>
    </row>
    <row r="14733" spans="5:5" ht="16.5">
      <c r="E14733" s="123"/>
    </row>
    <row r="14734" spans="5:5" ht="16.5">
      <c r="E14734" s="123"/>
    </row>
    <row r="14735" spans="5:5" ht="16.5">
      <c r="E14735" s="123"/>
    </row>
    <row r="14736" spans="5:5" ht="16.5">
      <c r="E14736" s="123"/>
    </row>
    <row r="14737" spans="5:5" ht="16.5">
      <c r="E14737" s="123"/>
    </row>
    <row r="14738" spans="5:5" ht="16.5">
      <c r="E14738" s="123"/>
    </row>
    <row r="14739" spans="5:5" ht="16.5">
      <c r="E14739" s="123"/>
    </row>
    <row r="14740" spans="5:5" ht="16.5">
      <c r="E14740" s="123"/>
    </row>
    <row r="14741" spans="5:5" ht="16.5">
      <c r="E14741" s="123"/>
    </row>
    <row r="14742" spans="5:5" ht="16.5">
      <c r="E14742" s="123"/>
    </row>
    <row r="14743" spans="5:5" ht="16.5">
      <c r="E14743" s="123"/>
    </row>
    <row r="14744" spans="5:5" ht="16.5">
      <c r="E14744" s="123"/>
    </row>
    <row r="14745" spans="5:5" ht="16.5">
      <c r="E14745" s="123"/>
    </row>
    <row r="14746" spans="5:5" ht="16.5">
      <c r="E14746" s="123"/>
    </row>
    <row r="14747" spans="5:5" ht="16.5">
      <c r="E14747" s="123"/>
    </row>
    <row r="14748" spans="5:5" ht="16.5">
      <c r="E14748" s="123"/>
    </row>
    <row r="14749" spans="5:5" ht="16.5">
      <c r="E14749" s="123"/>
    </row>
    <row r="14750" spans="5:5" ht="16.5">
      <c r="E14750" s="123"/>
    </row>
    <row r="14751" spans="5:5" ht="16.5">
      <c r="E14751" s="123"/>
    </row>
    <row r="14752" spans="5:5" ht="16.5">
      <c r="E14752" s="123"/>
    </row>
    <row r="14753" spans="5:5" ht="16.5">
      <c r="E14753" s="123"/>
    </row>
    <row r="14754" spans="5:5" ht="16.5">
      <c r="E14754" s="123"/>
    </row>
    <row r="14755" spans="5:5" ht="16.5">
      <c r="E14755" s="123"/>
    </row>
    <row r="14756" spans="5:5" ht="16.5">
      <c r="E14756" s="123"/>
    </row>
    <row r="14757" spans="5:5" ht="16.5">
      <c r="E14757" s="123"/>
    </row>
    <row r="14758" spans="5:5" ht="16.5">
      <c r="E14758" s="123"/>
    </row>
    <row r="14759" spans="5:5" ht="16.5">
      <c r="E14759" s="123"/>
    </row>
    <row r="14760" spans="5:5" ht="16.5">
      <c r="E14760" s="123"/>
    </row>
    <row r="14761" spans="5:5" ht="16.5">
      <c r="E14761" s="123"/>
    </row>
    <row r="14762" spans="5:5" ht="16.5">
      <c r="E14762" s="123"/>
    </row>
    <row r="14763" spans="5:5" ht="16.5">
      <c r="E14763" s="123"/>
    </row>
    <row r="14764" spans="5:5" ht="16.5">
      <c r="E14764" s="123"/>
    </row>
    <row r="14765" spans="5:5" ht="16.5">
      <c r="E14765" s="123"/>
    </row>
    <row r="14766" spans="5:5" ht="16.5">
      <c r="E14766" s="123"/>
    </row>
    <row r="14767" spans="5:5" ht="16.5">
      <c r="E14767" s="123"/>
    </row>
    <row r="14768" spans="5:5" ht="16.5">
      <c r="E14768" s="123"/>
    </row>
    <row r="14769" spans="5:5" ht="16.5">
      <c r="E14769" s="123"/>
    </row>
    <row r="14770" spans="5:5" ht="16.5">
      <c r="E14770" s="123"/>
    </row>
    <row r="14771" spans="5:5" ht="16.5">
      <c r="E14771" s="123"/>
    </row>
    <row r="14772" spans="5:5" ht="16.5">
      <c r="E14772" s="123"/>
    </row>
    <row r="14773" spans="5:5" ht="16.5">
      <c r="E14773" s="123"/>
    </row>
    <row r="14774" spans="5:5" ht="16.5">
      <c r="E14774" s="123"/>
    </row>
    <row r="14775" spans="5:5" ht="16.5">
      <c r="E14775" s="123"/>
    </row>
    <row r="14776" spans="5:5" ht="16.5">
      <c r="E14776" s="123"/>
    </row>
    <row r="14777" spans="5:5" ht="16.5">
      <c r="E14777" s="123"/>
    </row>
    <row r="14778" spans="5:5" ht="16.5">
      <c r="E14778" s="123"/>
    </row>
    <row r="14779" spans="5:5" ht="16.5">
      <c r="E14779" s="123"/>
    </row>
    <row r="14780" spans="5:5" ht="16.5">
      <c r="E14780" s="123"/>
    </row>
    <row r="14781" spans="5:5" ht="16.5">
      <c r="E14781" s="123"/>
    </row>
    <row r="14782" spans="5:5" ht="16.5">
      <c r="E14782" s="123"/>
    </row>
    <row r="14783" spans="5:5" ht="16.5">
      <c r="E14783" s="123"/>
    </row>
    <row r="14784" spans="5:5" ht="16.5">
      <c r="E14784" s="123"/>
    </row>
    <row r="14785" spans="5:5" ht="16.5">
      <c r="E14785" s="123"/>
    </row>
    <row r="14786" spans="5:5" ht="16.5">
      <c r="E14786" s="123"/>
    </row>
    <row r="14787" spans="5:5" ht="16.5">
      <c r="E14787" s="123"/>
    </row>
    <row r="14788" spans="5:5" ht="16.5">
      <c r="E14788" s="123"/>
    </row>
    <row r="14789" spans="5:5" ht="16.5">
      <c r="E14789" s="123"/>
    </row>
    <row r="14790" spans="5:5" ht="16.5">
      <c r="E14790" s="123"/>
    </row>
    <row r="14791" spans="5:5" ht="16.5">
      <c r="E14791" s="123"/>
    </row>
    <row r="14792" spans="5:5" ht="16.5">
      <c r="E14792" s="123"/>
    </row>
    <row r="14793" spans="5:5" ht="16.5">
      <c r="E14793" s="123"/>
    </row>
    <row r="14794" spans="5:5" ht="16.5">
      <c r="E14794" s="123"/>
    </row>
    <row r="14795" spans="5:5" ht="16.5">
      <c r="E14795" s="123"/>
    </row>
    <row r="14796" spans="5:5" ht="16.5">
      <c r="E14796" s="123"/>
    </row>
    <row r="14797" spans="5:5" ht="16.5">
      <c r="E14797" s="123"/>
    </row>
    <row r="14798" spans="5:5" ht="16.5">
      <c r="E14798" s="123"/>
    </row>
    <row r="14799" spans="5:5" ht="16.5">
      <c r="E14799" s="123"/>
    </row>
    <row r="14800" spans="5:5" ht="16.5">
      <c r="E14800" s="123"/>
    </row>
    <row r="14801" spans="5:5" ht="16.5">
      <c r="E14801" s="123"/>
    </row>
    <row r="14802" spans="5:5" ht="16.5">
      <c r="E14802" s="123"/>
    </row>
    <row r="14803" spans="5:5" ht="16.5">
      <c r="E14803" s="123"/>
    </row>
    <row r="14804" spans="5:5" ht="16.5">
      <c r="E14804" s="123"/>
    </row>
    <row r="14805" spans="5:5" ht="16.5">
      <c r="E14805" s="123"/>
    </row>
    <row r="14806" spans="5:5" ht="16.5">
      <c r="E14806" s="123"/>
    </row>
    <row r="14807" spans="5:5" ht="16.5">
      <c r="E14807" s="123"/>
    </row>
    <row r="14808" spans="5:5" ht="16.5">
      <c r="E14808" s="123"/>
    </row>
    <row r="14809" spans="5:5" ht="16.5">
      <c r="E14809" s="123"/>
    </row>
    <row r="14810" spans="5:5" ht="16.5">
      <c r="E14810" s="123"/>
    </row>
    <row r="14811" spans="5:5" ht="16.5">
      <c r="E14811" s="123"/>
    </row>
    <row r="14812" spans="5:5" ht="16.5">
      <c r="E14812" s="123"/>
    </row>
    <row r="14813" spans="5:5" ht="16.5">
      <c r="E14813" s="123"/>
    </row>
    <row r="14814" spans="5:5" ht="16.5">
      <c r="E14814" s="123"/>
    </row>
    <row r="14815" spans="5:5" ht="16.5">
      <c r="E14815" s="123"/>
    </row>
    <row r="14816" spans="5:5" ht="16.5">
      <c r="E14816" s="123"/>
    </row>
    <row r="14817" spans="5:5" ht="16.5">
      <c r="E14817" s="123"/>
    </row>
    <row r="14818" spans="5:5" ht="16.5">
      <c r="E14818" s="123"/>
    </row>
    <row r="14819" spans="5:5" ht="16.5">
      <c r="E14819" s="123"/>
    </row>
    <row r="14820" spans="5:5" ht="16.5">
      <c r="E14820" s="123"/>
    </row>
    <row r="14821" spans="5:5" ht="16.5">
      <c r="E14821" s="123"/>
    </row>
    <row r="14822" spans="5:5" ht="16.5">
      <c r="E14822" s="123"/>
    </row>
    <row r="14823" spans="5:5" ht="16.5">
      <c r="E14823" s="123"/>
    </row>
    <row r="14824" spans="5:5" ht="16.5">
      <c r="E14824" s="123"/>
    </row>
    <row r="14825" spans="5:5" ht="16.5">
      <c r="E14825" s="123"/>
    </row>
    <row r="14826" spans="5:5" ht="16.5">
      <c r="E14826" s="123"/>
    </row>
    <row r="14827" spans="5:5" ht="16.5">
      <c r="E14827" s="123"/>
    </row>
    <row r="14828" spans="5:5" ht="16.5">
      <c r="E14828" s="123"/>
    </row>
    <row r="14829" spans="5:5" ht="16.5">
      <c r="E14829" s="123"/>
    </row>
    <row r="14830" spans="5:5" ht="16.5">
      <c r="E14830" s="123"/>
    </row>
    <row r="14831" spans="5:5" ht="16.5">
      <c r="E14831" s="123"/>
    </row>
    <row r="14832" spans="5:5" ht="16.5">
      <c r="E14832" s="123"/>
    </row>
    <row r="14833" spans="5:5" ht="16.5">
      <c r="E14833" s="123"/>
    </row>
    <row r="14834" spans="5:5" ht="16.5">
      <c r="E14834" s="123"/>
    </row>
    <row r="14835" spans="5:5" ht="16.5">
      <c r="E14835" s="123"/>
    </row>
    <row r="14836" spans="5:5" ht="16.5">
      <c r="E14836" s="123"/>
    </row>
    <row r="14837" spans="5:5" ht="16.5">
      <c r="E14837" s="123"/>
    </row>
    <row r="14838" spans="5:5" ht="16.5">
      <c r="E14838" s="123"/>
    </row>
    <row r="14839" spans="5:5" ht="16.5">
      <c r="E14839" s="123"/>
    </row>
    <row r="14840" spans="5:5" ht="16.5">
      <c r="E14840" s="123"/>
    </row>
    <row r="14841" spans="5:5" ht="16.5">
      <c r="E14841" s="123"/>
    </row>
    <row r="14842" spans="5:5" ht="16.5">
      <c r="E14842" s="123"/>
    </row>
    <row r="14843" spans="5:5" ht="16.5">
      <c r="E14843" s="123"/>
    </row>
    <row r="14844" spans="5:5" ht="16.5">
      <c r="E14844" s="123"/>
    </row>
    <row r="14845" spans="5:5" ht="16.5">
      <c r="E14845" s="123"/>
    </row>
    <row r="14846" spans="5:5" ht="16.5">
      <c r="E14846" s="123"/>
    </row>
    <row r="14847" spans="5:5" ht="16.5">
      <c r="E14847" s="123"/>
    </row>
    <row r="14848" spans="5:5" ht="16.5">
      <c r="E14848" s="123"/>
    </row>
    <row r="14849" spans="5:5" ht="16.5">
      <c r="E14849" s="123"/>
    </row>
    <row r="14850" spans="5:5" ht="16.5">
      <c r="E14850" s="123"/>
    </row>
    <row r="14851" spans="5:5" ht="16.5">
      <c r="E14851" s="123"/>
    </row>
    <row r="14852" spans="5:5" ht="16.5">
      <c r="E14852" s="123"/>
    </row>
    <row r="14853" spans="5:5" ht="16.5">
      <c r="E14853" s="123"/>
    </row>
    <row r="14854" spans="5:5" ht="16.5">
      <c r="E14854" s="123"/>
    </row>
    <row r="14855" spans="5:5" ht="16.5">
      <c r="E14855" s="123"/>
    </row>
    <row r="14856" spans="5:5" ht="16.5">
      <c r="E14856" s="123"/>
    </row>
    <row r="14857" spans="5:5" ht="16.5">
      <c r="E14857" s="123"/>
    </row>
    <row r="14858" spans="5:5" ht="16.5">
      <c r="E14858" s="123"/>
    </row>
    <row r="14859" spans="5:5" ht="16.5">
      <c r="E14859" s="123"/>
    </row>
    <row r="14860" spans="5:5" ht="16.5">
      <c r="E14860" s="123"/>
    </row>
    <row r="14861" spans="5:5" ht="16.5">
      <c r="E14861" s="123"/>
    </row>
    <row r="14862" spans="5:5" ht="16.5">
      <c r="E14862" s="123"/>
    </row>
    <row r="14863" spans="5:5" ht="16.5">
      <c r="E14863" s="123"/>
    </row>
    <row r="14864" spans="5:5" ht="16.5">
      <c r="E14864" s="123"/>
    </row>
    <row r="14865" spans="5:5" ht="16.5">
      <c r="E14865" s="123"/>
    </row>
    <row r="14866" spans="5:5" ht="16.5">
      <c r="E14866" s="123"/>
    </row>
    <row r="14867" spans="5:5" ht="16.5">
      <c r="E14867" s="123"/>
    </row>
    <row r="14868" spans="5:5" ht="16.5">
      <c r="E14868" s="123"/>
    </row>
    <row r="14869" spans="5:5" ht="16.5">
      <c r="E14869" s="123"/>
    </row>
    <row r="14870" spans="5:5" ht="16.5">
      <c r="E14870" s="123"/>
    </row>
    <row r="14871" spans="5:5" ht="16.5">
      <c r="E14871" s="123"/>
    </row>
    <row r="14872" spans="5:5" ht="16.5">
      <c r="E14872" s="123"/>
    </row>
    <row r="14873" spans="5:5" ht="16.5">
      <c r="E14873" s="123"/>
    </row>
    <row r="14874" spans="5:5" ht="16.5">
      <c r="E14874" s="123"/>
    </row>
    <row r="14875" spans="5:5" ht="16.5">
      <c r="E14875" s="123"/>
    </row>
    <row r="14876" spans="5:5" ht="16.5">
      <c r="E14876" s="123"/>
    </row>
    <row r="14877" spans="5:5" ht="16.5">
      <c r="E14877" s="123"/>
    </row>
    <row r="14878" spans="5:5" ht="16.5">
      <c r="E14878" s="123"/>
    </row>
    <row r="14879" spans="5:5" ht="16.5">
      <c r="E14879" s="123"/>
    </row>
    <row r="14880" spans="5:5" ht="16.5">
      <c r="E14880" s="123"/>
    </row>
    <row r="14881" spans="5:5" ht="16.5">
      <c r="E14881" s="123"/>
    </row>
    <row r="14882" spans="5:5" ht="16.5">
      <c r="E14882" s="123"/>
    </row>
    <row r="14883" spans="5:5" ht="16.5">
      <c r="E14883" s="123"/>
    </row>
    <row r="14884" spans="5:5" ht="16.5">
      <c r="E14884" s="123"/>
    </row>
    <row r="14885" spans="5:5" ht="16.5">
      <c r="E14885" s="123"/>
    </row>
    <row r="14886" spans="5:5" ht="16.5">
      <c r="E14886" s="123"/>
    </row>
    <row r="14887" spans="5:5" ht="16.5">
      <c r="E14887" s="123"/>
    </row>
    <row r="14888" spans="5:5" ht="16.5">
      <c r="E14888" s="123"/>
    </row>
    <row r="14889" spans="5:5" ht="16.5">
      <c r="E14889" s="123"/>
    </row>
    <row r="14890" spans="5:5" ht="16.5">
      <c r="E14890" s="123"/>
    </row>
    <row r="14891" spans="5:5" ht="16.5">
      <c r="E14891" s="123"/>
    </row>
    <row r="14892" spans="5:5" ht="16.5">
      <c r="E14892" s="123"/>
    </row>
    <row r="14893" spans="5:5" ht="16.5">
      <c r="E14893" s="123"/>
    </row>
    <row r="14894" spans="5:5" ht="16.5">
      <c r="E14894" s="123"/>
    </row>
    <row r="14895" spans="5:5" ht="16.5">
      <c r="E14895" s="123"/>
    </row>
    <row r="14896" spans="5:5" ht="16.5">
      <c r="E14896" s="123"/>
    </row>
    <row r="14897" spans="5:5" ht="16.5">
      <c r="E14897" s="123"/>
    </row>
    <row r="14898" spans="5:5" ht="16.5">
      <c r="E14898" s="123"/>
    </row>
    <row r="14899" spans="5:5" ht="16.5">
      <c r="E14899" s="123"/>
    </row>
    <row r="14900" spans="5:5" ht="16.5">
      <c r="E14900" s="123"/>
    </row>
    <row r="14901" spans="5:5" ht="16.5">
      <c r="E14901" s="123"/>
    </row>
    <row r="14902" spans="5:5" ht="16.5">
      <c r="E14902" s="123"/>
    </row>
    <row r="14903" spans="5:5" ht="16.5">
      <c r="E14903" s="123"/>
    </row>
    <row r="14904" spans="5:5" ht="16.5">
      <c r="E14904" s="123"/>
    </row>
    <row r="14905" spans="5:5" ht="16.5">
      <c r="E14905" s="123"/>
    </row>
    <row r="14906" spans="5:5" ht="16.5">
      <c r="E14906" s="123"/>
    </row>
    <row r="14907" spans="5:5" ht="16.5">
      <c r="E14907" s="123"/>
    </row>
    <row r="14908" spans="5:5" ht="16.5">
      <c r="E14908" s="123"/>
    </row>
    <row r="14909" spans="5:5" ht="16.5">
      <c r="E14909" s="123"/>
    </row>
    <row r="14910" spans="5:5" ht="16.5">
      <c r="E14910" s="123"/>
    </row>
    <row r="14911" spans="5:5" ht="16.5">
      <c r="E14911" s="123"/>
    </row>
    <row r="14912" spans="5:5" ht="16.5">
      <c r="E14912" s="123"/>
    </row>
    <row r="14913" spans="5:5" ht="16.5">
      <c r="E14913" s="123"/>
    </row>
    <row r="14914" spans="5:5" ht="16.5">
      <c r="E14914" s="123"/>
    </row>
    <row r="14915" spans="5:5" ht="16.5">
      <c r="E14915" s="123"/>
    </row>
    <row r="14916" spans="5:5" ht="16.5">
      <c r="E14916" s="123"/>
    </row>
    <row r="14917" spans="5:5" ht="16.5">
      <c r="E14917" s="123"/>
    </row>
    <row r="14918" spans="5:5" ht="16.5">
      <c r="E14918" s="123"/>
    </row>
    <row r="14919" spans="5:5" ht="16.5">
      <c r="E14919" s="123"/>
    </row>
    <row r="14920" spans="5:5" ht="16.5">
      <c r="E14920" s="123"/>
    </row>
    <row r="14921" spans="5:5" ht="16.5">
      <c r="E14921" s="123"/>
    </row>
    <row r="14922" spans="5:5" ht="16.5">
      <c r="E14922" s="123"/>
    </row>
    <row r="14923" spans="5:5" ht="16.5">
      <c r="E14923" s="123"/>
    </row>
    <row r="14924" spans="5:5" ht="16.5">
      <c r="E14924" s="123"/>
    </row>
    <row r="14925" spans="5:5" ht="16.5">
      <c r="E14925" s="123"/>
    </row>
    <row r="14926" spans="5:5" ht="16.5">
      <c r="E14926" s="123"/>
    </row>
    <row r="14927" spans="5:5" ht="16.5">
      <c r="E14927" s="123"/>
    </row>
    <row r="14928" spans="5:5" ht="16.5">
      <c r="E14928" s="123"/>
    </row>
    <row r="14929" spans="5:5" ht="16.5">
      <c r="E14929" s="123"/>
    </row>
    <row r="14930" spans="5:5" ht="16.5">
      <c r="E14930" s="123"/>
    </row>
    <row r="14931" spans="5:5" ht="16.5">
      <c r="E14931" s="123"/>
    </row>
    <row r="14932" spans="5:5" ht="16.5">
      <c r="E14932" s="123"/>
    </row>
    <row r="14933" spans="5:5" ht="16.5">
      <c r="E14933" s="123"/>
    </row>
    <row r="14934" spans="5:5" ht="16.5">
      <c r="E14934" s="123"/>
    </row>
    <row r="14935" spans="5:5" ht="16.5">
      <c r="E14935" s="123"/>
    </row>
    <row r="14936" spans="5:5" ht="16.5">
      <c r="E14936" s="123"/>
    </row>
    <row r="14937" spans="5:5" ht="16.5">
      <c r="E14937" s="123"/>
    </row>
    <row r="14938" spans="5:5" ht="16.5">
      <c r="E14938" s="123"/>
    </row>
    <row r="14939" spans="5:5" ht="16.5">
      <c r="E14939" s="123"/>
    </row>
    <row r="14940" spans="5:5" ht="16.5">
      <c r="E14940" s="123"/>
    </row>
    <row r="14941" spans="5:5" ht="16.5">
      <c r="E14941" s="123"/>
    </row>
    <row r="14942" spans="5:5" ht="16.5">
      <c r="E14942" s="123"/>
    </row>
    <row r="14943" spans="5:5" ht="16.5">
      <c r="E14943" s="123"/>
    </row>
    <row r="14944" spans="5:5" ht="16.5">
      <c r="E14944" s="123"/>
    </row>
    <row r="14945" spans="5:5" ht="16.5">
      <c r="E14945" s="123"/>
    </row>
    <row r="14946" spans="5:5" ht="16.5">
      <c r="E14946" s="123"/>
    </row>
    <row r="14947" spans="5:5" ht="16.5">
      <c r="E14947" s="123"/>
    </row>
    <row r="14948" spans="5:5" ht="16.5">
      <c r="E14948" s="123"/>
    </row>
    <row r="14949" spans="5:5" ht="16.5">
      <c r="E14949" s="123"/>
    </row>
    <row r="14950" spans="5:5" ht="16.5">
      <c r="E14950" s="123"/>
    </row>
    <row r="14951" spans="5:5" ht="16.5">
      <c r="E14951" s="123"/>
    </row>
    <row r="14952" spans="5:5" ht="16.5">
      <c r="E14952" s="123"/>
    </row>
    <row r="14953" spans="5:5" ht="16.5">
      <c r="E14953" s="123"/>
    </row>
    <row r="14954" spans="5:5" ht="16.5">
      <c r="E14954" s="123"/>
    </row>
    <row r="14955" spans="5:5" ht="16.5">
      <c r="E14955" s="123"/>
    </row>
    <row r="14956" spans="5:5" ht="16.5">
      <c r="E14956" s="123"/>
    </row>
    <row r="14957" spans="5:5" ht="16.5">
      <c r="E14957" s="123"/>
    </row>
    <row r="14958" spans="5:5" ht="16.5">
      <c r="E14958" s="123"/>
    </row>
    <row r="14959" spans="5:5" ht="16.5">
      <c r="E14959" s="123"/>
    </row>
    <row r="14960" spans="5:5" ht="16.5">
      <c r="E14960" s="123"/>
    </row>
    <row r="14961" spans="5:5" ht="16.5">
      <c r="E14961" s="123"/>
    </row>
    <row r="14962" spans="5:5" ht="16.5">
      <c r="E14962" s="123"/>
    </row>
    <row r="14963" spans="5:5" ht="16.5">
      <c r="E14963" s="123"/>
    </row>
    <row r="14964" spans="5:5" ht="16.5">
      <c r="E14964" s="123"/>
    </row>
    <row r="14965" spans="5:5" ht="16.5">
      <c r="E14965" s="123"/>
    </row>
    <row r="14966" spans="5:5" ht="16.5">
      <c r="E14966" s="123"/>
    </row>
    <row r="14967" spans="5:5" ht="16.5">
      <c r="E14967" s="123"/>
    </row>
    <row r="14968" spans="5:5" ht="16.5">
      <c r="E14968" s="123"/>
    </row>
    <row r="14969" spans="5:5" ht="16.5">
      <c r="E14969" s="123"/>
    </row>
    <row r="14970" spans="5:5" ht="16.5">
      <c r="E14970" s="123"/>
    </row>
    <row r="14971" spans="5:5" ht="16.5">
      <c r="E14971" s="123"/>
    </row>
    <row r="14972" spans="5:5" ht="16.5">
      <c r="E14972" s="123"/>
    </row>
    <row r="14973" spans="5:5" ht="16.5">
      <c r="E14973" s="123"/>
    </row>
    <row r="14974" spans="5:5" ht="16.5">
      <c r="E14974" s="123"/>
    </row>
    <row r="14975" spans="5:5" ht="16.5">
      <c r="E14975" s="123"/>
    </row>
    <row r="14976" spans="5:5" ht="16.5">
      <c r="E14976" s="123"/>
    </row>
    <row r="14977" spans="5:5" ht="16.5">
      <c r="E14977" s="123"/>
    </row>
    <row r="14978" spans="5:5" ht="16.5">
      <c r="E14978" s="123"/>
    </row>
    <row r="14979" spans="5:5" ht="16.5">
      <c r="E14979" s="123"/>
    </row>
    <row r="14980" spans="5:5" ht="16.5">
      <c r="E14980" s="123"/>
    </row>
    <row r="14981" spans="5:5" ht="16.5">
      <c r="E14981" s="123"/>
    </row>
    <row r="14982" spans="5:5" ht="16.5">
      <c r="E14982" s="123"/>
    </row>
    <row r="14983" spans="5:5" ht="16.5">
      <c r="E14983" s="123"/>
    </row>
    <row r="14984" spans="5:5" ht="16.5">
      <c r="E14984" s="123"/>
    </row>
    <row r="14985" spans="5:5" ht="16.5">
      <c r="E14985" s="123"/>
    </row>
    <row r="14986" spans="5:5" ht="16.5">
      <c r="E14986" s="123"/>
    </row>
    <row r="14987" spans="5:5" ht="16.5">
      <c r="E14987" s="123"/>
    </row>
    <row r="14988" spans="5:5" ht="16.5">
      <c r="E14988" s="123"/>
    </row>
    <row r="14989" spans="5:5" ht="16.5">
      <c r="E14989" s="123"/>
    </row>
    <row r="14990" spans="5:5" ht="16.5">
      <c r="E14990" s="123"/>
    </row>
    <row r="14991" spans="5:5" ht="16.5">
      <c r="E14991" s="123"/>
    </row>
    <row r="14992" spans="5:5" ht="16.5">
      <c r="E14992" s="123"/>
    </row>
    <row r="14993" spans="5:5" ht="16.5">
      <c r="E14993" s="123"/>
    </row>
    <row r="14994" spans="5:5" ht="16.5">
      <c r="E14994" s="123"/>
    </row>
    <row r="14995" spans="5:5" ht="16.5">
      <c r="E14995" s="123"/>
    </row>
    <row r="14996" spans="5:5" ht="16.5">
      <c r="E14996" s="123"/>
    </row>
    <row r="14997" spans="5:5" ht="16.5">
      <c r="E14997" s="123"/>
    </row>
    <row r="14998" spans="5:5" ht="16.5">
      <c r="E14998" s="123"/>
    </row>
    <row r="14999" spans="5:5" ht="16.5">
      <c r="E14999" s="123"/>
    </row>
    <row r="15000" spans="5:5" ht="16.5">
      <c r="E15000" s="123"/>
    </row>
    <row r="15001" spans="5:5" ht="16.5">
      <c r="E15001" s="123"/>
    </row>
    <row r="15002" spans="5:5" ht="16.5">
      <c r="E15002" s="123"/>
    </row>
    <row r="15003" spans="5:5" ht="16.5">
      <c r="E15003" s="123"/>
    </row>
    <row r="15004" spans="5:5" ht="16.5">
      <c r="E15004" s="123"/>
    </row>
    <row r="15005" spans="5:5" ht="16.5">
      <c r="E15005" s="123"/>
    </row>
    <row r="15006" spans="5:5" ht="16.5">
      <c r="E15006" s="123"/>
    </row>
    <row r="15007" spans="5:5" ht="16.5">
      <c r="E15007" s="123"/>
    </row>
    <row r="15008" spans="5:5" ht="16.5">
      <c r="E15008" s="123"/>
    </row>
    <row r="15009" spans="5:5" ht="16.5">
      <c r="E15009" s="123"/>
    </row>
    <row r="15010" spans="5:5" ht="16.5">
      <c r="E15010" s="123"/>
    </row>
    <row r="15011" spans="5:5" ht="16.5">
      <c r="E15011" s="123"/>
    </row>
    <row r="15012" spans="5:5" ht="16.5">
      <c r="E15012" s="123"/>
    </row>
    <row r="15013" spans="5:5" ht="16.5">
      <c r="E15013" s="123"/>
    </row>
    <row r="15014" spans="5:5" ht="16.5">
      <c r="E15014" s="123"/>
    </row>
    <row r="15015" spans="5:5" ht="16.5">
      <c r="E15015" s="123"/>
    </row>
    <row r="15016" spans="5:5" ht="16.5">
      <c r="E15016" s="123"/>
    </row>
    <row r="15017" spans="5:5" ht="16.5">
      <c r="E15017" s="123"/>
    </row>
    <row r="15018" spans="5:5" ht="16.5">
      <c r="E15018" s="123"/>
    </row>
    <row r="15019" spans="5:5" ht="16.5">
      <c r="E15019" s="123"/>
    </row>
    <row r="15020" spans="5:5" ht="16.5">
      <c r="E15020" s="123"/>
    </row>
    <row r="15021" spans="5:5" ht="16.5">
      <c r="E15021" s="123"/>
    </row>
    <row r="15022" spans="5:5" ht="16.5">
      <c r="E15022" s="123"/>
    </row>
    <row r="15023" spans="5:5" ht="16.5">
      <c r="E15023" s="123"/>
    </row>
    <row r="15024" spans="5:5" ht="16.5">
      <c r="E15024" s="123"/>
    </row>
    <row r="15025" spans="5:5" ht="16.5">
      <c r="E15025" s="123"/>
    </row>
    <row r="15026" spans="5:5" ht="16.5">
      <c r="E15026" s="123"/>
    </row>
    <row r="15027" spans="5:5" ht="16.5">
      <c r="E15027" s="123"/>
    </row>
    <row r="15028" spans="5:5" ht="16.5">
      <c r="E15028" s="123"/>
    </row>
    <row r="15029" spans="5:5" ht="16.5">
      <c r="E15029" s="123"/>
    </row>
    <row r="15030" spans="5:5" ht="16.5">
      <c r="E15030" s="123"/>
    </row>
    <row r="15031" spans="5:5" ht="16.5">
      <c r="E15031" s="123"/>
    </row>
    <row r="15032" spans="5:5" ht="16.5">
      <c r="E15032" s="123"/>
    </row>
    <row r="15033" spans="5:5" ht="16.5">
      <c r="E15033" s="123"/>
    </row>
    <row r="15034" spans="5:5" ht="16.5">
      <c r="E15034" s="123"/>
    </row>
    <row r="15035" spans="5:5" ht="16.5">
      <c r="E15035" s="123"/>
    </row>
    <row r="15036" spans="5:5" ht="16.5">
      <c r="E15036" s="123"/>
    </row>
    <row r="15037" spans="5:5" ht="16.5">
      <c r="E15037" s="123"/>
    </row>
    <row r="15038" spans="5:5" ht="16.5">
      <c r="E15038" s="123"/>
    </row>
    <row r="15039" spans="5:5" ht="16.5">
      <c r="E15039" s="123"/>
    </row>
    <row r="15040" spans="5:5" ht="16.5">
      <c r="E15040" s="123"/>
    </row>
    <row r="15041" spans="5:5" ht="16.5">
      <c r="E15041" s="123"/>
    </row>
    <row r="15042" spans="5:5" ht="16.5">
      <c r="E15042" s="123"/>
    </row>
    <row r="15043" spans="5:5" ht="16.5">
      <c r="E15043" s="123"/>
    </row>
    <row r="15044" spans="5:5" ht="16.5">
      <c r="E15044" s="123"/>
    </row>
    <row r="15045" spans="5:5" ht="16.5">
      <c r="E15045" s="123"/>
    </row>
    <row r="15046" spans="5:5" ht="16.5">
      <c r="E15046" s="123"/>
    </row>
    <row r="15047" spans="5:5" ht="16.5">
      <c r="E15047" s="123"/>
    </row>
    <row r="15048" spans="5:5" ht="16.5">
      <c r="E15048" s="123"/>
    </row>
    <row r="15049" spans="5:5" ht="16.5">
      <c r="E15049" s="123"/>
    </row>
    <row r="15050" spans="5:5" ht="16.5">
      <c r="E15050" s="123"/>
    </row>
    <row r="15051" spans="5:5" ht="16.5">
      <c r="E15051" s="123"/>
    </row>
    <row r="15052" spans="5:5" ht="16.5">
      <c r="E15052" s="123"/>
    </row>
    <row r="15053" spans="5:5" ht="16.5">
      <c r="E15053" s="123"/>
    </row>
    <row r="15054" spans="5:5" ht="16.5">
      <c r="E15054" s="123"/>
    </row>
    <row r="15055" spans="5:5" ht="16.5">
      <c r="E15055" s="123"/>
    </row>
    <row r="15056" spans="5:5" ht="16.5">
      <c r="E15056" s="123"/>
    </row>
    <row r="15057" spans="5:5" ht="16.5">
      <c r="E15057" s="123"/>
    </row>
    <row r="15058" spans="5:5" ht="16.5">
      <c r="E15058" s="123"/>
    </row>
    <row r="15059" spans="5:5" ht="16.5">
      <c r="E15059" s="123"/>
    </row>
    <row r="15060" spans="5:5" ht="16.5">
      <c r="E15060" s="123"/>
    </row>
    <row r="15061" spans="5:5" ht="16.5">
      <c r="E15061" s="123"/>
    </row>
    <row r="15062" spans="5:5" ht="16.5">
      <c r="E15062" s="123"/>
    </row>
    <row r="15063" spans="5:5" ht="16.5">
      <c r="E15063" s="123"/>
    </row>
    <row r="15064" spans="5:5" ht="16.5">
      <c r="E15064" s="123"/>
    </row>
    <row r="15065" spans="5:5" ht="16.5">
      <c r="E15065" s="123"/>
    </row>
    <row r="15066" spans="5:5" ht="16.5">
      <c r="E15066" s="123"/>
    </row>
    <row r="15067" spans="5:5" ht="16.5">
      <c r="E15067" s="123"/>
    </row>
    <row r="15068" spans="5:5" ht="16.5">
      <c r="E15068" s="123"/>
    </row>
    <row r="15069" spans="5:5" ht="16.5">
      <c r="E15069" s="123"/>
    </row>
    <row r="15070" spans="5:5" ht="16.5">
      <c r="E15070" s="123"/>
    </row>
    <row r="15071" spans="5:5" ht="16.5">
      <c r="E15071" s="123"/>
    </row>
    <row r="15072" spans="5:5" ht="16.5">
      <c r="E15072" s="123"/>
    </row>
    <row r="15073" spans="5:5" ht="16.5">
      <c r="E15073" s="123"/>
    </row>
    <row r="15074" spans="5:5" ht="16.5">
      <c r="E15074" s="123"/>
    </row>
    <row r="15075" spans="5:5" ht="16.5">
      <c r="E15075" s="123"/>
    </row>
    <row r="15076" spans="5:5" ht="16.5">
      <c r="E15076" s="123"/>
    </row>
    <row r="15077" spans="5:5" ht="16.5">
      <c r="E15077" s="123"/>
    </row>
    <row r="15078" spans="5:5" ht="16.5">
      <c r="E15078" s="123"/>
    </row>
    <row r="15079" spans="5:5" ht="16.5">
      <c r="E15079" s="123"/>
    </row>
    <row r="15080" spans="5:5" ht="16.5">
      <c r="E15080" s="123"/>
    </row>
    <row r="15081" spans="5:5" ht="16.5">
      <c r="E15081" s="123"/>
    </row>
    <row r="15082" spans="5:5" ht="16.5">
      <c r="E15082" s="123"/>
    </row>
    <row r="15083" spans="5:5" ht="16.5">
      <c r="E15083" s="123"/>
    </row>
    <row r="15084" spans="5:5" ht="16.5">
      <c r="E15084" s="123"/>
    </row>
    <row r="15085" spans="5:5" ht="16.5">
      <c r="E15085" s="123"/>
    </row>
    <row r="15086" spans="5:5" ht="16.5">
      <c r="E15086" s="123"/>
    </row>
    <row r="15087" spans="5:5" ht="16.5">
      <c r="E15087" s="123"/>
    </row>
    <row r="15088" spans="5:5" ht="16.5">
      <c r="E15088" s="123"/>
    </row>
    <row r="15089" spans="5:5" ht="16.5">
      <c r="E15089" s="123"/>
    </row>
    <row r="15090" spans="5:5" ht="16.5">
      <c r="E15090" s="123"/>
    </row>
    <row r="15091" spans="5:5" ht="16.5">
      <c r="E15091" s="123"/>
    </row>
    <row r="15092" spans="5:5" ht="16.5">
      <c r="E15092" s="123"/>
    </row>
    <row r="15093" spans="5:5" ht="16.5">
      <c r="E15093" s="123"/>
    </row>
    <row r="15094" spans="5:5" ht="16.5">
      <c r="E15094" s="123"/>
    </row>
    <row r="15095" spans="5:5" ht="16.5">
      <c r="E15095" s="123"/>
    </row>
    <row r="15096" spans="5:5" ht="16.5">
      <c r="E15096" s="123"/>
    </row>
    <row r="15097" spans="5:5" ht="16.5">
      <c r="E15097" s="123"/>
    </row>
    <row r="15098" spans="5:5" ht="16.5">
      <c r="E15098" s="123"/>
    </row>
    <row r="15099" spans="5:5" ht="16.5">
      <c r="E15099" s="123"/>
    </row>
    <row r="15100" spans="5:5" ht="16.5">
      <c r="E15100" s="123"/>
    </row>
    <row r="15101" spans="5:5" ht="16.5">
      <c r="E15101" s="123"/>
    </row>
    <row r="15102" spans="5:5" ht="16.5">
      <c r="E15102" s="123"/>
    </row>
    <row r="15103" spans="5:5" ht="16.5">
      <c r="E15103" s="123"/>
    </row>
    <row r="15104" spans="5:5" ht="16.5">
      <c r="E15104" s="123"/>
    </row>
    <row r="15105" spans="5:5" ht="16.5">
      <c r="E15105" s="123"/>
    </row>
    <row r="15106" spans="5:5" ht="16.5">
      <c r="E15106" s="123"/>
    </row>
    <row r="15107" spans="5:5" ht="16.5">
      <c r="E15107" s="123"/>
    </row>
    <row r="15108" spans="5:5" ht="16.5">
      <c r="E15108" s="123"/>
    </row>
    <row r="15109" spans="5:5" ht="16.5">
      <c r="E15109" s="123"/>
    </row>
    <row r="15110" spans="5:5" ht="16.5">
      <c r="E15110" s="123"/>
    </row>
    <row r="15111" spans="5:5" ht="16.5">
      <c r="E15111" s="123"/>
    </row>
    <row r="15112" spans="5:5" ht="16.5">
      <c r="E15112" s="123"/>
    </row>
    <row r="15113" spans="5:5" ht="16.5">
      <c r="E15113" s="123"/>
    </row>
    <row r="15114" spans="5:5" ht="16.5">
      <c r="E15114" s="123"/>
    </row>
    <row r="15115" spans="5:5" ht="16.5">
      <c r="E15115" s="123"/>
    </row>
    <row r="15116" spans="5:5" ht="16.5">
      <c r="E15116" s="123"/>
    </row>
    <row r="15117" spans="5:5" ht="16.5">
      <c r="E15117" s="123"/>
    </row>
    <row r="15118" spans="5:5" ht="16.5">
      <c r="E15118" s="123"/>
    </row>
    <row r="15119" spans="5:5" ht="16.5">
      <c r="E15119" s="123"/>
    </row>
    <row r="15120" spans="5:5" ht="16.5">
      <c r="E15120" s="123"/>
    </row>
    <row r="15121" spans="5:5" ht="16.5">
      <c r="E15121" s="123"/>
    </row>
    <row r="15122" spans="5:5" ht="16.5">
      <c r="E15122" s="123"/>
    </row>
    <row r="15123" spans="5:5" ht="16.5">
      <c r="E15123" s="123"/>
    </row>
    <row r="15124" spans="5:5" ht="16.5">
      <c r="E15124" s="123"/>
    </row>
    <row r="15125" spans="5:5" ht="16.5">
      <c r="E15125" s="123"/>
    </row>
    <row r="15126" spans="5:5" ht="16.5">
      <c r="E15126" s="123"/>
    </row>
    <row r="15127" spans="5:5" ht="16.5">
      <c r="E15127" s="123"/>
    </row>
    <row r="15128" spans="5:5" ht="16.5">
      <c r="E15128" s="123"/>
    </row>
    <row r="15129" spans="5:5" ht="16.5">
      <c r="E15129" s="123"/>
    </row>
    <row r="15130" spans="5:5" ht="16.5">
      <c r="E15130" s="123"/>
    </row>
    <row r="15131" spans="5:5" ht="16.5">
      <c r="E15131" s="123"/>
    </row>
    <row r="15132" spans="5:5" ht="16.5">
      <c r="E15132" s="123"/>
    </row>
    <row r="15133" spans="5:5" ht="16.5">
      <c r="E15133" s="123"/>
    </row>
    <row r="15134" spans="5:5" ht="16.5">
      <c r="E15134" s="123"/>
    </row>
    <row r="15135" spans="5:5" ht="16.5">
      <c r="E15135" s="123"/>
    </row>
    <row r="15136" spans="5:5" ht="16.5">
      <c r="E15136" s="123"/>
    </row>
    <row r="15137" spans="5:5" ht="16.5">
      <c r="E15137" s="123"/>
    </row>
    <row r="15138" spans="5:5" ht="16.5">
      <c r="E15138" s="123"/>
    </row>
    <row r="15139" spans="5:5" ht="16.5">
      <c r="E15139" s="123"/>
    </row>
    <row r="15140" spans="5:5" ht="16.5">
      <c r="E15140" s="123"/>
    </row>
    <row r="15141" spans="5:5" ht="16.5">
      <c r="E15141" s="123"/>
    </row>
    <row r="15142" spans="5:5" ht="16.5">
      <c r="E15142" s="123"/>
    </row>
    <row r="15143" spans="5:5" ht="16.5">
      <c r="E15143" s="123"/>
    </row>
    <row r="15144" spans="5:5" ht="16.5">
      <c r="E15144" s="123"/>
    </row>
    <row r="15145" spans="5:5" ht="16.5">
      <c r="E15145" s="123"/>
    </row>
    <row r="15146" spans="5:5" ht="16.5">
      <c r="E15146" s="123"/>
    </row>
    <row r="15147" spans="5:5" ht="16.5">
      <c r="E15147" s="123"/>
    </row>
    <row r="15148" spans="5:5" ht="16.5">
      <c r="E15148" s="123"/>
    </row>
    <row r="15149" spans="5:5" ht="16.5">
      <c r="E15149" s="123"/>
    </row>
    <row r="15150" spans="5:5" ht="16.5">
      <c r="E15150" s="123"/>
    </row>
    <row r="15151" spans="5:5" ht="16.5">
      <c r="E15151" s="123"/>
    </row>
    <row r="15152" spans="5:5" ht="16.5">
      <c r="E15152" s="123"/>
    </row>
    <row r="15153" spans="5:5" ht="16.5">
      <c r="E15153" s="123"/>
    </row>
    <row r="15154" spans="5:5" ht="16.5">
      <c r="E15154" s="123"/>
    </row>
    <row r="15155" spans="5:5" ht="16.5">
      <c r="E15155" s="123"/>
    </row>
    <row r="15156" spans="5:5" ht="16.5">
      <c r="E15156" s="123"/>
    </row>
    <row r="15157" spans="5:5" ht="16.5">
      <c r="E15157" s="123"/>
    </row>
    <row r="15158" spans="5:5" ht="16.5">
      <c r="E15158" s="123"/>
    </row>
    <row r="15159" spans="5:5" ht="16.5">
      <c r="E15159" s="123"/>
    </row>
    <row r="15160" spans="5:5" ht="16.5">
      <c r="E15160" s="123"/>
    </row>
    <row r="15161" spans="5:5" ht="16.5">
      <c r="E15161" s="123"/>
    </row>
    <row r="15162" spans="5:5" ht="16.5">
      <c r="E15162" s="123"/>
    </row>
    <row r="15163" spans="5:5" ht="16.5">
      <c r="E15163" s="123"/>
    </row>
    <row r="15164" spans="5:5" ht="16.5">
      <c r="E15164" s="123"/>
    </row>
    <row r="15165" spans="5:5" ht="16.5">
      <c r="E15165" s="123"/>
    </row>
    <row r="15166" spans="5:5" ht="16.5">
      <c r="E15166" s="123"/>
    </row>
    <row r="15167" spans="5:5" ht="16.5">
      <c r="E15167" s="123"/>
    </row>
    <row r="15168" spans="5:5" ht="16.5">
      <c r="E15168" s="123"/>
    </row>
    <row r="15169" spans="5:5" ht="16.5">
      <c r="E15169" s="123"/>
    </row>
    <row r="15170" spans="5:5" ht="16.5">
      <c r="E15170" s="123"/>
    </row>
    <row r="15171" spans="5:5" ht="16.5">
      <c r="E15171" s="123"/>
    </row>
    <row r="15172" spans="5:5" ht="16.5">
      <c r="E15172" s="123"/>
    </row>
    <row r="15173" spans="5:5" ht="16.5">
      <c r="E15173" s="123"/>
    </row>
    <row r="15174" spans="5:5" ht="16.5">
      <c r="E15174" s="123"/>
    </row>
    <row r="15175" spans="5:5" ht="16.5">
      <c r="E15175" s="123"/>
    </row>
    <row r="15176" spans="5:5" ht="16.5">
      <c r="E15176" s="123"/>
    </row>
    <row r="15177" spans="5:5" ht="16.5">
      <c r="E15177" s="123"/>
    </row>
    <row r="15178" spans="5:5" ht="16.5">
      <c r="E15178" s="123"/>
    </row>
    <row r="15179" spans="5:5" ht="16.5">
      <c r="E15179" s="123"/>
    </row>
    <row r="15180" spans="5:5" ht="16.5">
      <c r="E15180" s="123"/>
    </row>
    <row r="15181" spans="5:5" ht="16.5">
      <c r="E15181" s="123"/>
    </row>
    <row r="15182" spans="5:5" ht="16.5">
      <c r="E15182" s="123"/>
    </row>
    <row r="15183" spans="5:5" ht="16.5">
      <c r="E15183" s="123"/>
    </row>
    <row r="15184" spans="5:5" ht="16.5">
      <c r="E15184" s="123"/>
    </row>
    <row r="15185" spans="5:5" ht="16.5">
      <c r="E15185" s="123"/>
    </row>
    <row r="15186" spans="5:5" ht="16.5">
      <c r="E15186" s="123"/>
    </row>
    <row r="15187" spans="5:5" ht="16.5">
      <c r="E15187" s="123"/>
    </row>
    <row r="15188" spans="5:5" ht="16.5">
      <c r="E15188" s="123"/>
    </row>
    <row r="15189" spans="5:5" ht="16.5">
      <c r="E15189" s="123"/>
    </row>
    <row r="15190" spans="5:5" ht="16.5">
      <c r="E15190" s="123"/>
    </row>
    <row r="15191" spans="5:5" ht="16.5">
      <c r="E15191" s="123"/>
    </row>
    <row r="15192" spans="5:5" ht="16.5">
      <c r="E15192" s="123"/>
    </row>
    <row r="15193" spans="5:5" ht="16.5">
      <c r="E15193" s="123"/>
    </row>
    <row r="15194" spans="5:5" ht="16.5">
      <c r="E15194" s="123"/>
    </row>
    <row r="15195" spans="5:5" ht="16.5">
      <c r="E15195" s="123"/>
    </row>
    <row r="15196" spans="5:5" ht="16.5">
      <c r="E15196" s="123"/>
    </row>
    <row r="15197" spans="5:5" ht="16.5">
      <c r="E15197" s="123"/>
    </row>
    <row r="15198" spans="5:5" ht="16.5">
      <c r="E15198" s="123"/>
    </row>
    <row r="15199" spans="5:5" ht="16.5">
      <c r="E15199" s="123"/>
    </row>
    <row r="15200" spans="5:5" ht="16.5">
      <c r="E15200" s="123"/>
    </row>
    <row r="15201" spans="5:5" ht="16.5">
      <c r="E15201" s="123"/>
    </row>
    <row r="15202" spans="5:5" ht="16.5">
      <c r="E15202" s="123"/>
    </row>
    <row r="15203" spans="5:5" ht="16.5">
      <c r="E15203" s="123"/>
    </row>
    <row r="15204" spans="5:5" ht="16.5">
      <c r="E15204" s="123"/>
    </row>
    <row r="15205" spans="5:5" ht="16.5">
      <c r="E15205" s="123"/>
    </row>
    <row r="15206" spans="5:5" ht="16.5">
      <c r="E15206" s="123"/>
    </row>
    <row r="15207" spans="5:5" ht="16.5">
      <c r="E15207" s="123"/>
    </row>
    <row r="15208" spans="5:5" ht="16.5">
      <c r="E15208" s="123"/>
    </row>
    <row r="15209" spans="5:5" ht="16.5">
      <c r="E15209" s="123"/>
    </row>
    <row r="15210" spans="5:5" ht="16.5">
      <c r="E15210" s="123"/>
    </row>
    <row r="15211" spans="5:5" ht="16.5">
      <c r="E15211" s="123"/>
    </row>
    <row r="15212" spans="5:5" ht="16.5">
      <c r="E15212" s="123"/>
    </row>
    <row r="15213" spans="5:5" ht="16.5">
      <c r="E15213" s="123"/>
    </row>
    <row r="15214" spans="5:5" ht="16.5">
      <c r="E15214" s="123"/>
    </row>
    <row r="15215" spans="5:5" ht="16.5">
      <c r="E15215" s="123"/>
    </row>
    <row r="15216" spans="5:5" ht="16.5">
      <c r="E15216" s="123"/>
    </row>
    <row r="15217" spans="5:5" ht="16.5">
      <c r="E15217" s="123"/>
    </row>
    <row r="15218" spans="5:5" ht="16.5">
      <c r="E15218" s="123"/>
    </row>
    <row r="15219" spans="5:5" ht="16.5">
      <c r="E15219" s="123"/>
    </row>
    <row r="15220" spans="5:5" ht="16.5">
      <c r="E15220" s="123"/>
    </row>
    <row r="15221" spans="5:5" ht="16.5">
      <c r="E15221" s="123"/>
    </row>
    <row r="15222" spans="5:5" ht="16.5">
      <c r="E15222" s="123"/>
    </row>
    <row r="15223" spans="5:5" ht="16.5">
      <c r="E15223" s="123"/>
    </row>
    <row r="15224" spans="5:5" ht="16.5">
      <c r="E15224" s="123"/>
    </row>
    <row r="15225" spans="5:5" ht="16.5">
      <c r="E15225" s="123"/>
    </row>
    <row r="15226" spans="5:5" ht="16.5">
      <c r="E15226" s="123"/>
    </row>
    <row r="15227" spans="5:5" ht="16.5">
      <c r="E15227" s="123"/>
    </row>
    <row r="15228" spans="5:5" ht="16.5">
      <c r="E15228" s="123"/>
    </row>
    <row r="15229" spans="5:5" ht="16.5">
      <c r="E15229" s="123"/>
    </row>
    <row r="15230" spans="5:5" ht="16.5">
      <c r="E15230" s="123"/>
    </row>
    <row r="15231" spans="5:5" ht="16.5">
      <c r="E15231" s="123"/>
    </row>
    <row r="15232" spans="5:5" ht="16.5">
      <c r="E15232" s="123"/>
    </row>
    <row r="15233" spans="5:5" ht="16.5">
      <c r="E15233" s="123"/>
    </row>
    <row r="15234" spans="5:5" ht="16.5">
      <c r="E15234" s="123"/>
    </row>
    <row r="15235" spans="5:5" ht="16.5">
      <c r="E15235" s="123"/>
    </row>
    <row r="15236" spans="5:5" ht="16.5">
      <c r="E15236" s="123"/>
    </row>
    <row r="15237" spans="5:5" ht="16.5">
      <c r="E15237" s="123"/>
    </row>
    <row r="15238" spans="5:5" ht="16.5">
      <c r="E15238" s="123"/>
    </row>
    <row r="15239" spans="5:5" ht="16.5">
      <c r="E15239" s="123"/>
    </row>
    <row r="15240" spans="5:5" ht="16.5">
      <c r="E15240" s="123"/>
    </row>
    <row r="15241" spans="5:5" ht="16.5">
      <c r="E15241" s="123"/>
    </row>
    <row r="15242" spans="5:5" ht="16.5">
      <c r="E15242" s="123"/>
    </row>
    <row r="15243" spans="5:5" ht="16.5">
      <c r="E15243" s="123"/>
    </row>
    <row r="15244" spans="5:5" ht="16.5">
      <c r="E15244" s="123"/>
    </row>
    <row r="15245" spans="5:5" ht="16.5">
      <c r="E15245" s="123"/>
    </row>
    <row r="15246" spans="5:5" ht="16.5">
      <c r="E15246" s="123"/>
    </row>
    <row r="15247" spans="5:5" ht="16.5">
      <c r="E15247" s="123"/>
    </row>
    <row r="15248" spans="5:5" ht="16.5">
      <c r="E15248" s="123"/>
    </row>
    <row r="15249" spans="5:5" ht="16.5">
      <c r="E15249" s="123"/>
    </row>
    <row r="15250" spans="5:5" ht="16.5">
      <c r="E15250" s="123"/>
    </row>
    <row r="15251" spans="5:5" ht="16.5">
      <c r="E15251" s="123"/>
    </row>
    <row r="15252" spans="5:5" ht="16.5">
      <c r="E15252" s="123"/>
    </row>
    <row r="15253" spans="5:5" ht="16.5">
      <c r="E15253" s="123"/>
    </row>
    <row r="15254" spans="5:5" ht="16.5">
      <c r="E15254" s="123"/>
    </row>
    <row r="15255" spans="5:5" ht="16.5">
      <c r="E15255" s="123"/>
    </row>
    <row r="15256" spans="5:5" ht="16.5">
      <c r="E15256" s="123"/>
    </row>
    <row r="15257" spans="5:5" ht="16.5">
      <c r="E15257" s="123"/>
    </row>
    <row r="15258" spans="5:5" ht="16.5">
      <c r="E15258" s="123"/>
    </row>
    <row r="15259" spans="5:5" ht="16.5">
      <c r="E15259" s="123"/>
    </row>
    <row r="15260" spans="5:5" ht="16.5">
      <c r="E15260" s="123"/>
    </row>
    <row r="15261" spans="5:5" ht="16.5">
      <c r="E15261" s="123"/>
    </row>
    <row r="15262" spans="5:5" ht="16.5">
      <c r="E15262" s="123"/>
    </row>
    <row r="15263" spans="5:5" ht="16.5">
      <c r="E15263" s="123"/>
    </row>
    <row r="15264" spans="5:5" ht="16.5">
      <c r="E15264" s="123"/>
    </row>
    <row r="15265" spans="5:5" ht="16.5">
      <c r="E15265" s="123"/>
    </row>
    <row r="15266" spans="5:5" ht="16.5">
      <c r="E15266" s="123"/>
    </row>
    <row r="15267" spans="5:5" ht="16.5">
      <c r="E15267" s="123"/>
    </row>
    <row r="15268" spans="5:5" ht="16.5">
      <c r="E15268" s="123"/>
    </row>
    <row r="15269" spans="5:5" ht="16.5">
      <c r="E15269" s="123"/>
    </row>
    <row r="15270" spans="5:5" ht="16.5">
      <c r="E15270" s="123"/>
    </row>
    <row r="15271" spans="5:5" ht="16.5">
      <c r="E15271" s="123"/>
    </row>
    <row r="15272" spans="5:5" ht="16.5">
      <c r="E15272" s="123"/>
    </row>
    <row r="15273" spans="5:5" ht="16.5">
      <c r="E15273" s="123"/>
    </row>
    <row r="15274" spans="5:5" ht="16.5">
      <c r="E15274" s="123"/>
    </row>
    <row r="15275" spans="5:5" ht="16.5">
      <c r="E15275" s="123"/>
    </row>
    <row r="15276" spans="5:5" ht="16.5">
      <c r="E15276" s="123"/>
    </row>
    <row r="15277" spans="5:5" ht="16.5">
      <c r="E15277" s="123"/>
    </row>
    <row r="15278" spans="5:5" ht="16.5">
      <c r="E15278" s="123"/>
    </row>
    <row r="15279" spans="5:5" ht="16.5">
      <c r="E15279" s="123"/>
    </row>
    <row r="15280" spans="5:5" ht="16.5">
      <c r="E15280" s="123"/>
    </row>
    <row r="15281" spans="5:5" ht="16.5">
      <c r="E15281" s="123"/>
    </row>
    <row r="15282" spans="5:5" ht="16.5">
      <c r="E15282" s="123"/>
    </row>
    <row r="15283" spans="5:5" ht="16.5">
      <c r="E15283" s="123"/>
    </row>
    <row r="15284" spans="5:5" ht="16.5">
      <c r="E15284" s="123"/>
    </row>
    <row r="15285" spans="5:5" ht="16.5">
      <c r="E15285" s="123"/>
    </row>
    <row r="15286" spans="5:5" ht="16.5">
      <c r="E15286" s="123"/>
    </row>
    <row r="15287" spans="5:5" ht="16.5">
      <c r="E15287" s="123"/>
    </row>
    <row r="15288" spans="5:5" ht="16.5">
      <c r="E15288" s="123"/>
    </row>
    <row r="15289" spans="5:5" ht="16.5">
      <c r="E15289" s="123"/>
    </row>
    <row r="15290" spans="5:5" ht="16.5">
      <c r="E15290" s="123"/>
    </row>
    <row r="15291" spans="5:5" ht="16.5">
      <c r="E15291" s="123"/>
    </row>
    <row r="15292" spans="5:5" ht="16.5">
      <c r="E15292" s="123"/>
    </row>
    <row r="15293" spans="5:5" ht="16.5">
      <c r="E15293" s="123"/>
    </row>
    <row r="15294" spans="5:5" ht="16.5">
      <c r="E15294" s="123"/>
    </row>
    <row r="15295" spans="5:5" ht="16.5">
      <c r="E15295" s="123"/>
    </row>
    <row r="15296" spans="5:5" ht="16.5">
      <c r="E15296" s="123"/>
    </row>
    <row r="15297" spans="5:5" ht="16.5">
      <c r="E15297" s="123"/>
    </row>
    <row r="15298" spans="5:5" ht="16.5">
      <c r="E15298" s="123"/>
    </row>
    <row r="15299" spans="5:5" ht="16.5">
      <c r="E15299" s="123"/>
    </row>
    <row r="15300" spans="5:5" ht="16.5">
      <c r="E15300" s="123"/>
    </row>
    <row r="15301" spans="5:5" ht="16.5">
      <c r="E15301" s="123"/>
    </row>
    <row r="15302" spans="5:5" ht="16.5">
      <c r="E15302" s="123"/>
    </row>
    <row r="15303" spans="5:5" ht="16.5">
      <c r="E15303" s="123"/>
    </row>
    <row r="15304" spans="5:5" ht="16.5">
      <c r="E15304" s="123"/>
    </row>
    <row r="15305" spans="5:5" ht="16.5">
      <c r="E15305" s="123"/>
    </row>
    <row r="15306" spans="5:5" ht="16.5">
      <c r="E15306" s="123"/>
    </row>
    <row r="15307" spans="5:5" ht="16.5">
      <c r="E15307" s="123"/>
    </row>
    <row r="15308" spans="5:5" ht="16.5">
      <c r="E15308" s="123"/>
    </row>
    <row r="15309" spans="5:5" ht="16.5">
      <c r="E15309" s="123"/>
    </row>
    <row r="15310" spans="5:5" ht="16.5">
      <c r="E15310" s="123"/>
    </row>
    <row r="15311" spans="5:5" ht="16.5">
      <c r="E15311" s="123"/>
    </row>
    <row r="15312" spans="5:5" ht="16.5">
      <c r="E15312" s="123"/>
    </row>
    <row r="15313" spans="5:5" ht="16.5">
      <c r="E15313" s="123"/>
    </row>
    <row r="15314" spans="5:5" ht="16.5">
      <c r="E15314" s="123"/>
    </row>
    <row r="15315" spans="5:5" ht="16.5">
      <c r="E15315" s="123"/>
    </row>
    <row r="15316" spans="5:5" ht="16.5">
      <c r="E15316" s="123"/>
    </row>
    <row r="15317" spans="5:5" ht="16.5">
      <c r="E15317" s="123"/>
    </row>
    <row r="15318" spans="5:5" ht="16.5">
      <c r="E15318" s="123"/>
    </row>
    <row r="15319" spans="5:5" ht="16.5">
      <c r="E15319" s="123"/>
    </row>
    <row r="15320" spans="5:5" ht="16.5">
      <c r="E15320" s="123"/>
    </row>
    <row r="15321" spans="5:5" ht="16.5">
      <c r="E15321" s="123"/>
    </row>
    <row r="15322" spans="5:5" ht="16.5">
      <c r="E15322" s="123"/>
    </row>
    <row r="15323" spans="5:5" ht="16.5">
      <c r="E15323" s="123"/>
    </row>
    <row r="15324" spans="5:5" ht="16.5">
      <c r="E15324" s="123"/>
    </row>
    <row r="15325" spans="5:5" ht="16.5">
      <c r="E15325" s="123"/>
    </row>
    <row r="15326" spans="5:5" ht="16.5">
      <c r="E15326" s="123"/>
    </row>
    <row r="15327" spans="5:5" ht="16.5">
      <c r="E15327" s="123"/>
    </row>
    <row r="15328" spans="5:5" ht="16.5">
      <c r="E15328" s="123"/>
    </row>
    <row r="15329" spans="5:5" ht="16.5">
      <c r="E15329" s="123"/>
    </row>
    <row r="15330" spans="5:5" ht="16.5">
      <c r="E15330" s="123"/>
    </row>
    <row r="15331" spans="5:5" ht="16.5">
      <c r="E15331" s="123"/>
    </row>
    <row r="15332" spans="5:5" ht="16.5">
      <c r="E15332" s="123"/>
    </row>
    <row r="15333" spans="5:5" ht="16.5">
      <c r="E15333" s="123"/>
    </row>
    <row r="15334" spans="5:5" ht="16.5">
      <c r="E15334" s="123"/>
    </row>
    <row r="15335" spans="5:5" ht="16.5">
      <c r="E15335" s="123"/>
    </row>
    <row r="15336" spans="5:5" ht="16.5">
      <c r="E15336" s="123"/>
    </row>
    <row r="15337" spans="5:5" ht="16.5">
      <c r="E15337" s="123"/>
    </row>
    <row r="15338" spans="5:5" ht="16.5">
      <c r="E15338" s="123"/>
    </row>
    <row r="15339" spans="5:5" ht="16.5">
      <c r="E15339" s="123"/>
    </row>
    <row r="15340" spans="5:5" ht="16.5">
      <c r="E15340" s="123"/>
    </row>
    <row r="15341" spans="5:5" ht="16.5">
      <c r="E15341" s="123"/>
    </row>
    <row r="15342" spans="5:5" ht="16.5">
      <c r="E15342" s="123"/>
    </row>
    <row r="15343" spans="5:5" ht="16.5">
      <c r="E15343" s="123"/>
    </row>
    <row r="15344" spans="5:5" ht="16.5">
      <c r="E15344" s="123"/>
    </row>
    <row r="15345" spans="5:5" ht="16.5">
      <c r="E15345" s="123"/>
    </row>
    <row r="15346" spans="5:5" ht="16.5">
      <c r="E15346" s="123"/>
    </row>
    <row r="15347" spans="5:5" ht="16.5">
      <c r="E15347" s="123"/>
    </row>
    <row r="15348" spans="5:5" ht="16.5">
      <c r="E15348" s="123"/>
    </row>
    <row r="15349" spans="5:5" ht="16.5">
      <c r="E15349" s="123"/>
    </row>
    <row r="15350" spans="5:5" ht="16.5">
      <c r="E15350" s="123"/>
    </row>
    <row r="15351" spans="5:5" ht="16.5">
      <c r="E15351" s="123"/>
    </row>
    <row r="15352" spans="5:5" ht="16.5">
      <c r="E15352" s="123"/>
    </row>
    <row r="15353" spans="5:5" ht="16.5">
      <c r="E15353" s="123"/>
    </row>
    <row r="15354" spans="5:5" ht="16.5">
      <c r="E15354" s="123"/>
    </row>
    <row r="15355" spans="5:5" ht="16.5">
      <c r="E15355" s="123"/>
    </row>
    <row r="15356" spans="5:5" ht="16.5">
      <c r="E15356" s="123"/>
    </row>
    <row r="15357" spans="5:5" ht="16.5">
      <c r="E15357" s="123"/>
    </row>
    <row r="15358" spans="5:5" ht="16.5">
      <c r="E15358" s="123"/>
    </row>
    <row r="15359" spans="5:5" ht="16.5">
      <c r="E15359" s="123"/>
    </row>
    <row r="15360" spans="5:5" ht="16.5">
      <c r="E15360" s="123"/>
    </row>
    <row r="15361" spans="5:5" ht="16.5">
      <c r="E15361" s="123"/>
    </row>
    <row r="15362" spans="5:5" ht="16.5">
      <c r="E15362" s="123"/>
    </row>
    <row r="15363" spans="5:5" ht="16.5">
      <c r="E15363" s="123"/>
    </row>
    <row r="15364" spans="5:5" ht="16.5">
      <c r="E15364" s="123"/>
    </row>
    <row r="15365" spans="5:5" ht="16.5">
      <c r="E15365" s="123"/>
    </row>
    <row r="15366" spans="5:5" ht="16.5">
      <c r="E15366" s="123"/>
    </row>
    <row r="15367" spans="5:5" ht="16.5">
      <c r="E15367" s="123"/>
    </row>
    <row r="15368" spans="5:5" ht="16.5">
      <c r="E15368" s="123"/>
    </row>
    <row r="15369" spans="5:5" ht="16.5">
      <c r="E15369" s="123"/>
    </row>
    <row r="15370" spans="5:5" ht="16.5">
      <c r="E15370" s="123"/>
    </row>
    <row r="15371" spans="5:5" ht="16.5">
      <c r="E15371" s="123"/>
    </row>
    <row r="15372" spans="5:5" ht="16.5">
      <c r="E15372" s="123"/>
    </row>
    <row r="15373" spans="5:5" ht="16.5">
      <c r="E15373" s="123"/>
    </row>
    <row r="15374" spans="5:5" ht="16.5">
      <c r="E15374" s="123"/>
    </row>
    <row r="15375" spans="5:5" ht="16.5">
      <c r="E15375" s="123"/>
    </row>
    <row r="15376" spans="5:5" ht="16.5">
      <c r="E15376" s="123"/>
    </row>
    <row r="15377" spans="5:5" ht="16.5">
      <c r="E15377" s="123"/>
    </row>
    <row r="15378" spans="5:5" ht="16.5">
      <c r="E15378" s="123"/>
    </row>
    <row r="15379" spans="5:5" ht="16.5">
      <c r="E15379" s="123"/>
    </row>
    <row r="15380" spans="5:5" ht="16.5">
      <c r="E15380" s="123"/>
    </row>
    <row r="15381" spans="5:5" ht="16.5">
      <c r="E15381" s="123"/>
    </row>
    <row r="15382" spans="5:5" ht="16.5">
      <c r="E15382" s="123"/>
    </row>
    <row r="15383" spans="5:5" ht="16.5">
      <c r="E15383" s="123"/>
    </row>
    <row r="15384" spans="5:5" ht="16.5">
      <c r="E15384" s="123"/>
    </row>
    <row r="15385" spans="5:5" ht="16.5">
      <c r="E15385" s="123"/>
    </row>
    <row r="15386" spans="5:5" ht="16.5">
      <c r="E15386" s="123"/>
    </row>
    <row r="15387" spans="5:5" ht="16.5">
      <c r="E15387" s="123"/>
    </row>
    <row r="15388" spans="5:5" ht="16.5">
      <c r="E15388" s="123"/>
    </row>
    <row r="15389" spans="5:5" ht="16.5">
      <c r="E15389" s="123"/>
    </row>
    <row r="15390" spans="5:5" ht="16.5">
      <c r="E15390" s="123"/>
    </row>
    <row r="15391" spans="5:5" ht="16.5">
      <c r="E15391" s="123"/>
    </row>
    <row r="15392" spans="5:5" ht="16.5">
      <c r="E15392" s="123"/>
    </row>
    <row r="15393" spans="5:5" ht="16.5">
      <c r="E15393" s="123"/>
    </row>
    <row r="15394" spans="5:5" ht="16.5">
      <c r="E15394" s="123"/>
    </row>
    <row r="15395" spans="5:5" ht="16.5">
      <c r="E15395" s="123"/>
    </row>
    <row r="15396" spans="5:5" ht="16.5">
      <c r="E15396" s="123"/>
    </row>
    <row r="15397" spans="5:5" ht="16.5">
      <c r="E15397" s="123"/>
    </row>
    <row r="15398" spans="5:5" ht="16.5">
      <c r="E15398" s="123"/>
    </row>
    <row r="15399" spans="5:5" ht="16.5">
      <c r="E15399" s="123"/>
    </row>
    <row r="15400" spans="5:5" ht="16.5">
      <c r="E15400" s="123"/>
    </row>
    <row r="15401" spans="5:5" ht="16.5">
      <c r="E15401" s="123"/>
    </row>
    <row r="15402" spans="5:5" ht="16.5">
      <c r="E15402" s="123"/>
    </row>
    <row r="15403" spans="5:5" ht="16.5">
      <c r="E15403" s="123"/>
    </row>
    <row r="15404" spans="5:5" ht="16.5">
      <c r="E15404" s="123"/>
    </row>
    <row r="15405" spans="5:5" ht="16.5">
      <c r="E15405" s="123"/>
    </row>
    <row r="15406" spans="5:5" ht="16.5">
      <c r="E15406" s="123"/>
    </row>
    <row r="15407" spans="5:5" ht="16.5">
      <c r="E15407" s="123"/>
    </row>
    <row r="15408" spans="5:5" ht="16.5">
      <c r="E15408" s="123"/>
    </row>
    <row r="15409" spans="5:5" ht="16.5">
      <c r="E15409" s="123"/>
    </row>
    <row r="15410" spans="5:5" ht="16.5">
      <c r="E15410" s="123"/>
    </row>
    <row r="15411" spans="5:5" ht="16.5">
      <c r="E15411" s="123"/>
    </row>
    <row r="15412" spans="5:5" ht="16.5">
      <c r="E15412" s="123"/>
    </row>
    <row r="15413" spans="5:5" ht="16.5">
      <c r="E15413" s="123"/>
    </row>
    <row r="15414" spans="5:5" ht="16.5">
      <c r="E15414" s="123"/>
    </row>
    <row r="15415" spans="5:5" ht="16.5">
      <c r="E15415" s="123"/>
    </row>
    <row r="15416" spans="5:5" ht="16.5">
      <c r="E15416" s="123"/>
    </row>
    <row r="15417" spans="5:5" ht="16.5">
      <c r="E15417" s="123"/>
    </row>
    <row r="15418" spans="5:5" ht="16.5">
      <c r="E15418" s="123"/>
    </row>
    <row r="15419" spans="5:5" ht="16.5">
      <c r="E15419" s="123"/>
    </row>
    <row r="15420" spans="5:5" ht="16.5">
      <c r="E15420" s="123"/>
    </row>
    <row r="15421" spans="5:5" ht="16.5">
      <c r="E15421" s="123"/>
    </row>
    <row r="15422" spans="5:5" ht="16.5">
      <c r="E15422" s="123"/>
    </row>
    <row r="15423" spans="5:5" ht="16.5">
      <c r="E15423" s="123"/>
    </row>
    <row r="15424" spans="5:5" ht="16.5">
      <c r="E15424" s="123"/>
    </row>
    <row r="15425" spans="5:5" ht="16.5">
      <c r="E15425" s="123"/>
    </row>
    <row r="15426" spans="5:5" ht="16.5">
      <c r="E15426" s="123"/>
    </row>
    <row r="15427" spans="5:5" ht="16.5">
      <c r="E15427" s="123"/>
    </row>
    <row r="15428" spans="5:5" ht="16.5">
      <c r="E15428" s="123"/>
    </row>
    <row r="15429" spans="5:5" ht="16.5">
      <c r="E15429" s="123"/>
    </row>
    <row r="15430" spans="5:5" ht="16.5">
      <c r="E15430" s="123"/>
    </row>
    <row r="15431" spans="5:5" ht="16.5">
      <c r="E15431" s="123"/>
    </row>
    <row r="15432" spans="5:5" ht="16.5">
      <c r="E15432" s="123"/>
    </row>
    <row r="15433" spans="5:5" ht="16.5">
      <c r="E15433" s="123"/>
    </row>
    <row r="15434" spans="5:5" ht="16.5">
      <c r="E15434" s="123"/>
    </row>
    <row r="15435" spans="5:5" ht="16.5">
      <c r="E15435" s="123"/>
    </row>
    <row r="15436" spans="5:5" ht="16.5">
      <c r="E15436" s="123"/>
    </row>
    <row r="15437" spans="5:5" ht="16.5">
      <c r="E15437" s="123"/>
    </row>
    <row r="15438" spans="5:5" ht="16.5">
      <c r="E15438" s="123"/>
    </row>
    <row r="15439" spans="5:5" ht="16.5">
      <c r="E15439" s="123"/>
    </row>
    <row r="15440" spans="5:5" ht="16.5">
      <c r="E15440" s="123"/>
    </row>
    <row r="15441" spans="5:5" ht="16.5">
      <c r="E15441" s="123"/>
    </row>
    <row r="15442" spans="5:5" ht="16.5">
      <c r="E15442" s="123"/>
    </row>
    <row r="15443" spans="5:5" ht="16.5">
      <c r="E15443" s="123"/>
    </row>
    <row r="15444" spans="5:5" ht="16.5">
      <c r="E15444" s="123"/>
    </row>
    <row r="15445" spans="5:5" ht="16.5">
      <c r="E15445" s="123"/>
    </row>
    <row r="15446" spans="5:5" ht="16.5">
      <c r="E15446" s="123"/>
    </row>
    <row r="15447" spans="5:5" ht="16.5">
      <c r="E15447" s="123"/>
    </row>
    <row r="15448" spans="5:5" ht="16.5">
      <c r="E15448" s="123"/>
    </row>
    <row r="15449" spans="5:5" ht="16.5">
      <c r="E15449" s="123"/>
    </row>
    <row r="15450" spans="5:5" ht="16.5">
      <c r="E15450" s="123"/>
    </row>
    <row r="15451" spans="5:5" ht="16.5">
      <c r="E15451" s="123"/>
    </row>
    <row r="15452" spans="5:5" ht="16.5">
      <c r="E15452" s="123"/>
    </row>
    <row r="15453" spans="5:5" ht="16.5">
      <c r="E15453" s="123"/>
    </row>
    <row r="15454" spans="5:5" ht="16.5">
      <c r="E15454" s="123"/>
    </row>
    <row r="15455" spans="5:5" ht="16.5">
      <c r="E15455" s="123"/>
    </row>
    <row r="15456" spans="5:5" ht="16.5">
      <c r="E15456" s="123"/>
    </row>
    <row r="15457" spans="5:5" ht="16.5">
      <c r="E15457" s="123"/>
    </row>
    <row r="15458" spans="5:5" ht="16.5">
      <c r="E15458" s="123"/>
    </row>
    <row r="15459" spans="5:5" ht="16.5">
      <c r="E15459" s="123"/>
    </row>
    <row r="15460" spans="5:5" ht="16.5">
      <c r="E15460" s="123"/>
    </row>
    <row r="15461" spans="5:5" ht="16.5">
      <c r="E15461" s="123"/>
    </row>
    <row r="15462" spans="5:5" ht="16.5">
      <c r="E15462" s="123"/>
    </row>
    <row r="15463" spans="5:5" ht="16.5">
      <c r="E15463" s="123"/>
    </row>
    <row r="15464" spans="5:5" ht="16.5">
      <c r="E15464" s="123"/>
    </row>
    <row r="15465" spans="5:5" ht="16.5">
      <c r="E15465" s="123"/>
    </row>
    <row r="15466" spans="5:5" ht="16.5">
      <c r="E15466" s="123"/>
    </row>
    <row r="15467" spans="5:5" ht="16.5">
      <c r="E15467" s="123"/>
    </row>
    <row r="15468" spans="5:5" ht="16.5">
      <c r="E15468" s="123"/>
    </row>
    <row r="15469" spans="5:5" ht="16.5">
      <c r="E15469" s="123"/>
    </row>
    <row r="15470" spans="5:5" ht="16.5">
      <c r="E15470" s="123"/>
    </row>
    <row r="15471" spans="5:5" ht="16.5">
      <c r="E15471" s="123"/>
    </row>
    <row r="15472" spans="5:5" ht="16.5">
      <c r="E15472" s="123"/>
    </row>
    <row r="15473" spans="5:5" ht="16.5">
      <c r="E15473" s="123"/>
    </row>
    <row r="15474" spans="5:5" ht="16.5">
      <c r="E15474" s="123"/>
    </row>
    <row r="15475" spans="5:5" ht="16.5">
      <c r="E15475" s="123"/>
    </row>
    <row r="15476" spans="5:5" ht="16.5">
      <c r="E15476" s="123"/>
    </row>
    <row r="15477" spans="5:5" ht="16.5">
      <c r="E15477" s="123"/>
    </row>
    <row r="15478" spans="5:5" ht="16.5">
      <c r="E15478" s="123"/>
    </row>
    <row r="15479" spans="5:5" ht="16.5">
      <c r="E15479" s="123"/>
    </row>
    <row r="15480" spans="5:5" ht="16.5">
      <c r="E15480" s="123"/>
    </row>
    <row r="15481" spans="5:5" ht="16.5">
      <c r="E15481" s="123"/>
    </row>
    <row r="15482" spans="5:5" ht="16.5">
      <c r="E15482" s="123"/>
    </row>
    <row r="15483" spans="5:5" ht="16.5">
      <c r="E15483" s="123"/>
    </row>
    <row r="15484" spans="5:5" ht="16.5">
      <c r="E15484" s="123"/>
    </row>
    <row r="15485" spans="5:5" ht="16.5">
      <c r="E15485" s="123"/>
    </row>
    <row r="15486" spans="5:5" ht="16.5">
      <c r="E15486" s="123"/>
    </row>
    <row r="15487" spans="5:5" ht="16.5">
      <c r="E15487" s="123"/>
    </row>
    <row r="15488" spans="5:5" ht="16.5">
      <c r="E15488" s="123"/>
    </row>
    <row r="15489" spans="5:5" ht="16.5">
      <c r="E15489" s="123"/>
    </row>
    <row r="15490" spans="5:5" ht="16.5">
      <c r="E15490" s="123"/>
    </row>
    <row r="15491" spans="5:5" ht="16.5">
      <c r="E15491" s="123"/>
    </row>
    <row r="15492" spans="5:5" ht="16.5">
      <c r="E15492" s="123"/>
    </row>
    <row r="15493" spans="5:5" ht="16.5">
      <c r="E15493" s="123"/>
    </row>
    <row r="15494" spans="5:5" ht="16.5">
      <c r="E15494" s="123"/>
    </row>
    <row r="15495" spans="5:5" ht="16.5">
      <c r="E15495" s="123"/>
    </row>
    <row r="15496" spans="5:5" ht="16.5">
      <c r="E15496" s="123"/>
    </row>
    <row r="15497" spans="5:5" ht="16.5">
      <c r="E15497" s="123"/>
    </row>
    <row r="15498" spans="5:5" ht="16.5">
      <c r="E15498" s="123"/>
    </row>
    <row r="15499" spans="5:5" ht="16.5">
      <c r="E15499" s="123"/>
    </row>
    <row r="15500" spans="5:5" ht="16.5">
      <c r="E15500" s="123"/>
    </row>
    <row r="15501" spans="5:5" ht="16.5">
      <c r="E15501" s="123"/>
    </row>
    <row r="15502" spans="5:5" ht="16.5">
      <c r="E15502" s="123"/>
    </row>
    <row r="15503" spans="5:5" ht="16.5">
      <c r="E15503" s="123"/>
    </row>
    <row r="15504" spans="5:5" ht="16.5">
      <c r="E15504" s="123"/>
    </row>
    <row r="15505" spans="5:5" ht="16.5">
      <c r="E15505" s="123"/>
    </row>
    <row r="15506" spans="5:5" ht="16.5">
      <c r="E15506" s="123"/>
    </row>
    <row r="15507" spans="5:5" ht="16.5">
      <c r="E15507" s="123"/>
    </row>
    <row r="15508" spans="5:5" ht="16.5">
      <c r="E15508" s="123"/>
    </row>
    <row r="15509" spans="5:5" ht="16.5">
      <c r="E15509" s="123"/>
    </row>
    <row r="15510" spans="5:5" ht="16.5">
      <c r="E15510" s="123"/>
    </row>
    <row r="15511" spans="5:5" ht="16.5">
      <c r="E15511" s="123"/>
    </row>
    <row r="15512" spans="5:5" ht="16.5">
      <c r="E15512" s="123"/>
    </row>
    <row r="15513" spans="5:5" ht="16.5">
      <c r="E15513" s="123"/>
    </row>
    <row r="15514" spans="5:5" ht="16.5">
      <c r="E15514" s="123"/>
    </row>
    <row r="15515" spans="5:5" ht="16.5">
      <c r="E15515" s="123"/>
    </row>
    <row r="15516" spans="5:5" ht="16.5">
      <c r="E15516" s="123"/>
    </row>
    <row r="15517" spans="5:5" ht="16.5">
      <c r="E15517" s="123"/>
    </row>
    <row r="15518" spans="5:5" ht="16.5">
      <c r="E15518" s="123"/>
    </row>
    <row r="15519" spans="5:5" ht="16.5">
      <c r="E15519" s="123"/>
    </row>
    <row r="15520" spans="5:5" ht="16.5">
      <c r="E15520" s="123"/>
    </row>
    <row r="15521" spans="5:5" ht="16.5">
      <c r="E15521" s="123"/>
    </row>
    <row r="15522" spans="5:5" ht="16.5">
      <c r="E15522" s="123"/>
    </row>
    <row r="15523" spans="5:5" ht="16.5">
      <c r="E15523" s="123"/>
    </row>
    <row r="15524" spans="5:5" ht="16.5">
      <c r="E15524" s="123"/>
    </row>
    <row r="15525" spans="5:5" ht="16.5">
      <c r="E15525" s="123"/>
    </row>
    <row r="15526" spans="5:5" ht="16.5">
      <c r="E15526" s="123"/>
    </row>
    <row r="15527" spans="5:5" ht="16.5">
      <c r="E15527" s="123"/>
    </row>
    <row r="15528" spans="5:5" ht="16.5">
      <c r="E15528" s="123"/>
    </row>
    <row r="15529" spans="5:5" ht="16.5">
      <c r="E15529" s="123"/>
    </row>
    <row r="15530" spans="5:5" ht="16.5">
      <c r="E15530" s="123"/>
    </row>
    <row r="15531" spans="5:5" ht="16.5">
      <c r="E15531" s="123"/>
    </row>
    <row r="15532" spans="5:5" ht="16.5">
      <c r="E15532" s="123"/>
    </row>
    <row r="15533" spans="5:5" ht="16.5">
      <c r="E15533" s="123"/>
    </row>
    <row r="15534" spans="5:5" ht="16.5">
      <c r="E15534" s="123"/>
    </row>
    <row r="15535" spans="5:5" ht="16.5">
      <c r="E15535" s="123"/>
    </row>
    <row r="15536" spans="5:5" ht="16.5">
      <c r="E15536" s="123"/>
    </row>
    <row r="15537" spans="5:5" ht="16.5">
      <c r="E15537" s="123"/>
    </row>
    <row r="15538" spans="5:5" ht="16.5">
      <c r="E15538" s="123"/>
    </row>
    <row r="15539" spans="5:5" ht="16.5">
      <c r="E15539" s="123"/>
    </row>
    <row r="15540" spans="5:5" ht="16.5">
      <c r="E15540" s="123"/>
    </row>
    <row r="15541" spans="5:5" ht="16.5">
      <c r="E15541" s="123"/>
    </row>
    <row r="15542" spans="5:5" ht="16.5">
      <c r="E15542" s="123"/>
    </row>
    <row r="15543" spans="5:5" ht="16.5">
      <c r="E15543" s="123"/>
    </row>
    <row r="15544" spans="5:5" ht="16.5">
      <c r="E15544" s="123"/>
    </row>
    <row r="15545" spans="5:5" ht="16.5">
      <c r="E15545" s="123"/>
    </row>
    <row r="15546" spans="5:5" ht="16.5">
      <c r="E15546" s="123"/>
    </row>
    <row r="15547" spans="5:5" ht="16.5">
      <c r="E15547" s="123"/>
    </row>
    <row r="15548" spans="5:5" ht="16.5">
      <c r="E15548" s="123"/>
    </row>
    <row r="15549" spans="5:5" ht="16.5">
      <c r="E15549" s="123"/>
    </row>
    <row r="15550" spans="5:5" ht="16.5">
      <c r="E15550" s="123"/>
    </row>
    <row r="15551" spans="5:5" ht="16.5">
      <c r="E15551" s="123"/>
    </row>
    <row r="15552" spans="5:5" ht="16.5">
      <c r="E15552" s="123"/>
    </row>
    <row r="15553" spans="5:5" ht="16.5">
      <c r="E15553" s="123"/>
    </row>
    <row r="15554" spans="5:5" ht="16.5">
      <c r="E15554" s="123"/>
    </row>
    <row r="15555" spans="5:5" ht="16.5">
      <c r="E15555" s="123"/>
    </row>
    <row r="15556" spans="5:5" ht="16.5">
      <c r="E15556" s="123"/>
    </row>
    <row r="15557" spans="5:5" ht="16.5">
      <c r="E15557" s="123"/>
    </row>
    <row r="15558" spans="5:5" ht="16.5">
      <c r="E15558" s="123"/>
    </row>
    <row r="15559" spans="5:5" ht="16.5">
      <c r="E15559" s="123"/>
    </row>
    <row r="15560" spans="5:5" ht="16.5">
      <c r="E15560" s="123"/>
    </row>
    <row r="15561" spans="5:5" ht="16.5">
      <c r="E15561" s="123"/>
    </row>
    <row r="15562" spans="5:5" ht="16.5">
      <c r="E15562" s="123"/>
    </row>
    <row r="15563" spans="5:5" ht="16.5">
      <c r="E15563" s="123"/>
    </row>
    <row r="15564" spans="5:5" ht="16.5">
      <c r="E15564" s="123"/>
    </row>
    <row r="15565" spans="5:5" ht="16.5">
      <c r="E15565" s="123"/>
    </row>
    <row r="15566" spans="5:5" ht="16.5">
      <c r="E15566" s="123"/>
    </row>
    <row r="15567" spans="5:5" ht="16.5">
      <c r="E15567" s="123"/>
    </row>
    <row r="15568" spans="5:5" ht="16.5">
      <c r="E15568" s="123"/>
    </row>
    <row r="15569" spans="5:5" ht="16.5">
      <c r="E15569" s="123"/>
    </row>
    <row r="15570" spans="5:5" ht="16.5">
      <c r="E15570" s="123"/>
    </row>
    <row r="15571" spans="5:5" ht="16.5">
      <c r="E15571" s="123"/>
    </row>
    <row r="15572" spans="5:5" ht="16.5">
      <c r="E15572" s="123"/>
    </row>
    <row r="15573" spans="5:5" ht="16.5">
      <c r="E15573" s="123"/>
    </row>
    <row r="15574" spans="5:5" ht="16.5">
      <c r="E15574" s="123"/>
    </row>
    <row r="15575" spans="5:5" ht="16.5">
      <c r="E15575" s="123"/>
    </row>
    <row r="15576" spans="5:5" ht="16.5">
      <c r="E15576" s="123"/>
    </row>
    <row r="15577" spans="5:5" ht="16.5">
      <c r="E15577" s="123"/>
    </row>
    <row r="15578" spans="5:5" ht="16.5">
      <c r="E15578" s="123"/>
    </row>
    <row r="15579" spans="5:5" ht="16.5">
      <c r="E15579" s="123"/>
    </row>
    <row r="15580" spans="5:5" ht="16.5">
      <c r="E15580" s="123"/>
    </row>
    <row r="15581" spans="5:5" ht="16.5">
      <c r="E15581" s="123"/>
    </row>
    <row r="15582" spans="5:5" ht="16.5">
      <c r="E15582" s="123"/>
    </row>
    <row r="15583" spans="5:5" ht="16.5">
      <c r="E15583" s="123"/>
    </row>
    <row r="15584" spans="5:5" ht="16.5">
      <c r="E15584" s="123"/>
    </row>
    <row r="15585" spans="5:5" ht="16.5">
      <c r="E15585" s="123"/>
    </row>
    <row r="15586" spans="5:5" ht="16.5">
      <c r="E15586" s="123"/>
    </row>
    <row r="15587" spans="5:5" ht="16.5">
      <c r="E15587" s="123"/>
    </row>
    <row r="15588" spans="5:5" ht="16.5">
      <c r="E15588" s="123"/>
    </row>
    <row r="15589" spans="5:5" ht="16.5">
      <c r="E15589" s="123"/>
    </row>
    <row r="15590" spans="5:5" ht="16.5">
      <c r="E15590" s="123"/>
    </row>
    <row r="15591" spans="5:5" ht="16.5">
      <c r="E15591" s="123"/>
    </row>
    <row r="15592" spans="5:5" ht="16.5">
      <c r="E15592" s="123"/>
    </row>
    <row r="15593" spans="5:5" ht="16.5">
      <c r="E15593" s="123"/>
    </row>
    <row r="15594" spans="5:5" ht="16.5">
      <c r="E15594" s="123"/>
    </row>
    <row r="15595" spans="5:5" ht="16.5">
      <c r="E15595" s="123"/>
    </row>
    <row r="15596" spans="5:5" ht="16.5">
      <c r="E15596" s="123"/>
    </row>
    <row r="15597" spans="5:5" ht="16.5">
      <c r="E15597" s="123"/>
    </row>
    <row r="15598" spans="5:5" ht="16.5">
      <c r="E15598" s="123"/>
    </row>
    <row r="15599" spans="5:5" ht="16.5">
      <c r="E15599" s="123"/>
    </row>
    <row r="15600" spans="5:5" ht="16.5">
      <c r="E15600" s="123"/>
    </row>
    <row r="15601" spans="5:5" ht="16.5">
      <c r="E15601" s="123"/>
    </row>
    <row r="15602" spans="5:5" ht="16.5">
      <c r="E15602" s="123"/>
    </row>
    <row r="15603" spans="5:5" ht="16.5">
      <c r="E15603" s="123"/>
    </row>
    <row r="15604" spans="5:5" ht="16.5">
      <c r="E15604" s="123"/>
    </row>
    <row r="15605" spans="5:5" ht="16.5">
      <c r="E15605" s="123"/>
    </row>
    <row r="15606" spans="5:5" ht="16.5">
      <c r="E15606" s="123"/>
    </row>
    <row r="15607" spans="5:5" ht="16.5">
      <c r="E15607" s="123"/>
    </row>
    <row r="15608" spans="5:5" ht="16.5">
      <c r="E15608" s="123"/>
    </row>
    <row r="15609" spans="5:5" ht="16.5">
      <c r="E15609" s="123"/>
    </row>
    <row r="15610" spans="5:5" ht="16.5">
      <c r="E15610" s="123"/>
    </row>
    <row r="15611" spans="5:5" ht="16.5">
      <c r="E15611" s="123"/>
    </row>
    <row r="15612" spans="5:5" ht="16.5">
      <c r="E15612" s="123"/>
    </row>
    <row r="15613" spans="5:5" ht="16.5">
      <c r="E15613" s="123"/>
    </row>
    <row r="15614" spans="5:5" ht="16.5">
      <c r="E15614" s="123"/>
    </row>
    <row r="15615" spans="5:5" ht="16.5">
      <c r="E15615" s="123"/>
    </row>
    <row r="15616" spans="5:5" ht="16.5">
      <c r="E15616" s="123"/>
    </row>
    <row r="15617" spans="5:5" ht="16.5">
      <c r="E15617" s="123"/>
    </row>
    <row r="15618" spans="5:5" ht="16.5">
      <c r="E15618" s="123"/>
    </row>
    <row r="15619" spans="5:5" ht="16.5">
      <c r="E15619" s="123"/>
    </row>
    <row r="15620" spans="5:5" ht="16.5">
      <c r="E15620" s="123"/>
    </row>
    <row r="15621" spans="5:5" ht="16.5">
      <c r="E15621" s="123"/>
    </row>
    <row r="15622" spans="5:5" ht="16.5">
      <c r="E15622" s="123"/>
    </row>
    <row r="15623" spans="5:5" ht="16.5">
      <c r="E15623" s="123"/>
    </row>
    <row r="15624" spans="5:5" ht="16.5">
      <c r="E15624" s="123"/>
    </row>
    <row r="15625" spans="5:5" ht="16.5">
      <c r="E15625" s="123"/>
    </row>
    <row r="15626" spans="5:5" ht="16.5">
      <c r="E15626" s="123"/>
    </row>
    <row r="15627" spans="5:5" ht="16.5">
      <c r="E15627" s="123"/>
    </row>
    <row r="15628" spans="5:5" ht="16.5">
      <c r="E15628" s="123"/>
    </row>
    <row r="15629" spans="5:5" ht="16.5">
      <c r="E15629" s="123"/>
    </row>
    <row r="15630" spans="5:5" ht="16.5">
      <c r="E15630" s="123"/>
    </row>
    <row r="15631" spans="5:5" ht="16.5">
      <c r="E15631" s="123"/>
    </row>
    <row r="15632" spans="5:5" ht="16.5">
      <c r="E15632" s="123"/>
    </row>
    <row r="15633" spans="5:5" ht="16.5">
      <c r="E15633" s="123"/>
    </row>
    <row r="15634" spans="5:5" ht="16.5">
      <c r="E15634" s="123"/>
    </row>
    <row r="15635" spans="5:5" ht="16.5">
      <c r="E15635" s="123"/>
    </row>
    <row r="15636" spans="5:5" ht="16.5">
      <c r="E15636" s="123"/>
    </row>
    <row r="15637" spans="5:5" ht="16.5">
      <c r="E15637" s="123"/>
    </row>
    <row r="15638" spans="5:5" ht="16.5">
      <c r="E15638" s="123"/>
    </row>
    <row r="15639" spans="5:5" ht="16.5">
      <c r="E15639" s="123"/>
    </row>
    <row r="15640" spans="5:5" ht="16.5">
      <c r="E15640" s="123"/>
    </row>
    <row r="15641" spans="5:5" ht="16.5">
      <c r="E15641" s="123"/>
    </row>
    <row r="15642" spans="5:5" ht="16.5">
      <c r="E15642" s="123"/>
    </row>
    <row r="15643" spans="5:5" ht="16.5">
      <c r="E15643" s="123"/>
    </row>
    <row r="15644" spans="5:5" ht="16.5">
      <c r="E15644" s="123"/>
    </row>
    <row r="15645" spans="5:5" ht="16.5">
      <c r="E15645" s="123"/>
    </row>
    <row r="15646" spans="5:5" ht="16.5">
      <c r="E15646" s="123"/>
    </row>
    <row r="15647" spans="5:5" ht="16.5">
      <c r="E15647" s="123"/>
    </row>
    <row r="15648" spans="5:5" ht="16.5">
      <c r="E15648" s="123"/>
    </row>
    <row r="15649" spans="5:5" ht="16.5">
      <c r="E15649" s="123"/>
    </row>
    <row r="15650" spans="5:5" ht="16.5">
      <c r="E15650" s="123"/>
    </row>
    <row r="15651" spans="5:5" ht="16.5">
      <c r="E15651" s="123"/>
    </row>
    <row r="15652" spans="5:5" ht="16.5">
      <c r="E15652" s="123"/>
    </row>
    <row r="15653" spans="5:5" ht="16.5">
      <c r="E15653" s="123"/>
    </row>
    <row r="15654" spans="5:5" ht="16.5">
      <c r="E15654" s="123"/>
    </row>
    <row r="15655" spans="5:5" ht="16.5">
      <c r="E15655" s="123"/>
    </row>
    <row r="15656" spans="5:5" ht="16.5">
      <c r="E15656" s="123"/>
    </row>
    <row r="15657" spans="5:5" ht="16.5">
      <c r="E15657" s="123"/>
    </row>
    <row r="15658" spans="5:5" ht="16.5">
      <c r="E15658" s="123"/>
    </row>
    <row r="15659" spans="5:5" ht="16.5">
      <c r="E15659" s="123"/>
    </row>
    <row r="15660" spans="5:5" ht="16.5">
      <c r="E15660" s="123"/>
    </row>
    <row r="15661" spans="5:5" ht="16.5">
      <c r="E15661" s="123"/>
    </row>
    <row r="15662" spans="5:5" ht="16.5">
      <c r="E15662" s="123"/>
    </row>
    <row r="15663" spans="5:5" ht="16.5">
      <c r="E15663" s="123"/>
    </row>
    <row r="15664" spans="5:5" ht="16.5">
      <c r="E15664" s="123"/>
    </row>
    <row r="15665" spans="5:5" ht="16.5">
      <c r="E15665" s="123"/>
    </row>
    <row r="15666" spans="5:5" ht="16.5">
      <c r="E15666" s="123"/>
    </row>
    <row r="15667" spans="5:5" ht="16.5">
      <c r="E15667" s="123"/>
    </row>
    <row r="15668" spans="5:5" ht="16.5">
      <c r="E15668" s="123"/>
    </row>
    <row r="15669" spans="5:5" ht="16.5">
      <c r="E15669" s="123"/>
    </row>
    <row r="15670" spans="5:5" ht="16.5">
      <c r="E15670" s="123"/>
    </row>
    <row r="15671" spans="5:5" ht="16.5">
      <c r="E15671" s="123"/>
    </row>
    <row r="15672" spans="5:5" ht="16.5">
      <c r="E15672" s="123"/>
    </row>
    <row r="15673" spans="5:5" ht="16.5">
      <c r="E15673" s="123"/>
    </row>
    <row r="15674" spans="5:5" ht="16.5">
      <c r="E15674" s="123"/>
    </row>
    <row r="15675" spans="5:5" ht="16.5">
      <c r="E15675" s="123"/>
    </row>
    <row r="15676" spans="5:5" ht="16.5">
      <c r="E15676" s="123"/>
    </row>
    <row r="15677" spans="5:5" ht="16.5">
      <c r="E15677" s="123"/>
    </row>
    <row r="15678" spans="5:5" ht="16.5">
      <c r="E15678" s="123"/>
    </row>
    <row r="15679" spans="5:5" ht="16.5">
      <c r="E15679" s="123"/>
    </row>
    <row r="15680" spans="5:5" ht="16.5">
      <c r="E15680" s="123"/>
    </row>
    <row r="15681" spans="5:5" ht="16.5">
      <c r="E15681" s="123"/>
    </row>
    <row r="15682" spans="5:5" ht="16.5">
      <c r="E15682" s="123"/>
    </row>
    <row r="15683" spans="5:5" ht="16.5">
      <c r="E15683" s="123"/>
    </row>
    <row r="15684" spans="5:5" ht="16.5">
      <c r="E15684" s="123"/>
    </row>
    <row r="15685" spans="5:5" ht="16.5">
      <c r="E15685" s="123"/>
    </row>
    <row r="15686" spans="5:5" ht="16.5">
      <c r="E15686" s="123"/>
    </row>
    <row r="15687" spans="5:5" ht="16.5">
      <c r="E15687" s="123"/>
    </row>
    <row r="15688" spans="5:5" ht="16.5">
      <c r="E15688" s="123"/>
    </row>
    <row r="15689" spans="5:5" ht="16.5">
      <c r="E15689" s="123"/>
    </row>
    <row r="15690" spans="5:5" ht="16.5">
      <c r="E15690" s="123"/>
    </row>
    <row r="15691" spans="5:5" ht="16.5">
      <c r="E15691" s="123"/>
    </row>
    <row r="15692" spans="5:5" ht="16.5">
      <c r="E15692" s="123"/>
    </row>
    <row r="15693" spans="5:5" ht="16.5">
      <c r="E15693" s="123"/>
    </row>
    <row r="15694" spans="5:5" ht="16.5">
      <c r="E15694" s="123"/>
    </row>
    <row r="15695" spans="5:5" ht="16.5">
      <c r="E15695" s="123"/>
    </row>
    <row r="15696" spans="5:5" ht="16.5">
      <c r="E15696" s="123"/>
    </row>
    <row r="15697" spans="5:5" ht="16.5">
      <c r="E15697" s="123"/>
    </row>
    <row r="15698" spans="5:5" ht="16.5">
      <c r="E15698" s="123"/>
    </row>
    <row r="15699" spans="5:5" ht="16.5">
      <c r="E15699" s="123"/>
    </row>
    <row r="15700" spans="5:5" ht="16.5">
      <c r="E15700" s="123"/>
    </row>
    <row r="15701" spans="5:5" ht="16.5">
      <c r="E15701" s="123"/>
    </row>
    <row r="15702" spans="5:5" ht="16.5">
      <c r="E15702" s="123"/>
    </row>
    <row r="15703" spans="5:5" ht="16.5">
      <c r="E15703" s="123"/>
    </row>
    <row r="15704" spans="5:5" ht="16.5">
      <c r="E15704" s="123"/>
    </row>
    <row r="15705" spans="5:5" ht="16.5">
      <c r="E15705" s="123"/>
    </row>
    <row r="15706" spans="5:5" ht="16.5">
      <c r="E15706" s="123"/>
    </row>
    <row r="15707" spans="5:5" ht="16.5">
      <c r="E15707" s="123"/>
    </row>
    <row r="15708" spans="5:5" ht="16.5">
      <c r="E15708" s="123"/>
    </row>
    <row r="15709" spans="5:5" ht="16.5">
      <c r="E15709" s="123"/>
    </row>
    <row r="15710" spans="5:5" ht="16.5">
      <c r="E15710" s="123"/>
    </row>
    <row r="15711" spans="5:5" ht="16.5">
      <c r="E15711" s="123"/>
    </row>
    <row r="15712" spans="5:5" ht="16.5">
      <c r="E15712" s="123"/>
    </row>
    <row r="15713" spans="5:5" ht="16.5">
      <c r="E15713" s="123"/>
    </row>
    <row r="15714" spans="5:5" ht="16.5">
      <c r="E15714" s="123"/>
    </row>
    <row r="15715" spans="5:5" ht="16.5">
      <c r="E15715" s="123"/>
    </row>
    <row r="15716" spans="5:5" ht="16.5">
      <c r="E15716" s="123"/>
    </row>
    <row r="15717" spans="5:5" ht="16.5">
      <c r="E15717" s="123"/>
    </row>
    <row r="15718" spans="5:5" ht="16.5">
      <c r="E15718" s="123"/>
    </row>
    <row r="15719" spans="5:5" ht="16.5">
      <c r="E15719" s="123"/>
    </row>
    <row r="15720" spans="5:5" ht="16.5">
      <c r="E15720" s="123"/>
    </row>
    <row r="15721" spans="5:5" ht="16.5">
      <c r="E15721" s="123"/>
    </row>
    <row r="15722" spans="5:5" ht="16.5">
      <c r="E15722" s="123"/>
    </row>
    <row r="15723" spans="5:5" ht="16.5">
      <c r="E15723" s="123"/>
    </row>
    <row r="15724" spans="5:5" ht="16.5">
      <c r="E15724" s="123"/>
    </row>
    <row r="15725" spans="5:5" ht="16.5">
      <c r="E15725" s="123"/>
    </row>
    <row r="15726" spans="5:5" ht="16.5">
      <c r="E15726" s="123"/>
    </row>
    <row r="15727" spans="5:5" ht="16.5">
      <c r="E15727" s="123"/>
    </row>
    <row r="15728" spans="5:5" ht="16.5">
      <c r="E15728" s="123"/>
    </row>
    <row r="15729" spans="5:5" ht="16.5">
      <c r="E15729" s="123"/>
    </row>
    <row r="15730" spans="5:5" ht="16.5">
      <c r="E15730" s="123"/>
    </row>
    <row r="15731" spans="5:5" ht="16.5">
      <c r="E15731" s="123"/>
    </row>
    <row r="15732" spans="5:5" ht="16.5">
      <c r="E15732" s="123"/>
    </row>
    <row r="15733" spans="5:5" ht="16.5">
      <c r="E15733" s="123"/>
    </row>
    <row r="15734" spans="5:5" ht="16.5">
      <c r="E15734" s="123"/>
    </row>
    <row r="15735" spans="5:5" ht="16.5">
      <c r="E15735" s="123"/>
    </row>
    <row r="15736" spans="5:5" ht="16.5">
      <c r="E15736" s="123"/>
    </row>
    <row r="15737" spans="5:5" ht="16.5">
      <c r="E15737" s="123"/>
    </row>
    <row r="15738" spans="5:5" ht="16.5">
      <c r="E15738" s="123"/>
    </row>
    <row r="15739" spans="5:5" ht="16.5">
      <c r="E15739" s="123"/>
    </row>
    <row r="15740" spans="5:5" ht="16.5">
      <c r="E15740" s="123"/>
    </row>
    <row r="15741" spans="5:5" ht="16.5">
      <c r="E15741" s="123"/>
    </row>
    <row r="15742" spans="5:5" ht="16.5">
      <c r="E15742" s="123"/>
    </row>
    <row r="15743" spans="5:5" ht="16.5">
      <c r="E15743" s="123"/>
    </row>
    <row r="15744" spans="5:5" ht="16.5">
      <c r="E15744" s="123"/>
    </row>
    <row r="15745" spans="5:5" ht="16.5">
      <c r="E15745" s="123"/>
    </row>
    <row r="15746" spans="5:5" ht="16.5">
      <c r="E15746" s="123"/>
    </row>
    <row r="15747" spans="5:5" ht="16.5">
      <c r="E15747" s="123"/>
    </row>
    <row r="15748" spans="5:5" ht="16.5">
      <c r="E15748" s="123"/>
    </row>
    <row r="15749" spans="5:5" ht="16.5">
      <c r="E15749" s="123"/>
    </row>
    <row r="15750" spans="5:5" ht="16.5">
      <c r="E15750" s="123"/>
    </row>
    <row r="15751" spans="5:5" ht="16.5">
      <c r="E15751" s="123"/>
    </row>
    <row r="15752" spans="5:5" ht="16.5">
      <c r="E15752" s="123"/>
    </row>
    <row r="15753" spans="5:5" ht="16.5">
      <c r="E15753" s="123"/>
    </row>
    <row r="15754" spans="5:5" ht="16.5">
      <c r="E15754" s="123"/>
    </row>
    <row r="15755" spans="5:5" ht="16.5">
      <c r="E15755" s="123"/>
    </row>
    <row r="15756" spans="5:5" ht="16.5">
      <c r="E15756" s="123"/>
    </row>
    <row r="15757" spans="5:5" ht="16.5">
      <c r="E15757" s="123"/>
    </row>
    <row r="15758" spans="5:5" ht="16.5">
      <c r="E15758" s="123"/>
    </row>
    <row r="15759" spans="5:5" ht="16.5">
      <c r="E15759" s="123"/>
    </row>
    <row r="15760" spans="5:5" ht="16.5">
      <c r="E15760" s="123"/>
    </row>
    <row r="15761" spans="5:5" ht="16.5">
      <c r="E15761" s="123"/>
    </row>
    <row r="15762" spans="5:5" ht="16.5">
      <c r="E15762" s="123"/>
    </row>
    <row r="15763" spans="5:5" ht="16.5">
      <c r="E15763" s="123"/>
    </row>
    <row r="15764" spans="5:5" ht="16.5">
      <c r="E15764" s="123"/>
    </row>
    <row r="15765" spans="5:5" ht="16.5">
      <c r="E15765" s="123"/>
    </row>
    <row r="15766" spans="5:5" ht="16.5">
      <c r="E15766" s="123"/>
    </row>
    <row r="15767" spans="5:5" ht="16.5">
      <c r="E15767" s="123"/>
    </row>
    <row r="15768" spans="5:5" ht="16.5">
      <c r="E15768" s="123"/>
    </row>
    <row r="15769" spans="5:5" ht="16.5">
      <c r="E15769" s="123"/>
    </row>
    <row r="15770" spans="5:5" ht="16.5">
      <c r="E15770" s="123"/>
    </row>
    <row r="15771" spans="5:5" ht="16.5">
      <c r="E15771" s="123"/>
    </row>
    <row r="15772" spans="5:5" ht="16.5">
      <c r="E15772" s="123"/>
    </row>
    <row r="15773" spans="5:5" ht="16.5">
      <c r="E15773" s="123"/>
    </row>
    <row r="15774" spans="5:5" ht="16.5">
      <c r="E15774" s="123"/>
    </row>
    <row r="15775" spans="5:5" ht="16.5">
      <c r="E15775" s="123"/>
    </row>
    <row r="15776" spans="5:5" ht="16.5">
      <c r="E15776" s="123"/>
    </row>
    <row r="15777" spans="5:5" ht="16.5">
      <c r="E15777" s="123"/>
    </row>
    <row r="15778" spans="5:5" ht="16.5">
      <c r="E15778" s="123"/>
    </row>
    <row r="15779" spans="5:5" ht="16.5">
      <c r="E15779" s="123"/>
    </row>
    <row r="15780" spans="5:5" ht="16.5">
      <c r="E15780" s="123"/>
    </row>
    <row r="15781" spans="5:5" ht="16.5">
      <c r="E15781" s="123"/>
    </row>
    <row r="15782" spans="5:5" ht="16.5">
      <c r="E15782" s="123"/>
    </row>
    <row r="15783" spans="5:5" ht="16.5">
      <c r="E15783" s="123"/>
    </row>
    <row r="15784" spans="5:5" ht="16.5">
      <c r="E15784" s="123"/>
    </row>
    <row r="15785" spans="5:5" ht="16.5">
      <c r="E15785" s="123"/>
    </row>
    <row r="15786" spans="5:5" ht="16.5">
      <c r="E15786" s="123"/>
    </row>
    <row r="15787" spans="5:5" ht="16.5">
      <c r="E15787" s="123"/>
    </row>
    <row r="15788" spans="5:5" ht="16.5">
      <c r="E15788" s="123"/>
    </row>
    <row r="15789" spans="5:5" ht="16.5">
      <c r="E15789" s="123"/>
    </row>
    <row r="15790" spans="5:5" ht="16.5">
      <c r="E15790" s="123"/>
    </row>
    <row r="15791" spans="5:5" ht="16.5">
      <c r="E15791" s="123"/>
    </row>
    <row r="15792" spans="5:5" ht="16.5">
      <c r="E15792" s="123"/>
    </row>
    <row r="15793" spans="5:5" ht="16.5">
      <c r="E15793" s="123"/>
    </row>
    <row r="15794" spans="5:5" ht="16.5">
      <c r="E15794" s="123"/>
    </row>
    <row r="15795" spans="5:5" ht="16.5">
      <c r="E15795" s="123"/>
    </row>
    <row r="15796" spans="5:5" ht="16.5">
      <c r="E15796" s="123"/>
    </row>
    <row r="15797" spans="5:5" ht="16.5">
      <c r="E15797" s="123"/>
    </row>
    <row r="15798" spans="5:5" ht="16.5">
      <c r="E15798" s="123"/>
    </row>
    <row r="15799" spans="5:5" ht="16.5">
      <c r="E15799" s="123"/>
    </row>
    <row r="15800" spans="5:5" ht="16.5">
      <c r="E15800" s="123"/>
    </row>
    <row r="15801" spans="5:5" ht="16.5">
      <c r="E15801" s="123"/>
    </row>
    <row r="15802" spans="5:5" ht="16.5">
      <c r="E15802" s="123"/>
    </row>
    <row r="15803" spans="5:5" ht="16.5">
      <c r="E15803" s="123"/>
    </row>
    <row r="15804" spans="5:5" ht="16.5">
      <c r="E15804" s="123"/>
    </row>
    <row r="15805" spans="5:5" ht="16.5">
      <c r="E15805" s="123"/>
    </row>
    <row r="15806" spans="5:5" ht="16.5">
      <c r="E15806" s="123"/>
    </row>
    <row r="15807" spans="5:5" ht="16.5">
      <c r="E15807" s="123"/>
    </row>
    <row r="15808" spans="5:5" ht="16.5">
      <c r="E15808" s="123"/>
    </row>
    <row r="15809" spans="5:5" ht="16.5">
      <c r="E15809" s="123"/>
    </row>
    <row r="15810" spans="5:5" ht="16.5">
      <c r="E15810" s="123"/>
    </row>
    <row r="15811" spans="5:5" ht="16.5">
      <c r="E15811" s="123"/>
    </row>
    <row r="15812" spans="5:5" ht="16.5">
      <c r="E15812" s="123"/>
    </row>
    <row r="15813" spans="5:5" ht="16.5">
      <c r="E15813" s="123"/>
    </row>
    <row r="15814" spans="5:5" ht="16.5">
      <c r="E15814" s="123"/>
    </row>
    <row r="15815" spans="5:5" ht="16.5">
      <c r="E15815" s="123"/>
    </row>
    <row r="15816" spans="5:5" ht="16.5">
      <c r="E15816" s="123"/>
    </row>
    <row r="15817" spans="5:5" ht="16.5">
      <c r="E15817" s="123"/>
    </row>
    <row r="15818" spans="5:5" ht="16.5">
      <c r="E15818" s="123"/>
    </row>
    <row r="15819" spans="5:5" ht="16.5">
      <c r="E15819" s="123"/>
    </row>
    <row r="15820" spans="5:5" ht="16.5">
      <c r="E15820" s="123"/>
    </row>
    <row r="15821" spans="5:5" ht="16.5">
      <c r="E15821" s="123"/>
    </row>
    <row r="15822" spans="5:5" ht="16.5">
      <c r="E15822" s="123"/>
    </row>
    <row r="15823" spans="5:5" ht="16.5">
      <c r="E15823" s="123"/>
    </row>
    <row r="15824" spans="5:5" ht="16.5">
      <c r="E15824" s="123"/>
    </row>
    <row r="15825" spans="5:5" ht="16.5">
      <c r="E15825" s="123"/>
    </row>
    <row r="15826" spans="5:5" ht="16.5">
      <c r="E15826" s="123"/>
    </row>
    <row r="15827" spans="5:5" ht="16.5">
      <c r="E15827" s="123"/>
    </row>
    <row r="15828" spans="5:5" ht="16.5">
      <c r="E15828" s="123"/>
    </row>
    <row r="15829" spans="5:5" ht="16.5">
      <c r="E15829" s="123"/>
    </row>
    <row r="15830" spans="5:5" ht="16.5">
      <c r="E15830" s="123"/>
    </row>
    <row r="15831" spans="5:5" ht="16.5">
      <c r="E15831" s="123"/>
    </row>
    <row r="15832" spans="5:5" ht="16.5">
      <c r="E15832" s="123"/>
    </row>
    <row r="15833" spans="5:5" ht="16.5">
      <c r="E15833" s="123"/>
    </row>
    <row r="15834" spans="5:5" ht="16.5">
      <c r="E15834" s="123"/>
    </row>
    <row r="15835" spans="5:5" ht="16.5">
      <c r="E15835" s="123"/>
    </row>
    <row r="15836" spans="5:5" ht="16.5">
      <c r="E15836" s="123"/>
    </row>
    <row r="15837" spans="5:5" ht="16.5">
      <c r="E15837" s="123"/>
    </row>
    <row r="15838" spans="5:5" ht="16.5">
      <c r="E15838" s="123"/>
    </row>
    <row r="15839" spans="5:5" ht="16.5">
      <c r="E15839" s="123"/>
    </row>
    <row r="15840" spans="5:5" ht="16.5">
      <c r="E15840" s="123"/>
    </row>
    <row r="15841" spans="5:5" ht="16.5">
      <c r="E15841" s="123"/>
    </row>
    <row r="15842" spans="5:5" ht="16.5">
      <c r="E15842" s="123"/>
    </row>
    <row r="15843" spans="5:5" ht="16.5">
      <c r="E15843" s="123"/>
    </row>
    <row r="15844" spans="5:5" ht="16.5">
      <c r="E15844" s="123"/>
    </row>
    <row r="15845" spans="5:5" ht="16.5">
      <c r="E15845" s="123"/>
    </row>
    <row r="15846" spans="5:5" ht="16.5">
      <c r="E15846" s="123"/>
    </row>
    <row r="15847" spans="5:5" ht="16.5">
      <c r="E15847" s="123"/>
    </row>
    <row r="15848" spans="5:5" ht="16.5">
      <c r="E15848" s="123"/>
    </row>
    <row r="15849" spans="5:5" ht="16.5">
      <c r="E15849" s="123"/>
    </row>
    <row r="15850" spans="5:5" ht="16.5">
      <c r="E15850" s="123"/>
    </row>
    <row r="15851" spans="5:5" ht="16.5">
      <c r="E15851" s="123"/>
    </row>
    <row r="15852" spans="5:5" ht="16.5">
      <c r="E15852" s="123"/>
    </row>
    <row r="15853" spans="5:5" ht="16.5">
      <c r="E15853" s="123"/>
    </row>
    <row r="15854" spans="5:5" ht="16.5">
      <c r="E15854" s="123"/>
    </row>
    <row r="15855" spans="5:5" ht="16.5">
      <c r="E15855" s="123"/>
    </row>
    <row r="15856" spans="5:5" ht="16.5">
      <c r="E15856" s="123"/>
    </row>
    <row r="15857" spans="5:5" ht="16.5">
      <c r="E15857" s="123"/>
    </row>
    <row r="15858" spans="5:5" ht="16.5">
      <c r="E15858" s="123"/>
    </row>
    <row r="15859" spans="5:5" ht="16.5">
      <c r="E15859" s="123"/>
    </row>
    <row r="15860" spans="5:5" ht="16.5">
      <c r="E15860" s="123"/>
    </row>
    <row r="15861" spans="5:5" ht="16.5">
      <c r="E15861" s="123"/>
    </row>
    <row r="15862" spans="5:5" ht="16.5">
      <c r="E15862" s="123"/>
    </row>
    <row r="15863" spans="5:5" ht="16.5">
      <c r="E15863" s="123"/>
    </row>
    <row r="15864" spans="5:5" ht="16.5">
      <c r="E15864" s="123"/>
    </row>
    <row r="15865" spans="5:5" ht="16.5">
      <c r="E15865" s="123"/>
    </row>
    <row r="15866" spans="5:5" ht="16.5">
      <c r="E15866" s="123"/>
    </row>
    <row r="15867" spans="5:5" ht="16.5">
      <c r="E15867" s="123"/>
    </row>
    <row r="15868" spans="5:5" ht="16.5">
      <c r="E15868" s="123"/>
    </row>
    <row r="15869" spans="5:5" ht="16.5">
      <c r="E15869" s="123"/>
    </row>
    <row r="15870" spans="5:5" ht="16.5">
      <c r="E15870" s="123"/>
    </row>
    <row r="15871" spans="5:5" ht="16.5">
      <c r="E15871" s="123"/>
    </row>
    <row r="15872" spans="5:5" ht="16.5">
      <c r="E15872" s="123"/>
    </row>
    <row r="15873" spans="5:5" ht="16.5">
      <c r="E15873" s="123"/>
    </row>
    <row r="15874" spans="5:5" ht="16.5">
      <c r="E15874" s="123"/>
    </row>
    <row r="15875" spans="5:5" ht="16.5">
      <c r="E15875" s="123"/>
    </row>
    <row r="15876" spans="5:5" ht="16.5">
      <c r="E15876" s="123"/>
    </row>
    <row r="15877" spans="5:5" ht="16.5">
      <c r="E15877" s="123"/>
    </row>
    <row r="15878" spans="5:5" ht="16.5">
      <c r="E15878" s="123"/>
    </row>
    <row r="15879" spans="5:5" ht="16.5">
      <c r="E15879" s="123"/>
    </row>
    <row r="15880" spans="5:5" ht="16.5">
      <c r="E15880" s="123"/>
    </row>
    <row r="15881" spans="5:5" ht="16.5">
      <c r="E15881" s="123"/>
    </row>
    <row r="15882" spans="5:5" ht="16.5">
      <c r="E15882" s="123"/>
    </row>
    <row r="15883" spans="5:5" ht="16.5">
      <c r="E15883" s="123"/>
    </row>
    <row r="15884" spans="5:5" ht="16.5">
      <c r="E15884" s="123"/>
    </row>
    <row r="15885" spans="5:5" ht="16.5">
      <c r="E15885" s="123"/>
    </row>
    <row r="15886" spans="5:5" ht="16.5">
      <c r="E15886" s="123"/>
    </row>
    <row r="15887" spans="5:5" ht="16.5">
      <c r="E15887" s="123"/>
    </row>
    <row r="15888" spans="5:5" ht="16.5">
      <c r="E15888" s="123"/>
    </row>
    <row r="15889" spans="5:5" ht="16.5">
      <c r="E15889" s="123"/>
    </row>
    <row r="15890" spans="5:5" ht="16.5">
      <c r="E15890" s="123"/>
    </row>
    <row r="15891" spans="5:5" ht="16.5">
      <c r="E15891" s="123"/>
    </row>
    <row r="15892" spans="5:5" ht="16.5">
      <c r="E15892" s="123"/>
    </row>
    <row r="15893" spans="5:5" ht="16.5">
      <c r="E15893" s="123"/>
    </row>
    <row r="15894" spans="5:5" ht="16.5">
      <c r="E15894" s="123"/>
    </row>
    <row r="15895" spans="5:5" ht="16.5">
      <c r="E15895" s="123"/>
    </row>
    <row r="15896" spans="5:5" ht="16.5">
      <c r="E15896" s="123"/>
    </row>
    <row r="15897" spans="5:5" ht="16.5">
      <c r="E15897" s="123"/>
    </row>
    <row r="15898" spans="5:5" ht="16.5">
      <c r="E15898" s="123"/>
    </row>
    <row r="15899" spans="5:5" ht="16.5">
      <c r="E15899" s="123"/>
    </row>
    <row r="15900" spans="5:5" ht="16.5">
      <c r="E15900" s="123"/>
    </row>
    <row r="15901" spans="5:5" ht="16.5">
      <c r="E15901" s="123"/>
    </row>
    <row r="15902" spans="5:5" ht="16.5">
      <c r="E15902" s="123"/>
    </row>
    <row r="15903" spans="5:5" ht="16.5">
      <c r="E15903" s="123"/>
    </row>
    <row r="15904" spans="5:5" ht="16.5">
      <c r="E15904" s="123"/>
    </row>
    <row r="15905" spans="5:5" ht="16.5">
      <c r="E15905" s="123"/>
    </row>
    <row r="15906" spans="5:5" ht="16.5">
      <c r="E15906" s="123"/>
    </row>
    <row r="15907" spans="5:5" ht="16.5">
      <c r="E15907" s="123"/>
    </row>
    <row r="15908" spans="5:5" ht="16.5">
      <c r="E15908" s="123"/>
    </row>
    <row r="15909" spans="5:5" ht="16.5">
      <c r="E15909" s="123"/>
    </row>
    <row r="15910" spans="5:5" ht="16.5">
      <c r="E15910" s="123"/>
    </row>
    <row r="15911" spans="5:5" ht="16.5">
      <c r="E15911" s="123"/>
    </row>
    <row r="15912" spans="5:5" ht="16.5">
      <c r="E15912" s="123"/>
    </row>
    <row r="15913" spans="5:5" ht="16.5">
      <c r="E15913" s="123"/>
    </row>
    <row r="15914" spans="5:5" ht="16.5">
      <c r="E15914" s="123"/>
    </row>
    <row r="15915" spans="5:5" ht="16.5">
      <c r="E15915" s="123"/>
    </row>
    <row r="15916" spans="5:5" ht="16.5">
      <c r="E15916" s="123"/>
    </row>
    <row r="15917" spans="5:5" ht="16.5">
      <c r="E15917" s="123"/>
    </row>
    <row r="15918" spans="5:5" ht="16.5">
      <c r="E15918" s="123"/>
    </row>
    <row r="15919" spans="5:5" ht="16.5">
      <c r="E15919" s="123"/>
    </row>
    <row r="15920" spans="5:5" ht="16.5">
      <c r="E15920" s="123"/>
    </row>
    <row r="15921" spans="5:5" ht="16.5">
      <c r="E15921" s="123"/>
    </row>
    <row r="15922" spans="5:5" ht="16.5">
      <c r="E15922" s="123"/>
    </row>
    <row r="15923" spans="5:5" ht="16.5">
      <c r="E15923" s="123"/>
    </row>
    <row r="15924" spans="5:5" ht="16.5">
      <c r="E15924" s="123"/>
    </row>
    <row r="15925" spans="5:5" ht="16.5">
      <c r="E15925" s="123"/>
    </row>
    <row r="15926" spans="5:5" ht="16.5">
      <c r="E15926" s="123"/>
    </row>
    <row r="15927" spans="5:5" ht="16.5">
      <c r="E15927" s="123"/>
    </row>
    <row r="15928" spans="5:5" ht="16.5">
      <c r="E15928" s="123"/>
    </row>
    <row r="15929" spans="5:5" ht="16.5">
      <c r="E15929" s="123"/>
    </row>
    <row r="15930" spans="5:5" ht="16.5">
      <c r="E15930" s="123"/>
    </row>
    <row r="15931" spans="5:5" ht="16.5">
      <c r="E15931" s="123"/>
    </row>
    <row r="15932" spans="5:5" ht="16.5">
      <c r="E15932" s="123"/>
    </row>
    <row r="15933" spans="5:5" ht="16.5">
      <c r="E15933" s="123"/>
    </row>
    <row r="15934" spans="5:5" ht="16.5">
      <c r="E15934" s="123"/>
    </row>
    <row r="15935" spans="5:5" ht="16.5">
      <c r="E15935" s="123"/>
    </row>
    <row r="15936" spans="5:5" ht="16.5">
      <c r="E15936" s="123"/>
    </row>
    <row r="15937" spans="5:5" ht="16.5">
      <c r="E15937" s="123"/>
    </row>
    <row r="15938" spans="5:5" ht="16.5">
      <c r="E15938" s="123"/>
    </row>
    <row r="15939" spans="5:5" ht="16.5">
      <c r="E15939" s="123"/>
    </row>
    <row r="15940" spans="5:5" ht="16.5">
      <c r="E15940" s="123"/>
    </row>
    <row r="15941" spans="5:5" ht="16.5">
      <c r="E15941" s="123"/>
    </row>
    <row r="15942" spans="5:5" ht="16.5">
      <c r="E15942" s="123"/>
    </row>
    <row r="15943" spans="5:5" ht="16.5">
      <c r="E15943" s="123"/>
    </row>
    <row r="15944" spans="5:5" ht="16.5">
      <c r="E15944" s="123"/>
    </row>
    <row r="15945" spans="5:5" ht="16.5">
      <c r="E15945" s="123"/>
    </row>
    <row r="15946" spans="5:5" ht="16.5">
      <c r="E15946" s="123"/>
    </row>
    <row r="15947" spans="5:5" ht="16.5">
      <c r="E15947" s="123"/>
    </row>
    <row r="15948" spans="5:5" ht="16.5">
      <c r="E15948" s="123"/>
    </row>
    <row r="15949" spans="5:5" ht="16.5">
      <c r="E15949" s="123"/>
    </row>
    <row r="15950" spans="5:5" ht="16.5">
      <c r="E15950" s="123"/>
    </row>
    <row r="15951" spans="5:5" ht="16.5">
      <c r="E15951" s="123"/>
    </row>
    <row r="15952" spans="5:5" ht="16.5">
      <c r="E15952" s="123"/>
    </row>
    <row r="15953" spans="5:5" ht="16.5">
      <c r="E15953" s="123"/>
    </row>
    <row r="15954" spans="5:5" ht="16.5">
      <c r="E15954" s="123"/>
    </row>
    <row r="15955" spans="5:5" ht="16.5">
      <c r="E15955" s="123"/>
    </row>
    <row r="15956" spans="5:5" ht="16.5">
      <c r="E15956" s="123"/>
    </row>
    <row r="15957" spans="5:5" ht="16.5">
      <c r="E15957" s="123"/>
    </row>
    <row r="15958" spans="5:5" ht="16.5">
      <c r="E15958" s="123"/>
    </row>
    <row r="15959" spans="5:5" ht="16.5">
      <c r="E15959" s="123"/>
    </row>
    <row r="15960" spans="5:5" ht="16.5">
      <c r="E15960" s="123"/>
    </row>
    <row r="15961" spans="5:5" ht="16.5">
      <c r="E15961" s="123"/>
    </row>
    <row r="15962" spans="5:5" ht="16.5">
      <c r="E15962" s="123"/>
    </row>
    <row r="15963" spans="5:5" ht="16.5">
      <c r="E15963" s="123"/>
    </row>
    <row r="15964" spans="5:5" ht="16.5">
      <c r="E15964" s="123"/>
    </row>
    <row r="15965" spans="5:5" ht="16.5">
      <c r="E15965" s="123"/>
    </row>
    <row r="15966" spans="5:5" ht="16.5">
      <c r="E15966" s="123"/>
    </row>
    <row r="15967" spans="5:5" ht="16.5">
      <c r="E15967" s="123"/>
    </row>
    <row r="15968" spans="5:5" ht="16.5">
      <c r="E15968" s="123"/>
    </row>
    <row r="15969" spans="5:5" ht="16.5">
      <c r="E15969" s="123"/>
    </row>
    <row r="15970" spans="5:5" ht="16.5">
      <c r="E15970" s="123"/>
    </row>
    <row r="15971" spans="5:5" ht="16.5">
      <c r="E15971" s="123"/>
    </row>
    <row r="15972" spans="5:5" ht="16.5">
      <c r="E15972" s="123"/>
    </row>
    <row r="15973" spans="5:5" ht="16.5">
      <c r="E15973" s="123"/>
    </row>
    <row r="15974" spans="5:5" ht="16.5">
      <c r="E15974" s="123"/>
    </row>
    <row r="15975" spans="5:5" ht="16.5">
      <c r="E15975" s="123"/>
    </row>
    <row r="15976" spans="5:5" ht="16.5">
      <c r="E15976" s="123"/>
    </row>
    <row r="15977" spans="5:5" ht="16.5">
      <c r="E15977" s="123"/>
    </row>
    <row r="15978" spans="5:5" ht="16.5">
      <c r="E15978" s="123"/>
    </row>
    <row r="15979" spans="5:5" ht="16.5">
      <c r="E15979" s="123"/>
    </row>
    <row r="15980" spans="5:5" ht="16.5">
      <c r="E15980" s="123"/>
    </row>
    <row r="15981" spans="5:5" ht="16.5">
      <c r="E15981" s="123"/>
    </row>
    <row r="15982" spans="5:5" ht="16.5">
      <c r="E15982" s="123"/>
    </row>
    <row r="15983" spans="5:5" ht="16.5">
      <c r="E15983" s="123"/>
    </row>
    <row r="15984" spans="5:5" ht="16.5">
      <c r="E15984" s="123"/>
    </row>
    <row r="15985" spans="5:5" ht="16.5">
      <c r="E15985" s="123"/>
    </row>
    <row r="15986" spans="5:5" ht="16.5">
      <c r="E15986" s="123"/>
    </row>
    <row r="15987" spans="5:5" ht="16.5">
      <c r="E15987" s="123"/>
    </row>
    <row r="15988" spans="5:5" ht="16.5">
      <c r="E15988" s="123"/>
    </row>
    <row r="15989" spans="5:5" ht="16.5">
      <c r="E15989" s="123"/>
    </row>
    <row r="15990" spans="5:5" ht="16.5">
      <c r="E15990" s="123"/>
    </row>
    <row r="15991" spans="5:5" ht="16.5">
      <c r="E15991" s="123"/>
    </row>
    <row r="15992" spans="5:5" ht="16.5">
      <c r="E15992" s="123"/>
    </row>
    <row r="15993" spans="5:5" ht="16.5">
      <c r="E15993" s="123"/>
    </row>
    <row r="15994" spans="5:5" ht="16.5">
      <c r="E15994" s="123"/>
    </row>
    <row r="15995" spans="5:5" ht="16.5">
      <c r="E15995" s="123"/>
    </row>
    <row r="15996" spans="5:5" ht="16.5">
      <c r="E15996" s="123"/>
    </row>
    <row r="15997" spans="5:5" ht="16.5">
      <c r="E15997" s="123"/>
    </row>
    <row r="15998" spans="5:5" ht="16.5">
      <c r="E15998" s="123"/>
    </row>
    <row r="15999" spans="5:5" ht="16.5">
      <c r="E15999" s="123"/>
    </row>
    <row r="16000" spans="5:5" ht="16.5">
      <c r="E16000" s="123"/>
    </row>
    <row r="16001" spans="5:5" ht="16.5">
      <c r="E16001" s="123"/>
    </row>
    <row r="16002" spans="5:5" ht="16.5">
      <c r="E16002" s="123"/>
    </row>
    <row r="16003" spans="5:5" ht="16.5">
      <c r="E16003" s="123"/>
    </row>
    <row r="16004" spans="5:5" ht="16.5">
      <c r="E16004" s="123"/>
    </row>
    <row r="16005" spans="5:5" ht="16.5">
      <c r="E16005" s="123"/>
    </row>
    <row r="16006" spans="5:5" ht="16.5">
      <c r="E16006" s="123"/>
    </row>
    <row r="16007" spans="5:5" ht="16.5">
      <c r="E16007" s="123"/>
    </row>
    <row r="16008" spans="5:5" ht="16.5">
      <c r="E16008" s="123"/>
    </row>
    <row r="16009" spans="5:5" ht="16.5">
      <c r="E16009" s="123"/>
    </row>
    <row r="16010" spans="5:5" ht="16.5">
      <c r="E16010" s="123"/>
    </row>
    <row r="16011" spans="5:5" ht="16.5">
      <c r="E16011" s="123"/>
    </row>
    <row r="16012" spans="5:5" ht="16.5">
      <c r="E16012" s="123"/>
    </row>
    <row r="16013" spans="5:5" ht="16.5">
      <c r="E16013" s="123"/>
    </row>
    <row r="16014" spans="5:5" ht="16.5">
      <c r="E16014" s="123"/>
    </row>
    <row r="16015" spans="5:5" ht="16.5">
      <c r="E16015" s="123"/>
    </row>
    <row r="16016" spans="5:5" ht="16.5">
      <c r="E16016" s="123"/>
    </row>
    <row r="16017" spans="5:5" ht="16.5">
      <c r="E16017" s="123"/>
    </row>
    <row r="16018" spans="5:5" ht="16.5">
      <c r="E16018" s="123"/>
    </row>
    <row r="16019" spans="5:5" ht="16.5">
      <c r="E16019" s="123"/>
    </row>
    <row r="16020" spans="5:5" ht="16.5">
      <c r="E16020" s="123"/>
    </row>
    <row r="16021" spans="5:5" ht="16.5">
      <c r="E16021" s="123"/>
    </row>
    <row r="16022" spans="5:5" ht="16.5">
      <c r="E16022" s="123"/>
    </row>
    <row r="16023" spans="5:5" ht="16.5">
      <c r="E16023" s="123"/>
    </row>
    <row r="16024" spans="5:5" ht="16.5">
      <c r="E16024" s="123"/>
    </row>
    <row r="16025" spans="5:5" ht="16.5">
      <c r="E16025" s="123"/>
    </row>
    <row r="16026" spans="5:5" ht="16.5">
      <c r="E16026" s="123"/>
    </row>
    <row r="16027" spans="5:5" ht="16.5">
      <c r="E16027" s="123"/>
    </row>
    <row r="16028" spans="5:5" ht="16.5">
      <c r="E16028" s="123"/>
    </row>
    <row r="16029" spans="5:5" ht="16.5">
      <c r="E16029" s="123"/>
    </row>
    <row r="16030" spans="5:5" ht="16.5">
      <c r="E16030" s="123"/>
    </row>
    <row r="16031" spans="5:5" ht="16.5">
      <c r="E16031" s="123"/>
    </row>
    <row r="16032" spans="5:5" ht="16.5">
      <c r="E16032" s="123"/>
    </row>
    <row r="16033" spans="5:5" ht="16.5">
      <c r="E16033" s="123"/>
    </row>
    <row r="16034" spans="5:5" ht="16.5">
      <c r="E16034" s="123"/>
    </row>
    <row r="16035" spans="5:5" ht="16.5">
      <c r="E16035" s="123"/>
    </row>
    <row r="16036" spans="5:5" ht="16.5">
      <c r="E16036" s="123"/>
    </row>
    <row r="16037" spans="5:5" ht="16.5">
      <c r="E16037" s="123"/>
    </row>
    <row r="16038" spans="5:5" ht="16.5">
      <c r="E16038" s="123"/>
    </row>
    <row r="16039" spans="5:5" ht="16.5">
      <c r="E16039" s="123"/>
    </row>
    <row r="16040" spans="5:5" ht="16.5">
      <c r="E16040" s="123"/>
    </row>
    <row r="16041" spans="5:5" ht="16.5">
      <c r="E16041" s="123"/>
    </row>
    <row r="16042" spans="5:5" ht="16.5">
      <c r="E16042" s="123"/>
    </row>
    <row r="16043" spans="5:5" ht="16.5">
      <c r="E16043" s="123"/>
    </row>
    <row r="16044" spans="5:5" ht="16.5">
      <c r="E16044" s="123"/>
    </row>
    <row r="16045" spans="5:5" ht="16.5">
      <c r="E16045" s="123"/>
    </row>
    <row r="16046" spans="5:5" ht="16.5">
      <c r="E16046" s="123"/>
    </row>
    <row r="16047" spans="5:5" ht="16.5">
      <c r="E16047" s="123"/>
    </row>
    <row r="16048" spans="5:5" ht="16.5">
      <c r="E16048" s="123"/>
    </row>
    <row r="16049" spans="5:5" ht="16.5">
      <c r="E16049" s="123"/>
    </row>
    <row r="16050" spans="5:5" ht="16.5">
      <c r="E16050" s="123"/>
    </row>
    <row r="16051" spans="5:5" ht="16.5">
      <c r="E16051" s="123"/>
    </row>
    <row r="16052" spans="5:5" ht="16.5">
      <c r="E16052" s="123"/>
    </row>
    <row r="16053" spans="5:5" ht="16.5">
      <c r="E16053" s="123"/>
    </row>
    <row r="16054" spans="5:5" ht="16.5">
      <c r="E16054" s="123"/>
    </row>
    <row r="16055" spans="5:5" ht="16.5">
      <c r="E16055" s="123"/>
    </row>
    <row r="16056" spans="5:5" ht="16.5">
      <c r="E16056" s="123"/>
    </row>
    <row r="16057" spans="5:5" ht="16.5">
      <c r="E16057" s="123"/>
    </row>
    <row r="16058" spans="5:5" ht="16.5">
      <c r="E16058" s="123"/>
    </row>
    <row r="16059" spans="5:5" ht="16.5">
      <c r="E16059" s="123"/>
    </row>
    <row r="16060" spans="5:5" ht="16.5">
      <c r="E16060" s="123"/>
    </row>
    <row r="16061" spans="5:5" ht="16.5">
      <c r="E16061" s="123"/>
    </row>
    <row r="16062" spans="5:5" ht="16.5">
      <c r="E16062" s="123"/>
    </row>
    <row r="16063" spans="5:5" ht="16.5">
      <c r="E16063" s="123"/>
    </row>
    <row r="16064" spans="5:5" ht="16.5">
      <c r="E16064" s="123"/>
    </row>
    <row r="16065" spans="5:5" ht="16.5">
      <c r="E16065" s="123"/>
    </row>
    <row r="16066" spans="5:5" ht="16.5">
      <c r="E16066" s="123"/>
    </row>
    <row r="16067" spans="5:5" ht="16.5">
      <c r="E16067" s="123"/>
    </row>
    <row r="16068" spans="5:5" ht="16.5">
      <c r="E16068" s="123"/>
    </row>
    <row r="16069" spans="5:5" ht="16.5">
      <c r="E16069" s="123"/>
    </row>
    <row r="16070" spans="5:5" ht="16.5">
      <c r="E16070" s="123"/>
    </row>
    <row r="16071" spans="5:5" ht="16.5">
      <c r="E16071" s="123"/>
    </row>
    <row r="16072" spans="5:5" ht="16.5">
      <c r="E16072" s="123"/>
    </row>
    <row r="16073" spans="5:5" ht="16.5">
      <c r="E16073" s="123"/>
    </row>
    <row r="16074" spans="5:5" ht="16.5">
      <c r="E16074" s="123"/>
    </row>
    <row r="16075" spans="5:5" ht="16.5">
      <c r="E16075" s="123"/>
    </row>
    <row r="16076" spans="5:5" ht="16.5">
      <c r="E16076" s="123"/>
    </row>
    <row r="16077" spans="5:5" ht="16.5">
      <c r="E16077" s="123"/>
    </row>
    <row r="16078" spans="5:5" ht="16.5">
      <c r="E16078" s="123"/>
    </row>
    <row r="16079" spans="5:5" ht="16.5">
      <c r="E16079" s="123"/>
    </row>
    <row r="16080" spans="5:5" ht="16.5">
      <c r="E16080" s="123"/>
    </row>
    <row r="16081" spans="5:5" ht="16.5">
      <c r="E16081" s="123"/>
    </row>
    <row r="16082" spans="5:5" ht="16.5">
      <c r="E16082" s="123"/>
    </row>
    <row r="16083" spans="5:5" ht="16.5">
      <c r="E16083" s="123"/>
    </row>
    <row r="16084" spans="5:5" ht="16.5">
      <c r="E16084" s="123"/>
    </row>
    <row r="16085" spans="5:5" ht="16.5">
      <c r="E16085" s="123"/>
    </row>
    <row r="16086" spans="5:5" ht="16.5">
      <c r="E16086" s="123"/>
    </row>
    <row r="16087" spans="5:5" ht="16.5">
      <c r="E16087" s="123"/>
    </row>
    <row r="16088" spans="5:5" ht="16.5">
      <c r="E16088" s="123"/>
    </row>
    <row r="16089" spans="5:5" ht="16.5">
      <c r="E16089" s="123"/>
    </row>
    <row r="16090" spans="5:5" ht="16.5">
      <c r="E16090" s="123"/>
    </row>
    <row r="16091" spans="5:5" ht="16.5">
      <c r="E16091" s="123"/>
    </row>
    <row r="16092" spans="5:5" ht="16.5">
      <c r="E16092" s="123"/>
    </row>
    <row r="16093" spans="5:5" ht="16.5">
      <c r="E16093" s="123"/>
    </row>
    <row r="16094" spans="5:5" ht="16.5">
      <c r="E16094" s="123"/>
    </row>
    <row r="16095" spans="5:5" ht="16.5">
      <c r="E16095" s="123"/>
    </row>
    <row r="16096" spans="5:5" ht="16.5">
      <c r="E16096" s="123"/>
    </row>
    <row r="16097" spans="5:5" ht="16.5">
      <c r="E16097" s="123"/>
    </row>
    <row r="16098" spans="5:5" ht="16.5">
      <c r="E16098" s="123"/>
    </row>
    <row r="16099" spans="5:5" ht="16.5">
      <c r="E16099" s="123"/>
    </row>
    <row r="16100" spans="5:5" ht="16.5">
      <c r="E16100" s="123"/>
    </row>
    <row r="16101" spans="5:5" ht="16.5">
      <c r="E16101" s="123"/>
    </row>
    <row r="16102" spans="5:5" ht="16.5">
      <c r="E16102" s="123"/>
    </row>
    <row r="16103" spans="5:5" ht="16.5">
      <c r="E16103" s="123"/>
    </row>
    <row r="16104" spans="5:5" ht="16.5">
      <c r="E16104" s="123"/>
    </row>
    <row r="16105" spans="5:5" ht="16.5">
      <c r="E16105" s="123"/>
    </row>
    <row r="16106" spans="5:5" ht="16.5">
      <c r="E16106" s="123"/>
    </row>
    <row r="16107" spans="5:5" ht="16.5">
      <c r="E16107" s="123"/>
    </row>
    <row r="16108" spans="5:5" ht="16.5">
      <c r="E16108" s="123"/>
    </row>
    <row r="16109" spans="5:5" ht="16.5">
      <c r="E16109" s="123"/>
    </row>
    <row r="16110" spans="5:5" ht="16.5">
      <c r="E16110" s="123"/>
    </row>
    <row r="16111" spans="5:5" ht="16.5">
      <c r="E16111" s="123"/>
    </row>
    <row r="16112" spans="5:5" ht="16.5">
      <c r="E16112" s="123"/>
    </row>
    <row r="16113" spans="5:5" ht="16.5">
      <c r="E16113" s="123"/>
    </row>
    <row r="16114" spans="5:5" ht="16.5">
      <c r="E16114" s="123"/>
    </row>
    <row r="16115" spans="5:5" ht="16.5">
      <c r="E16115" s="123"/>
    </row>
    <row r="16116" spans="5:5" ht="16.5">
      <c r="E16116" s="123"/>
    </row>
    <row r="16117" spans="5:5" ht="16.5">
      <c r="E16117" s="123"/>
    </row>
    <row r="16118" spans="5:5" ht="16.5">
      <c r="E16118" s="123"/>
    </row>
    <row r="16119" spans="5:5" ht="16.5">
      <c r="E16119" s="123"/>
    </row>
    <row r="16120" spans="5:5" ht="16.5">
      <c r="E16120" s="123"/>
    </row>
    <row r="16121" spans="5:5" ht="16.5">
      <c r="E16121" s="123"/>
    </row>
    <row r="16122" spans="5:5" ht="16.5">
      <c r="E16122" s="123"/>
    </row>
    <row r="16123" spans="5:5" ht="16.5">
      <c r="E16123" s="123"/>
    </row>
    <row r="16124" spans="5:5" ht="16.5">
      <c r="E16124" s="123"/>
    </row>
    <row r="16125" spans="5:5" ht="16.5">
      <c r="E16125" s="123"/>
    </row>
    <row r="16126" spans="5:5" ht="16.5">
      <c r="E16126" s="123"/>
    </row>
    <row r="16127" spans="5:5" ht="16.5">
      <c r="E16127" s="123"/>
    </row>
    <row r="16128" spans="5:5" ht="16.5">
      <c r="E16128" s="123"/>
    </row>
    <row r="16129" spans="5:5" ht="16.5">
      <c r="E16129" s="123"/>
    </row>
    <row r="16130" spans="5:5" ht="16.5">
      <c r="E16130" s="123"/>
    </row>
    <row r="16131" spans="5:5" ht="16.5">
      <c r="E16131" s="123"/>
    </row>
    <row r="16132" spans="5:5" ht="16.5">
      <c r="E16132" s="123"/>
    </row>
    <row r="16133" spans="5:5" ht="16.5">
      <c r="E16133" s="123"/>
    </row>
    <row r="16134" spans="5:5" ht="16.5">
      <c r="E16134" s="123"/>
    </row>
    <row r="16135" spans="5:5" ht="16.5">
      <c r="E16135" s="123"/>
    </row>
    <row r="16136" spans="5:5" ht="16.5">
      <c r="E16136" s="123"/>
    </row>
    <row r="16137" spans="5:5" ht="16.5">
      <c r="E16137" s="123"/>
    </row>
    <row r="16138" spans="5:5" ht="16.5">
      <c r="E16138" s="123"/>
    </row>
    <row r="16139" spans="5:5" ht="16.5">
      <c r="E16139" s="123"/>
    </row>
    <row r="16140" spans="5:5" ht="16.5">
      <c r="E16140" s="123"/>
    </row>
    <row r="16141" spans="5:5" ht="16.5">
      <c r="E16141" s="123"/>
    </row>
    <row r="16142" spans="5:5" ht="16.5">
      <c r="E16142" s="123"/>
    </row>
    <row r="16143" spans="5:5" ht="16.5">
      <c r="E16143" s="123"/>
    </row>
    <row r="16144" spans="5:5" ht="16.5">
      <c r="E16144" s="123"/>
    </row>
    <row r="16145" spans="5:5" ht="16.5">
      <c r="E16145" s="123"/>
    </row>
    <row r="16146" spans="5:5" ht="16.5">
      <c r="E16146" s="123"/>
    </row>
    <row r="16147" spans="5:5" ht="16.5">
      <c r="E16147" s="123"/>
    </row>
    <row r="16148" spans="5:5" ht="16.5">
      <c r="E16148" s="123"/>
    </row>
    <row r="16149" spans="5:5" ht="16.5">
      <c r="E16149" s="123"/>
    </row>
    <row r="16150" spans="5:5" ht="16.5">
      <c r="E16150" s="123"/>
    </row>
    <row r="16151" spans="5:5" ht="16.5">
      <c r="E16151" s="123"/>
    </row>
    <row r="16152" spans="5:5" ht="16.5">
      <c r="E16152" s="123"/>
    </row>
    <row r="16153" spans="5:5" ht="16.5">
      <c r="E16153" s="123"/>
    </row>
    <row r="16154" spans="5:5" ht="16.5">
      <c r="E16154" s="123"/>
    </row>
    <row r="16155" spans="5:5" ht="16.5">
      <c r="E16155" s="123"/>
    </row>
    <row r="16156" spans="5:5" ht="16.5">
      <c r="E16156" s="123"/>
    </row>
    <row r="16157" spans="5:5" ht="16.5">
      <c r="E16157" s="123"/>
    </row>
    <row r="16158" spans="5:5" ht="16.5">
      <c r="E16158" s="123"/>
    </row>
    <row r="16159" spans="5:5" ht="16.5">
      <c r="E16159" s="123"/>
    </row>
    <row r="16160" spans="5:5" ht="16.5">
      <c r="E16160" s="123"/>
    </row>
    <row r="16161" spans="5:5" ht="16.5">
      <c r="E16161" s="123"/>
    </row>
    <row r="16162" spans="5:5" ht="16.5">
      <c r="E16162" s="123"/>
    </row>
    <row r="16163" spans="5:5" ht="16.5">
      <c r="E16163" s="123"/>
    </row>
    <row r="16164" spans="5:5" ht="16.5">
      <c r="E16164" s="123"/>
    </row>
    <row r="16165" spans="5:5" ht="16.5">
      <c r="E16165" s="123"/>
    </row>
    <row r="16166" spans="5:5" ht="16.5">
      <c r="E16166" s="123"/>
    </row>
    <row r="16167" spans="5:5" ht="16.5">
      <c r="E16167" s="123"/>
    </row>
    <row r="16168" spans="5:5" ht="16.5">
      <c r="E16168" s="123"/>
    </row>
    <row r="16169" spans="5:5" ht="16.5">
      <c r="E16169" s="123"/>
    </row>
    <row r="16170" spans="5:5" ht="16.5">
      <c r="E16170" s="123"/>
    </row>
    <row r="16171" spans="5:5" ht="16.5">
      <c r="E16171" s="123"/>
    </row>
    <row r="16172" spans="5:5" ht="16.5">
      <c r="E16172" s="123"/>
    </row>
    <row r="16173" spans="5:5" ht="16.5">
      <c r="E16173" s="123"/>
    </row>
    <row r="16174" spans="5:5" ht="16.5">
      <c r="E16174" s="123"/>
    </row>
    <row r="16175" spans="5:5" ht="16.5">
      <c r="E16175" s="123"/>
    </row>
    <row r="16176" spans="5:5" ht="16.5">
      <c r="E16176" s="123"/>
    </row>
    <row r="16177" spans="5:5" ht="16.5">
      <c r="E16177" s="123"/>
    </row>
    <row r="16178" spans="5:5" ht="16.5">
      <c r="E16178" s="123"/>
    </row>
    <row r="16179" spans="5:5" ht="16.5">
      <c r="E16179" s="123"/>
    </row>
    <row r="16180" spans="5:5" ht="16.5">
      <c r="E16180" s="123"/>
    </row>
    <row r="16181" spans="5:5" ht="16.5">
      <c r="E16181" s="123"/>
    </row>
    <row r="16182" spans="5:5" ht="16.5">
      <c r="E16182" s="123"/>
    </row>
    <row r="16183" spans="5:5" ht="16.5">
      <c r="E16183" s="123"/>
    </row>
    <row r="16184" spans="5:5" ht="16.5">
      <c r="E16184" s="123"/>
    </row>
    <row r="16185" spans="5:5" ht="16.5">
      <c r="E16185" s="123"/>
    </row>
    <row r="16186" spans="5:5" ht="16.5">
      <c r="E16186" s="123"/>
    </row>
    <row r="16187" spans="5:5" ht="16.5">
      <c r="E16187" s="123"/>
    </row>
    <row r="16188" spans="5:5" ht="16.5">
      <c r="E16188" s="123"/>
    </row>
    <row r="16189" spans="5:5" ht="16.5">
      <c r="E16189" s="123"/>
    </row>
    <row r="16190" spans="5:5" ht="16.5">
      <c r="E16190" s="123"/>
    </row>
    <row r="16191" spans="5:5" ht="16.5">
      <c r="E16191" s="123"/>
    </row>
    <row r="16192" spans="5:5" ht="16.5">
      <c r="E16192" s="123"/>
    </row>
    <row r="16193" spans="5:5" ht="16.5">
      <c r="E16193" s="123"/>
    </row>
    <row r="16194" spans="5:5" ht="16.5">
      <c r="E16194" s="123"/>
    </row>
    <row r="16195" spans="5:5" ht="16.5">
      <c r="E16195" s="123"/>
    </row>
    <row r="16196" spans="5:5" ht="16.5">
      <c r="E16196" s="123"/>
    </row>
    <row r="16197" spans="5:5" ht="16.5">
      <c r="E16197" s="123"/>
    </row>
    <row r="16198" spans="5:5" ht="16.5">
      <c r="E16198" s="123"/>
    </row>
    <row r="16199" spans="5:5" ht="16.5">
      <c r="E16199" s="123"/>
    </row>
    <row r="16200" spans="5:5" ht="16.5">
      <c r="E16200" s="123"/>
    </row>
    <row r="16201" spans="5:5" ht="16.5">
      <c r="E16201" s="123"/>
    </row>
    <row r="16202" spans="5:5" ht="16.5">
      <c r="E16202" s="123"/>
    </row>
    <row r="16203" spans="5:5" ht="16.5">
      <c r="E16203" s="123"/>
    </row>
    <row r="16204" spans="5:5" ht="16.5">
      <c r="E16204" s="123"/>
    </row>
    <row r="16205" spans="5:5" ht="16.5">
      <c r="E16205" s="123"/>
    </row>
    <row r="16206" spans="5:5" ht="16.5">
      <c r="E16206" s="123"/>
    </row>
    <row r="16207" spans="5:5" ht="16.5">
      <c r="E16207" s="123"/>
    </row>
    <row r="16208" spans="5:5" ht="16.5">
      <c r="E16208" s="123"/>
    </row>
    <row r="16209" spans="5:5" ht="16.5">
      <c r="E16209" s="123"/>
    </row>
    <row r="16210" spans="5:5" ht="16.5">
      <c r="E16210" s="123"/>
    </row>
    <row r="16211" spans="5:5" ht="16.5">
      <c r="E16211" s="123"/>
    </row>
    <row r="16212" spans="5:5" ht="16.5">
      <c r="E16212" s="123"/>
    </row>
    <row r="16213" spans="5:5" ht="16.5">
      <c r="E16213" s="123"/>
    </row>
    <row r="16214" spans="5:5" ht="16.5">
      <c r="E16214" s="123"/>
    </row>
    <row r="16215" spans="5:5" ht="16.5">
      <c r="E16215" s="123"/>
    </row>
    <row r="16216" spans="5:5" ht="16.5">
      <c r="E16216" s="123"/>
    </row>
    <row r="16217" spans="5:5" ht="16.5">
      <c r="E16217" s="123"/>
    </row>
    <row r="16218" spans="5:5" ht="16.5">
      <c r="E16218" s="123"/>
    </row>
    <row r="16219" spans="5:5" ht="16.5">
      <c r="E16219" s="123"/>
    </row>
    <row r="16220" spans="5:5" ht="16.5">
      <c r="E16220" s="123"/>
    </row>
    <row r="16221" spans="5:5" ht="16.5">
      <c r="E16221" s="123"/>
    </row>
    <row r="16222" spans="5:5" ht="16.5">
      <c r="E16222" s="123"/>
    </row>
    <row r="16223" spans="5:5" ht="16.5">
      <c r="E16223" s="123"/>
    </row>
    <row r="16224" spans="5:5" ht="16.5">
      <c r="E16224" s="123"/>
    </row>
    <row r="16225" spans="5:5" ht="16.5">
      <c r="E16225" s="123"/>
    </row>
    <row r="16226" spans="5:5" ht="16.5">
      <c r="E16226" s="123"/>
    </row>
    <row r="16227" spans="5:5" ht="16.5">
      <c r="E16227" s="123"/>
    </row>
    <row r="16228" spans="5:5" ht="16.5">
      <c r="E16228" s="123"/>
    </row>
    <row r="16229" spans="5:5" ht="16.5">
      <c r="E16229" s="123"/>
    </row>
    <row r="16230" spans="5:5" ht="16.5">
      <c r="E16230" s="123"/>
    </row>
    <row r="16231" spans="5:5" ht="16.5">
      <c r="E16231" s="123"/>
    </row>
    <row r="16232" spans="5:5" ht="16.5">
      <c r="E16232" s="123"/>
    </row>
    <row r="16233" spans="5:5" ht="16.5">
      <c r="E16233" s="123"/>
    </row>
    <row r="16234" spans="5:5" ht="16.5">
      <c r="E16234" s="123"/>
    </row>
    <row r="16235" spans="5:5" ht="16.5">
      <c r="E16235" s="123"/>
    </row>
    <row r="16236" spans="5:5" ht="16.5">
      <c r="E16236" s="123"/>
    </row>
    <row r="16237" spans="5:5" ht="16.5">
      <c r="E16237" s="123"/>
    </row>
    <row r="16238" spans="5:5" ht="16.5">
      <c r="E16238" s="123"/>
    </row>
    <row r="16239" spans="5:5" ht="16.5">
      <c r="E16239" s="123"/>
    </row>
    <row r="16240" spans="5:5" ht="16.5">
      <c r="E16240" s="123"/>
    </row>
    <row r="16241" spans="5:5" ht="16.5">
      <c r="E16241" s="123"/>
    </row>
    <row r="16242" spans="5:5" ht="16.5">
      <c r="E16242" s="123"/>
    </row>
    <row r="16243" spans="5:5" ht="16.5">
      <c r="E16243" s="123"/>
    </row>
    <row r="16244" spans="5:5" ht="16.5">
      <c r="E16244" s="123"/>
    </row>
    <row r="16245" spans="5:5" ht="16.5">
      <c r="E16245" s="123"/>
    </row>
    <row r="16246" spans="5:5" ht="16.5">
      <c r="E16246" s="123"/>
    </row>
    <row r="16247" spans="5:5" ht="16.5">
      <c r="E16247" s="123"/>
    </row>
    <row r="16248" spans="5:5" ht="16.5">
      <c r="E16248" s="123"/>
    </row>
    <row r="16249" spans="5:5" ht="16.5">
      <c r="E16249" s="123"/>
    </row>
    <row r="16250" spans="5:5" ht="16.5">
      <c r="E16250" s="123"/>
    </row>
    <row r="16251" spans="5:5" ht="16.5">
      <c r="E16251" s="123"/>
    </row>
    <row r="16252" spans="5:5" ht="16.5">
      <c r="E16252" s="123"/>
    </row>
    <row r="16253" spans="5:5" ht="16.5">
      <c r="E16253" s="123"/>
    </row>
    <row r="16254" spans="5:5" ht="16.5">
      <c r="E16254" s="123"/>
    </row>
    <row r="16255" spans="5:5" ht="16.5">
      <c r="E16255" s="123"/>
    </row>
    <row r="16256" spans="5:5" ht="16.5">
      <c r="E16256" s="123"/>
    </row>
    <row r="16257" spans="5:5" ht="16.5">
      <c r="E16257" s="123"/>
    </row>
    <row r="16258" spans="5:5" ht="16.5">
      <c r="E16258" s="123"/>
    </row>
    <row r="16259" spans="5:5" ht="16.5">
      <c r="E16259" s="123"/>
    </row>
    <row r="16260" spans="5:5" ht="16.5">
      <c r="E16260" s="123"/>
    </row>
    <row r="16261" spans="5:5" ht="16.5">
      <c r="E16261" s="123"/>
    </row>
    <row r="16262" spans="5:5" ht="16.5">
      <c r="E16262" s="123"/>
    </row>
    <row r="16263" spans="5:5" ht="16.5">
      <c r="E16263" s="123"/>
    </row>
    <row r="16264" spans="5:5" ht="16.5">
      <c r="E16264" s="123"/>
    </row>
    <row r="16265" spans="5:5" ht="16.5">
      <c r="E16265" s="123"/>
    </row>
    <row r="16266" spans="5:5" ht="16.5">
      <c r="E16266" s="123"/>
    </row>
    <row r="16267" spans="5:5" ht="16.5">
      <c r="E16267" s="123"/>
    </row>
    <row r="16268" spans="5:5" ht="16.5">
      <c r="E16268" s="123"/>
    </row>
    <row r="16269" spans="5:5" ht="16.5">
      <c r="E16269" s="123"/>
    </row>
    <row r="16270" spans="5:5" ht="16.5">
      <c r="E16270" s="123"/>
    </row>
    <row r="16271" spans="5:5" ht="16.5">
      <c r="E16271" s="123"/>
    </row>
    <row r="16272" spans="5:5" ht="16.5">
      <c r="E16272" s="123"/>
    </row>
    <row r="16273" spans="5:5" ht="16.5">
      <c r="E16273" s="123"/>
    </row>
    <row r="16274" spans="5:5" ht="16.5">
      <c r="E16274" s="123"/>
    </row>
    <row r="16275" spans="5:5" ht="16.5">
      <c r="E16275" s="123"/>
    </row>
    <row r="16276" spans="5:5" ht="16.5">
      <c r="E16276" s="123"/>
    </row>
    <row r="16277" spans="5:5" ht="16.5">
      <c r="E16277" s="123"/>
    </row>
    <row r="16278" spans="5:5" ht="16.5">
      <c r="E16278" s="123"/>
    </row>
    <row r="16279" spans="5:5" ht="16.5">
      <c r="E16279" s="123"/>
    </row>
    <row r="16280" spans="5:5" ht="16.5">
      <c r="E16280" s="123"/>
    </row>
    <row r="16281" spans="5:5" ht="16.5">
      <c r="E16281" s="123"/>
    </row>
    <row r="16282" spans="5:5" ht="16.5">
      <c r="E16282" s="123"/>
    </row>
    <row r="16283" spans="5:5" ht="16.5">
      <c r="E16283" s="123"/>
    </row>
    <row r="16284" spans="5:5" ht="16.5">
      <c r="E16284" s="123"/>
    </row>
    <row r="16285" spans="5:5" ht="16.5">
      <c r="E16285" s="123"/>
    </row>
    <row r="16286" spans="5:5" ht="16.5">
      <c r="E16286" s="123"/>
    </row>
    <row r="16287" spans="5:5" ht="16.5">
      <c r="E16287" s="123"/>
    </row>
    <row r="16288" spans="5:5" ht="16.5">
      <c r="E16288" s="123"/>
    </row>
    <row r="16289" spans="5:5" ht="16.5">
      <c r="E16289" s="123"/>
    </row>
    <row r="16290" spans="5:5" ht="16.5">
      <c r="E16290" s="123"/>
    </row>
    <row r="16291" spans="5:5" ht="16.5">
      <c r="E16291" s="123"/>
    </row>
    <row r="16292" spans="5:5" ht="16.5">
      <c r="E16292" s="123"/>
    </row>
    <row r="16293" spans="5:5" ht="16.5">
      <c r="E16293" s="123"/>
    </row>
    <row r="16294" spans="5:5" ht="16.5">
      <c r="E16294" s="123"/>
    </row>
    <row r="16295" spans="5:5" ht="16.5">
      <c r="E16295" s="123"/>
    </row>
    <row r="16296" spans="5:5" ht="16.5">
      <c r="E16296" s="123"/>
    </row>
    <row r="16297" spans="5:5" ht="16.5">
      <c r="E16297" s="123"/>
    </row>
    <row r="16298" spans="5:5" ht="16.5">
      <c r="E16298" s="123"/>
    </row>
    <row r="16299" spans="5:5" ht="16.5">
      <c r="E16299" s="123"/>
    </row>
    <row r="16300" spans="5:5" ht="16.5">
      <c r="E16300" s="123"/>
    </row>
    <row r="16301" spans="5:5" ht="16.5">
      <c r="E16301" s="123"/>
    </row>
    <row r="16302" spans="5:5" ht="16.5">
      <c r="E16302" s="123"/>
    </row>
    <row r="16303" spans="5:5" ht="16.5">
      <c r="E16303" s="123"/>
    </row>
    <row r="16304" spans="5:5" ht="16.5">
      <c r="E16304" s="123"/>
    </row>
    <row r="16305" spans="5:5" ht="16.5">
      <c r="E16305" s="123"/>
    </row>
    <row r="16306" spans="5:5" ht="16.5">
      <c r="E16306" s="123"/>
    </row>
    <row r="16307" spans="5:5" ht="16.5">
      <c r="E16307" s="123"/>
    </row>
    <row r="16308" spans="5:5" ht="16.5">
      <c r="E16308" s="123"/>
    </row>
    <row r="16309" spans="5:5" ht="16.5">
      <c r="E16309" s="123"/>
    </row>
    <row r="16310" spans="5:5" ht="16.5">
      <c r="E16310" s="123"/>
    </row>
    <row r="16311" spans="5:5" ht="16.5">
      <c r="E16311" s="123"/>
    </row>
    <row r="16312" spans="5:5" ht="16.5">
      <c r="E16312" s="123"/>
    </row>
    <row r="16313" spans="5:5" ht="16.5">
      <c r="E16313" s="123"/>
    </row>
    <row r="16314" spans="5:5" ht="16.5">
      <c r="E16314" s="123"/>
    </row>
    <row r="16315" spans="5:5" ht="16.5">
      <c r="E16315" s="123"/>
    </row>
    <row r="16316" spans="5:5" ht="16.5">
      <c r="E16316" s="123"/>
    </row>
    <row r="16317" spans="5:5" ht="16.5">
      <c r="E16317" s="123"/>
    </row>
    <row r="16318" spans="5:5" ht="16.5">
      <c r="E16318" s="123"/>
    </row>
    <row r="16319" spans="5:5" ht="16.5">
      <c r="E16319" s="123"/>
    </row>
    <row r="16320" spans="5:5" ht="16.5">
      <c r="E16320" s="123"/>
    </row>
    <row r="16321" spans="5:5" ht="16.5">
      <c r="E16321" s="123"/>
    </row>
    <row r="16322" spans="5:5" ht="16.5">
      <c r="E16322" s="123"/>
    </row>
    <row r="16323" spans="5:5" ht="16.5">
      <c r="E16323" s="123"/>
    </row>
    <row r="16324" spans="5:5" ht="16.5">
      <c r="E16324" s="123"/>
    </row>
    <row r="16325" spans="5:5" ht="16.5">
      <c r="E16325" s="123"/>
    </row>
    <row r="16326" spans="5:5" ht="16.5">
      <c r="E16326" s="123"/>
    </row>
    <row r="16327" spans="5:5" ht="16.5">
      <c r="E16327" s="123"/>
    </row>
    <row r="16328" spans="5:5" ht="16.5">
      <c r="E16328" s="123"/>
    </row>
    <row r="16329" spans="5:5" ht="16.5">
      <c r="E16329" s="123"/>
    </row>
    <row r="16330" spans="5:5" ht="16.5">
      <c r="E16330" s="123"/>
    </row>
    <row r="16331" spans="5:5" ht="16.5">
      <c r="E16331" s="123"/>
    </row>
    <row r="16332" spans="5:5" ht="16.5">
      <c r="E16332" s="123"/>
    </row>
    <row r="16333" spans="5:5" ht="16.5">
      <c r="E16333" s="123"/>
    </row>
    <row r="16334" spans="5:5" ht="16.5">
      <c r="E16334" s="123"/>
    </row>
    <row r="16335" spans="5:5" ht="16.5">
      <c r="E16335" s="123"/>
    </row>
    <row r="16336" spans="5:5" ht="16.5">
      <c r="E16336" s="123"/>
    </row>
    <row r="16337" spans="5:5" ht="16.5">
      <c r="E16337" s="123"/>
    </row>
    <row r="16338" spans="5:5" ht="16.5">
      <c r="E16338" s="123"/>
    </row>
    <row r="16339" spans="5:5" ht="16.5">
      <c r="E16339" s="123"/>
    </row>
    <row r="16340" spans="5:5" ht="16.5">
      <c r="E16340" s="123"/>
    </row>
    <row r="16341" spans="5:5" ht="16.5">
      <c r="E16341" s="123"/>
    </row>
    <row r="16342" spans="5:5" ht="16.5">
      <c r="E16342" s="123"/>
    </row>
    <row r="16343" spans="5:5" ht="16.5">
      <c r="E16343" s="123"/>
    </row>
    <row r="16344" spans="5:5" ht="16.5">
      <c r="E16344" s="123"/>
    </row>
    <row r="16345" spans="5:5" ht="16.5">
      <c r="E16345" s="123"/>
    </row>
    <row r="16346" spans="5:5" ht="16.5">
      <c r="E16346" s="123"/>
    </row>
    <row r="16347" spans="5:5" ht="16.5">
      <c r="E16347" s="123"/>
    </row>
    <row r="16348" spans="5:5" ht="16.5">
      <c r="E16348" s="123"/>
    </row>
    <row r="16349" spans="5:5" ht="16.5">
      <c r="E16349" s="123"/>
    </row>
    <row r="16350" spans="5:5" ht="16.5">
      <c r="E16350" s="123"/>
    </row>
    <row r="16351" spans="5:5" ht="16.5">
      <c r="E16351" s="123"/>
    </row>
    <row r="16352" spans="5:5" ht="16.5">
      <c r="E16352" s="123"/>
    </row>
    <row r="16353" spans="5:5" ht="16.5">
      <c r="E16353" s="123"/>
    </row>
    <row r="16354" spans="5:5" ht="16.5">
      <c r="E16354" s="123"/>
    </row>
    <row r="16355" spans="5:5" ht="16.5">
      <c r="E16355" s="123"/>
    </row>
    <row r="16356" spans="5:5" ht="16.5">
      <c r="E16356" s="123"/>
    </row>
    <row r="16357" spans="5:5" ht="16.5">
      <c r="E16357" s="123"/>
    </row>
    <row r="16358" spans="5:5" ht="16.5">
      <c r="E16358" s="123"/>
    </row>
    <row r="16359" spans="5:5" ht="16.5">
      <c r="E16359" s="123"/>
    </row>
    <row r="16360" spans="5:5" ht="16.5">
      <c r="E16360" s="123"/>
    </row>
    <row r="16361" spans="5:5" ht="16.5">
      <c r="E16361" s="123"/>
    </row>
    <row r="16362" spans="5:5" ht="16.5">
      <c r="E16362" s="123"/>
    </row>
    <row r="16363" spans="5:5" ht="16.5">
      <c r="E16363" s="123"/>
    </row>
    <row r="16364" spans="5:5" ht="16.5">
      <c r="E16364" s="123"/>
    </row>
    <row r="16365" spans="5:5" ht="16.5">
      <c r="E16365" s="123"/>
    </row>
    <row r="16366" spans="5:5" ht="16.5">
      <c r="E16366" s="123"/>
    </row>
    <row r="16367" spans="5:5" ht="16.5">
      <c r="E16367" s="123"/>
    </row>
    <row r="16368" spans="5:5" ht="16.5">
      <c r="E16368" s="123"/>
    </row>
    <row r="16369" spans="5:5" ht="16.5">
      <c r="E16369" s="123"/>
    </row>
    <row r="16370" spans="5:5" ht="16.5">
      <c r="E16370" s="123"/>
    </row>
    <row r="16371" spans="5:5" ht="16.5">
      <c r="E16371" s="123"/>
    </row>
    <row r="16372" spans="5:5" ht="16.5">
      <c r="E16372" s="123"/>
    </row>
    <row r="16373" spans="5:5" ht="16.5">
      <c r="E16373" s="123"/>
    </row>
    <row r="16374" spans="5:5" ht="16.5">
      <c r="E16374" s="123"/>
    </row>
    <row r="16375" spans="5:5" ht="16.5">
      <c r="E16375" s="123"/>
    </row>
    <row r="16376" spans="5:5" ht="16.5">
      <c r="E16376" s="123"/>
    </row>
    <row r="16377" spans="5:5" ht="16.5">
      <c r="E16377" s="123"/>
    </row>
    <row r="16378" spans="5:5" ht="16.5">
      <c r="E16378" s="123"/>
    </row>
    <row r="16379" spans="5:5" ht="16.5">
      <c r="E16379" s="123"/>
    </row>
    <row r="16380" spans="5:5" ht="16.5">
      <c r="E16380" s="123"/>
    </row>
    <row r="16381" spans="5:5" ht="16.5">
      <c r="E16381" s="123"/>
    </row>
    <row r="16382" spans="5:5" ht="16.5">
      <c r="E16382" s="123"/>
    </row>
    <row r="16383" spans="5:5" ht="16.5">
      <c r="E16383" s="123"/>
    </row>
    <row r="16384" spans="5:5" ht="16.5">
      <c r="E16384" s="123"/>
    </row>
    <row r="16385" spans="5:5" ht="16.5">
      <c r="E16385" s="123"/>
    </row>
    <row r="16386" spans="5:5" ht="16.5">
      <c r="E16386" s="123"/>
    </row>
    <row r="16387" spans="5:5" ht="16.5">
      <c r="E16387" s="123"/>
    </row>
    <row r="16388" spans="5:5" ht="16.5">
      <c r="E16388" s="123"/>
    </row>
    <row r="16389" spans="5:5" ht="16.5">
      <c r="E16389" s="123"/>
    </row>
    <row r="16390" spans="5:5" ht="16.5">
      <c r="E16390" s="123"/>
    </row>
    <row r="16391" spans="5:5" ht="16.5">
      <c r="E16391" s="123"/>
    </row>
    <row r="16392" spans="5:5" ht="16.5">
      <c r="E16392" s="123"/>
    </row>
    <row r="16393" spans="5:5" ht="16.5">
      <c r="E16393" s="123"/>
    </row>
    <row r="16394" spans="5:5" ht="16.5">
      <c r="E16394" s="123"/>
    </row>
    <row r="16395" spans="5:5" ht="16.5">
      <c r="E16395" s="123"/>
    </row>
    <row r="16396" spans="5:5" ht="16.5">
      <c r="E16396" s="123"/>
    </row>
    <row r="16397" spans="5:5" ht="16.5">
      <c r="E16397" s="123"/>
    </row>
    <row r="16398" spans="5:5" ht="16.5">
      <c r="E16398" s="123"/>
    </row>
    <row r="16399" spans="5:5" ht="16.5">
      <c r="E16399" s="123"/>
    </row>
    <row r="16400" spans="5:5" ht="16.5">
      <c r="E16400" s="123"/>
    </row>
    <row r="16401" spans="5:5" ht="16.5">
      <c r="E16401" s="123"/>
    </row>
    <row r="16402" spans="5:5" ht="16.5">
      <c r="E16402" s="123"/>
    </row>
    <row r="16403" spans="5:5" ht="16.5">
      <c r="E16403" s="123"/>
    </row>
    <row r="16404" spans="5:5" ht="16.5">
      <c r="E16404" s="123"/>
    </row>
    <row r="16405" spans="5:5" ht="16.5">
      <c r="E16405" s="123"/>
    </row>
    <row r="16406" spans="5:5" ht="16.5">
      <c r="E16406" s="123"/>
    </row>
    <row r="16407" spans="5:5" ht="16.5">
      <c r="E16407" s="123"/>
    </row>
    <row r="16408" spans="5:5" ht="16.5">
      <c r="E16408" s="123"/>
    </row>
    <row r="16409" spans="5:5" ht="16.5">
      <c r="E16409" s="123"/>
    </row>
    <row r="16410" spans="5:5" ht="16.5">
      <c r="E16410" s="123"/>
    </row>
    <row r="16411" spans="5:5" ht="16.5">
      <c r="E16411" s="123"/>
    </row>
    <row r="16412" spans="5:5" ht="16.5">
      <c r="E16412" s="123"/>
    </row>
    <row r="16413" spans="5:5" ht="16.5">
      <c r="E16413" s="123"/>
    </row>
    <row r="16414" spans="5:5" ht="16.5">
      <c r="E16414" s="123"/>
    </row>
    <row r="16415" spans="5:5" ht="16.5">
      <c r="E16415" s="123"/>
    </row>
    <row r="16416" spans="5:5" ht="16.5">
      <c r="E16416" s="123"/>
    </row>
    <row r="16417" spans="5:5" ht="16.5">
      <c r="E16417" s="123"/>
    </row>
    <row r="16418" spans="5:5" ht="16.5">
      <c r="E16418" s="123"/>
    </row>
    <row r="16419" spans="5:5" ht="16.5">
      <c r="E16419" s="123"/>
    </row>
    <row r="16420" spans="5:5" ht="16.5">
      <c r="E16420" s="123"/>
    </row>
    <row r="16421" spans="5:5" ht="16.5">
      <c r="E16421" s="123"/>
    </row>
    <row r="16422" spans="5:5" ht="16.5">
      <c r="E16422" s="123"/>
    </row>
    <row r="16423" spans="5:5" ht="16.5">
      <c r="E16423" s="123"/>
    </row>
    <row r="16424" spans="5:5" ht="16.5">
      <c r="E16424" s="123"/>
    </row>
    <row r="16425" spans="5:5" ht="16.5">
      <c r="E16425" s="123"/>
    </row>
    <row r="16426" spans="5:5" ht="16.5">
      <c r="E16426" s="123"/>
    </row>
    <row r="16427" spans="5:5" ht="16.5">
      <c r="E16427" s="123"/>
    </row>
    <row r="16428" spans="5:5" ht="16.5">
      <c r="E16428" s="123"/>
    </row>
    <row r="16429" spans="5:5" ht="16.5">
      <c r="E16429" s="123"/>
    </row>
    <row r="16430" spans="5:5" ht="16.5">
      <c r="E16430" s="123"/>
    </row>
    <row r="16431" spans="5:5" ht="16.5">
      <c r="E16431" s="123"/>
    </row>
    <row r="16432" spans="5:5" ht="16.5">
      <c r="E16432" s="123"/>
    </row>
    <row r="16433" spans="5:5" ht="16.5">
      <c r="E16433" s="123"/>
    </row>
    <row r="16434" spans="5:5" ht="16.5">
      <c r="E16434" s="123"/>
    </row>
    <row r="16435" spans="5:5" ht="16.5">
      <c r="E16435" s="123"/>
    </row>
    <row r="16436" spans="5:5" ht="16.5">
      <c r="E16436" s="123"/>
    </row>
    <row r="16437" spans="5:5" ht="16.5">
      <c r="E16437" s="123"/>
    </row>
    <row r="16438" spans="5:5" ht="16.5">
      <c r="E16438" s="123"/>
    </row>
    <row r="16439" spans="5:5" ht="16.5">
      <c r="E16439" s="123"/>
    </row>
    <row r="16440" spans="5:5" ht="16.5">
      <c r="E16440" s="123"/>
    </row>
    <row r="16441" spans="5:5" ht="16.5">
      <c r="E16441" s="123"/>
    </row>
    <row r="16442" spans="5:5" ht="16.5">
      <c r="E16442" s="123"/>
    </row>
    <row r="16443" spans="5:5" ht="16.5">
      <c r="E16443" s="123"/>
    </row>
    <row r="16444" spans="5:5" ht="16.5">
      <c r="E16444" s="123"/>
    </row>
    <row r="16445" spans="5:5" ht="16.5">
      <c r="E16445" s="123"/>
    </row>
    <row r="16446" spans="5:5" ht="16.5">
      <c r="E16446" s="123"/>
    </row>
    <row r="16447" spans="5:5" ht="16.5">
      <c r="E16447" s="123"/>
    </row>
    <row r="16448" spans="5:5" ht="16.5">
      <c r="E16448" s="123"/>
    </row>
    <row r="16449" spans="5:5" ht="16.5">
      <c r="E16449" s="123"/>
    </row>
    <row r="16450" spans="5:5" ht="16.5">
      <c r="E16450" s="123"/>
    </row>
    <row r="16451" spans="5:5" ht="16.5">
      <c r="E16451" s="123"/>
    </row>
    <row r="16452" spans="5:5" ht="16.5">
      <c r="E16452" s="123"/>
    </row>
    <row r="16453" spans="5:5" ht="16.5">
      <c r="E16453" s="123"/>
    </row>
    <row r="16454" spans="5:5" ht="16.5">
      <c r="E16454" s="123"/>
    </row>
    <row r="16455" spans="5:5" ht="16.5">
      <c r="E16455" s="123"/>
    </row>
    <row r="16456" spans="5:5" ht="16.5">
      <c r="E16456" s="123"/>
    </row>
    <row r="16457" spans="5:5" ht="16.5">
      <c r="E16457" s="123"/>
    </row>
    <row r="16458" spans="5:5" ht="16.5">
      <c r="E16458" s="123"/>
    </row>
    <row r="16459" spans="5:5" ht="16.5">
      <c r="E16459" s="123"/>
    </row>
    <row r="16460" spans="5:5" ht="16.5">
      <c r="E16460" s="123"/>
    </row>
    <row r="16461" spans="5:5" ht="16.5">
      <c r="E16461" s="123"/>
    </row>
    <row r="16462" spans="5:5" ht="16.5">
      <c r="E16462" s="123"/>
    </row>
    <row r="16463" spans="5:5" ht="16.5">
      <c r="E16463" s="123"/>
    </row>
    <row r="16464" spans="5:5" ht="16.5">
      <c r="E16464" s="123"/>
    </row>
    <row r="16465" spans="5:5" ht="16.5">
      <c r="E16465" s="123"/>
    </row>
    <row r="16466" spans="5:5" ht="16.5">
      <c r="E16466" s="123"/>
    </row>
    <row r="16467" spans="5:5" ht="16.5">
      <c r="E16467" s="123"/>
    </row>
    <row r="16468" spans="5:5" ht="16.5">
      <c r="E16468" s="123"/>
    </row>
    <row r="16469" spans="5:5" ht="16.5">
      <c r="E16469" s="123"/>
    </row>
    <row r="16470" spans="5:5" ht="16.5">
      <c r="E16470" s="123"/>
    </row>
    <row r="16471" spans="5:5" ht="16.5">
      <c r="E16471" s="123"/>
    </row>
    <row r="16472" spans="5:5" ht="16.5">
      <c r="E16472" s="123"/>
    </row>
    <row r="16473" spans="5:5" ht="16.5">
      <c r="E16473" s="123"/>
    </row>
    <row r="16474" spans="5:5" ht="16.5">
      <c r="E16474" s="123"/>
    </row>
    <row r="16475" spans="5:5" ht="16.5">
      <c r="E16475" s="123"/>
    </row>
    <row r="16476" spans="5:5" ht="16.5">
      <c r="E16476" s="123"/>
    </row>
    <row r="16477" spans="5:5" ht="16.5">
      <c r="E16477" s="123"/>
    </row>
    <row r="16478" spans="5:5" ht="16.5">
      <c r="E16478" s="123"/>
    </row>
    <row r="16479" spans="5:5" ht="16.5">
      <c r="E16479" s="123"/>
    </row>
    <row r="16480" spans="5:5" ht="16.5">
      <c r="E16480" s="123"/>
    </row>
    <row r="16481" spans="5:5" ht="16.5">
      <c r="E16481" s="123"/>
    </row>
    <row r="16482" spans="5:5" ht="16.5">
      <c r="E16482" s="123"/>
    </row>
    <row r="16483" spans="5:5" ht="16.5">
      <c r="E16483" s="123"/>
    </row>
    <row r="16484" spans="5:5" ht="16.5">
      <c r="E16484" s="123"/>
    </row>
    <row r="16485" spans="5:5" ht="16.5">
      <c r="E16485" s="123"/>
    </row>
    <row r="16486" spans="5:5" ht="16.5">
      <c r="E16486" s="123"/>
    </row>
    <row r="16487" spans="5:5" ht="16.5">
      <c r="E16487" s="123"/>
    </row>
    <row r="16488" spans="5:5" ht="16.5">
      <c r="E16488" s="123"/>
    </row>
    <row r="16489" spans="5:5" ht="16.5">
      <c r="E16489" s="123"/>
    </row>
    <row r="16490" spans="5:5" ht="16.5">
      <c r="E16490" s="123"/>
    </row>
    <row r="16491" spans="5:5" ht="16.5">
      <c r="E16491" s="123"/>
    </row>
    <row r="16492" spans="5:5" ht="16.5">
      <c r="E16492" s="123"/>
    </row>
    <row r="16493" spans="5:5" ht="16.5">
      <c r="E16493" s="123"/>
    </row>
    <row r="16494" spans="5:5" ht="16.5">
      <c r="E16494" s="123"/>
    </row>
    <row r="16495" spans="5:5" ht="16.5">
      <c r="E16495" s="123"/>
    </row>
    <row r="16496" spans="5:5" ht="16.5">
      <c r="E16496" s="123"/>
    </row>
    <row r="16497" spans="5:5" ht="16.5">
      <c r="E16497" s="123"/>
    </row>
    <row r="16498" spans="5:5" ht="16.5">
      <c r="E16498" s="123"/>
    </row>
    <row r="16499" spans="5:5" ht="16.5">
      <c r="E16499" s="123"/>
    </row>
    <row r="16500" spans="5:5" ht="16.5">
      <c r="E16500" s="123"/>
    </row>
    <row r="16501" spans="5:5" ht="16.5">
      <c r="E16501" s="123"/>
    </row>
    <row r="16502" spans="5:5" ht="16.5">
      <c r="E16502" s="123"/>
    </row>
    <row r="16503" spans="5:5" ht="16.5">
      <c r="E16503" s="123"/>
    </row>
    <row r="16504" spans="5:5" ht="16.5">
      <c r="E16504" s="123"/>
    </row>
    <row r="16505" spans="5:5" ht="16.5">
      <c r="E16505" s="123"/>
    </row>
    <row r="16506" spans="5:5" ht="16.5">
      <c r="E16506" s="123"/>
    </row>
    <row r="16507" spans="5:5" ht="16.5">
      <c r="E16507" s="123"/>
    </row>
    <row r="16508" spans="5:5" ht="16.5">
      <c r="E16508" s="123"/>
    </row>
    <row r="16509" spans="5:5" ht="16.5">
      <c r="E16509" s="123"/>
    </row>
    <row r="16510" spans="5:5" ht="16.5">
      <c r="E16510" s="123"/>
    </row>
    <row r="16511" spans="5:5" ht="16.5">
      <c r="E16511" s="123"/>
    </row>
    <row r="16512" spans="5:5" ht="16.5">
      <c r="E16512" s="123"/>
    </row>
    <row r="16513" spans="5:5" ht="16.5">
      <c r="E16513" s="123"/>
    </row>
    <row r="16514" spans="5:5" ht="16.5">
      <c r="E16514" s="123"/>
    </row>
    <row r="16515" spans="5:5" ht="16.5">
      <c r="E16515" s="123"/>
    </row>
    <row r="16516" spans="5:5" ht="16.5">
      <c r="E16516" s="123"/>
    </row>
    <row r="16517" spans="5:5" ht="16.5">
      <c r="E16517" s="123"/>
    </row>
    <row r="16518" spans="5:5" ht="16.5">
      <c r="E16518" s="123"/>
    </row>
    <row r="16519" spans="5:5" ht="16.5">
      <c r="E16519" s="123"/>
    </row>
    <row r="16520" spans="5:5" ht="16.5">
      <c r="E16520" s="123"/>
    </row>
    <row r="16521" spans="5:5" ht="16.5">
      <c r="E16521" s="123"/>
    </row>
    <row r="16522" spans="5:5" ht="16.5">
      <c r="E16522" s="123"/>
    </row>
    <row r="16523" spans="5:5" ht="16.5">
      <c r="E16523" s="123"/>
    </row>
    <row r="16524" spans="5:5" ht="16.5">
      <c r="E16524" s="123"/>
    </row>
    <row r="16525" spans="5:5" ht="16.5">
      <c r="E16525" s="123"/>
    </row>
    <row r="16526" spans="5:5" ht="16.5">
      <c r="E16526" s="123"/>
    </row>
    <row r="16527" spans="5:5" ht="16.5">
      <c r="E16527" s="123"/>
    </row>
    <row r="16528" spans="5:5" ht="16.5">
      <c r="E16528" s="123"/>
    </row>
    <row r="16529" spans="5:5" ht="16.5">
      <c r="E16529" s="123"/>
    </row>
    <row r="16530" spans="5:5" ht="16.5">
      <c r="E16530" s="123"/>
    </row>
    <row r="16531" spans="5:5" ht="16.5">
      <c r="E16531" s="123"/>
    </row>
    <row r="16532" spans="5:5" ht="16.5">
      <c r="E16532" s="123"/>
    </row>
    <row r="16533" spans="5:5" ht="16.5">
      <c r="E16533" s="123"/>
    </row>
    <row r="16534" spans="5:5" ht="16.5">
      <c r="E16534" s="123"/>
    </row>
    <row r="16535" spans="5:5" ht="16.5">
      <c r="E16535" s="123"/>
    </row>
    <row r="16536" spans="5:5" ht="16.5">
      <c r="E16536" s="123"/>
    </row>
    <row r="16537" spans="5:5" ht="16.5">
      <c r="E16537" s="123"/>
    </row>
    <row r="16538" spans="5:5" ht="16.5">
      <c r="E16538" s="123"/>
    </row>
    <row r="16539" spans="5:5" ht="16.5">
      <c r="E16539" s="123"/>
    </row>
    <row r="16540" spans="5:5" ht="16.5">
      <c r="E16540" s="123"/>
    </row>
    <row r="16541" spans="5:5" ht="16.5">
      <c r="E16541" s="123"/>
    </row>
    <row r="16542" spans="5:5" ht="16.5">
      <c r="E16542" s="123"/>
    </row>
    <row r="16543" spans="5:5" ht="16.5">
      <c r="E16543" s="123"/>
    </row>
    <row r="16544" spans="5:5" ht="16.5">
      <c r="E16544" s="123"/>
    </row>
    <row r="16545" spans="5:5" ht="16.5">
      <c r="E16545" s="123"/>
    </row>
    <row r="16546" spans="5:5" ht="16.5">
      <c r="E16546" s="123"/>
    </row>
    <row r="16547" spans="5:5" ht="16.5">
      <c r="E16547" s="123"/>
    </row>
    <row r="16548" spans="5:5" ht="16.5">
      <c r="E16548" s="123"/>
    </row>
    <row r="16549" spans="5:5" ht="16.5">
      <c r="E16549" s="123"/>
    </row>
    <row r="16550" spans="5:5" ht="16.5">
      <c r="E16550" s="123"/>
    </row>
    <row r="16551" spans="5:5" ht="16.5">
      <c r="E16551" s="123"/>
    </row>
    <row r="16552" spans="5:5" ht="16.5">
      <c r="E16552" s="123"/>
    </row>
    <row r="16553" spans="5:5" ht="16.5">
      <c r="E16553" s="123"/>
    </row>
    <row r="16554" spans="5:5" ht="16.5">
      <c r="E16554" s="123"/>
    </row>
    <row r="16555" spans="5:5" ht="16.5">
      <c r="E16555" s="123"/>
    </row>
    <row r="16556" spans="5:5" ht="16.5">
      <c r="E16556" s="123"/>
    </row>
    <row r="16557" spans="5:5" ht="16.5">
      <c r="E16557" s="123"/>
    </row>
    <row r="16558" spans="5:5" ht="16.5">
      <c r="E16558" s="123"/>
    </row>
    <row r="16559" spans="5:5" ht="16.5">
      <c r="E16559" s="123"/>
    </row>
    <row r="16560" spans="5:5" ht="16.5">
      <c r="E16560" s="123"/>
    </row>
    <row r="16561" spans="5:5" ht="16.5">
      <c r="E16561" s="123"/>
    </row>
    <row r="16562" spans="5:5" ht="16.5">
      <c r="E16562" s="123"/>
    </row>
    <row r="16563" spans="5:5" ht="16.5">
      <c r="E16563" s="123"/>
    </row>
    <row r="16564" spans="5:5" ht="16.5">
      <c r="E16564" s="123"/>
    </row>
    <row r="16565" spans="5:5" ht="16.5">
      <c r="E16565" s="123"/>
    </row>
    <row r="16566" spans="5:5" ht="16.5">
      <c r="E16566" s="123"/>
    </row>
    <row r="16567" spans="5:5" ht="16.5">
      <c r="E16567" s="123"/>
    </row>
    <row r="16568" spans="5:5" ht="16.5">
      <c r="E16568" s="123"/>
    </row>
    <row r="16569" spans="5:5" ht="16.5">
      <c r="E16569" s="123"/>
    </row>
    <row r="16570" spans="5:5" ht="16.5">
      <c r="E16570" s="123"/>
    </row>
    <row r="16571" spans="5:5" ht="16.5">
      <c r="E16571" s="123"/>
    </row>
    <row r="16572" spans="5:5" ht="16.5">
      <c r="E16572" s="123"/>
    </row>
    <row r="16573" spans="5:5" ht="16.5">
      <c r="E16573" s="123"/>
    </row>
    <row r="16574" spans="5:5" ht="16.5">
      <c r="E16574" s="123"/>
    </row>
    <row r="16575" spans="5:5" ht="16.5">
      <c r="E16575" s="123"/>
    </row>
    <row r="16576" spans="5:5" ht="16.5">
      <c r="E16576" s="123"/>
    </row>
    <row r="16577" spans="5:5" ht="16.5">
      <c r="E16577" s="123"/>
    </row>
    <row r="16578" spans="5:5" ht="16.5">
      <c r="E16578" s="123"/>
    </row>
    <row r="16579" spans="5:5" ht="16.5">
      <c r="E16579" s="123"/>
    </row>
    <row r="16580" spans="5:5" ht="16.5">
      <c r="E16580" s="123"/>
    </row>
    <row r="16581" spans="5:5" ht="16.5">
      <c r="E16581" s="123"/>
    </row>
    <row r="16582" spans="5:5" ht="16.5">
      <c r="E16582" s="123"/>
    </row>
    <row r="16583" spans="5:5" ht="16.5">
      <c r="E16583" s="123"/>
    </row>
    <row r="16584" spans="5:5" ht="16.5">
      <c r="E16584" s="123"/>
    </row>
    <row r="16585" spans="5:5" ht="16.5">
      <c r="E16585" s="123"/>
    </row>
    <row r="16586" spans="5:5" ht="16.5">
      <c r="E16586" s="123"/>
    </row>
    <row r="16587" spans="5:5" ht="16.5">
      <c r="E16587" s="123"/>
    </row>
    <row r="16588" spans="5:5" ht="16.5">
      <c r="E16588" s="123"/>
    </row>
    <row r="16589" spans="5:5" ht="16.5">
      <c r="E16589" s="123"/>
    </row>
    <row r="16590" spans="5:5" ht="16.5">
      <c r="E16590" s="123"/>
    </row>
    <row r="16591" spans="5:5" ht="16.5">
      <c r="E16591" s="123"/>
    </row>
    <row r="16592" spans="5:5" ht="16.5">
      <c r="E16592" s="123"/>
    </row>
    <row r="16593" spans="5:5" ht="16.5">
      <c r="E16593" s="123"/>
    </row>
    <row r="16594" spans="5:5" ht="16.5">
      <c r="E16594" s="123"/>
    </row>
    <row r="16595" spans="5:5" ht="16.5">
      <c r="E16595" s="123"/>
    </row>
    <row r="16596" spans="5:5" ht="16.5">
      <c r="E16596" s="123"/>
    </row>
    <row r="16597" spans="5:5" ht="16.5">
      <c r="E16597" s="123"/>
    </row>
    <row r="16598" spans="5:5" ht="16.5">
      <c r="E16598" s="123"/>
    </row>
    <row r="16599" spans="5:5" ht="16.5">
      <c r="E16599" s="123"/>
    </row>
    <row r="16600" spans="5:5" ht="16.5">
      <c r="E16600" s="123"/>
    </row>
    <row r="16601" spans="5:5" ht="16.5">
      <c r="E16601" s="123"/>
    </row>
    <row r="16602" spans="5:5" ht="16.5">
      <c r="E16602" s="123"/>
    </row>
    <row r="16603" spans="5:5" ht="16.5">
      <c r="E16603" s="123"/>
    </row>
    <row r="16604" spans="5:5" ht="16.5">
      <c r="E16604" s="123"/>
    </row>
    <row r="16605" spans="5:5" ht="16.5">
      <c r="E16605" s="123"/>
    </row>
    <row r="16606" spans="5:5" ht="16.5">
      <c r="E16606" s="123"/>
    </row>
    <row r="16607" spans="5:5" ht="16.5">
      <c r="E16607" s="123"/>
    </row>
    <row r="16608" spans="5:5" ht="16.5">
      <c r="E16608" s="123"/>
    </row>
    <row r="16609" spans="5:5" ht="16.5">
      <c r="E16609" s="123"/>
    </row>
    <row r="16610" spans="5:5" ht="16.5">
      <c r="E16610" s="123"/>
    </row>
    <row r="16611" spans="5:5" ht="16.5">
      <c r="E16611" s="123"/>
    </row>
    <row r="16612" spans="5:5" ht="16.5">
      <c r="E16612" s="123"/>
    </row>
    <row r="16613" spans="5:5" ht="16.5">
      <c r="E16613" s="123"/>
    </row>
    <row r="16614" spans="5:5" ht="16.5">
      <c r="E16614" s="123"/>
    </row>
    <row r="16615" spans="5:5" ht="16.5">
      <c r="E16615" s="123"/>
    </row>
    <row r="16616" spans="5:5" ht="16.5">
      <c r="E16616" s="123"/>
    </row>
    <row r="16617" spans="5:5" ht="16.5">
      <c r="E16617" s="123"/>
    </row>
    <row r="16618" spans="5:5" ht="16.5">
      <c r="E16618" s="123"/>
    </row>
    <row r="16619" spans="5:5" ht="16.5">
      <c r="E16619" s="123"/>
    </row>
    <row r="16620" spans="5:5" ht="16.5">
      <c r="E16620" s="123"/>
    </row>
    <row r="16621" spans="5:5" ht="16.5">
      <c r="E16621" s="123"/>
    </row>
    <row r="16622" spans="5:5" ht="16.5">
      <c r="E16622" s="123"/>
    </row>
    <row r="16623" spans="5:5" ht="16.5">
      <c r="E16623" s="123"/>
    </row>
    <row r="16624" spans="5:5" ht="16.5">
      <c r="E16624" s="123"/>
    </row>
    <row r="16625" spans="5:5" ht="16.5">
      <c r="E16625" s="123"/>
    </row>
    <row r="16626" spans="5:5" ht="16.5">
      <c r="E16626" s="123"/>
    </row>
    <row r="16627" spans="5:5" ht="16.5">
      <c r="E16627" s="123"/>
    </row>
    <row r="16628" spans="5:5" ht="16.5">
      <c r="E16628" s="123"/>
    </row>
    <row r="16629" spans="5:5" ht="16.5">
      <c r="E16629" s="123"/>
    </row>
    <row r="16630" spans="5:5" ht="16.5">
      <c r="E16630" s="123"/>
    </row>
    <row r="16631" spans="5:5" ht="16.5">
      <c r="E16631" s="123"/>
    </row>
    <row r="16632" spans="5:5" ht="16.5">
      <c r="E16632" s="123"/>
    </row>
    <row r="16633" spans="5:5" ht="16.5">
      <c r="E16633" s="123"/>
    </row>
    <row r="16634" spans="5:5" ht="16.5">
      <c r="E16634" s="123"/>
    </row>
    <row r="16635" spans="5:5" ht="16.5">
      <c r="E16635" s="123"/>
    </row>
    <row r="16636" spans="5:5" ht="16.5">
      <c r="E16636" s="123"/>
    </row>
    <row r="16637" spans="5:5" ht="16.5">
      <c r="E16637" s="123"/>
    </row>
    <row r="16638" spans="5:5" ht="16.5">
      <c r="E16638" s="123"/>
    </row>
    <row r="16639" spans="5:5" ht="16.5">
      <c r="E16639" s="123"/>
    </row>
    <row r="16640" spans="5:5" ht="16.5">
      <c r="E16640" s="123"/>
    </row>
    <row r="16641" spans="5:5" ht="16.5">
      <c r="E16641" s="123"/>
    </row>
    <row r="16642" spans="5:5" ht="16.5">
      <c r="E16642" s="123"/>
    </row>
    <row r="16643" spans="5:5" ht="16.5">
      <c r="E16643" s="123"/>
    </row>
    <row r="16644" spans="5:5" ht="16.5">
      <c r="E16644" s="123"/>
    </row>
    <row r="16645" spans="5:5" ht="16.5">
      <c r="E16645" s="123"/>
    </row>
    <row r="16646" spans="5:5" ht="16.5">
      <c r="E16646" s="123"/>
    </row>
    <row r="16647" spans="5:5" ht="16.5">
      <c r="E16647" s="123"/>
    </row>
    <row r="16648" spans="5:5" ht="16.5">
      <c r="E16648" s="123"/>
    </row>
    <row r="16649" spans="5:5" ht="16.5">
      <c r="E16649" s="123"/>
    </row>
    <row r="16650" spans="5:5" ht="16.5">
      <c r="E16650" s="123"/>
    </row>
    <row r="16651" spans="5:5" ht="16.5">
      <c r="E16651" s="123"/>
    </row>
    <row r="16652" spans="5:5" ht="16.5">
      <c r="E16652" s="123"/>
    </row>
    <row r="16653" spans="5:5" ht="16.5">
      <c r="E16653" s="123"/>
    </row>
    <row r="16654" spans="5:5" ht="16.5">
      <c r="E16654" s="123"/>
    </row>
    <row r="16655" spans="5:5" ht="16.5">
      <c r="E16655" s="123"/>
    </row>
    <row r="16656" spans="5:5" ht="16.5">
      <c r="E16656" s="123"/>
    </row>
    <row r="16657" spans="5:5" ht="16.5">
      <c r="E16657" s="123"/>
    </row>
    <row r="16658" spans="5:5" ht="16.5">
      <c r="E16658" s="123"/>
    </row>
    <row r="16659" spans="5:5" ht="16.5">
      <c r="E16659" s="123"/>
    </row>
    <row r="16660" spans="5:5" ht="16.5">
      <c r="E16660" s="123"/>
    </row>
    <row r="16661" spans="5:5" ht="16.5">
      <c r="E16661" s="123"/>
    </row>
    <row r="16662" spans="5:5" ht="16.5">
      <c r="E16662" s="123"/>
    </row>
    <row r="16663" spans="5:5" ht="16.5">
      <c r="E16663" s="123"/>
    </row>
    <row r="16664" spans="5:5" ht="16.5">
      <c r="E16664" s="123"/>
    </row>
    <row r="16665" spans="5:5" ht="16.5">
      <c r="E16665" s="123"/>
    </row>
    <row r="16666" spans="5:5" ht="16.5">
      <c r="E16666" s="123"/>
    </row>
    <row r="16667" spans="5:5" ht="16.5">
      <c r="E16667" s="123"/>
    </row>
    <row r="16668" spans="5:5" ht="16.5">
      <c r="E16668" s="123"/>
    </row>
    <row r="16669" spans="5:5" ht="16.5">
      <c r="E16669" s="123"/>
    </row>
    <row r="16670" spans="5:5" ht="16.5">
      <c r="E16670" s="123"/>
    </row>
    <row r="16671" spans="5:5" ht="16.5">
      <c r="E16671" s="123"/>
    </row>
    <row r="16672" spans="5:5" ht="16.5">
      <c r="E16672" s="123"/>
    </row>
    <row r="16673" spans="5:5" ht="16.5">
      <c r="E16673" s="123"/>
    </row>
    <row r="16674" spans="5:5" ht="16.5">
      <c r="E16674" s="123"/>
    </row>
    <row r="16675" spans="5:5" ht="16.5">
      <c r="E16675" s="123"/>
    </row>
    <row r="16676" spans="5:5" ht="16.5">
      <c r="E16676" s="123"/>
    </row>
    <row r="16677" spans="5:5" ht="16.5">
      <c r="E16677" s="123"/>
    </row>
    <row r="16678" spans="5:5" ht="16.5">
      <c r="E16678" s="123"/>
    </row>
    <row r="16679" spans="5:5" ht="16.5">
      <c r="E16679" s="123"/>
    </row>
    <row r="16680" spans="5:5" ht="16.5">
      <c r="E16680" s="123"/>
    </row>
    <row r="16681" spans="5:5" ht="16.5">
      <c r="E16681" s="123"/>
    </row>
    <row r="16682" spans="5:5" ht="16.5">
      <c r="E16682" s="123"/>
    </row>
    <row r="16683" spans="5:5" ht="16.5">
      <c r="E16683" s="123"/>
    </row>
    <row r="16684" spans="5:5" ht="16.5">
      <c r="E16684" s="123"/>
    </row>
    <row r="16685" spans="5:5" ht="16.5">
      <c r="E16685" s="123"/>
    </row>
    <row r="16686" spans="5:5" ht="16.5">
      <c r="E16686" s="123"/>
    </row>
    <row r="16687" spans="5:5" ht="16.5">
      <c r="E16687" s="123"/>
    </row>
    <row r="16688" spans="5:5" ht="16.5">
      <c r="E16688" s="123"/>
    </row>
    <row r="16689" spans="5:5" ht="16.5">
      <c r="E16689" s="123"/>
    </row>
    <row r="16690" spans="5:5" ht="16.5">
      <c r="E16690" s="123"/>
    </row>
    <row r="16691" spans="5:5" ht="16.5">
      <c r="E16691" s="123"/>
    </row>
    <row r="16692" spans="5:5" ht="16.5">
      <c r="E16692" s="123"/>
    </row>
    <row r="16693" spans="5:5" ht="16.5">
      <c r="E16693" s="123"/>
    </row>
    <row r="16694" spans="5:5" ht="16.5">
      <c r="E16694" s="123"/>
    </row>
    <row r="16695" spans="5:5" ht="16.5">
      <c r="E16695" s="123"/>
    </row>
    <row r="16696" spans="5:5" ht="16.5">
      <c r="E16696" s="123"/>
    </row>
    <row r="16697" spans="5:5" ht="16.5">
      <c r="E16697" s="123"/>
    </row>
    <row r="16698" spans="5:5" ht="16.5">
      <c r="E16698" s="123"/>
    </row>
    <row r="16699" spans="5:5" ht="16.5">
      <c r="E16699" s="123"/>
    </row>
    <row r="16700" spans="5:5" ht="16.5">
      <c r="E16700" s="123"/>
    </row>
    <row r="16701" spans="5:5" ht="16.5">
      <c r="E16701" s="123"/>
    </row>
    <row r="16702" spans="5:5" ht="16.5">
      <c r="E16702" s="123"/>
    </row>
    <row r="16703" spans="5:5" ht="16.5">
      <c r="E16703" s="123"/>
    </row>
    <row r="16704" spans="5:5" ht="16.5">
      <c r="E16704" s="123"/>
    </row>
    <row r="16705" spans="5:5" ht="16.5">
      <c r="E16705" s="123"/>
    </row>
    <row r="16706" spans="5:5" ht="16.5">
      <c r="E16706" s="123"/>
    </row>
    <row r="16707" spans="5:5" ht="16.5">
      <c r="E16707" s="123"/>
    </row>
    <row r="16708" spans="5:5" ht="16.5">
      <c r="E16708" s="123"/>
    </row>
    <row r="16709" spans="5:5" ht="16.5">
      <c r="E16709" s="123"/>
    </row>
    <row r="16710" spans="5:5" ht="16.5">
      <c r="E16710" s="123"/>
    </row>
    <row r="16711" spans="5:5" ht="16.5">
      <c r="E16711" s="123"/>
    </row>
    <row r="16712" spans="5:5" ht="16.5">
      <c r="E16712" s="123"/>
    </row>
    <row r="16713" spans="5:5" ht="16.5">
      <c r="E16713" s="123"/>
    </row>
    <row r="16714" spans="5:5" ht="16.5">
      <c r="E16714" s="123"/>
    </row>
    <row r="16715" spans="5:5" ht="16.5">
      <c r="E16715" s="123"/>
    </row>
    <row r="16716" spans="5:5" ht="16.5">
      <c r="E16716" s="123"/>
    </row>
    <row r="16717" spans="5:5" ht="16.5">
      <c r="E16717" s="123"/>
    </row>
    <row r="16718" spans="5:5" ht="16.5">
      <c r="E16718" s="123"/>
    </row>
    <row r="16719" spans="5:5" ht="16.5">
      <c r="E16719" s="123"/>
    </row>
    <row r="16720" spans="5:5" ht="16.5">
      <c r="E16720" s="123"/>
    </row>
    <row r="16721" spans="5:5" ht="16.5">
      <c r="E16721" s="123"/>
    </row>
    <row r="16722" spans="5:5" ht="16.5">
      <c r="E16722" s="123"/>
    </row>
    <row r="16723" spans="5:5" ht="16.5">
      <c r="E16723" s="123"/>
    </row>
    <row r="16724" spans="5:5" ht="16.5">
      <c r="E16724" s="123"/>
    </row>
    <row r="16725" spans="5:5" ht="16.5">
      <c r="E16725" s="123"/>
    </row>
    <row r="16726" spans="5:5" ht="16.5">
      <c r="E16726" s="123"/>
    </row>
    <row r="16727" spans="5:5" ht="16.5">
      <c r="E16727" s="123"/>
    </row>
    <row r="16728" spans="5:5" ht="16.5">
      <c r="E16728" s="123"/>
    </row>
    <row r="16729" spans="5:5" ht="16.5">
      <c r="E16729" s="123"/>
    </row>
    <row r="16730" spans="5:5" ht="16.5">
      <c r="E16730" s="123"/>
    </row>
    <row r="16731" spans="5:5" ht="16.5">
      <c r="E16731" s="123"/>
    </row>
    <row r="16732" spans="5:5" ht="16.5">
      <c r="E16732" s="123"/>
    </row>
    <row r="16733" spans="5:5" ht="16.5">
      <c r="E16733" s="123"/>
    </row>
    <row r="16734" spans="5:5" ht="16.5">
      <c r="E16734" s="123"/>
    </row>
    <row r="16735" spans="5:5" ht="16.5">
      <c r="E16735" s="123"/>
    </row>
    <row r="16736" spans="5:5" ht="16.5">
      <c r="E16736" s="123"/>
    </row>
    <row r="16737" spans="5:5" ht="16.5">
      <c r="E16737" s="123"/>
    </row>
    <row r="16738" spans="5:5" ht="16.5">
      <c r="E16738" s="123"/>
    </row>
    <row r="16739" spans="5:5" ht="16.5">
      <c r="E16739" s="123"/>
    </row>
    <row r="16740" spans="5:5" ht="16.5">
      <c r="E16740" s="123"/>
    </row>
    <row r="16741" spans="5:5" ht="16.5">
      <c r="E16741" s="123"/>
    </row>
    <row r="16742" spans="5:5" ht="16.5">
      <c r="E16742" s="123"/>
    </row>
    <row r="16743" spans="5:5" ht="16.5">
      <c r="E16743" s="123"/>
    </row>
    <row r="16744" spans="5:5" ht="16.5">
      <c r="E16744" s="123"/>
    </row>
    <row r="16745" spans="5:5" ht="16.5">
      <c r="E16745" s="123"/>
    </row>
    <row r="16746" spans="5:5" ht="16.5">
      <c r="E16746" s="123"/>
    </row>
    <row r="16747" spans="5:5" ht="16.5">
      <c r="E16747" s="123"/>
    </row>
    <row r="16748" spans="5:5" ht="16.5">
      <c r="E16748" s="123"/>
    </row>
    <row r="16749" spans="5:5" ht="16.5">
      <c r="E16749" s="123"/>
    </row>
    <row r="16750" spans="5:5" ht="16.5">
      <c r="E16750" s="123"/>
    </row>
    <row r="16751" spans="5:5" ht="16.5">
      <c r="E16751" s="123"/>
    </row>
    <row r="16752" spans="5:5" ht="16.5">
      <c r="E16752" s="123"/>
    </row>
    <row r="16753" spans="5:5" ht="16.5">
      <c r="E16753" s="123"/>
    </row>
    <row r="16754" spans="5:5" ht="16.5">
      <c r="E16754" s="123"/>
    </row>
    <row r="16755" spans="5:5" ht="16.5">
      <c r="E16755" s="123"/>
    </row>
    <row r="16756" spans="5:5" ht="16.5">
      <c r="E16756" s="123"/>
    </row>
    <row r="16757" spans="5:5" ht="16.5">
      <c r="E16757" s="123"/>
    </row>
    <row r="16758" spans="5:5" ht="16.5">
      <c r="E16758" s="123"/>
    </row>
    <row r="16759" spans="5:5" ht="16.5">
      <c r="E16759" s="123"/>
    </row>
    <row r="16760" spans="5:5" ht="16.5">
      <c r="E16760" s="123"/>
    </row>
    <row r="16761" spans="5:5" ht="16.5">
      <c r="E16761" s="123"/>
    </row>
    <row r="16762" spans="5:5" ht="16.5">
      <c r="E16762" s="123"/>
    </row>
    <row r="16763" spans="5:5" ht="16.5">
      <c r="E16763" s="123"/>
    </row>
    <row r="16764" spans="5:5" ht="16.5">
      <c r="E16764" s="123"/>
    </row>
    <row r="16765" spans="5:5" ht="16.5">
      <c r="E16765" s="123"/>
    </row>
    <row r="16766" spans="5:5" ht="16.5">
      <c r="E16766" s="123"/>
    </row>
    <row r="16767" spans="5:5" ht="16.5">
      <c r="E16767" s="123"/>
    </row>
    <row r="16768" spans="5:5" ht="16.5">
      <c r="E16768" s="123"/>
    </row>
    <row r="16769" spans="5:5" ht="16.5">
      <c r="E16769" s="123"/>
    </row>
    <row r="16770" spans="5:5" ht="16.5">
      <c r="E16770" s="123"/>
    </row>
    <row r="16771" spans="5:5" ht="16.5">
      <c r="E16771" s="123"/>
    </row>
    <row r="16772" spans="5:5" ht="16.5">
      <c r="E16772" s="123"/>
    </row>
    <row r="16773" spans="5:5" ht="16.5">
      <c r="E16773" s="123"/>
    </row>
    <row r="16774" spans="5:5" ht="16.5">
      <c r="E16774" s="123"/>
    </row>
    <row r="16775" spans="5:5" ht="16.5">
      <c r="E16775" s="123"/>
    </row>
    <row r="16776" spans="5:5" ht="16.5">
      <c r="E16776" s="123"/>
    </row>
    <row r="16777" spans="5:5" ht="16.5">
      <c r="E16777" s="123"/>
    </row>
    <row r="16778" spans="5:5" ht="16.5">
      <c r="E16778" s="123"/>
    </row>
    <row r="16779" spans="5:5" ht="16.5">
      <c r="E16779" s="123"/>
    </row>
    <row r="16780" spans="5:5" ht="16.5">
      <c r="E16780" s="123"/>
    </row>
    <row r="16781" spans="5:5" ht="16.5">
      <c r="E16781" s="123"/>
    </row>
    <row r="16782" spans="5:5" ht="16.5">
      <c r="E16782" s="123"/>
    </row>
    <row r="16783" spans="5:5" ht="16.5">
      <c r="E16783" s="123"/>
    </row>
    <row r="16784" spans="5:5" ht="16.5">
      <c r="E16784" s="123"/>
    </row>
    <row r="16785" spans="5:5" ht="16.5">
      <c r="E16785" s="123"/>
    </row>
    <row r="16786" spans="5:5" ht="16.5">
      <c r="E16786" s="123"/>
    </row>
    <row r="16787" spans="5:5" ht="16.5">
      <c r="E16787" s="123"/>
    </row>
    <row r="16788" spans="5:5" ht="16.5">
      <c r="E16788" s="123"/>
    </row>
    <row r="16789" spans="5:5" ht="16.5">
      <c r="E16789" s="123"/>
    </row>
    <row r="16790" spans="5:5" ht="16.5">
      <c r="E16790" s="123"/>
    </row>
    <row r="16791" spans="5:5" ht="16.5">
      <c r="E16791" s="123"/>
    </row>
    <row r="16792" spans="5:5" ht="16.5">
      <c r="E16792" s="123"/>
    </row>
    <row r="16793" spans="5:5" ht="16.5">
      <c r="E16793" s="123"/>
    </row>
    <row r="16794" spans="5:5" ht="16.5">
      <c r="E16794" s="123"/>
    </row>
    <row r="16795" spans="5:5" ht="16.5">
      <c r="E16795" s="123"/>
    </row>
    <row r="16796" spans="5:5" ht="16.5">
      <c r="E16796" s="123"/>
    </row>
    <row r="16797" spans="5:5" ht="16.5">
      <c r="E16797" s="123"/>
    </row>
    <row r="16798" spans="5:5" ht="16.5">
      <c r="E16798" s="123"/>
    </row>
    <row r="16799" spans="5:5" ht="16.5">
      <c r="E16799" s="123"/>
    </row>
    <row r="16800" spans="5:5" ht="16.5">
      <c r="E16800" s="123"/>
    </row>
    <row r="16801" spans="5:5" ht="16.5">
      <c r="E16801" s="123"/>
    </row>
    <row r="16802" spans="5:5" ht="16.5">
      <c r="E16802" s="123"/>
    </row>
    <row r="16803" spans="5:5" ht="16.5">
      <c r="E16803" s="123"/>
    </row>
    <row r="16804" spans="5:5" ht="16.5">
      <c r="E16804" s="123"/>
    </row>
    <row r="16805" spans="5:5" ht="16.5">
      <c r="E16805" s="123"/>
    </row>
    <row r="16806" spans="5:5" ht="16.5">
      <c r="E16806" s="123"/>
    </row>
    <row r="16807" spans="5:5" ht="16.5">
      <c r="E16807" s="123"/>
    </row>
    <row r="16808" spans="5:5" ht="16.5">
      <c r="E16808" s="123"/>
    </row>
    <row r="16809" spans="5:5" ht="16.5">
      <c r="E16809" s="123"/>
    </row>
    <row r="16810" spans="5:5" ht="16.5">
      <c r="E16810" s="123"/>
    </row>
    <row r="16811" spans="5:5" ht="16.5">
      <c r="E16811" s="123"/>
    </row>
    <row r="16812" spans="5:5" ht="16.5">
      <c r="E16812" s="123"/>
    </row>
    <row r="16813" spans="5:5" ht="16.5">
      <c r="E16813" s="123"/>
    </row>
    <row r="16814" spans="5:5" ht="16.5">
      <c r="E16814" s="123"/>
    </row>
    <row r="16815" spans="5:5" ht="16.5">
      <c r="E16815" s="123"/>
    </row>
    <row r="16816" spans="5:5" ht="16.5">
      <c r="E16816" s="123"/>
    </row>
    <row r="16817" spans="5:5" ht="16.5">
      <c r="E16817" s="123"/>
    </row>
    <row r="16818" spans="5:5" ht="16.5">
      <c r="E16818" s="123"/>
    </row>
    <row r="16819" spans="5:5" ht="16.5">
      <c r="E16819" s="123"/>
    </row>
    <row r="16820" spans="5:5" ht="16.5">
      <c r="E16820" s="123"/>
    </row>
    <row r="16821" spans="5:5" ht="16.5">
      <c r="E16821" s="123"/>
    </row>
    <row r="16822" spans="5:5" ht="16.5">
      <c r="E16822" s="123"/>
    </row>
    <row r="16823" spans="5:5" ht="16.5">
      <c r="E16823" s="123"/>
    </row>
    <row r="16824" spans="5:5" ht="16.5">
      <c r="E16824" s="123"/>
    </row>
    <row r="16825" spans="5:5" ht="16.5">
      <c r="E16825" s="123"/>
    </row>
    <row r="16826" spans="5:5" ht="16.5">
      <c r="E16826" s="123"/>
    </row>
    <row r="16827" spans="5:5" ht="16.5">
      <c r="E16827" s="123"/>
    </row>
    <row r="16828" spans="5:5" ht="16.5">
      <c r="E16828" s="123"/>
    </row>
    <row r="16829" spans="5:5" ht="16.5">
      <c r="E16829" s="123"/>
    </row>
    <row r="16830" spans="5:5" ht="16.5">
      <c r="E16830" s="123"/>
    </row>
    <row r="16831" spans="5:5" ht="16.5">
      <c r="E16831" s="123"/>
    </row>
    <row r="16832" spans="5:5" ht="16.5">
      <c r="E16832" s="123"/>
    </row>
    <row r="16833" spans="5:5" ht="16.5">
      <c r="E16833" s="123"/>
    </row>
    <row r="16834" spans="5:5" ht="16.5">
      <c r="E16834" s="123"/>
    </row>
    <row r="16835" spans="5:5" ht="16.5">
      <c r="E16835" s="123"/>
    </row>
    <row r="16836" spans="5:5" ht="16.5">
      <c r="E16836" s="123"/>
    </row>
    <row r="16837" spans="5:5" ht="16.5">
      <c r="E16837" s="123"/>
    </row>
    <row r="16838" spans="5:5" ht="16.5">
      <c r="E16838" s="123"/>
    </row>
    <row r="16839" spans="5:5" ht="16.5">
      <c r="E16839" s="123"/>
    </row>
    <row r="16840" spans="5:5" ht="16.5">
      <c r="E16840" s="123"/>
    </row>
    <row r="16841" spans="5:5" ht="16.5">
      <c r="E16841" s="123"/>
    </row>
    <row r="16842" spans="5:5" ht="16.5">
      <c r="E16842" s="123"/>
    </row>
    <row r="16843" spans="5:5" ht="16.5">
      <c r="E16843" s="123"/>
    </row>
    <row r="16844" spans="5:5" ht="16.5">
      <c r="E16844" s="123"/>
    </row>
    <row r="16845" spans="5:5" ht="16.5">
      <c r="E16845" s="123"/>
    </row>
    <row r="16846" spans="5:5" ht="16.5">
      <c r="E16846" s="123"/>
    </row>
    <row r="16847" spans="5:5" ht="16.5">
      <c r="E16847" s="123"/>
    </row>
    <row r="16848" spans="5:5" ht="16.5">
      <c r="E16848" s="123"/>
    </row>
    <row r="16849" spans="5:5" ht="16.5">
      <c r="E16849" s="123"/>
    </row>
    <row r="16850" spans="5:5" ht="16.5">
      <c r="E16850" s="123"/>
    </row>
    <row r="16851" spans="5:5" ht="16.5">
      <c r="E16851" s="123"/>
    </row>
    <row r="16852" spans="5:5" ht="16.5">
      <c r="E16852" s="123"/>
    </row>
    <row r="16853" spans="5:5" ht="16.5">
      <c r="E16853" s="123"/>
    </row>
    <row r="16854" spans="5:5" ht="16.5">
      <c r="E16854" s="123"/>
    </row>
    <row r="16855" spans="5:5" ht="16.5">
      <c r="E16855" s="123"/>
    </row>
    <row r="16856" spans="5:5" ht="16.5">
      <c r="E16856" s="123"/>
    </row>
    <row r="16857" spans="5:5" ht="16.5">
      <c r="E16857" s="123"/>
    </row>
    <row r="16858" spans="5:5" ht="16.5">
      <c r="E16858" s="123"/>
    </row>
    <row r="16859" spans="5:5" ht="16.5">
      <c r="E16859" s="123"/>
    </row>
    <row r="16860" spans="5:5" ht="16.5">
      <c r="E16860" s="123"/>
    </row>
    <row r="16861" spans="5:5" ht="16.5">
      <c r="E16861" s="123"/>
    </row>
    <row r="16862" spans="5:5" ht="16.5">
      <c r="E16862" s="123"/>
    </row>
    <row r="16863" spans="5:5" ht="16.5">
      <c r="E16863" s="123"/>
    </row>
    <row r="16864" spans="5:5" ht="16.5">
      <c r="E16864" s="123"/>
    </row>
    <row r="16865" spans="5:5" ht="16.5">
      <c r="E16865" s="123"/>
    </row>
    <row r="16866" spans="5:5" ht="16.5">
      <c r="E16866" s="123"/>
    </row>
    <row r="16867" spans="5:5" ht="16.5">
      <c r="E16867" s="123"/>
    </row>
    <row r="16868" spans="5:5" ht="16.5">
      <c r="E16868" s="123"/>
    </row>
    <row r="16869" spans="5:5" ht="16.5">
      <c r="E16869" s="123"/>
    </row>
    <row r="16870" spans="5:5" ht="16.5">
      <c r="E16870" s="123"/>
    </row>
    <row r="16871" spans="5:5" ht="16.5">
      <c r="E16871" s="123"/>
    </row>
    <row r="16872" spans="5:5" ht="16.5">
      <c r="E16872" s="123"/>
    </row>
    <row r="16873" spans="5:5" ht="16.5">
      <c r="E16873" s="123"/>
    </row>
    <row r="16874" spans="5:5" ht="16.5">
      <c r="E16874" s="123"/>
    </row>
    <row r="16875" spans="5:5" ht="16.5">
      <c r="E16875" s="123"/>
    </row>
    <row r="16876" spans="5:5" ht="16.5">
      <c r="E16876" s="123"/>
    </row>
    <row r="16877" spans="5:5" ht="16.5">
      <c r="E16877" s="123"/>
    </row>
    <row r="16878" spans="5:5" ht="16.5">
      <c r="E16878" s="123"/>
    </row>
    <row r="16879" spans="5:5" ht="16.5">
      <c r="E16879" s="123"/>
    </row>
    <row r="16880" spans="5:5" ht="16.5">
      <c r="E16880" s="123"/>
    </row>
    <row r="16881" spans="5:5" ht="16.5">
      <c r="E16881" s="123"/>
    </row>
    <row r="16882" spans="5:5" ht="16.5">
      <c r="E16882" s="123"/>
    </row>
    <row r="16883" spans="5:5" ht="16.5">
      <c r="E16883" s="123"/>
    </row>
    <row r="16884" spans="5:5" ht="16.5">
      <c r="E16884" s="123"/>
    </row>
    <row r="16885" spans="5:5" ht="16.5">
      <c r="E16885" s="123"/>
    </row>
    <row r="16886" spans="5:5" ht="16.5">
      <c r="E16886" s="123"/>
    </row>
    <row r="16887" spans="5:5" ht="16.5">
      <c r="E16887" s="123"/>
    </row>
    <row r="16888" spans="5:5" ht="16.5">
      <c r="E16888" s="123"/>
    </row>
    <row r="16889" spans="5:5" ht="16.5">
      <c r="E16889" s="123"/>
    </row>
    <row r="16890" spans="5:5" ht="16.5">
      <c r="E16890" s="123"/>
    </row>
    <row r="16891" spans="5:5" ht="16.5">
      <c r="E16891" s="123"/>
    </row>
    <row r="16892" spans="5:5" ht="16.5">
      <c r="E16892" s="123"/>
    </row>
    <row r="16893" spans="5:5" ht="16.5">
      <c r="E16893" s="123"/>
    </row>
    <row r="16894" spans="5:5" ht="16.5">
      <c r="E16894" s="123"/>
    </row>
    <row r="16895" spans="5:5" ht="16.5">
      <c r="E16895" s="123"/>
    </row>
    <row r="16896" spans="5:5" ht="16.5">
      <c r="E16896" s="123"/>
    </row>
    <row r="16897" spans="5:5" ht="16.5">
      <c r="E16897" s="123"/>
    </row>
    <row r="16898" spans="5:5" ht="16.5">
      <c r="E16898" s="123"/>
    </row>
    <row r="16899" spans="5:5" ht="16.5">
      <c r="E16899" s="123"/>
    </row>
    <row r="16900" spans="5:5" ht="16.5">
      <c r="E16900" s="123"/>
    </row>
    <row r="16901" spans="5:5" ht="16.5">
      <c r="E16901" s="123"/>
    </row>
    <row r="16902" spans="5:5" ht="16.5">
      <c r="E16902" s="123"/>
    </row>
    <row r="16903" spans="5:5" ht="16.5">
      <c r="E16903" s="123"/>
    </row>
    <row r="16904" spans="5:5" ht="16.5">
      <c r="E16904" s="123"/>
    </row>
    <row r="16905" spans="5:5" ht="16.5">
      <c r="E16905" s="123"/>
    </row>
    <row r="16906" spans="5:5" ht="16.5">
      <c r="E16906" s="123"/>
    </row>
    <row r="16907" spans="5:5" ht="16.5">
      <c r="E16907" s="123"/>
    </row>
    <row r="16908" spans="5:5" ht="16.5">
      <c r="E16908" s="123"/>
    </row>
    <row r="16909" spans="5:5" ht="16.5">
      <c r="E16909" s="123"/>
    </row>
    <row r="16910" spans="5:5" ht="16.5">
      <c r="E16910" s="123"/>
    </row>
    <row r="16911" spans="5:5" ht="16.5">
      <c r="E16911" s="123"/>
    </row>
    <row r="16912" spans="5:5" ht="16.5">
      <c r="E16912" s="123"/>
    </row>
    <row r="16913" spans="5:5" ht="16.5">
      <c r="E16913" s="123"/>
    </row>
    <row r="16914" spans="5:5" ht="16.5">
      <c r="E16914" s="123"/>
    </row>
    <row r="16915" spans="5:5" ht="16.5">
      <c r="E16915" s="123"/>
    </row>
    <row r="16916" spans="5:5" ht="16.5">
      <c r="E16916" s="123"/>
    </row>
    <row r="16917" spans="5:5" ht="16.5">
      <c r="E16917" s="123"/>
    </row>
    <row r="16918" spans="5:5" ht="16.5">
      <c r="E16918" s="123"/>
    </row>
    <row r="16919" spans="5:5" ht="16.5">
      <c r="E16919" s="123"/>
    </row>
    <row r="16920" spans="5:5" ht="16.5">
      <c r="E16920" s="123"/>
    </row>
    <row r="16921" spans="5:5" ht="16.5">
      <c r="E16921" s="123"/>
    </row>
    <row r="16922" spans="5:5" ht="16.5">
      <c r="E16922" s="123"/>
    </row>
    <row r="16923" spans="5:5" ht="16.5">
      <c r="E16923" s="123"/>
    </row>
    <row r="16924" spans="5:5" ht="16.5">
      <c r="E16924" s="123"/>
    </row>
    <row r="16925" spans="5:5" ht="16.5">
      <c r="E16925" s="123"/>
    </row>
    <row r="16926" spans="5:5" ht="16.5">
      <c r="E16926" s="123"/>
    </row>
    <row r="16927" spans="5:5" ht="16.5">
      <c r="E16927" s="123"/>
    </row>
    <row r="16928" spans="5:5" ht="16.5">
      <c r="E16928" s="123"/>
    </row>
    <row r="16929" spans="5:5" ht="16.5">
      <c r="E16929" s="123"/>
    </row>
    <row r="16930" spans="5:5" ht="16.5">
      <c r="E16930" s="123"/>
    </row>
    <row r="16931" spans="5:5" ht="16.5">
      <c r="E16931" s="123"/>
    </row>
    <row r="16932" spans="5:5" ht="16.5">
      <c r="E16932" s="123"/>
    </row>
    <row r="16933" spans="5:5" ht="16.5">
      <c r="E16933" s="123"/>
    </row>
    <row r="16934" spans="5:5" ht="16.5">
      <c r="E16934" s="123"/>
    </row>
    <row r="16935" spans="5:5" ht="16.5">
      <c r="E16935" s="123"/>
    </row>
    <row r="16936" spans="5:5" ht="16.5">
      <c r="E16936" s="123"/>
    </row>
    <row r="16937" spans="5:5" ht="16.5">
      <c r="E16937" s="123"/>
    </row>
    <row r="16938" spans="5:5" ht="16.5">
      <c r="E16938" s="123"/>
    </row>
    <row r="16939" spans="5:5" ht="16.5">
      <c r="E16939" s="123"/>
    </row>
    <row r="16940" spans="5:5" ht="16.5">
      <c r="E16940" s="123"/>
    </row>
    <row r="16941" spans="5:5" ht="16.5">
      <c r="E16941" s="123"/>
    </row>
    <row r="16942" spans="5:5" ht="16.5">
      <c r="E16942" s="123"/>
    </row>
    <row r="16943" spans="5:5" ht="16.5">
      <c r="E16943" s="123"/>
    </row>
    <row r="16944" spans="5:5" ht="16.5">
      <c r="E16944" s="123"/>
    </row>
    <row r="16945" spans="5:5" ht="16.5">
      <c r="E16945" s="123"/>
    </row>
    <row r="16946" spans="5:5" ht="16.5">
      <c r="E16946" s="123"/>
    </row>
    <row r="16947" spans="5:5" ht="16.5">
      <c r="E16947" s="123"/>
    </row>
    <row r="16948" spans="5:5" ht="16.5">
      <c r="E16948" s="123"/>
    </row>
    <row r="16949" spans="5:5" ht="16.5">
      <c r="E16949" s="123"/>
    </row>
    <row r="16950" spans="5:5" ht="16.5">
      <c r="E16950" s="123"/>
    </row>
    <row r="16951" spans="5:5" ht="16.5">
      <c r="E16951" s="123"/>
    </row>
    <row r="16952" spans="5:5" ht="16.5">
      <c r="E16952" s="123"/>
    </row>
    <row r="16953" spans="5:5" ht="16.5">
      <c r="E16953" s="123"/>
    </row>
    <row r="16954" spans="5:5" ht="16.5">
      <c r="E16954" s="123"/>
    </row>
    <row r="16955" spans="5:5" ht="16.5">
      <c r="E16955" s="123"/>
    </row>
    <row r="16956" spans="5:5" ht="16.5">
      <c r="E16956" s="123"/>
    </row>
    <row r="16957" spans="5:5" ht="16.5">
      <c r="E16957" s="123"/>
    </row>
    <row r="16958" spans="5:5" ht="16.5">
      <c r="E16958" s="123"/>
    </row>
    <row r="16959" spans="5:5" ht="16.5">
      <c r="E16959" s="123"/>
    </row>
    <row r="16960" spans="5:5" ht="16.5">
      <c r="E16960" s="123"/>
    </row>
    <row r="16961" spans="5:5" ht="16.5">
      <c r="E16961" s="123"/>
    </row>
    <row r="16962" spans="5:5" ht="16.5">
      <c r="E16962" s="123"/>
    </row>
    <row r="16963" spans="5:5" ht="16.5">
      <c r="E16963" s="123"/>
    </row>
    <row r="16964" spans="5:5" ht="16.5">
      <c r="E16964" s="123"/>
    </row>
    <row r="16965" spans="5:5" ht="16.5">
      <c r="E16965" s="123"/>
    </row>
    <row r="16966" spans="5:5" ht="16.5">
      <c r="E16966" s="123"/>
    </row>
    <row r="16967" spans="5:5" ht="16.5">
      <c r="E16967" s="123"/>
    </row>
    <row r="16968" spans="5:5" ht="16.5">
      <c r="E16968" s="123"/>
    </row>
    <row r="16969" spans="5:5" ht="16.5">
      <c r="E16969" s="123"/>
    </row>
    <row r="16970" spans="5:5" ht="16.5">
      <c r="E16970" s="123"/>
    </row>
    <row r="16971" spans="5:5" ht="16.5">
      <c r="E16971" s="123"/>
    </row>
    <row r="16972" spans="5:5" ht="16.5">
      <c r="E16972" s="123"/>
    </row>
    <row r="16973" spans="5:5" ht="16.5">
      <c r="E16973" s="123"/>
    </row>
    <row r="16974" spans="5:5" ht="16.5">
      <c r="E16974" s="123"/>
    </row>
    <row r="16975" spans="5:5" ht="16.5">
      <c r="E16975" s="123"/>
    </row>
    <row r="16976" spans="5:5" ht="16.5">
      <c r="E16976" s="123"/>
    </row>
    <row r="16977" spans="5:5" ht="16.5">
      <c r="E16977" s="123"/>
    </row>
    <row r="16978" spans="5:5" ht="16.5">
      <c r="E16978" s="123"/>
    </row>
    <row r="16979" spans="5:5" ht="16.5">
      <c r="E16979" s="123"/>
    </row>
    <row r="16980" spans="5:5" ht="16.5">
      <c r="E16980" s="123"/>
    </row>
    <row r="16981" spans="5:5" ht="16.5">
      <c r="E16981" s="123"/>
    </row>
    <row r="16982" spans="5:5" ht="16.5">
      <c r="E16982" s="123"/>
    </row>
    <row r="16983" spans="5:5" ht="16.5">
      <c r="E16983" s="123"/>
    </row>
    <row r="16984" spans="5:5" ht="16.5">
      <c r="E16984" s="123"/>
    </row>
    <row r="16985" spans="5:5" ht="16.5">
      <c r="E16985" s="123"/>
    </row>
    <row r="16986" spans="5:5" ht="16.5">
      <c r="E16986" s="123"/>
    </row>
    <row r="16987" spans="5:5" ht="16.5">
      <c r="E16987" s="123"/>
    </row>
    <row r="16988" spans="5:5" ht="16.5">
      <c r="E16988" s="123"/>
    </row>
    <row r="16989" spans="5:5" ht="16.5">
      <c r="E16989" s="123"/>
    </row>
    <row r="16990" spans="5:5" ht="16.5">
      <c r="E16990" s="123"/>
    </row>
    <row r="16991" spans="5:5" ht="16.5">
      <c r="E16991" s="123"/>
    </row>
    <row r="16992" spans="5:5" ht="16.5">
      <c r="E16992" s="123"/>
    </row>
    <row r="16993" spans="5:5" ht="16.5">
      <c r="E16993" s="123"/>
    </row>
    <row r="16994" spans="5:5" ht="16.5">
      <c r="E16994" s="123"/>
    </row>
    <row r="16995" spans="5:5" ht="16.5">
      <c r="E16995" s="123"/>
    </row>
    <row r="16996" spans="5:5" ht="16.5">
      <c r="E16996" s="123"/>
    </row>
    <row r="16997" spans="5:5" ht="16.5">
      <c r="E16997" s="123"/>
    </row>
    <row r="16998" spans="5:5" ht="16.5">
      <c r="E16998" s="123"/>
    </row>
    <row r="16999" spans="5:5" ht="16.5">
      <c r="E16999" s="123"/>
    </row>
    <row r="17000" spans="5:5" ht="16.5">
      <c r="E17000" s="123"/>
    </row>
    <row r="17001" spans="5:5" ht="16.5">
      <c r="E17001" s="123"/>
    </row>
    <row r="17002" spans="5:5" ht="16.5">
      <c r="E17002" s="123"/>
    </row>
    <row r="17003" spans="5:5" ht="16.5">
      <c r="E17003" s="123"/>
    </row>
    <row r="17004" spans="5:5" ht="16.5">
      <c r="E17004" s="123"/>
    </row>
    <row r="17005" spans="5:5" ht="16.5">
      <c r="E17005" s="123"/>
    </row>
    <row r="17006" spans="5:5" ht="16.5">
      <c r="E17006" s="123"/>
    </row>
    <row r="17007" spans="5:5" ht="16.5">
      <c r="E17007" s="123"/>
    </row>
    <row r="17008" spans="5:5" ht="16.5">
      <c r="E17008" s="123"/>
    </row>
    <row r="17009" spans="5:5" ht="16.5">
      <c r="E17009" s="123"/>
    </row>
    <row r="17010" spans="5:5" ht="16.5">
      <c r="E17010" s="123"/>
    </row>
    <row r="17011" spans="5:5" ht="16.5">
      <c r="E17011" s="123"/>
    </row>
    <row r="17012" spans="5:5" ht="16.5">
      <c r="E17012" s="123"/>
    </row>
    <row r="17013" spans="5:5" ht="16.5">
      <c r="E17013" s="123"/>
    </row>
    <row r="17014" spans="5:5" ht="16.5">
      <c r="E17014" s="123"/>
    </row>
    <row r="17015" spans="5:5" ht="16.5">
      <c r="E17015" s="123"/>
    </row>
    <row r="17016" spans="5:5" ht="16.5">
      <c r="E17016" s="123"/>
    </row>
    <row r="17017" spans="5:5" ht="16.5">
      <c r="E17017" s="123"/>
    </row>
    <row r="17018" spans="5:5" ht="16.5">
      <c r="E17018" s="123"/>
    </row>
    <row r="17019" spans="5:5" ht="16.5">
      <c r="E17019" s="123"/>
    </row>
    <row r="17020" spans="5:5" ht="16.5">
      <c r="E17020" s="123"/>
    </row>
    <row r="17021" spans="5:5" ht="16.5">
      <c r="E17021" s="123"/>
    </row>
    <row r="17022" spans="5:5" ht="16.5">
      <c r="E17022" s="123"/>
    </row>
    <row r="17023" spans="5:5" ht="16.5">
      <c r="E17023" s="123"/>
    </row>
    <row r="17024" spans="5:5" ht="16.5">
      <c r="E17024" s="123"/>
    </row>
    <row r="17025" spans="5:5" ht="16.5">
      <c r="E17025" s="123"/>
    </row>
    <row r="17026" spans="5:5" ht="16.5">
      <c r="E17026" s="123"/>
    </row>
    <row r="17027" spans="5:5" ht="16.5">
      <c r="E17027" s="123"/>
    </row>
    <row r="17028" spans="5:5" ht="16.5">
      <c r="E17028" s="123"/>
    </row>
    <row r="17029" spans="5:5" ht="16.5">
      <c r="E17029" s="123"/>
    </row>
    <row r="17030" spans="5:5" ht="16.5">
      <c r="E17030" s="123"/>
    </row>
    <row r="17031" spans="5:5" ht="16.5">
      <c r="E17031" s="123"/>
    </row>
    <row r="17032" spans="5:5" ht="16.5">
      <c r="E17032" s="123"/>
    </row>
    <row r="17033" spans="5:5" ht="16.5">
      <c r="E17033" s="123"/>
    </row>
    <row r="17034" spans="5:5" ht="16.5">
      <c r="E17034" s="123"/>
    </row>
    <row r="17035" spans="5:5" ht="16.5">
      <c r="E17035" s="123"/>
    </row>
    <row r="17036" spans="5:5" ht="16.5">
      <c r="E17036" s="123"/>
    </row>
    <row r="17037" spans="5:5" ht="16.5">
      <c r="E17037" s="123"/>
    </row>
    <row r="17038" spans="5:5" ht="16.5">
      <c r="E17038" s="123"/>
    </row>
    <row r="17039" spans="5:5" ht="16.5">
      <c r="E17039" s="123"/>
    </row>
    <row r="17040" spans="5:5" ht="16.5">
      <c r="E17040" s="123"/>
    </row>
    <row r="17041" spans="5:5" ht="16.5">
      <c r="E17041" s="123"/>
    </row>
    <row r="17042" spans="5:5" ht="16.5">
      <c r="E17042" s="123"/>
    </row>
    <row r="17043" spans="5:5" ht="16.5">
      <c r="E17043" s="123"/>
    </row>
    <row r="17044" spans="5:5" ht="16.5">
      <c r="E17044" s="123"/>
    </row>
    <row r="17045" spans="5:5" ht="16.5">
      <c r="E17045" s="123"/>
    </row>
    <row r="17046" spans="5:5" ht="16.5">
      <c r="E17046" s="123"/>
    </row>
    <row r="17047" spans="5:5" ht="16.5">
      <c r="E17047" s="123"/>
    </row>
    <row r="17048" spans="5:5" ht="16.5">
      <c r="E17048" s="123"/>
    </row>
    <row r="17049" spans="5:5" ht="16.5">
      <c r="E17049" s="123"/>
    </row>
    <row r="17050" spans="5:5" ht="16.5">
      <c r="E17050" s="123"/>
    </row>
    <row r="17051" spans="5:5" ht="16.5">
      <c r="E17051" s="123"/>
    </row>
    <row r="17052" spans="5:5" ht="16.5">
      <c r="E17052" s="123"/>
    </row>
    <row r="17053" spans="5:5" ht="16.5">
      <c r="E17053" s="123"/>
    </row>
    <row r="17054" spans="5:5" ht="16.5">
      <c r="E17054" s="123"/>
    </row>
    <row r="17055" spans="5:5" ht="16.5">
      <c r="E17055" s="123"/>
    </row>
    <row r="17056" spans="5:5" ht="16.5">
      <c r="E17056" s="123"/>
    </row>
    <row r="17057" spans="5:5" ht="16.5">
      <c r="E17057" s="123"/>
    </row>
    <row r="17058" spans="5:5" ht="16.5">
      <c r="E17058" s="123"/>
    </row>
    <row r="17059" spans="5:5" ht="16.5">
      <c r="E17059" s="123"/>
    </row>
    <row r="17060" spans="5:5" ht="16.5">
      <c r="E17060" s="123"/>
    </row>
    <row r="17061" spans="5:5" ht="16.5">
      <c r="E17061" s="123"/>
    </row>
    <row r="17062" spans="5:5" ht="16.5">
      <c r="E17062" s="123"/>
    </row>
    <row r="17063" spans="5:5" ht="16.5">
      <c r="E17063" s="123"/>
    </row>
    <row r="17064" spans="5:5" ht="16.5">
      <c r="E17064" s="123"/>
    </row>
    <row r="17065" spans="5:5" ht="16.5">
      <c r="E17065" s="123"/>
    </row>
    <row r="17066" spans="5:5" ht="16.5">
      <c r="E17066" s="123"/>
    </row>
    <row r="17067" spans="5:5" ht="16.5">
      <c r="E17067" s="123"/>
    </row>
    <row r="17068" spans="5:5" ht="16.5">
      <c r="E17068" s="123"/>
    </row>
    <row r="17069" spans="5:5" ht="16.5">
      <c r="E17069" s="123"/>
    </row>
    <row r="17070" spans="5:5" ht="16.5">
      <c r="E17070" s="123"/>
    </row>
    <row r="17071" spans="5:5" ht="16.5">
      <c r="E17071" s="123"/>
    </row>
    <row r="17072" spans="5:5" ht="16.5">
      <c r="E17072" s="123"/>
    </row>
    <row r="17073" spans="5:5" ht="16.5">
      <c r="E17073" s="123"/>
    </row>
    <row r="17074" spans="5:5" ht="16.5">
      <c r="E17074" s="123"/>
    </row>
    <row r="17075" spans="5:5" ht="16.5">
      <c r="E17075" s="123"/>
    </row>
    <row r="17076" spans="5:5" ht="16.5">
      <c r="E17076" s="123"/>
    </row>
    <row r="17077" spans="5:5" ht="16.5">
      <c r="E17077" s="123"/>
    </row>
    <row r="17078" spans="5:5" ht="16.5">
      <c r="E17078" s="123"/>
    </row>
    <row r="17079" spans="5:5" ht="16.5">
      <c r="E17079" s="123"/>
    </row>
    <row r="17080" spans="5:5" ht="16.5">
      <c r="E17080" s="123"/>
    </row>
    <row r="17081" spans="5:5" ht="16.5">
      <c r="E17081" s="123"/>
    </row>
    <row r="17082" spans="5:5" ht="16.5">
      <c r="E17082" s="123"/>
    </row>
    <row r="17083" spans="5:5" ht="16.5">
      <c r="E17083" s="123"/>
    </row>
    <row r="17084" spans="5:5" ht="16.5">
      <c r="E17084" s="123"/>
    </row>
    <row r="17085" spans="5:5" ht="16.5">
      <c r="E17085" s="123"/>
    </row>
    <row r="17086" spans="5:5" ht="16.5">
      <c r="E17086" s="123"/>
    </row>
    <row r="17087" spans="5:5" ht="16.5">
      <c r="E17087" s="123"/>
    </row>
    <row r="17088" spans="5:5" ht="16.5">
      <c r="E17088" s="123"/>
    </row>
    <row r="17089" spans="5:5" ht="16.5">
      <c r="E17089" s="123"/>
    </row>
    <row r="17090" spans="5:5" ht="16.5">
      <c r="E17090" s="123"/>
    </row>
    <row r="17091" spans="5:5" ht="16.5">
      <c r="E17091" s="123"/>
    </row>
    <row r="17092" spans="5:5" ht="16.5">
      <c r="E17092" s="123"/>
    </row>
    <row r="17093" spans="5:5" ht="16.5">
      <c r="E17093" s="123"/>
    </row>
    <row r="17094" spans="5:5" ht="16.5">
      <c r="E17094" s="123"/>
    </row>
    <row r="17095" spans="5:5" ht="16.5">
      <c r="E17095" s="123"/>
    </row>
    <row r="17096" spans="5:5" ht="16.5">
      <c r="E17096" s="123"/>
    </row>
    <row r="17097" spans="5:5" ht="16.5">
      <c r="E17097" s="123"/>
    </row>
    <row r="17098" spans="5:5" ht="16.5">
      <c r="E17098" s="123"/>
    </row>
    <row r="17099" spans="5:5" ht="16.5">
      <c r="E17099" s="123"/>
    </row>
    <row r="17100" spans="5:5" ht="16.5">
      <c r="E17100" s="123"/>
    </row>
    <row r="17101" spans="5:5" ht="16.5">
      <c r="E17101" s="123"/>
    </row>
    <row r="17102" spans="5:5" ht="16.5">
      <c r="E17102" s="123"/>
    </row>
    <row r="17103" spans="5:5" ht="16.5">
      <c r="E17103" s="123"/>
    </row>
    <row r="17104" spans="5:5" ht="16.5">
      <c r="E17104" s="123"/>
    </row>
    <row r="17105" spans="5:5" ht="16.5">
      <c r="E17105" s="123"/>
    </row>
    <row r="17106" spans="5:5" ht="16.5">
      <c r="E17106" s="123"/>
    </row>
    <row r="17107" spans="5:5" ht="16.5">
      <c r="E17107" s="123"/>
    </row>
    <row r="17108" spans="5:5" ht="16.5">
      <c r="E17108" s="123"/>
    </row>
    <row r="17109" spans="5:5" ht="16.5">
      <c r="E17109" s="123"/>
    </row>
    <row r="17110" spans="5:5" ht="16.5">
      <c r="E17110" s="123"/>
    </row>
    <row r="17111" spans="5:5" ht="16.5">
      <c r="E17111" s="123"/>
    </row>
    <row r="17112" spans="5:5" ht="16.5">
      <c r="E17112" s="123"/>
    </row>
    <row r="17113" spans="5:5" ht="16.5">
      <c r="E17113" s="123"/>
    </row>
    <row r="17114" spans="5:5" ht="16.5">
      <c r="E17114" s="123"/>
    </row>
    <row r="17115" spans="5:5" ht="16.5">
      <c r="E17115" s="123"/>
    </row>
    <row r="17116" spans="5:5" ht="16.5">
      <c r="E17116" s="123"/>
    </row>
    <row r="17117" spans="5:5" ht="16.5">
      <c r="E17117" s="123"/>
    </row>
    <row r="17118" spans="5:5" ht="16.5">
      <c r="E17118" s="123"/>
    </row>
    <row r="17119" spans="5:5" ht="16.5">
      <c r="E17119" s="123"/>
    </row>
    <row r="17120" spans="5:5" ht="16.5">
      <c r="E17120" s="123"/>
    </row>
    <row r="17121" spans="5:5" ht="16.5">
      <c r="E17121" s="123"/>
    </row>
    <row r="17122" spans="5:5" ht="16.5">
      <c r="E17122" s="123"/>
    </row>
    <row r="17123" spans="5:5" ht="16.5">
      <c r="E17123" s="123"/>
    </row>
    <row r="17124" spans="5:5" ht="16.5">
      <c r="E17124" s="123"/>
    </row>
    <row r="17125" spans="5:5" ht="16.5">
      <c r="E17125" s="123"/>
    </row>
    <row r="17126" spans="5:5" ht="16.5">
      <c r="E17126" s="123"/>
    </row>
    <row r="17127" spans="5:5" ht="16.5">
      <c r="E17127" s="123"/>
    </row>
    <row r="17128" spans="5:5" ht="16.5">
      <c r="E17128" s="123"/>
    </row>
    <row r="17129" spans="5:5" ht="16.5">
      <c r="E17129" s="123"/>
    </row>
    <row r="17130" spans="5:5" ht="16.5">
      <c r="E17130" s="123"/>
    </row>
    <row r="17131" spans="5:5" ht="16.5">
      <c r="E17131" s="123"/>
    </row>
    <row r="17132" spans="5:5" ht="16.5">
      <c r="E17132" s="123"/>
    </row>
    <row r="17133" spans="5:5" ht="16.5">
      <c r="E17133" s="123"/>
    </row>
    <row r="17134" spans="5:5" ht="16.5">
      <c r="E17134" s="123"/>
    </row>
    <row r="17135" spans="5:5" ht="16.5">
      <c r="E17135" s="123"/>
    </row>
    <row r="17136" spans="5:5" ht="16.5">
      <c r="E17136" s="123"/>
    </row>
    <row r="17137" spans="5:5" ht="16.5">
      <c r="E17137" s="123"/>
    </row>
    <row r="17138" spans="5:5" ht="16.5">
      <c r="E17138" s="123"/>
    </row>
    <row r="17139" spans="5:5" ht="16.5">
      <c r="E17139" s="123"/>
    </row>
    <row r="17140" spans="5:5" ht="16.5">
      <c r="E17140" s="123"/>
    </row>
    <row r="17141" spans="5:5" ht="16.5">
      <c r="E17141" s="123"/>
    </row>
    <row r="17142" spans="5:5" ht="16.5">
      <c r="E17142" s="123"/>
    </row>
    <row r="17143" spans="5:5" ht="16.5">
      <c r="E17143" s="123"/>
    </row>
    <row r="17144" spans="5:5" ht="16.5">
      <c r="E17144" s="123"/>
    </row>
    <row r="17145" spans="5:5" ht="16.5">
      <c r="E17145" s="123"/>
    </row>
    <row r="17146" spans="5:5" ht="16.5">
      <c r="E17146" s="123"/>
    </row>
    <row r="17147" spans="5:5" ht="16.5">
      <c r="E17147" s="123"/>
    </row>
    <row r="17148" spans="5:5" ht="16.5">
      <c r="E17148" s="123"/>
    </row>
    <row r="17149" spans="5:5" ht="16.5">
      <c r="E17149" s="123"/>
    </row>
    <row r="17150" spans="5:5" ht="16.5">
      <c r="E17150" s="123"/>
    </row>
    <row r="17151" spans="5:5" ht="16.5">
      <c r="E17151" s="123"/>
    </row>
    <row r="17152" spans="5:5" ht="16.5">
      <c r="E17152" s="123"/>
    </row>
    <row r="17153" spans="5:5" ht="16.5">
      <c r="E17153" s="123"/>
    </row>
    <row r="17154" spans="5:5" ht="16.5">
      <c r="E17154" s="123"/>
    </row>
    <row r="17155" spans="5:5" ht="16.5">
      <c r="E17155" s="123"/>
    </row>
    <row r="17156" spans="5:5" ht="16.5">
      <c r="E17156" s="123"/>
    </row>
    <row r="17157" spans="5:5" ht="16.5">
      <c r="E17157" s="123"/>
    </row>
    <row r="17158" spans="5:5" ht="16.5">
      <c r="E17158" s="123"/>
    </row>
    <row r="17159" spans="5:5" ht="16.5">
      <c r="E17159" s="123"/>
    </row>
    <row r="17160" spans="5:5" ht="16.5">
      <c r="E17160" s="123"/>
    </row>
    <row r="17161" spans="5:5" ht="16.5">
      <c r="E17161" s="123"/>
    </row>
    <row r="17162" spans="5:5" ht="16.5">
      <c r="E17162" s="123"/>
    </row>
    <row r="17163" spans="5:5" ht="16.5">
      <c r="E17163" s="123"/>
    </row>
    <row r="17164" spans="5:5" ht="16.5">
      <c r="E17164" s="123"/>
    </row>
    <row r="17165" spans="5:5" ht="16.5">
      <c r="E17165" s="123"/>
    </row>
    <row r="17166" spans="5:5" ht="16.5">
      <c r="E17166" s="123"/>
    </row>
    <row r="17167" spans="5:5" ht="16.5">
      <c r="E17167" s="123"/>
    </row>
    <row r="17168" spans="5:5" ht="16.5">
      <c r="E17168" s="123"/>
    </row>
    <row r="17169" spans="5:5" ht="16.5">
      <c r="E17169" s="123"/>
    </row>
    <row r="17170" spans="5:5" ht="16.5">
      <c r="E17170" s="123"/>
    </row>
    <row r="17171" spans="5:5" ht="16.5">
      <c r="E17171" s="123"/>
    </row>
    <row r="17172" spans="5:5" ht="16.5">
      <c r="E17172" s="123"/>
    </row>
    <row r="17173" spans="5:5" ht="16.5">
      <c r="E17173" s="123"/>
    </row>
    <row r="17174" spans="5:5" ht="16.5">
      <c r="E17174" s="123"/>
    </row>
    <row r="17175" spans="5:5" ht="16.5">
      <c r="E17175" s="123"/>
    </row>
    <row r="17176" spans="5:5" ht="16.5">
      <c r="E17176" s="123"/>
    </row>
    <row r="17177" spans="5:5" ht="16.5">
      <c r="E17177" s="123"/>
    </row>
    <row r="17178" spans="5:5" ht="16.5">
      <c r="E17178" s="123"/>
    </row>
    <row r="17179" spans="5:5" ht="16.5">
      <c r="E17179" s="123"/>
    </row>
    <row r="17180" spans="5:5" ht="16.5">
      <c r="E17180" s="123"/>
    </row>
    <row r="17181" spans="5:5" ht="16.5">
      <c r="E17181" s="123"/>
    </row>
    <row r="17182" spans="5:5" ht="16.5">
      <c r="E17182" s="123"/>
    </row>
    <row r="17183" spans="5:5" ht="16.5">
      <c r="E17183" s="123"/>
    </row>
    <row r="17184" spans="5:5" ht="16.5">
      <c r="E17184" s="123"/>
    </row>
    <row r="17185" spans="5:5" ht="16.5">
      <c r="E17185" s="123"/>
    </row>
    <row r="17186" spans="5:5" ht="16.5">
      <c r="E17186" s="123"/>
    </row>
    <row r="17187" spans="5:5" ht="16.5">
      <c r="E17187" s="123"/>
    </row>
    <row r="17188" spans="5:5" ht="16.5">
      <c r="E17188" s="123"/>
    </row>
    <row r="17189" spans="5:5" ht="16.5">
      <c r="E17189" s="123"/>
    </row>
    <row r="17190" spans="5:5" ht="16.5">
      <c r="E17190" s="123"/>
    </row>
    <row r="17191" spans="5:5" ht="16.5">
      <c r="E17191" s="123"/>
    </row>
    <row r="17192" spans="5:5" ht="16.5">
      <c r="E17192" s="123"/>
    </row>
    <row r="17193" spans="5:5" ht="16.5">
      <c r="E17193" s="123"/>
    </row>
    <row r="17194" spans="5:5" ht="16.5">
      <c r="E17194" s="123"/>
    </row>
    <row r="17195" spans="5:5" ht="16.5">
      <c r="E17195" s="123"/>
    </row>
    <row r="17196" spans="5:5" ht="16.5">
      <c r="E17196" s="123"/>
    </row>
    <row r="17197" spans="5:5" ht="16.5">
      <c r="E17197" s="123"/>
    </row>
    <row r="17198" spans="5:5" ht="16.5">
      <c r="E17198" s="123"/>
    </row>
    <row r="17199" spans="5:5" ht="16.5">
      <c r="E17199" s="123"/>
    </row>
    <row r="17200" spans="5:5" ht="16.5">
      <c r="E17200" s="123"/>
    </row>
    <row r="17201" spans="5:5" ht="16.5">
      <c r="E17201" s="123"/>
    </row>
    <row r="17202" spans="5:5" ht="16.5">
      <c r="E17202" s="123"/>
    </row>
    <row r="17203" spans="5:5" ht="16.5">
      <c r="E17203" s="123"/>
    </row>
    <row r="17204" spans="5:5" ht="16.5">
      <c r="E17204" s="123"/>
    </row>
    <row r="17205" spans="5:5" ht="16.5">
      <c r="E17205" s="123"/>
    </row>
    <row r="17206" spans="5:5" ht="16.5">
      <c r="E17206" s="123"/>
    </row>
    <row r="17207" spans="5:5" ht="16.5">
      <c r="E17207" s="123"/>
    </row>
    <row r="17208" spans="5:5" ht="16.5">
      <c r="E17208" s="123"/>
    </row>
    <row r="17209" spans="5:5" ht="16.5">
      <c r="E17209" s="123"/>
    </row>
    <row r="17210" spans="5:5" ht="16.5">
      <c r="E17210" s="123"/>
    </row>
    <row r="17211" spans="5:5" ht="16.5">
      <c r="E17211" s="123"/>
    </row>
    <row r="17212" spans="5:5" ht="16.5">
      <c r="E17212" s="123"/>
    </row>
    <row r="17213" spans="5:5" ht="16.5">
      <c r="E17213" s="123"/>
    </row>
    <row r="17214" spans="5:5" ht="16.5">
      <c r="E17214" s="123"/>
    </row>
    <row r="17215" spans="5:5" ht="16.5">
      <c r="E17215" s="123"/>
    </row>
    <row r="17216" spans="5:5" ht="16.5">
      <c r="E17216" s="123"/>
    </row>
    <row r="17217" spans="5:5" ht="16.5">
      <c r="E17217" s="123"/>
    </row>
    <row r="17218" spans="5:5" ht="16.5">
      <c r="E17218" s="123"/>
    </row>
    <row r="17219" spans="5:5" ht="16.5">
      <c r="E17219" s="123"/>
    </row>
    <row r="17220" spans="5:5" ht="16.5">
      <c r="E17220" s="123"/>
    </row>
    <row r="17221" spans="5:5" ht="16.5">
      <c r="E17221" s="123"/>
    </row>
    <row r="17222" spans="5:5" ht="16.5">
      <c r="E17222" s="123"/>
    </row>
    <row r="17223" spans="5:5" ht="16.5">
      <c r="E17223" s="123"/>
    </row>
    <row r="17224" spans="5:5" ht="16.5">
      <c r="E17224" s="123"/>
    </row>
    <row r="17225" spans="5:5" ht="16.5">
      <c r="E17225" s="123"/>
    </row>
    <row r="17226" spans="5:5" ht="16.5">
      <c r="E17226" s="123"/>
    </row>
    <row r="17227" spans="5:5" ht="16.5">
      <c r="E17227" s="123"/>
    </row>
    <row r="17228" spans="5:5" ht="16.5">
      <c r="E17228" s="123"/>
    </row>
    <row r="17229" spans="5:5" ht="16.5">
      <c r="E17229" s="123"/>
    </row>
    <row r="17230" spans="5:5" ht="16.5">
      <c r="E17230" s="123"/>
    </row>
    <row r="17231" spans="5:5" ht="16.5">
      <c r="E17231" s="123"/>
    </row>
    <row r="17232" spans="5:5" ht="16.5">
      <c r="E17232" s="123"/>
    </row>
    <row r="17233" spans="5:5" ht="16.5">
      <c r="E17233" s="123"/>
    </row>
    <row r="17234" spans="5:5" ht="16.5">
      <c r="E17234" s="123"/>
    </row>
    <row r="17235" spans="5:5" ht="16.5">
      <c r="E17235" s="123"/>
    </row>
    <row r="17236" spans="5:5" ht="16.5">
      <c r="E17236" s="123"/>
    </row>
    <row r="17237" spans="5:5" ht="16.5">
      <c r="E17237" s="123"/>
    </row>
    <row r="17238" spans="5:5" ht="16.5">
      <c r="E17238" s="123"/>
    </row>
    <row r="17239" spans="5:5" ht="16.5">
      <c r="E17239" s="123"/>
    </row>
    <row r="17240" spans="5:5" ht="16.5">
      <c r="E17240" s="123"/>
    </row>
    <row r="17241" spans="5:5" ht="16.5">
      <c r="E17241" s="123"/>
    </row>
    <row r="17242" spans="5:5" ht="16.5">
      <c r="E17242" s="123"/>
    </row>
    <row r="17243" spans="5:5" ht="16.5">
      <c r="E17243" s="123"/>
    </row>
    <row r="17244" spans="5:5" ht="16.5">
      <c r="E17244" s="123"/>
    </row>
    <row r="17245" spans="5:5" ht="16.5">
      <c r="E17245" s="123"/>
    </row>
    <row r="17246" spans="5:5" ht="16.5">
      <c r="E17246" s="123"/>
    </row>
    <row r="17247" spans="5:5" ht="16.5">
      <c r="E17247" s="123"/>
    </row>
    <row r="17248" spans="5:5" ht="16.5">
      <c r="E17248" s="123"/>
    </row>
    <row r="17249" spans="5:5" ht="16.5">
      <c r="E17249" s="123"/>
    </row>
    <row r="17250" spans="5:5" ht="16.5">
      <c r="E17250" s="123"/>
    </row>
    <row r="17251" spans="5:5" ht="16.5">
      <c r="E17251" s="123"/>
    </row>
    <row r="17252" spans="5:5" ht="16.5">
      <c r="E17252" s="123"/>
    </row>
    <row r="17253" spans="5:5" ht="16.5">
      <c r="E17253" s="123"/>
    </row>
    <row r="17254" spans="5:5" ht="16.5">
      <c r="E17254" s="123"/>
    </row>
    <row r="17255" spans="5:5" ht="16.5">
      <c r="E17255" s="123"/>
    </row>
    <row r="17256" spans="5:5" ht="16.5">
      <c r="E17256" s="123"/>
    </row>
    <row r="17257" spans="5:5" ht="16.5">
      <c r="E17257" s="123"/>
    </row>
    <row r="17258" spans="5:5" ht="16.5">
      <c r="E17258" s="123"/>
    </row>
    <row r="17259" spans="5:5" ht="16.5">
      <c r="E17259" s="123"/>
    </row>
    <row r="17260" spans="5:5" ht="16.5">
      <c r="E17260" s="123"/>
    </row>
    <row r="17261" spans="5:5" ht="16.5">
      <c r="E17261" s="123"/>
    </row>
    <row r="17262" spans="5:5" ht="16.5">
      <c r="E17262" s="123"/>
    </row>
    <row r="17263" spans="5:5" ht="16.5">
      <c r="E17263" s="123"/>
    </row>
    <row r="17264" spans="5:5" ht="16.5">
      <c r="E17264" s="123"/>
    </row>
    <row r="17265" spans="5:5" ht="16.5">
      <c r="E17265" s="123"/>
    </row>
    <row r="17266" spans="5:5" ht="16.5">
      <c r="E17266" s="123"/>
    </row>
    <row r="17267" spans="5:5" ht="16.5">
      <c r="E17267" s="123"/>
    </row>
    <row r="17268" spans="5:5" ht="16.5">
      <c r="E17268" s="123"/>
    </row>
    <row r="17269" spans="5:5" ht="16.5">
      <c r="E17269" s="123"/>
    </row>
    <row r="17270" spans="5:5" ht="16.5">
      <c r="E17270" s="123"/>
    </row>
    <row r="17271" spans="5:5" ht="16.5">
      <c r="E17271" s="123"/>
    </row>
    <row r="17272" spans="5:5" ht="16.5">
      <c r="E17272" s="123"/>
    </row>
    <row r="17273" spans="5:5" ht="16.5">
      <c r="E17273" s="123"/>
    </row>
    <row r="17274" spans="5:5" ht="16.5">
      <c r="E17274" s="123"/>
    </row>
    <row r="17275" spans="5:5" ht="16.5">
      <c r="E17275" s="123"/>
    </row>
    <row r="17276" spans="5:5" ht="16.5">
      <c r="E17276" s="123"/>
    </row>
    <row r="17277" spans="5:5" ht="16.5">
      <c r="E17277" s="123"/>
    </row>
    <row r="17278" spans="5:5" ht="16.5">
      <c r="E17278" s="123"/>
    </row>
    <row r="17279" spans="5:5" ht="16.5">
      <c r="E17279" s="123"/>
    </row>
    <row r="17280" spans="5:5" ht="16.5">
      <c r="E17280" s="123"/>
    </row>
    <row r="17281" spans="5:5" ht="16.5">
      <c r="E17281" s="123"/>
    </row>
    <row r="17282" spans="5:5" ht="16.5">
      <c r="E17282" s="123"/>
    </row>
    <row r="17283" spans="5:5" ht="16.5">
      <c r="E17283" s="123"/>
    </row>
    <row r="17284" spans="5:5" ht="16.5">
      <c r="E17284" s="123"/>
    </row>
    <row r="17285" spans="5:5" ht="16.5">
      <c r="E17285" s="123"/>
    </row>
    <row r="17286" spans="5:5" ht="16.5">
      <c r="E17286" s="123"/>
    </row>
    <row r="17287" spans="5:5" ht="16.5">
      <c r="E17287" s="123"/>
    </row>
    <row r="17288" spans="5:5" ht="16.5">
      <c r="E17288" s="123"/>
    </row>
    <row r="17289" spans="5:5" ht="16.5">
      <c r="E17289" s="123"/>
    </row>
    <row r="17290" spans="5:5" ht="16.5">
      <c r="E17290" s="123"/>
    </row>
    <row r="17291" spans="5:5" ht="16.5">
      <c r="E17291" s="123"/>
    </row>
    <row r="17292" spans="5:5" ht="16.5">
      <c r="E17292" s="123"/>
    </row>
    <row r="17293" spans="5:5" ht="16.5">
      <c r="E17293" s="123"/>
    </row>
    <row r="17294" spans="5:5" ht="16.5">
      <c r="E17294" s="123"/>
    </row>
    <row r="17295" spans="5:5" ht="16.5">
      <c r="E17295" s="123"/>
    </row>
    <row r="17296" spans="5:5" ht="16.5">
      <c r="E17296" s="123"/>
    </row>
    <row r="17297" spans="5:5" ht="16.5">
      <c r="E17297" s="123"/>
    </row>
    <row r="17298" spans="5:5" ht="16.5">
      <c r="E17298" s="123"/>
    </row>
    <row r="17299" spans="5:5" ht="16.5">
      <c r="E17299" s="123"/>
    </row>
    <row r="17300" spans="5:5" ht="16.5">
      <c r="E17300" s="123"/>
    </row>
    <row r="17301" spans="5:5" ht="16.5">
      <c r="E17301" s="123"/>
    </row>
    <row r="17302" spans="5:5" ht="16.5">
      <c r="E17302" s="123"/>
    </row>
    <row r="17303" spans="5:5" ht="16.5">
      <c r="E17303" s="123"/>
    </row>
    <row r="17304" spans="5:5" ht="16.5">
      <c r="E17304" s="123"/>
    </row>
    <row r="17305" spans="5:5" ht="16.5">
      <c r="E17305" s="123"/>
    </row>
    <row r="17306" spans="5:5" ht="16.5">
      <c r="E17306" s="123"/>
    </row>
    <row r="17307" spans="5:5" ht="16.5">
      <c r="E17307" s="123"/>
    </row>
    <row r="17308" spans="5:5" ht="16.5">
      <c r="E17308" s="123"/>
    </row>
    <row r="17309" spans="5:5" ht="16.5">
      <c r="E17309" s="123"/>
    </row>
    <row r="17310" spans="5:5" ht="16.5">
      <c r="E17310" s="123"/>
    </row>
    <row r="17311" spans="5:5" ht="16.5">
      <c r="E17311" s="123"/>
    </row>
    <row r="17312" spans="5:5" ht="16.5">
      <c r="E17312" s="123"/>
    </row>
    <row r="17313" spans="5:5" ht="16.5">
      <c r="E17313" s="123"/>
    </row>
    <row r="17314" spans="5:5" ht="16.5">
      <c r="E17314" s="123"/>
    </row>
    <row r="17315" spans="5:5" ht="16.5">
      <c r="E17315" s="123"/>
    </row>
    <row r="17316" spans="5:5" ht="16.5">
      <c r="E17316" s="123"/>
    </row>
    <row r="17317" spans="5:5" ht="16.5">
      <c r="E17317" s="123"/>
    </row>
    <row r="17318" spans="5:5" ht="16.5">
      <c r="E17318" s="123"/>
    </row>
    <row r="17319" spans="5:5" ht="16.5">
      <c r="E17319" s="123"/>
    </row>
    <row r="17320" spans="5:5" ht="16.5">
      <c r="E17320" s="123"/>
    </row>
    <row r="17321" spans="5:5" ht="16.5">
      <c r="E17321" s="123"/>
    </row>
    <row r="17322" spans="5:5" ht="16.5">
      <c r="E17322" s="123"/>
    </row>
    <row r="17323" spans="5:5" ht="16.5">
      <c r="E17323" s="123"/>
    </row>
    <row r="17324" spans="5:5" ht="16.5">
      <c r="E17324" s="123"/>
    </row>
    <row r="17325" spans="5:5" ht="16.5">
      <c r="E17325" s="123"/>
    </row>
    <row r="17326" spans="5:5" ht="16.5">
      <c r="E17326" s="123"/>
    </row>
    <row r="17327" spans="5:5" ht="16.5">
      <c r="E17327" s="123"/>
    </row>
    <row r="17328" spans="5:5" ht="16.5">
      <c r="E17328" s="123"/>
    </row>
    <row r="17329" spans="5:5" ht="16.5">
      <c r="E17329" s="123"/>
    </row>
    <row r="17330" spans="5:5" ht="16.5">
      <c r="E17330" s="123"/>
    </row>
    <row r="17331" spans="5:5" ht="16.5">
      <c r="E17331" s="123"/>
    </row>
    <row r="17332" spans="5:5" ht="16.5">
      <c r="E17332" s="123"/>
    </row>
    <row r="17333" spans="5:5" ht="16.5">
      <c r="E17333" s="123"/>
    </row>
    <row r="17334" spans="5:5" ht="16.5">
      <c r="E17334" s="123"/>
    </row>
    <row r="17335" spans="5:5" ht="16.5">
      <c r="E17335" s="123"/>
    </row>
    <row r="17336" spans="5:5" ht="16.5">
      <c r="E17336" s="123"/>
    </row>
    <row r="17337" spans="5:5" ht="16.5">
      <c r="E17337" s="123"/>
    </row>
    <row r="17338" spans="5:5" ht="16.5">
      <c r="E17338" s="123"/>
    </row>
    <row r="17339" spans="5:5" ht="16.5">
      <c r="E17339" s="123"/>
    </row>
    <row r="17340" spans="5:5" ht="16.5">
      <c r="E17340" s="123"/>
    </row>
    <row r="17341" spans="5:5" ht="16.5">
      <c r="E17341" s="123"/>
    </row>
    <row r="17342" spans="5:5" ht="16.5">
      <c r="E17342" s="123"/>
    </row>
    <row r="17343" spans="5:5" ht="16.5">
      <c r="E17343" s="123"/>
    </row>
    <row r="17344" spans="5:5" ht="16.5">
      <c r="E17344" s="123"/>
    </row>
    <row r="17345" spans="5:5" ht="16.5">
      <c r="E17345" s="123"/>
    </row>
    <row r="17346" spans="5:5" ht="16.5">
      <c r="E17346" s="123"/>
    </row>
    <row r="17347" spans="5:5" ht="16.5">
      <c r="E17347" s="123"/>
    </row>
    <row r="17348" spans="5:5" ht="16.5">
      <c r="E17348" s="123"/>
    </row>
    <row r="17349" spans="5:5" ht="16.5">
      <c r="E17349" s="123"/>
    </row>
    <row r="17350" spans="5:5" ht="16.5">
      <c r="E17350" s="123"/>
    </row>
    <row r="17351" spans="5:5" ht="16.5">
      <c r="E17351" s="123"/>
    </row>
    <row r="17352" spans="5:5" ht="16.5">
      <c r="E17352" s="123"/>
    </row>
    <row r="17353" spans="5:5" ht="16.5">
      <c r="E17353" s="123"/>
    </row>
    <row r="17354" spans="5:5" ht="16.5">
      <c r="E17354" s="123"/>
    </row>
    <row r="17355" spans="5:5" ht="16.5">
      <c r="E17355" s="123"/>
    </row>
    <row r="17356" spans="5:5" ht="16.5">
      <c r="E17356" s="123"/>
    </row>
    <row r="17357" spans="5:5" ht="16.5">
      <c r="E17357" s="123"/>
    </row>
    <row r="17358" spans="5:5" ht="16.5">
      <c r="E17358" s="123"/>
    </row>
    <row r="17359" spans="5:5" ht="16.5">
      <c r="E17359" s="123"/>
    </row>
    <row r="17360" spans="5:5" ht="16.5">
      <c r="E17360" s="123"/>
    </row>
    <row r="17361" spans="5:5" ht="16.5">
      <c r="E17361" s="123"/>
    </row>
    <row r="17362" spans="5:5" ht="16.5">
      <c r="E17362" s="123"/>
    </row>
    <row r="17363" spans="5:5" ht="16.5">
      <c r="E17363" s="123"/>
    </row>
    <row r="17364" spans="5:5" ht="16.5">
      <c r="E17364" s="123"/>
    </row>
    <row r="17365" spans="5:5" ht="16.5">
      <c r="E17365" s="123"/>
    </row>
    <row r="17366" spans="5:5" ht="16.5">
      <c r="E17366" s="123"/>
    </row>
    <row r="17367" spans="5:5" ht="16.5">
      <c r="E17367" s="123"/>
    </row>
    <row r="17368" spans="5:5" ht="16.5">
      <c r="E17368" s="123"/>
    </row>
    <row r="17369" spans="5:5" ht="16.5">
      <c r="E17369" s="123"/>
    </row>
    <row r="17370" spans="5:5" ht="16.5">
      <c r="E17370" s="123"/>
    </row>
    <row r="17371" spans="5:5" ht="16.5">
      <c r="E17371" s="123"/>
    </row>
    <row r="17372" spans="5:5" ht="16.5">
      <c r="E17372" s="123"/>
    </row>
    <row r="17373" spans="5:5" ht="16.5">
      <c r="E17373" s="123"/>
    </row>
    <row r="17374" spans="5:5" ht="16.5">
      <c r="E17374" s="123"/>
    </row>
    <row r="17375" spans="5:5" ht="16.5">
      <c r="E17375" s="123"/>
    </row>
    <row r="17376" spans="5:5" ht="16.5">
      <c r="E17376" s="123"/>
    </row>
    <row r="17377" spans="5:5" ht="16.5">
      <c r="E17377" s="123"/>
    </row>
    <row r="17378" spans="5:5" ht="16.5">
      <c r="E17378" s="123"/>
    </row>
    <row r="17379" spans="5:5" ht="16.5">
      <c r="E17379" s="123"/>
    </row>
    <row r="17380" spans="5:5" ht="16.5">
      <c r="E17380" s="123"/>
    </row>
    <row r="17381" spans="5:5" ht="16.5">
      <c r="E17381" s="123"/>
    </row>
    <row r="17382" spans="5:5" ht="16.5">
      <c r="E17382" s="123"/>
    </row>
    <row r="17383" spans="5:5" ht="16.5">
      <c r="E17383" s="123"/>
    </row>
    <row r="17384" spans="5:5" ht="16.5">
      <c r="E17384" s="123"/>
    </row>
    <row r="17385" spans="5:5" ht="16.5">
      <c r="E17385" s="123"/>
    </row>
    <row r="17386" spans="5:5" ht="16.5">
      <c r="E17386" s="123"/>
    </row>
    <row r="17387" spans="5:5" ht="16.5">
      <c r="E17387" s="123"/>
    </row>
    <row r="17388" spans="5:5" ht="16.5">
      <c r="E17388" s="123"/>
    </row>
    <row r="17389" spans="5:5" ht="16.5">
      <c r="E17389" s="123"/>
    </row>
    <row r="17390" spans="5:5" ht="16.5">
      <c r="E17390" s="123"/>
    </row>
    <row r="17391" spans="5:5" ht="16.5">
      <c r="E17391" s="123"/>
    </row>
    <row r="17392" spans="5:5" ht="16.5">
      <c r="E17392" s="123"/>
    </row>
    <row r="17393" spans="5:5" ht="16.5">
      <c r="E17393" s="123"/>
    </row>
    <row r="17394" spans="5:5" ht="16.5">
      <c r="E17394" s="123"/>
    </row>
    <row r="17395" spans="5:5" ht="16.5">
      <c r="E17395" s="123"/>
    </row>
    <row r="17396" spans="5:5" ht="16.5">
      <c r="E17396" s="123"/>
    </row>
    <row r="17397" spans="5:5" ht="16.5">
      <c r="E17397" s="123"/>
    </row>
    <row r="17398" spans="5:5" ht="16.5">
      <c r="E17398" s="123"/>
    </row>
    <row r="17399" spans="5:5" ht="16.5">
      <c r="E17399" s="123"/>
    </row>
    <row r="17400" spans="5:5" ht="16.5">
      <c r="E17400" s="123"/>
    </row>
    <row r="17401" spans="5:5" ht="16.5">
      <c r="E17401" s="123"/>
    </row>
    <row r="17402" spans="5:5" ht="16.5">
      <c r="E17402" s="123"/>
    </row>
    <row r="17403" spans="5:5" ht="16.5">
      <c r="E17403" s="123"/>
    </row>
    <row r="17404" spans="5:5" ht="16.5">
      <c r="E17404" s="123"/>
    </row>
    <row r="17405" spans="5:5" ht="16.5">
      <c r="E17405" s="123"/>
    </row>
    <row r="17406" spans="5:5" ht="16.5">
      <c r="E17406" s="123"/>
    </row>
    <row r="17407" spans="5:5" ht="16.5">
      <c r="E17407" s="123"/>
    </row>
    <row r="17408" spans="5:5" ht="16.5">
      <c r="E17408" s="123"/>
    </row>
    <row r="17409" spans="5:5" ht="16.5">
      <c r="E17409" s="123"/>
    </row>
    <row r="17410" spans="5:5" ht="16.5">
      <c r="E17410" s="123"/>
    </row>
    <row r="17411" spans="5:5" ht="16.5">
      <c r="E17411" s="123"/>
    </row>
    <row r="17412" spans="5:5" ht="16.5">
      <c r="E17412" s="123"/>
    </row>
    <row r="17413" spans="5:5" ht="16.5">
      <c r="E17413" s="123"/>
    </row>
    <row r="17414" spans="5:5" ht="16.5">
      <c r="E17414" s="123"/>
    </row>
    <row r="17415" spans="5:5" ht="16.5">
      <c r="E17415" s="123"/>
    </row>
    <row r="17416" spans="5:5" ht="16.5">
      <c r="E17416" s="123"/>
    </row>
    <row r="17417" spans="5:5" ht="16.5">
      <c r="E17417" s="123"/>
    </row>
    <row r="17418" spans="5:5" ht="16.5">
      <c r="E17418" s="123"/>
    </row>
    <row r="17419" spans="5:5" ht="16.5">
      <c r="E17419" s="123"/>
    </row>
    <row r="17420" spans="5:5" ht="16.5">
      <c r="E17420" s="123"/>
    </row>
    <row r="17421" spans="5:5" ht="16.5">
      <c r="E17421" s="123"/>
    </row>
    <row r="17422" spans="5:5" ht="16.5">
      <c r="E17422" s="123"/>
    </row>
    <row r="17423" spans="5:5" ht="16.5">
      <c r="E17423" s="123"/>
    </row>
    <row r="17424" spans="5:5" ht="16.5">
      <c r="E17424" s="123"/>
    </row>
    <row r="17425" spans="5:5" ht="16.5">
      <c r="E17425" s="123"/>
    </row>
    <row r="17426" spans="5:5" ht="16.5">
      <c r="E17426" s="123"/>
    </row>
    <row r="17427" spans="5:5" ht="16.5">
      <c r="E17427" s="123"/>
    </row>
    <row r="17428" spans="5:5" ht="16.5">
      <c r="E17428" s="123"/>
    </row>
    <row r="17429" spans="5:5" ht="16.5">
      <c r="E17429" s="123"/>
    </row>
    <row r="17430" spans="5:5" ht="16.5">
      <c r="E17430" s="123"/>
    </row>
    <row r="17431" spans="5:5" ht="16.5">
      <c r="E17431" s="123"/>
    </row>
    <row r="17432" spans="5:5" ht="16.5">
      <c r="E17432" s="123"/>
    </row>
    <row r="17433" spans="5:5" ht="16.5">
      <c r="E17433" s="123"/>
    </row>
    <row r="17434" spans="5:5" ht="16.5">
      <c r="E17434" s="123"/>
    </row>
    <row r="17435" spans="5:5" ht="16.5">
      <c r="E17435" s="123"/>
    </row>
    <row r="17436" spans="5:5" ht="16.5">
      <c r="E17436" s="123"/>
    </row>
    <row r="17437" spans="5:5" ht="16.5">
      <c r="E17437" s="123"/>
    </row>
    <row r="17438" spans="5:5" ht="16.5">
      <c r="E17438" s="123"/>
    </row>
    <row r="17439" spans="5:5" ht="16.5">
      <c r="E17439" s="123"/>
    </row>
    <row r="17440" spans="5:5" ht="16.5">
      <c r="E17440" s="123"/>
    </row>
    <row r="17441" spans="5:5" ht="16.5">
      <c r="E17441" s="123"/>
    </row>
    <row r="17442" spans="5:5" ht="16.5">
      <c r="E17442" s="123"/>
    </row>
    <row r="17443" spans="5:5" ht="16.5">
      <c r="E17443" s="123"/>
    </row>
    <row r="17444" spans="5:5" ht="16.5">
      <c r="E17444" s="123"/>
    </row>
    <row r="17445" spans="5:5" ht="16.5">
      <c r="E17445" s="123"/>
    </row>
    <row r="17446" spans="5:5" ht="16.5">
      <c r="E17446" s="123"/>
    </row>
    <row r="17447" spans="5:5" ht="16.5">
      <c r="E17447" s="123"/>
    </row>
    <row r="17448" spans="5:5" ht="16.5">
      <c r="E17448" s="123"/>
    </row>
    <row r="17449" spans="5:5" ht="16.5">
      <c r="E17449" s="123"/>
    </row>
    <row r="17450" spans="5:5" ht="16.5">
      <c r="E17450" s="123"/>
    </row>
    <row r="17451" spans="5:5" ht="16.5">
      <c r="E17451" s="123"/>
    </row>
    <row r="17452" spans="5:5" ht="16.5">
      <c r="E17452" s="123"/>
    </row>
    <row r="17453" spans="5:5" ht="16.5">
      <c r="E17453" s="123"/>
    </row>
    <row r="17454" spans="5:5" ht="16.5">
      <c r="E17454" s="123"/>
    </row>
    <row r="17455" spans="5:5" ht="16.5">
      <c r="E17455" s="123"/>
    </row>
    <row r="17456" spans="5:5" ht="16.5">
      <c r="E17456" s="123"/>
    </row>
    <row r="17457" spans="5:5" ht="16.5">
      <c r="E17457" s="123"/>
    </row>
    <row r="17458" spans="5:5" ht="16.5">
      <c r="E17458" s="123"/>
    </row>
    <row r="17459" spans="5:5" ht="16.5">
      <c r="E17459" s="123"/>
    </row>
    <row r="17460" spans="5:5" ht="16.5">
      <c r="E17460" s="123"/>
    </row>
    <row r="17461" spans="5:5" ht="16.5">
      <c r="E17461" s="123"/>
    </row>
    <row r="17462" spans="5:5" ht="16.5">
      <c r="E17462" s="123"/>
    </row>
    <row r="17463" spans="5:5" ht="16.5">
      <c r="E17463" s="123"/>
    </row>
    <row r="17464" spans="5:5" ht="16.5">
      <c r="E17464" s="123"/>
    </row>
    <row r="17465" spans="5:5" ht="16.5">
      <c r="E17465" s="123"/>
    </row>
    <row r="17466" spans="5:5" ht="16.5">
      <c r="E17466" s="123"/>
    </row>
    <row r="17467" spans="5:5" ht="16.5">
      <c r="E17467" s="123"/>
    </row>
    <row r="17468" spans="5:5" ht="16.5">
      <c r="E17468" s="123"/>
    </row>
    <row r="17469" spans="5:5" ht="16.5">
      <c r="E17469" s="123"/>
    </row>
    <row r="17470" spans="5:5" ht="16.5">
      <c r="E17470" s="123"/>
    </row>
    <row r="17471" spans="5:5" ht="16.5">
      <c r="E17471" s="123"/>
    </row>
    <row r="17472" spans="5:5" ht="16.5">
      <c r="E17472" s="123"/>
    </row>
    <row r="17473" spans="5:5" ht="16.5">
      <c r="E17473" s="123"/>
    </row>
    <row r="17474" spans="5:5" ht="16.5">
      <c r="E17474" s="123"/>
    </row>
    <row r="17475" spans="5:5" ht="16.5">
      <c r="E17475" s="123"/>
    </row>
    <row r="17476" spans="5:5" ht="16.5">
      <c r="E17476" s="123"/>
    </row>
    <row r="17477" spans="5:5" ht="16.5">
      <c r="E17477" s="123"/>
    </row>
    <row r="17478" spans="5:5" ht="16.5">
      <c r="E17478" s="123"/>
    </row>
    <row r="17479" spans="5:5" ht="16.5">
      <c r="E17479" s="123"/>
    </row>
    <row r="17480" spans="5:5" ht="16.5">
      <c r="E17480" s="123"/>
    </row>
    <row r="17481" spans="5:5" ht="16.5">
      <c r="E17481" s="123"/>
    </row>
    <row r="17482" spans="5:5" ht="16.5">
      <c r="E17482" s="123"/>
    </row>
    <row r="17483" spans="5:5" ht="16.5">
      <c r="E17483" s="123"/>
    </row>
    <row r="17484" spans="5:5" ht="16.5">
      <c r="E17484" s="123"/>
    </row>
    <row r="17485" spans="5:5" ht="16.5">
      <c r="E17485" s="123"/>
    </row>
    <row r="17486" spans="5:5" ht="16.5">
      <c r="E17486" s="123"/>
    </row>
    <row r="17487" spans="5:5" ht="16.5">
      <c r="E17487" s="123"/>
    </row>
    <row r="17488" spans="5:5" ht="16.5">
      <c r="E17488" s="123"/>
    </row>
    <row r="17489" spans="5:5" ht="16.5">
      <c r="E17489" s="123"/>
    </row>
    <row r="17490" spans="5:5" ht="16.5">
      <c r="E17490" s="123"/>
    </row>
    <row r="17491" spans="5:5" ht="16.5">
      <c r="E17491" s="123"/>
    </row>
    <row r="17492" spans="5:5" ht="16.5">
      <c r="E17492" s="123"/>
    </row>
    <row r="17493" spans="5:5" ht="16.5">
      <c r="E17493" s="123"/>
    </row>
    <row r="17494" spans="5:5" ht="16.5">
      <c r="E17494" s="123"/>
    </row>
    <row r="17495" spans="5:5" ht="16.5">
      <c r="E17495" s="123"/>
    </row>
    <row r="17496" spans="5:5" ht="16.5">
      <c r="E17496" s="123"/>
    </row>
    <row r="17497" spans="5:5" ht="16.5">
      <c r="E17497" s="123"/>
    </row>
    <row r="17498" spans="5:5" ht="16.5">
      <c r="E17498" s="123"/>
    </row>
    <row r="17499" spans="5:5" ht="16.5">
      <c r="E17499" s="123"/>
    </row>
    <row r="17500" spans="5:5" ht="16.5">
      <c r="E17500" s="123"/>
    </row>
    <row r="17501" spans="5:5" ht="16.5">
      <c r="E17501" s="123"/>
    </row>
    <row r="17502" spans="5:5" ht="16.5">
      <c r="E17502" s="123"/>
    </row>
    <row r="17503" spans="5:5" ht="16.5">
      <c r="E17503" s="123"/>
    </row>
    <row r="17504" spans="5:5" ht="16.5">
      <c r="E17504" s="123"/>
    </row>
    <row r="17505" spans="5:5" ht="16.5">
      <c r="E17505" s="123"/>
    </row>
    <row r="17506" spans="5:5" ht="16.5">
      <c r="E17506" s="123"/>
    </row>
    <row r="17507" spans="5:5" ht="16.5">
      <c r="E17507" s="123"/>
    </row>
    <row r="17508" spans="5:5" ht="16.5">
      <c r="E17508" s="123"/>
    </row>
    <row r="17509" spans="5:5" ht="16.5">
      <c r="E17509" s="123"/>
    </row>
    <row r="17510" spans="5:5" ht="16.5">
      <c r="E17510" s="123"/>
    </row>
    <row r="17511" spans="5:5" ht="16.5">
      <c r="E17511" s="123"/>
    </row>
    <row r="17512" spans="5:5" ht="16.5">
      <c r="E17512" s="123"/>
    </row>
    <row r="17513" spans="5:5" ht="16.5">
      <c r="E17513" s="123"/>
    </row>
    <row r="17514" spans="5:5" ht="16.5">
      <c r="E17514" s="123"/>
    </row>
    <row r="17515" spans="5:5" ht="16.5">
      <c r="E17515" s="123"/>
    </row>
    <row r="17516" spans="5:5" ht="16.5">
      <c r="E17516" s="123"/>
    </row>
    <row r="17517" spans="5:5" ht="16.5">
      <c r="E17517" s="123"/>
    </row>
    <row r="17518" spans="5:5" ht="16.5">
      <c r="E17518" s="123"/>
    </row>
    <row r="17519" spans="5:5" ht="16.5">
      <c r="E17519" s="123"/>
    </row>
    <row r="17520" spans="5:5" ht="16.5">
      <c r="E17520" s="123"/>
    </row>
    <row r="17521" spans="5:5" ht="16.5">
      <c r="E17521" s="123"/>
    </row>
    <row r="17522" spans="5:5" ht="16.5">
      <c r="E17522" s="123"/>
    </row>
    <row r="17523" spans="5:5" ht="16.5">
      <c r="E17523" s="123"/>
    </row>
    <row r="17524" spans="5:5" ht="16.5">
      <c r="E17524" s="123"/>
    </row>
    <row r="17525" spans="5:5" ht="16.5">
      <c r="E17525" s="123"/>
    </row>
    <row r="17526" spans="5:5" ht="16.5">
      <c r="E17526" s="123"/>
    </row>
    <row r="17527" spans="5:5" ht="16.5">
      <c r="E17527" s="123"/>
    </row>
    <row r="17528" spans="5:5" ht="16.5">
      <c r="E17528" s="123"/>
    </row>
    <row r="17529" spans="5:5" ht="16.5">
      <c r="E17529" s="123"/>
    </row>
    <row r="17530" spans="5:5" ht="16.5">
      <c r="E17530" s="123"/>
    </row>
    <row r="17531" spans="5:5" ht="16.5">
      <c r="E17531" s="123"/>
    </row>
    <row r="17532" spans="5:5" ht="16.5">
      <c r="E17532" s="123"/>
    </row>
    <row r="17533" spans="5:5" ht="16.5">
      <c r="E17533" s="123"/>
    </row>
    <row r="17534" spans="5:5" ht="16.5">
      <c r="E17534" s="123"/>
    </row>
    <row r="17535" spans="5:5" ht="16.5">
      <c r="E17535" s="123"/>
    </row>
    <row r="17536" spans="5:5" ht="16.5">
      <c r="E17536" s="123"/>
    </row>
    <row r="17537" spans="5:5" ht="16.5">
      <c r="E17537" s="123"/>
    </row>
    <row r="17538" spans="5:5" ht="16.5">
      <c r="E17538" s="123"/>
    </row>
    <row r="17539" spans="5:5" ht="16.5">
      <c r="E17539" s="123"/>
    </row>
    <row r="17540" spans="5:5" ht="16.5">
      <c r="E17540" s="123"/>
    </row>
    <row r="17541" spans="5:5" ht="16.5">
      <c r="E17541" s="123"/>
    </row>
    <row r="17542" spans="5:5" ht="16.5">
      <c r="E17542" s="123"/>
    </row>
    <row r="17543" spans="5:5" ht="16.5">
      <c r="E17543" s="123"/>
    </row>
    <row r="17544" spans="5:5" ht="16.5">
      <c r="E17544" s="123"/>
    </row>
    <row r="17545" spans="5:5" ht="16.5">
      <c r="E17545" s="123"/>
    </row>
    <row r="17546" spans="5:5" ht="16.5">
      <c r="E17546" s="123"/>
    </row>
    <row r="17547" spans="5:5" ht="16.5">
      <c r="E17547" s="123"/>
    </row>
    <row r="17548" spans="5:5" ht="16.5">
      <c r="E17548" s="123"/>
    </row>
    <row r="17549" spans="5:5" ht="16.5">
      <c r="E17549" s="123"/>
    </row>
    <row r="17550" spans="5:5" ht="16.5">
      <c r="E17550" s="123"/>
    </row>
    <row r="17551" spans="5:5" ht="16.5">
      <c r="E17551" s="123"/>
    </row>
    <row r="17552" spans="5:5" ht="16.5">
      <c r="E17552" s="123"/>
    </row>
    <row r="17553" spans="5:5" ht="16.5">
      <c r="E17553" s="123"/>
    </row>
    <row r="17554" spans="5:5" ht="16.5">
      <c r="E17554" s="123"/>
    </row>
    <row r="17555" spans="5:5" ht="16.5">
      <c r="E17555" s="123"/>
    </row>
    <row r="17556" spans="5:5" ht="16.5">
      <c r="E17556" s="123"/>
    </row>
    <row r="17557" spans="5:5" ht="16.5">
      <c r="E17557" s="123"/>
    </row>
    <row r="17558" spans="5:5" ht="16.5">
      <c r="E17558" s="123"/>
    </row>
    <row r="17559" spans="5:5" ht="16.5">
      <c r="E17559" s="123"/>
    </row>
    <row r="17560" spans="5:5" ht="16.5">
      <c r="E17560" s="123"/>
    </row>
    <row r="17561" spans="5:5" ht="16.5">
      <c r="E17561" s="123"/>
    </row>
    <row r="17562" spans="5:5" ht="16.5">
      <c r="E17562" s="123"/>
    </row>
    <row r="17563" spans="5:5" ht="16.5">
      <c r="E17563" s="123"/>
    </row>
    <row r="17564" spans="5:5" ht="16.5">
      <c r="E17564" s="123"/>
    </row>
    <row r="17565" spans="5:5" ht="16.5">
      <c r="E17565" s="123"/>
    </row>
    <row r="17566" spans="5:5" ht="16.5">
      <c r="E17566" s="123"/>
    </row>
    <row r="17567" spans="5:5" ht="16.5">
      <c r="E17567" s="123"/>
    </row>
    <row r="17568" spans="5:5" ht="16.5">
      <c r="E17568" s="123"/>
    </row>
    <row r="17569" spans="5:5" ht="16.5">
      <c r="E17569" s="123"/>
    </row>
    <row r="17570" spans="5:5" ht="16.5">
      <c r="E17570" s="123"/>
    </row>
    <row r="17571" spans="5:5" ht="16.5">
      <c r="E17571" s="123"/>
    </row>
    <row r="17572" spans="5:5" ht="16.5">
      <c r="E17572" s="123"/>
    </row>
    <row r="17573" spans="5:5" ht="16.5">
      <c r="E17573" s="123"/>
    </row>
    <row r="17574" spans="5:5" ht="16.5">
      <c r="E17574" s="123"/>
    </row>
    <row r="17575" spans="5:5" ht="16.5">
      <c r="E17575" s="123"/>
    </row>
    <row r="17576" spans="5:5" ht="16.5">
      <c r="E17576" s="123"/>
    </row>
    <row r="17577" spans="5:5" ht="16.5">
      <c r="E17577" s="123"/>
    </row>
    <row r="17578" spans="5:5" ht="16.5">
      <c r="E17578" s="123"/>
    </row>
    <row r="17579" spans="5:5" ht="16.5">
      <c r="E17579" s="123"/>
    </row>
    <row r="17580" spans="5:5" ht="16.5">
      <c r="E17580" s="123"/>
    </row>
    <row r="17581" spans="5:5" ht="16.5">
      <c r="E17581" s="123"/>
    </row>
    <row r="17582" spans="5:5" ht="16.5">
      <c r="E17582" s="123"/>
    </row>
    <row r="17583" spans="5:5" ht="16.5">
      <c r="E17583" s="123"/>
    </row>
    <row r="17584" spans="5:5" ht="16.5">
      <c r="E17584" s="123"/>
    </row>
    <row r="17585" spans="5:5" ht="16.5">
      <c r="E17585" s="123"/>
    </row>
    <row r="17586" spans="5:5" ht="16.5">
      <c r="E17586" s="123"/>
    </row>
    <row r="17587" spans="5:5" ht="16.5">
      <c r="E17587" s="123"/>
    </row>
    <row r="17588" spans="5:5" ht="16.5">
      <c r="E17588" s="123"/>
    </row>
    <row r="17589" spans="5:5" ht="16.5">
      <c r="E17589" s="123"/>
    </row>
    <row r="17590" spans="5:5" ht="16.5">
      <c r="E17590" s="123"/>
    </row>
    <row r="17591" spans="5:5" ht="16.5">
      <c r="E17591" s="123"/>
    </row>
    <row r="17592" spans="5:5" ht="16.5">
      <c r="E17592" s="123"/>
    </row>
    <row r="17593" spans="5:5" ht="16.5">
      <c r="E17593" s="123"/>
    </row>
    <row r="17594" spans="5:5" ht="16.5">
      <c r="E17594" s="123"/>
    </row>
    <row r="17595" spans="5:5" ht="16.5">
      <c r="E17595" s="123"/>
    </row>
    <row r="17596" spans="5:5" ht="16.5">
      <c r="E17596" s="123"/>
    </row>
    <row r="17597" spans="5:5" ht="16.5">
      <c r="E17597" s="123"/>
    </row>
    <row r="17598" spans="5:5" ht="16.5">
      <c r="E17598" s="123"/>
    </row>
    <row r="17599" spans="5:5" ht="16.5">
      <c r="E17599" s="123"/>
    </row>
    <row r="17600" spans="5:5" ht="16.5">
      <c r="E17600" s="123"/>
    </row>
    <row r="17601" spans="5:5" ht="16.5">
      <c r="E17601" s="123"/>
    </row>
    <row r="17602" spans="5:5" ht="16.5">
      <c r="E17602" s="123"/>
    </row>
    <row r="17603" spans="5:5" ht="16.5">
      <c r="E17603" s="123"/>
    </row>
    <row r="17604" spans="5:5" ht="16.5">
      <c r="E17604" s="123"/>
    </row>
    <row r="17605" spans="5:5" ht="16.5">
      <c r="E17605" s="123"/>
    </row>
    <row r="17606" spans="5:5" ht="16.5">
      <c r="E17606" s="123"/>
    </row>
    <row r="17607" spans="5:5" ht="16.5">
      <c r="E17607" s="123"/>
    </row>
    <row r="17608" spans="5:5" ht="16.5">
      <c r="E17608" s="123"/>
    </row>
    <row r="17609" spans="5:5" ht="16.5">
      <c r="E17609" s="123"/>
    </row>
    <row r="17610" spans="5:5" ht="16.5">
      <c r="E17610" s="123"/>
    </row>
    <row r="17611" spans="5:5" ht="16.5">
      <c r="E17611" s="123"/>
    </row>
    <row r="17612" spans="5:5" ht="16.5">
      <c r="E17612" s="123"/>
    </row>
    <row r="17613" spans="5:5" ht="16.5">
      <c r="E17613" s="123"/>
    </row>
    <row r="17614" spans="5:5" ht="16.5">
      <c r="E17614" s="123"/>
    </row>
    <row r="17615" spans="5:5" ht="16.5">
      <c r="E17615" s="123"/>
    </row>
    <row r="17616" spans="5:5" ht="16.5">
      <c r="E17616" s="123"/>
    </row>
    <row r="17617" spans="5:5" ht="16.5">
      <c r="E17617" s="123"/>
    </row>
    <row r="17618" spans="5:5" ht="16.5">
      <c r="E17618" s="123"/>
    </row>
    <row r="17619" spans="5:5" ht="16.5">
      <c r="E17619" s="123"/>
    </row>
    <row r="17620" spans="5:5" ht="16.5">
      <c r="E17620" s="123"/>
    </row>
    <row r="17621" spans="5:5" ht="16.5">
      <c r="E17621" s="123"/>
    </row>
    <row r="17622" spans="5:5" ht="16.5">
      <c r="E17622" s="123"/>
    </row>
    <row r="17623" spans="5:5" ht="16.5">
      <c r="E17623" s="123"/>
    </row>
    <row r="17624" spans="5:5" ht="16.5">
      <c r="E17624" s="123"/>
    </row>
    <row r="17625" spans="5:5" ht="16.5">
      <c r="E17625" s="123"/>
    </row>
    <row r="17626" spans="5:5" ht="16.5">
      <c r="E17626" s="123"/>
    </row>
    <row r="17627" spans="5:5" ht="16.5">
      <c r="E17627" s="123"/>
    </row>
    <row r="17628" spans="5:5" ht="16.5">
      <c r="E17628" s="123"/>
    </row>
    <row r="17629" spans="5:5" ht="16.5">
      <c r="E17629" s="123"/>
    </row>
    <row r="17630" spans="5:5" ht="16.5">
      <c r="E17630" s="123"/>
    </row>
    <row r="17631" spans="5:5" ht="16.5">
      <c r="E17631" s="123"/>
    </row>
    <row r="17632" spans="5:5" ht="16.5">
      <c r="E17632" s="123"/>
    </row>
    <row r="17633" spans="5:5" ht="16.5">
      <c r="E17633" s="123"/>
    </row>
    <row r="17634" spans="5:5" ht="16.5">
      <c r="E17634" s="123"/>
    </row>
    <row r="17635" spans="5:5" ht="16.5">
      <c r="E17635" s="123"/>
    </row>
    <row r="17636" spans="5:5" ht="16.5">
      <c r="E17636" s="123"/>
    </row>
    <row r="17637" spans="5:5" ht="16.5">
      <c r="E17637" s="123"/>
    </row>
    <row r="17638" spans="5:5" ht="16.5">
      <c r="E17638" s="123"/>
    </row>
    <row r="17639" spans="5:5" ht="16.5">
      <c r="E17639" s="123"/>
    </row>
    <row r="17640" spans="5:5" ht="16.5">
      <c r="E17640" s="123"/>
    </row>
    <row r="17641" spans="5:5" ht="16.5">
      <c r="E17641" s="123"/>
    </row>
    <row r="17642" spans="5:5" ht="16.5">
      <c r="E17642" s="123"/>
    </row>
    <row r="17643" spans="5:5" ht="16.5">
      <c r="E17643" s="123"/>
    </row>
    <row r="17644" spans="5:5" ht="16.5">
      <c r="E17644" s="123"/>
    </row>
    <row r="17645" spans="5:5" ht="16.5">
      <c r="E17645" s="123"/>
    </row>
    <row r="17646" spans="5:5" ht="16.5">
      <c r="E17646" s="123"/>
    </row>
    <row r="17647" spans="5:5" ht="16.5">
      <c r="E17647" s="123"/>
    </row>
    <row r="17648" spans="5:5" ht="16.5">
      <c r="E17648" s="123"/>
    </row>
    <row r="17649" spans="5:5" ht="16.5">
      <c r="E17649" s="123"/>
    </row>
    <row r="17650" spans="5:5" ht="16.5">
      <c r="E17650" s="123"/>
    </row>
    <row r="17651" spans="5:5" ht="16.5">
      <c r="E17651" s="123"/>
    </row>
    <row r="17652" spans="5:5" ht="16.5">
      <c r="E17652" s="123"/>
    </row>
    <row r="17653" spans="5:5" ht="16.5">
      <c r="E17653" s="123"/>
    </row>
    <row r="17654" spans="5:5" ht="16.5">
      <c r="E17654" s="123"/>
    </row>
    <row r="17655" spans="5:5" ht="16.5">
      <c r="E17655" s="123"/>
    </row>
    <row r="17656" spans="5:5" ht="16.5">
      <c r="E17656" s="123"/>
    </row>
    <row r="17657" spans="5:5" ht="16.5">
      <c r="E17657" s="123"/>
    </row>
    <row r="17658" spans="5:5" ht="16.5">
      <c r="E17658" s="123"/>
    </row>
    <row r="17659" spans="5:5" ht="16.5">
      <c r="E17659" s="123"/>
    </row>
    <row r="17660" spans="5:5" ht="16.5">
      <c r="E17660" s="123"/>
    </row>
    <row r="17661" spans="5:5" ht="16.5">
      <c r="E17661" s="123"/>
    </row>
    <row r="17662" spans="5:5" ht="16.5">
      <c r="E17662" s="123"/>
    </row>
    <row r="17663" spans="5:5" ht="16.5">
      <c r="E17663" s="123"/>
    </row>
    <row r="17664" spans="5:5" ht="16.5">
      <c r="E17664" s="123"/>
    </row>
    <row r="17665" spans="5:5" ht="16.5">
      <c r="E17665" s="123"/>
    </row>
    <row r="17666" spans="5:5" ht="16.5">
      <c r="E17666" s="123"/>
    </row>
    <row r="17667" spans="5:5" ht="16.5">
      <c r="E17667" s="123"/>
    </row>
    <row r="17668" spans="5:5" ht="16.5">
      <c r="E17668" s="123"/>
    </row>
    <row r="17669" spans="5:5" ht="16.5">
      <c r="E17669" s="123"/>
    </row>
    <row r="17670" spans="5:5" ht="16.5">
      <c r="E17670" s="123"/>
    </row>
    <row r="17671" spans="5:5" ht="16.5">
      <c r="E17671" s="123"/>
    </row>
    <row r="17672" spans="5:5" ht="16.5">
      <c r="E17672" s="123"/>
    </row>
    <row r="17673" spans="5:5" ht="16.5">
      <c r="E17673" s="123"/>
    </row>
    <row r="17674" spans="5:5" ht="16.5">
      <c r="E17674" s="123"/>
    </row>
    <row r="17675" spans="5:5" ht="16.5">
      <c r="E17675" s="123"/>
    </row>
    <row r="17676" spans="5:5" ht="16.5">
      <c r="E17676" s="123"/>
    </row>
    <row r="17677" spans="5:5" ht="16.5">
      <c r="E17677" s="123"/>
    </row>
    <row r="17678" spans="5:5" ht="16.5">
      <c r="E17678" s="123"/>
    </row>
    <row r="17679" spans="5:5" ht="16.5">
      <c r="E17679" s="123"/>
    </row>
    <row r="17680" spans="5:5" ht="16.5">
      <c r="E17680" s="123"/>
    </row>
    <row r="17681" spans="5:5" ht="16.5">
      <c r="E17681" s="123"/>
    </row>
    <row r="17682" spans="5:5" ht="16.5">
      <c r="E17682" s="123"/>
    </row>
    <row r="17683" spans="5:5" ht="16.5">
      <c r="E17683" s="123"/>
    </row>
    <row r="17684" spans="5:5" ht="16.5">
      <c r="E17684" s="123"/>
    </row>
    <row r="17685" spans="5:5" ht="16.5">
      <c r="E17685" s="123"/>
    </row>
    <row r="17686" spans="5:5" ht="16.5">
      <c r="E17686" s="123"/>
    </row>
    <row r="17687" spans="5:5" ht="16.5">
      <c r="E17687" s="123"/>
    </row>
    <row r="17688" spans="5:5" ht="16.5">
      <c r="E17688" s="123"/>
    </row>
    <row r="17689" spans="5:5" ht="16.5">
      <c r="E17689" s="123"/>
    </row>
    <row r="17690" spans="5:5" ht="16.5">
      <c r="E17690" s="123"/>
    </row>
    <row r="17691" spans="5:5" ht="16.5">
      <c r="E17691" s="123"/>
    </row>
    <row r="17692" spans="5:5" ht="16.5">
      <c r="E17692" s="123"/>
    </row>
    <row r="17693" spans="5:5" ht="16.5">
      <c r="E17693" s="123"/>
    </row>
    <row r="17694" spans="5:5" ht="16.5">
      <c r="E17694" s="123"/>
    </row>
    <row r="17695" spans="5:5" ht="16.5">
      <c r="E17695" s="123"/>
    </row>
    <row r="17696" spans="5:5" ht="16.5">
      <c r="E17696" s="123"/>
    </row>
    <row r="17697" spans="5:5" ht="16.5">
      <c r="E17697" s="123"/>
    </row>
    <row r="17698" spans="5:5" ht="16.5">
      <c r="E17698" s="123"/>
    </row>
    <row r="17699" spans="5:5" ht="16.5">
      <c r="E17699" s="123"/>
    </row>
    <row r="17700" spans="5:5" ht="16.5">
      <c r="E17700" s="123"/>
    </row>
    <row r="17701" spans="5:5" ht="16.5">
      <c r="E17701" s="123"/>
    </row>
    <row r="17702" spans="5:5" ht="16.5">
      <c r="E17702" s="123"/>
    </row>
    <row r="17703" spans="5:5" ht="16.5">
      <c r="E17703" s="123"/>
    </row>
    <row r="17704" spans="5:5" ht="16.5">
      <c r="E17704" s="123"/>
    </row>
    <row r="17705" spans="5:5" ht="16.5">
      <c r="E17705" s="123"/>
    </row>
    <row r="17706" spans="5:5" ht="16.5">
      <c r="E17706" s="123"/>
    </row>
    <row r="17707" spans="5:5" ht="16.5">
      <c r="E17707" s="123"/>
    </row>
    <row r="17708" spans="5:5" ht="16.5">
      <c r="E17708" s="123"/>
    </row>
    <row r="17709" spans="5:5" ht="16.5">
      <c r="E17709" s="123"/>
    </row>
    <row r="17710" spans="5:5" ht="16.5">
      <c r="E17710" s="123"/>
    </row>
    <row r="17711" spans="5:5" ht="16.5">
      <c r="E17711" s="123"/>
    </row>
    <row r="17712" spans="5:5" ht="16.5">
      <c r="E17712" s="123"/>
    </row>
    <row r="17713" spans="5:5" ht="16.5">
      <c r="E17713" s="123"/>
    </row>
    <row r="17714" spans="5:5" ht="16.5">
      <c r="E17714" s="123"/>
    </row>
    <row r="17715" spans="5:5" ht="16.5">
      <c r="E17715" s="123"/>
    </row>
    <row r="17716" spans="5:5" ht="16.5">
      <c r="E17716" s="123"/>
    </row>
    <row r="17717" spans="5:5" ht="16.5">
      <c r="E17717" s="123"/>
    </row>
    <row r="17718" spans="5:5" ht="16.5">
      <c r="E17718" s="123"/>
    </row>
    <row r="17719" spans="5:5" ht="16.5">
      <c r="E17719" s="123"/>
    </row>
    <row r="17720" spans="5:5" ht="16.5">
      <c r="E17720" s="123"/>
    </row>
    <row r="17721" spans="5:5" ht="16.5">
      <c r="E17721" s="123"/>
    </row>
    <row r="17722" spans="5:5" ht="16.5">
      <c r="E17722" s="123"/>
    </row>
    <row r="17723" spans="5:5" ht="16.5">
      <c r="E17723" s="123"/>
    </row>
    <row r="17724" spans="5:5" ht="16.5">
      <c r="E17724" s="123"/>
    </row>
    <row r="17725" spans="5:5" ht="16.5">
      <c r="E17725" s="123"/>
    </row>
    <row r="17726" spans="5:5" ht="16.5">
      <c r="E17726" s="123"/>
    </row>
    <row r="17727" spans="5:5" ht="16.5">
      <c r="E17727" s="123"/>
    </row>
    <row r="17728" spans="5:5" ht="16.5">
      <c r="E17728" s="123"/>
    </row>
    <row r="17729" spans="5:5" ht="16.5">
      <c r="E17729" s="123"/>
    </row>
    <row r="17730" spans="5:5" ht="16.5">
      <c r="E17730" s="123"/>
    </row>
    <row r="17731" spans="5:5" ht="16.5">
      <c r="E17731" s="123"/>
    </row>
    <row r="17732" spans="5:5" ht="16.5">
      <c r="E17732" s="123"/>
    </row>
    <row r="17733" spans="5:5" ht="16.5">
      <c r="E17733" s="123"/>
    </row>
    <row r="17734" spans="5:5" ht="16.5">
      <c r="E17734" s="123"/>
    </row>
    <row r="17735" spans="5:5" ht="16.5">
      <c r="E17735" s="123"/>
    </row>
    <row r="17736" spans="5:5" ht="16.5">
      <c r="E17736" s="123"/>
    </row>
    <row r="17737" spans="5:5" ht="16.5">
      <c r="E17737" s="123"/>
    </row>
    <row r="17738" spans="5:5" ht="16.5">
      <c r="E17738" s="123"/>
    </row>
    <row r="17739" spans="5:5" ht="16.5">
      <c r="E17739" s="123"/>
    </row>
    <row r="17740" spans="5:5" ht="16.5">
      <c r="E17740" s="123"/>
    </row>
    <row r="17741" spans="5:5" ht="16.5">
      <c r="E17741" s="123"/>
    </row>
    <row r="17742" spans="5:5" ht="16.5">
      <c r="E17742" s="123"/>
    </row>
    <row r="17743" spans="5:5" ht="16.5">
      <c r="E17743" s="123"/>
    </row>
    <row r="17744" spans="5:5" ht="16.5">
      <c r="E17744" s="123"/>
    </row>
    <row r="17745" spans="5:5" ht="16.5">
      <c r="E17745" s="123"/>
    </row>
    <row r="17746" spans="5:5" ht="16.5">
      <c r="E17746" s="123"/>
    </row>
    <row r="17747" spans="5:5" ht="16.5">
      <c r="E17747" s="123"/>
    </row>
    <row r="17748" spans="5:5" ht="16.5">
      <c r="E17748" s="123"/>
    </row>
    <row r="17749" spans="5:5" ht="16.5">
      <c r="E17749" s="123"/>
    </row>
    <row r="17750" spans="5:5" ht="16.5">
      <c r="E17750" s="123"/>
    </row>
    <row r="17751" spans="5:5" ht="16.5">
      <c r="E17751" s="123"/>
    </row>
    <row r="17752" spans="5:5" ht="16.5">
      <c r="E17752" s="123"/>
    </row>
    <row r="17753" spans="5:5" ht="16.5">
      <c r="E17753" s="123"/>
    </row>
    <row r="17754" spans="5:5" ht="16.5">
      <c r="E17754" s="123"/>
    </row>
    <row r="17755" spans="5:5" ht="16.5">
      <c r="E17755" s="123"/>
    </row>
    <row r="17756" spans="5:5" ht="16.5">
      <c r="E17756" s="123"/>
    </row>
    <row r="17757" spans="5:5" ht="16.5">
      <c r="E17757" s="123"/>
    </row>
    <row r="17758" spans="5:5" ht="16.5">
      <c r="E17758" s="123"/>
    </row>
    <row r="17759" spans="5:5" ht="16.5">
      <c r="E17759" s="123"/>
    </row>
    <row r="17760" spans="5:5" ht="16.5">
      <c r="E17760" s="123"/>
    </row>
    <row r="17761" spans="5:5" ht="16.5">
      <c r="E17761" s="123"/>
    </row>
    <row r="17762" spans="5:5" ht="16.5">
      <c r="E17762" s="123"/>
    </row>
    <row r="17763" spans="5:5" ht="16.5">
      <c r="E17763" s="123"/>
    </row>
    <row r="17764" spans="5:5" ht="16.5">
      <c r="E17764" s="123"/>
    </row>
    <row r="17765" spans="5:5" ht="16.5">
      <c r="E17765" s="123"/>
    </row>
    <row r="17766" spans="5:5" ht="16.5">
      <c r="E17766" s="123"/>
    </row>
    <row r="17767" spans="5:5" ht="16.5">
      <c r="E17767" s="123"/>
    </row>
    <row r="17768" spans="5:5" ht="16.5">
      <c r="E17768" s="123"/>
    </row>
    <row r="17769" spans="5:5" ht="16.5">
      <c r="E17769" s="123"/>
    </row>
    <row r="17770" spans="5:5" ht="16.5">
      <c r="E17770" s="123"/>
    </row>
    <row r="17771" spans="5:5" ht="16.5">
      <c r="E17771" s="123"/>
    </row>
    <row r="17772" spans="5:5" ht="16.5">
      <c r="E17772" s="123"/>
    </row>
    <row r="17773" spans="5:5" ht="16.5">
      <c r="E17773" s="123"/>
    </row>
    <row r="17774" spans="5:5" ht="16.5">
      <c r="E17774" s="123"/>
    </row>
    <row r="17775" spans="5:5" ht="16.5">
      <c r="E17775" s="123"/>
    </row>
    <row r="17776" spans="5:5" ht="16.5">
      <c r="E17776" s="123"/>
    </row>
    <row r="17777" spans="5:5" ht="16.5">
      <c r="E17777" s="123"/>
    </row>
    <row r="17778" spans="5:5" ht="16.5">
      <c r="E17778" s="123"/>
    </row>
    <row r="17779" spans="5:5" ht="16.5">
      <c r="E17779" s="123"/>
    </row>
    <row r="17780" spans="5:5" ht="16.5">
      <c r="E17780" s="123"/>
    </row>
    <row r="17781" spans="5:5" ht="16.5">
      <c r="E17781" s="123"/>
    </row>
    <row r="17782" spans="5:5" ht="16.5">
      <c r="E17782" s="123"/>
    </row>
    <row r="17783" spans="5:5" ht="16.5">
      <c r="E17783" s="123"/>
    </row>
    <row r="17784" spans="5:5" ht="16.5">
      <c r="E17784" s="123"/>
    </row>
    <row r="17785" spans="5:5" ht="16.5">
      <c r="E17785" s="123"/>
    </row>
    <row r="17786" spans="5:5" ht="16.5">
      <c r="E17786" s="123"/>
    </row>
    <row r="17787" spans="5:5" ht="16.5">
      <c r="E17787" s="123"/>
    </row>
    <row r="17788" spans="5:5" ht="16.5">
      <c r="E17788" s="123"/>
    </row>
    <row r="17789" spans="5:5" ht="16.5">
      <c r="E17789" s="123"/>
    </row>
    <row r="17790" spans="5:5" ht="16.5">
      <c r="E17790" s="123"/>
    </row>
    <row r="17791" spans="5:5" ht="16.5">
      <c r="E17791" s="123"/>
    </row>
    <row r="17792" spans="5:5" ht="16.5">
      <c r="E17792" s="123"/>
    </row>
    <row r="17793" spans="5:5" ht="16.5">
      <c r="E17793" s="123"/>
    </row>
    <row r="17794" spans="5:5" ht="16.5">
      <c r="E17794" s="123"/>
    </row>
    <row r="17795" spans="5:5" ht="16.5">
      <c r="E17795" s="123"/>
    </row>
    <row r="17796" spans="5:5" ht="16.5">
      <c r="E17796" s="123"/>
    </row>
    <row r="17797" spans="5:5" ht="16.5">
      <c r="E17797" s="123"/>
    </row>
    <row r="17798" spans="5:5" ht="16.5">
      <c r="E17798" s="123"/>
    </row>
    <row r="17799" spans="5:5" ht="16.5">
      <c r="E17799" s="123"/>
    </row>
    <row r="17800" spans="5:5" ht="16.5">
      <c r="E17800" s="123"/>
    </row>
    <row r="17801" spans="5:5" ht="16.5">
      <c r="E17801" s="123"/>
    </row>
    <row r="17802" spans="5:5" ht="16.5">
      <c r="E17802" s="123"/>
    </row>
    <row r="17803" spans="5:5" ht="16.5">
      <c r="E17803" s="123"/>
    </row>
    <row r="17804" spans="5:5" ht="16.5">
      <c r="E17804" s="123"/>
    </row>
    <row r="17805" spans="5:5" ht="16.5">
      <c r="E17805" s="123"/>
    </row>
    <row r="17806" spans="5:5" ht="16.5">
      <c r="E17806" s="123"/>
    </row>
    <row r="17807" spans="5:5" ht="16.5">
      <c r="E17807" s="123"/>
    </row>
    <row r="17808" spans="5:5" ht="16.5">
      <c r="E17808" s="123"/>
    </row>
    <row r="17809" spans="5:5" ht="16.5">
      <c r="E17809" s="123"/>
    </row>
    <row r="17810" spans="5:5" ht="16.5">
      <c r="E17810" s="123"/>
    </row>
    <row r="17811" spans="5:5" ht="16.5">
      <c r="E17811" s="123"/>
    </row>
    <row r="17812" spans="5:5" ht="16.5">
      <c r="E17812" s="123"/>
    </row>
    <row r="17813" spans="5:5" ht="16.5">
      <c r="E17813" s="123"/>
    </row>
    <row r="17814" spans="5:5" ht="16.5">
      <c r="E17814" s="123"/>
    </row>
    <row r="17815" spans="5:5" ht="16.5">
      <c r="E17815" s="123"/>
    </row>
    <row r="17816" spans="5:5" ht="16.5">
      <c r="E17816" s="123"/>
    </row>
    <row r="17817" spans="5:5" ht="16.5">
      <c r="E17817" s="123"/>
    </row>
    <row r="17818" spans="5:5" ht="16.5">
      <c r="E17818" s="123"/>
    </row>
    <row r="17819" spans="5:5" ht="16.5">
      <c r="E17819" s="123"/>
    </row>
    <row r="17820" spans="5:5" ht="16.5">
      <c r="E17820" s="123"/>
    </row>
    <row r="17821" spans="5:5" ht="16.5">
      <c r="E17821" s="123"/>
    </row>
    <row r="17822" spans="5:5" ht="16.5">
      <c r="E17822" s="123"/>
    </row>
    <row r="17823" spans="5:5" ht="16.5">
      <c r="E17823" s="123"/>
    </row>
    <row r="17824" spans="5:5" ht="16.5">
      <c r="E17824" s="123"/>
    </row>
    <row r="17825" spans="5:5" ht="16.5">
      <c r="E17825" s="123"/>
    </row>
    <row r="17826" spans="5:5" ht="16.5">
      <c r="E17826" s="123"/>
    </row>
    <row r="17827" spans="5:5" ht="16.5">
      <c r="E17827" s="123"/>
    </row>
    <row r="17828" spans="5:5" ht="16.5">
      <c r="E17828" s="123"/>
    </row>
    <row r="17829" spans="5:5" ht="16.5">
      <c r="E17829" s="123"/>
    </row>
    <row r="17830" spans="5:5" ht="16.5">
      <c r="E17830" s="123"/>
    </row>
    <row r="17831" spans="5:5" ht="16.5">
      <c r="E17831" s="123"/>
    </row>
    <row r="17832" spans="5:5" ht="16.5">
      <c r="E17832" s="123"/>
    </row>
    <row r="17833" spans="5:5" ht="16.5">
      <c r="E17833" s="123"/>
    </row>
    <row r="17834" spans="5:5" ht="16.5">
      <c r="E17834" s="123"/>
    </row>
    <row r="17835" spans="5:5" ht="16.5">
      <c r="E17835" s="123"/>
    </row>
    <row r="17836" spans="5:5" ht="16.5">
      <c r="E17836" s="123"/>
    </row>
    <row r="17837" spans="5:5" ht="16.5">
      <c r="E17837" s="123"/>
    </row>
    <row r="17838" spans="5:5" ht="16.5">
      <c r="E17838" s="123"/>
    </row>
    <row r="17839" spans="5:5" ht="16.5">
      <c r="E17839" s="123"/>
    </row>
    <row r="17840" spans="5:5" ht="16.5">
      <c r="E17840" s="123"/>
    </row>
    <row r="17841" spans="5:5" ht="16.5">
      <c r="E17841" s="123"/>
    </row>
    <row r="17842" spans="5:5" ht="16.5">
      <c r="E17842" s="123"/>
    </row>
    <row r="17843" spans="5:5" ht="16.5">
      <c r="E17843" s="123"/>
    </row>
    <row r="17844" spans="5:5" ht="16.5">
      <c r="E17844" s="123"/>
    </row>
    <row r="17845" spans="5:5" ht="16.5">
      <c r="E17845" s="123"/>
    </row>
    <row r="17846" spans="5:5" ht="16.5">
      <c r="E17846" s="123"/>
    </row>
    <row r="17847" spans="5:5" ht="16.5">
      <c r="E17847" s="123"/>
    </row>
    <row r="17848" spans="5:5" ht="16.5">
      <c r="E17848" s="123"/>
    </row>
    <row r="17849" spans="5:5" ht="16.5">
      <c r="E17849" s="123"/>
    </row>
    <row r="17850" spans="5:5" ht="16.5">
      <c r="E17850" s="123"/>
    </row>
    <row r="17851" spans="5:5" ht="16.5">
      <c r="E17851" s="123"/>
    </row>
    <row r="17852" spans="5:5" ht="16.5">
      <c r="E17852" s="123"/>
    </row>
    <row r="17853" spans="5:5" ht="16.5">
      <c r="E17853" s="123"/>
    </row>
    <row r="17854" spans="5:5" ht="16.5">
      <c r="E17854" s="123"/>
    </row>
    <row r="17855" spans="5:5" ht="16.5">
      <c r="E17855" s="123"/>
    </row>
    <row r="17856" spans="5:5" ht="16.5">
      <c r="E17856" s="123"/>
    </row>
    <row r="17857" spans="5:5" ht="16.5">
      <c r="E17857" s="123"/>
    </row>
    <row r="17858" spans="5:5" ht="16.5">
      <c r="E17858" s="123"/>
    </row>
    <row r="17859" spans="5:5" ht="16.5">
      <c r="E17859" s="123"/>
    </row>
    <row r="17860" spans="5:5" ht="16.5">
      <c r="E17860" s="123"/>
    </row>
    <row r="17861" spans="5:5" ht="16.5">
      <c r="E17861" s="123"/>
    </row>
    <row r="17862" spans="5:5" ht="16.5">
      <c r="E17862" s="123"/>
    </row>
    <row r="17863" spans="5:5" ht="16.5">
      <c r="E17863" s="123"/>
    </row>
    <row r="17864" spans="5:5" ht="16.5">
      <c r="E17864" s="123"/>
    </row>
    <row r="17865" spans="5:5" ht="16.5">
      <c r="E17865" s="123"/>
    </row>
    <row r="17866" spans="5:5" ht="16.5">
      <c r="E17866" s="123"/>
    </row>
    <row r="17867" spans="5:5" ht="16.5">
      <c r="E17867" s="123"/>
    </row>
    <row r="17868" spans="5:5" ht="16.5">
      <c r="E17868" s="123"/>
    </row>
    <row r="17869" spans="5:5" ht="16.5">
      <c r="E17869" s="123"/>
    </row>
    <row r="17870" spans="5:5" ht="16.5">
      <c r="E17870" s="123"/>
    </row>
    <row r="17871" spans="5:5" ht="16.5">
      <c r="E17871" s="123"/>
    </row>
    <row r="17872" spans="5:5" ht="16.5">
      <c r="E17872" s="123"/>
    </row>
    <row r="17873" spans="5:5" ht="16.5">
      <c r="E17873" s="123"/>
    </row>
    <row r="17874" spans="5:5" ht="16.5">
      <c r="E17874" s="123"/>
    </row>
    <row r="17875" spans="5:5" ht="16.5">
      <c r="E17875" s="123"/>
    </row>
    <row r="17876" spans="5:5" ht="16.5">
      <c r="E17876" s="123"/>
    </row>
    <row r="17877" spans="5:5" ht="16.5">
      <c r="E17877" s="123"/>
    </row>
    <row r="17878" spans="5:5" ht="16.5">
      <c r="E17878" s="123"/>
    </row>
    <row r="17879" spans="5:5" ht="16.5">
      <c r="E17879" s="123"/>
    </row>
    <row r="17880" spans="5:5" ht="16.5">
      <c r="E17880" s="123"/>
    </row>
    <row r="17881" spans="5:5" ht="16.5">
      <c r="E17881" s="123"/>
    </row>
    <row r="17882" spans="5:5" ht="16.5">
      <c r="E17882" s="123"/>
    </row>
    <row r="17883" spans="5:5" ht="16.5">
      <c r="E17883" s="123"/>
    </row>
    <row r="17884" spans="5:5" ht="16.5">
      <c r="E17884" s="123"/>
    </row>
    <row r="17885" spans="5:5" ht="16.5">
      <c r="E17885" s="123"/>
    </row>
    <row r="17886" spans="5:5" ht="16.5">
      <c r="E17886" s="123"/>
    </row>
    <row r="17887" spans="5:5" ht="16.5">
      <c r="E17887" s="123"/>
    </row>
    <row r="17888" spans="5:5" ht="16.5">
      <c r="E17888" s="123"/>
    </row>
    <row r="17889" spans="5:5" ht="16.5">
      <c r="E17889" s="123"/>
    </row>
    <row r="17890" spans="5:5" ht="16.5">
      <c r="E17890" s="123"/>
    </row>
    <row r="17891" spans="5:5" ht="16.5">
      <c r="E17891" s="123"/>
    </row>
    <row r="17892" spans="5:5" ht="16.5">
      <c r="E17892" s="123"/>
    </row>
    <row r="17893" spans="5:5" ht="16.5">
      <c r="E17893" s="123"/>
    </row>
    <row r="17894" spans="5:5" ht="16.5">
      <c r="E17894" s="123"/>
    </row>
    <row r="17895" spans="5:5" ht="16.5">
      <c r="E17895" s="123"/>
    </row>
    <row r="17896" spans="5:5" ht="16.5">
      <c r="E17896" s="123"/>
    </row>
    <row r="17897" spans="5:5" ht="16.5">
      <c r="E17897" s="123"/>
    </row>
    <row r="17898" spans="5:5" ht="16.5">
      <c r="E17898" s="123"/>
    </row>
    <row r="17899" spans="5:5" ht="16.5">
      <c r="E17899" s="123"/>
    </row>
    <row r="17900" spans="5:5" ht="16.5">
      <c r="E17900" s="123"/>
    </row>
    <row r="17901" spans="5:5" ht="16.5">
      <c r="E17901" s="123"/>
    </row>
    <row r="17902" spans="5:5" ht="16.5">
      <c r="E17902" s="123"/>
    </row>
    <row r="17903" spans="5:5" ht="16.5">
      <c r="E17903" s="123"/>
    </row>
    <row r="17904" spans="5:5" ht="16.5">
      <c r="E17904" s="123"/>
    </row>
    <row r="17905" spans="5:5" ht="16.5">
      <c r="E17905" s="123"/>
    </row>
    <row r="17906" spans="5:5" ht="16.5">
      <c r="E17906" s="123"/>
    </row>
    <row r="17907" spans="5:5" ht="16.5">
      <c r="E17907" s="123"/>
    </row>
    <row r="17908" spans="5:5" ht="16.5">
      <c r="E17908" s="123"/>
    </row>
    <row r="17909" spans="5:5" ht="16.5">
      <c r="E17909" s="123"/>
    </row>
    <row r="17910" spans="5:5" ht="16.5">
      <c r="E17910" s="123"/>
    </row>
    <row r="17911" spans="5:5" ht="16.5">
      <c r="E17911" s="123"/>
    </row>
    <row r="17912" spans="5:5" ht="16.5">
      <c r="E17912" s="123"/>
    </row>
    <row r="17913" spans="5:5" ht="16.5">
      <c r="E17913" s="123"/>
    </row>
    <row r="17914" spans="5:5" ht="16.5">
      <c r="E17914" s="123"/>
    </row>
    <row r="17915" spans="5:5" ht="16.5">
      <c r="E17915" s="123"/>
    </row>
    <row r="17916" spans="5:5" ht="16.5">
      <c r="E17916" s="123"/>
    </row>
    <row r="17917" spans="5:5" ht="16.5">
      <c r="E17917" s="123"/>
    </row>
    <row r="17918" spans="5:5" ht="16.5">
      <c r="E17918" s="123"/>
    </row>
    <row r="17919" spans="5:5" ht="16.5">
      <c r="E17919" s="123"/>
    </row>
    <row r="17920" spans="5:5" ht="16.5">
      <c r="E17920" s="123"/>
    </row>
    <row r="17921" spans="5:5" ht="16.5">
      <c r="E17921" s="123"/>
    </row>
    <row r="17922" spans="5:5" ht="16.5">
      <c r="E17922" s="123"/>
    </row>
    <row r="17923" spans="5:5" ht="16.5">
      <c r="E17923" s="123"/>
    </row>
    <row r="17924" spans="5:5" ht="16.5">
      <c r="E17924" s="123"/>
    </row>
    <row r="17925" spans="5:5" ht="16.5">
      <c r="E17925" s="123"/>
    </row>
    <row r="17926" spans="5:5" ht="16.5">
      <c r="E17926" s="123"/>
    </row>
    <row r="17927" spans="5:5" ht="16.5">
      <c r="E17927" s="123"/>
    </row>
    <row r="17928" spans="5:5" ht="16.5">
      <c r="E17928" s="123"/>
    </row>
    <row r="17929" spans="5:5" ht="16.5">
      <c r="E17929" s="123"/>
    </row>
    <row r="17930" spans="5:5" ht="16.5">
      <c r="E17930" s="123"/>
    </row>
    <row r="17931" spans="5:5" ht="16.5">
      <c r="E17931" s="123"/>
    </row>
    <row r="17932" spans="5:5" ht="16.5">
      <c r="E17932" s="123"/>
    </row>
    <row r="17933" spans="5:5" ht="16.5">
      <c r="E17933" s="123"/>
    </row>
    <row r="17934" spans="5:5" ht="16.5">
      <c r="E17934" s="123"/>
    </row>
    <row r="17935" spans="5:5" ht="16.5">
      <c r="E17935" s="123"/>
    </row>
    <row r="17936" spans="5:5" ht="16.5">
      <c r="E17936" s="123"/>
    </row>
    <row r="17937" spans="5:5" ht="16.5">
      <c r="E17937" s="12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521E-358F-403D-B0E4-3B0D6C0A520C}">
  <sheetPr>
    <tabColor rgb="FFFFC000"/>
    <pageSetUpPr fitToPage="1"/>
  </sheetPr>
  <dimension ref="A1:DC98"/>
  <sheetViews>
    <sheetView tabSelected="1" topLeftCell="I3" zoomScale="70" zoomScaleNormal="70" workbookViewId="0">
      <pane ySplit="3" topLeftCell="A6" activePane="bottomLeft" state="frozen"/>
      <selection activeCell="A3" sqref="A3"/>
      <selection pane="bottomLeft" activeCell="Y7" sqref="Y7"/>
    </sheetView>
  </sheetViews>
  <sheetFormatPr defaultColWidth="6.5" defaultRowHeight="16.5"/>
  <cols>
    <col min="1" max="1" width="6.5" style="150"/>
    <col min="2" max="2" width="40.25" style="150" customWidth="1"/>
    <col min="3" max="7" width="12.75" style="150" customWidth="1"/>
    <col min="8" max="8" width="12.75" style="150" customWidth="1" collapsed="1"/>
    <col min="9" max="15" width="12.75" style="150" customWidth="1"/>
    <col min="16" max="16" width="43" style="150" customWidth="1"/>
    <col min="17" max="29" width="12.75" style="150" customWidth="1"/>
    <col min="30" max="31" width="17" style="150" customWidth="1"/>
    <col min="32" max="32" width="67.25" style="150" customWidth="1"/>
    <col min="33" max="33" width="12.75" style="150" customWidth="1"/>
    <col min="34" max="34" width="16.625" style="150" bestFit="1" customWidth="1"/>
    <col min="35" max="48" width="6.5" style="150"/>
    <col min="49" max="49" width="11.5" style="150" bestFit="1" customWidth="1"/>
    <col min="50" max="252" width="6.5" style="150"/>
    <col min="253" max="253" width="40.25" style="150" customWidth="1"/>
    <col min="254" max="266" width="12.125" style="150" customWidth="1"/>
    <col min="267" max="267" width="51.5" style="150" customWidth="1"/>
    <col min="268" max="279" width="12.125" style="150" customWidth="1"/>
    <col min="280" max="280" width="16.625" style="150" customWidth="1"/>
    <col min="281" max="283" width="9.75" style="150" customWidth="1"/>
    <col min="284" max="284" width="0" style="150" hidden="1" customWidth="1"/>
    <col min="285" max="285" width="6.5" style="150"/>
    <col min="286" max="286" width="20" style="150" bestFit="1" customWidth="1"/>
    <col min="287" max="287" width="6.5" style="150"/>
    <col min="288" max="288" width="16.625" style="150" bestFit="1" customWidth="1"/>
    <col min="289" max="289" width="14.5" style="150" bestFit="1" customWidth="1"/>
    <col min="290" max="290" width="16.625" style="150" bestFit="1" customWidth="1"/>
    <col min="291" max="508" width="6.5" style="150"/>
    <col min="509" max="509" width="40.25" style="150" customWidth="1"/>
    <col min="510" max="522" width="12.125" style="150" customWidth="1"/>
    <col min="523" max="523" width="51.5" style="150" customWidth="1"/>
    <col min="524" max="535" width="12.125" style="150" customWidth="1"/>
    <col min="536" max="536" width="16.625" style="150" customWidth="1"/>
    <col min="537" max="539" width="9.75" style="150" customWidth="1"/>
    <col min="540" max="540" width="0" style="150" hidden="1" customWidth="1"/>
    <col min="541" max="541" width="6.5" style="150"/>
    <col min="542" max="542" width="20" style="150" bestFit="1" customWidth="1"/>
    <col min="543" max="543" width="6.5" style="150"/>
    <col min="544" max="544" width="16.625" style="150" bestFit="1" customWidth="1"/>
    <col min="545" max="545" width="14.5" style="150" bestFit="1" customWidth="1"/>
    <col min="546" max="546" width="16.625" style="150" bestFit="1" customWidth="1"/>
    <col min="547" max="764" width="6.5" style="150"/>
    <col min="765" max="765" width="40.25" style="150" customWidth="1"/>
    <col min="766" max="778" width="12.125" style="150" customWidth="1"/>
    <col min="779" max="779" width="51.5" style="150" customWidth="1"/>
    <col min="780" max="791" width="12.125" style="150" customWidth="1"/>
    <col min="792" max="792" width="16.625" style="150" customWidth="1"/>
    <col min="793" max="795" width="9.75" style="150" customWidth="1"/>
    <col min="796" max="796" width="0" style="150" hidden="1" customWidth="1"/>
    <col min="797" max="797" width="6.5" style="150"/>
    <col min="798" max="798" width="20" style="150" bestFit="1" customWidth="1"/>
    <col min="799" max="799" width="6.5" style="150"/>
    <col min="800" max="800" width="16.625" style="150" bestFit="1" customWidth="1"/>
    <col min="801" max="801" width="14.5" style="150" bestFit="1" customWidth="1"/>
    <col min="802" max="802" width="16.625" style="150" bestFit="1" customWidth="1"/>
    <col min="803" max="1020" width="6.5" style="150"/>
    <col min="1021" max="1021" width="40.25" style="150" customWidth="1"/>
    <col min="1022" max="1034" width="12.125" style="150" customWidth="1"/>
    <col min="1035" max="1035" width="51.5" style="150" customWidth="1"/>
    <col min="1036" max="1047" width="12.125" style="150" customWidth="1"/>
    <col min="1048" max="1048" width="16.625" style="150" customWidth="1"/>
    <col min="1049" max="1051" width="9.75" style="150" customWidth="1"/>
    <col min="1052" max="1052" width="0" style="150" hidden="1" customWidth="1"/>
    <col min="1053" max="1053" width="6.5" style="150"/>
    <col min="1054" max="1054" width="20" style="150" bestFit="1" customWidth="1"/>
    <col min="1055" max="1055" width="6.5" style="150"/>
    <col min="1056" max="1056" width="16.625" style="150" bestFit="1" customWidth="1"/>
    <col min="1057" max="1057" width="14.5" style="150" bestFit="1" customWidth="1"/>
    <col min="1058" max="1058" width="16.625" style="150" bestFit="1" customWidth="1"/>
    <col min="1059" max="1276" width="6.5" style="150"/>
    <col min="1277" max="1277" width="40.25" style="150" customWidth="1"/>
    <col min="1278" max="1290" width="12.125" style="150" customWidth="1"/>
    <col min="1291" max="1291" width="51.5" style="150" customWidth="1"/>
    <col min="1292" max="1303" width="12.125" style="150" customWidth="1"/>
    <col min="1304" max="1304" width="16.625" style="150" customWidth="1"/>
    <col min="1305" max="1307" width="9.75" style="150" customWidth="1"/>
    <col min="1308" max="1308" width="0" style="150" hidden="1" customWidth="1"/>
    <col min="1309" max="1309" width="6.5" style="150"/>
    <col min="1310" max="1310" width="20" style="150" bestFit="1" customWidth="1"/>
    <col min="1311" max="1311" width="6.5" style="150"/>
    <col min="1312" max="1312" width="16.625" style="150" bestFit="1" customWidth="1"/>
    <col min="1313" max="1313" width="14.5" style="150" bestFit="1" customWidth="1"/>
    <col min="1314" max="1314" width="16.625" style="150" bestFit="1" customWidth="1"/>
    <col min="1315" max="1532" width="6.5" style="150"/>
    <col min="1533" max="1533" width="40.25" style="150" customWidth="1"/>
    <col min="1534" max="1546" width="12.125" style="150" customWidth="1"/>
    <col min="1547" max="1547" width="51.5" style="150" customWidth="1"/>
    <col min="1548" max="1559" width="12.125" style="150" customWidth="1"/>
    <col min="1560" max="1560" width="16.625" style="150" customWidth="1"/>
    <col min="1561" max="1563" width="9.75" style="150" customWidth="1"/>
    <col min="1564" max="1564" width="0" style="150" hidden="1" customWidth="1"/>
    <col min="1565" max="1565" width="6.5" style="150"/>
    <col min="1566" max="1566" width="20" style="150" bestFit="1" customWidth="1"/>
    <col min="1567" max="1567" width="6.5" style="150"/>
    <col min="1568" max="1568" width="16.625" style="150" bestFit="1" customWidth="1"/>
    <col min="1569" max="1569" width="14.5" style="150" bestFit="1" customWidth="1"/>
    <col min="1570" max="1570" width="16.625" style="150" bestFit="1" customWidth="1"/>
    <col min="1571" max="1788" width="6.5" style="150"/>
    <col min="1789" max="1789" width="40.25" style="150" customWidth="1"/>
    <col min="1790" max="1802" width="12.125" style="150" customWidth="1"/>
    <col min="1803" max="1803" width="51.5" style="150" customWidth="1"/>
    <col min="1804" max="1815" width="12.125" style="150" customWidth="1"/>
    <col min="1816" max="1816" width="16.625" style="150" customWidth="1"/>
    <col min="1817" max="1819" width="9.75" style="150" customWidth="1"/>
    <col min="1820" max="1820" width="0" style="150" hidden="1" customWidth="1"/>
    <col min="1821" max="1821" width="6.5" style="150"/>
    <col min="1822" max="1822" width="20" style="150" bestFit="1" customWidth="1"/>
    <col min="1823" max="1823" width="6.5" style="150"/>
    <col min="1824" max="1824" width="16.625" style="150" bestFit="1" customWidth="1"/>
    <col min="1825" max="1825" width="14.5" style="150" bestFit="1" customWidth="1"/>
    <col min="1826" max="1826" width="16.625" style="150" bestFit="1" customWidth="1"/>
    <col min="1827" max="2044" width="6.5" style="150"/>
    <col min="2045" max="2045" width="40.25" style="150" customWidth="1"/>
    <col min="2046" max="2058" width="12.125" style="150" customWidth="1"/>
    <col min="2059" max="2059" width="51.5" style="150" customWidth="1"/>
    <col min="2060" max="2071" width="12.125" style="150" customWidth="1"/>
    <col min="2072" max="2072" width="16.625" style="150" customWidth="1"/>
    <col min="2073" max="2075" width="9.75" style="150" customWidth="1"/>
    <col min="2076" max="2076" width="0" style="150" hidden="1" customWidth="1"/>
    <col min="2077" max="2077" width="6.5" style="150"/>
    <col min="2078" max="2078" width="20" style="150" bestFit="1" customWidth="1"/>
    <col min="2079" max="2079" width="6.5" style="150"/>
    <col min="2080" max="2080" width="16.625" style="150" bestFit="1" customWidth="1"/>
    <col min="2081" max="2081" width="14.5" style="150" bestFit="1" customWidth="1"/>
    <col min="2082" max="2082" width="16.625" style="150" bestFit="1" customWidth="1"/>
    <col min="2083" max="2300" width="6.5" style="150"/>
    <col min="2301" max="2301" width="40.25" style="150" customWidth="1"/>
    <col min="2302" max="2314" width="12.125" style="150" customWidth="1"/>
    <col min="2315" max="2315" width="51.5" style="150" customWidth="1"/>
    <col min="2316" max="2327" width="12.125" style="150" customWidth="1"/>
    <col min="2328" max="2328" width="16.625" style="150" customWidth="1"/>
    <col min="2329" max="2331" width="9.75" style="150" customWidth="1"/>
    <col min="2332" max="2332" width="0" style="150" hidden="1" customWidth="1"/>
    <col min="2333" max="2333" width="6.5" style="150"/>
    <col min="2334" max="2334" width="20" style="150" bestFit="1" customWidth="1"/>
    <col min="2335" max="2335" width="6.5" style="150"/>
    <col min="2336" max="2336" width="16.625" style="150" bestFit="1" customWidth="1"/>
    <col min="2337" max="2337" width="14.5" style="150" bestFit="1" customWidth="1"/>
    <col min="2338" max="2338" width="16.625" style="150" bestFit="1" customWidth="1"/>
    <col min="2339" max="2556" width="6.5" style="150"/>
    <col min="2557" max="2557" width="40.25" style="150" customWidth="1"/>
    <col min="2558" max="2570" width="12.125" style="150" customWidth="1"/>
    <col min="2571" max="2571" width="51.5" style="150" customWidth="1"/>
    <col min="2572" max="2583" width="12.125" style="150" customWidth="1"/>
    <col min="2584" max="2584" width="16.625" style="150" customWidth="1"/>
    <col min="2585" max="2587" width="9.75" style="150" customWidth="1"/>
    <col min="2588" max="2588" width="0" style="150" hidden="1" customWidth="1"/>
    <col min="2589" max="2589" width="6.5" style="150"/>
    <col min="2590" max="2590" width="20" style="150" bestFit="1" customWidth="1"/>
    <col min="2591" max="2591" width="6.5" style="150"/>
    <col min="2592" max="2592" width="16.625" style="150" bestFit="1" customWidth="1"/>
    <col min="2593" max="2593" width="14.5" style="150" bestFit="1" customWidth="1"/>
    <col min="2594" max="2594" width="16.625" style="150" bestFit="1" customWidth="1"/>
    <col min="2595" max="2812" width="6.5" style="150"/>
    <col min="2813" max="2813" width="40.25" style="150" customWidth="1"/>
    <col min="2814" max="2826" width="12.125" style="150" customWidth="1"/>
    <col min="2827" max="2827" width="51.5" style="150" customWidth="1"/>
    <col min="2828" max="2839" width="12.125" style="150" customWidth="1"/>
    <col min="2840" max="2840" width="16.625" style="150" customWidth="1"/>
    <col min="2841" max="2843" width="9.75" style="150" customWidth="1"/>
    <col min="2844" max="2844" width="0" style="150" hidden="1" customWidth="1"/>
    <col min="2845" max="2845" width="6.5" style="150"/>
    <col min="2846" max="2846" width="20" style="150" bestFit="1" customWidth="1"/>
    <col min="2847" max="2847" width="6.5" style="150"/>
    <col min="2848" max="2848" width="16.625" style="150" bestFit="1" customWidth="1"/>
    <col min="2849" max="2849" width="14.5" style="150" bestFit="1" customWidth="1"/>
    <col min="2850" max="2850" width="16.625" style="150" bestFit="1" customWidth="1"/>
    <col min="2851" max="3068" width="6.5" style="150"/>
    <col min="3069" max="3069" width="40.25" style="150" customWidth="1"/>
    <col min="3070" max="3082" width="12.125" style="150" customWidth="1"/>
    <col min="3083" max="3083" width="51.5" style="150" customWidth="1"/>
    <col min="3084" max="3095" width="12.125" style="150" customWidth="1"/>
    <col min="3096" max="3096" width="16.625" style="150" customWidth="1"/>
    <col min="3097" max="3099" width="9.75" style="150" customWidth="1"/>
    <col min="3100" max="3100" width="0" style="150" hidden="1" customWidth="1"/>
    <col min="3101" max="3101" width="6.5" style="150"/>
    <col min="3102" max="3102" width="20" style="150" bestFit="1" customWidth="1"/>
    <col min="3103" max="3103" width="6.5" style="150"/>
    <col min="3104" max="3104" width="16.625" style="150" bestFit="1" customWidth="1"/>
    <col min="3105" max="3105" width="14.5" style="150" bestFit="1" customWidth="1"/>
    <col min="3106" max="3106" width="16.625" style="150" bestFit="1" customWidth="1"/>
    <col min="3107" max="3324" width="6.5" style="150"/>
    <col min="3325" max="3325" width="40.25" style="150" customWidth="1"/>
    <col min="3326" max="3338" width="12.125" style="150" customWidth="1"/>
    <col min="3339" max="3339" width="51.5" style="150" customWidth="1"/>
    <col min="3340" max="3351" width="12.125" style="150" customWidth="1"/>
    <col min="3352" max="3352" width="16.625" style="150" customWidth="1"/>
    <col min="3353" max="3355" width="9.75" style="150" customWidth="1"/>
    <col min="3356" max="3356" width="0" style="150" hidden="1" customWidth="1"/>
    <col min="3357" max="3357" width="6.5" style="150"/>
    <col min="3358" max="3358" width="20" style="150" bestFit="1" customWidth="1"/>
    <col min="3359" max="3359" width="6.5" style="150"/>
    <col min="3360" max="3360" width="16.625" style="150" bestFit="1" customWidth="1"/>
    <col min="3361" max="3361" width="14.5" style="150" bestFit="1" customWidth="1"/>
    <col min="3362" max="3362" width="16.625" style="150" bestFit="1" customWidth="1"/>
    <col min="3363" max="3580" width="6.5" style="150"/>
    <col min="3581" max="3581" width="40.25" style="150" customWidth="1"/>
    <col min="3582" max="3594" width="12.125" style="150" customWidth="1"/>
    <col min="3595" max="3595" width="51.5" style="150" customWidth="1"/>
    <col min="3596" max="3607" width="12.125" style="150" customWidth="1"/>
    <col min="3608" max="3608" width="16.625" style="150" customWidth="1"/>
    <col min="3609" max="3611" width="9.75" style="150" customWidth="1"/>
    <col min="3612" max="3612" width="0" style="150" hidden="1" customWidth="1"/>
    <col min="3613" max="3613" width="6.5" style="150"/>
    <col min="3614" max="3614" width="20" style="150" bestFit="1" customWidth="1"/>
    <col min="3615" max="3615" width="6.5" style="150"/>
    <col min="3616" max="3616" width="16.625" style="150" bestFit="1" customWidth="1"/>
    <col min="3617" max="3617" width="14.5" style="150" bestFit="1" customWidth="1"/>
    <col min="3618" max="3618" width="16.625" style="150" bestFit="1" customWidth="1"/>
    <col min="3619" max="3836" width="6.5" style="150"/>
    <col min="3837" max="3837" width="40.25" style="150" customWidth="1"/>
    <col min="3838" max="3850" width="12.125" style="150" customWidth="1"/>
    <col min="3851" max="3851" width="51.5" style="150" customWidth="1"/>
    <col min="3852" max="3863" width="12.125" style="150" customWidth="1"/>
    <col min="3864" max="3864" width="16.625" style="150" customWidth="1"/>
    <col min="3865" max="3867" width="9.75" style="150" customWidth="1"/>
    <col min="3868" max="3868" width="0" style="150" hidden="1" customWidth="1"/>
    <col min="3869" max="3869" width="6.5" style="150"/>
    <col min="3870" max="3870" width="20" style="150" bestFit="1" customWidth="1"/>
    <col min="3871" max="3871" width="6.5" style="150"/>
    <col min="3872" max="3872" width="16.625" style="150" bestFit="1" customWidth="1"/>
    <col min="3873" max="3873" width="14.5" style="150" bestFit="1" customWidth="1"/>
    <col min="3874" max="3874" width="16.625" style="150" bestFit="1" customWidth="1"/>
    <col min="3875" max="4092" width="6.5" style="150"/>
    <col min="4093" max="4093" width="40.25" style="150" customWidth="1"/>
    <col min="4094" max="4106" width="12.125" style="150" customWidth="1"/>
    <col min="4107" max="4107" width="51.5" style="150" customWidth="1"/>
    <col min="4108" max="4119" width="12.125" style="150" customWidth="1"/>
    <col min="4120" max="4120" width="16.625" style="150" customWidth="1"/>
    <col min="4121" max="4123" width="9.75" style="150" customWidth="1"/>
    <col min="4124" max="4124" width="0" style="150" hidden="1" customWidth="1"/>
    <col min="4125" max="4125" width="6.5" style="150"/>
    <col min="4126" max="4126" width="20" style="150" bestFit="1" customWidth="1"/>
    <col min="4127" max="4127" width="6.5" style="150"/>
    <col min="4128" max="4128" width="16.625" style="150" bestFit="1" customWidth="1"/>
    <col min="4129" max="4129" width="14.5" style="150" bestFit="1" customWidth="1"/>
    <col min="4130" max="4130" width="16.625" style="150" bestFit="1" customWidth="1"/>
    <col min="4131" max="4348" width="6.5" style="150"/>
    <col min="4349" max="4349" width="40.25" style="150" customWidth="1"/>
    <col min="4350" max="4362" width="12.125" style="150" customWidth="1"/>
    <col min="4363" max="4363" width="51.5" style="150" customWidth="1"/>
    <col min="4364" max="4375" width="12.125" style="150" customWidth="1"/>
    <col min="4376" max="4376" width="16.625" style="150" customWidth="1"/>
    <col min="4377" max="4379" width="9.75" style="150" customWidth="1"/>
    <col min="4380" max="4380" width="0" style="150" hidden="1" customWidth="1"/>
    <col min="4381" max="4381" width="6.5" style="150"/>
    <col min="4382" max="4382" width="20" style="150" bestFit="1" customWidth="1"/>
    <col min="4383" max="4383" width="6.5" style="150"/>
    <col min="4384" max="4384" width="16.625" style="150" bestFit="1" customWidth="1"/>
    <col min="4385" max="4385" width="14.5" style="150" bestFit="1" customWidth="1"/>
    <col min="4386" max="4386" width="16.625" style="150" bestFit="1" customWidth="1"/>
    <col min="4387" max="4604" width="6.5" style="150"/>
    <col min="4605" max="4605" width="40.25" style="150" customWidth="1"/>
    <col min="4606" max="4618" width="12.125" style="150" customWidth="1"/>
    <col min="4619" max="4619" width="51.5" style="150" customWidth="1"/>
    <col min="4620" max="4631" width="12.125" style="150" customWidth="1"/>
    <col min="4632" max="4632" width="16.625" style="150" customWidth="1"/>
    <col min="4633" max="4635" width="9.75" style="150" customWidth="1"/>
    <col min="4636" max="4636" width="0" style="150" hidden="1" customWidth="1"/>
    <col min="4637" max="4637" width="6.5" style="150"/>
    <col min="4638" max="4638" width="20" style="150" bestFit="1" customWidth="1"/>
    <col min="4639" max="4639" width="6.5" style="150"/>
    <col min="4640" max="4640" width="16.625" style="150" bestFit="1" customWidth="1"/>
    <col min="4641" max="4641" width="14.5" style="150" bestFit="1" customWidth="1"/>
    <col min="4642" max="4642" width="16.625" style="150" bestFit="1" customWidth="1"/>
    <col min="4643" max="4860" width="6.5" style="150"/>
    <col min="4861" max="4861" width="40.25" style="150" customWidth="1"/>
    <col min="4862" max="4874" width="12.125" style="150" customWidth="1"/>
    <col min="4875" max="4875" width="51.5" style="150" customWidth="1"/>
    <col min="4876" max="4887" width="12.125" style="150" customWidth="1"/>
    <col min="4888" max="4888" width="16.625" style="150" customWidth="1"/>
    <col min="4889" max="4891" width="9.75" style="150" customWidth="1"/>
    <col min="4892" max="4892" width="0" style="150" hidden="1" customWidth="1"/>
    <col min="4893" max="4893" width="6.5" style="150"/>
    <col min="4894" max="4894" width="20" style="150" bestFit="1" customWidth="1"/>
    <col min="4895" max="4895" width="6.5" style="150"/>
    <col min="4896" max="4896" width="16.625" style="150" bestFit="1" customWidth="1"/>
    <col min="4897" max="4897" width="14.5" style="150" bestFit="1" customWidth="1"/>
    <col min="4898" max="4898" width="16.625" style="150" bestFit="1" customWidth="1"/>
    <col min="4899" max="5116" width="6.5" style="150"/>
    <col min="5117" max="5117" width="40.25" style="150" customWidth="1"/>
    <col min="5118" max="5130" width="12.125" style="150" customWidth="1"/>
    <col min="5131" max="5131" width="51.5" style="150" customWidth="1"/>
    <col min="5132" max="5143" width="12.125" style="150" customWidth="1"/>
    <col min="5144" max="5144" width="16.625" style="150" customWidth="1"/>
    <col min="5145" max="5147" width="9.75" style="150" customWidth="1"/>
    <col min="5148" max="5148" width="0" style="150" hidden="1" customWidth="1"/>
    <col min="5149" max="5149" width="6.5" style="150"/>
    <col min="5150" max="5150" width="20" style="150" bestFit="1" customWidth="1"/>
    <col min="5151" max="5151" width="6.5" style="150"/>
    <col min="5152" max="5152" width="16.625" style="150" bestFit="1" customWidth="1"/>
    <col min="5153" max="5153" width="14.5" style="150" bestFit="1" customWidth="1"/>
    <col min="5154" max="5154" width="16.625" style="150" bestFit="1" customWidth="1"/>
    <col min="5155" max="5372" width="6.5" style="150"/>
    <col min="5373" max="5373" width="40.25" style="150" customWidth="1"/>
    <col min="5374" max="5386" width="12.125" style="150" customWidth="1"/>
    <col min="5387" max="5387" width="51.5" style="150" customWidth="1"/>
    <col min="5388" max="5399" width="12.125" style="150" customWidth="1"/>
    <col min="5400" max="5400" width="16.625" style="150" customWidth="1"/>
    <col min="5401" max="5403" width="9.75" style="150" customWidth="1"/>
    <col min="5404" max="5404" width="0" style="150" hidden="1" customWidth="1"/>
    <col min="5405" max="5405" width="6.5" style="150"/>
    <col min="5406" max="5406" width="20" style="150" bestFit="1" customWidth="1"/>
    <col min="5407" max="5407" width="6.5" style="150"/>
    <col min="5408" max="5408" width="16.625" style="150" bestFit="1" customWidth="1"/>
    <col min="5409" max="5409" width="14.5" style="150" bestFit="1" customWidth="1"/>
    <col min="5410" max="5410" width="16.625" style="150" bestFit="1" customWidth="1"/>
    <col min="5411" max="5628" width="6.5" style="150"/>
    <col min="5629" max="5629" width="40.25" style="150" customWidth="1"/>
    <col min="5630" max="5642" width="12.125" style="150" customWidth="1"/>
    <col min="5643" max="5643" width="51.5" style="150" customWidth="1"/>
    <col min="5644" max="5655" width="12.125" style="150" customWidth="1"/>
    <col min="5656" max="5656" width="16.625" style="150" customWidth="1"/>
    <col min="5657" max="5659" width="9.75" style="150" customWidth="1"/>
    <col min="5660" max="5660" width="0" style="150" hidden="1" customWidth="1"/>
    <col min="5661" max="5661" width="6.5" style="150"/>
    <col min="5662" max="5662" width="20" style="150" bestFit="1" customWidth="1"/>
    <col min="5663" max="5663" width="6.5" style="150"/>
    <col min="5664" max="5664" width="16.625" style="150" bestFit="1" customWidth="1"/>
    <col min="5665" max="5665" width="14.5" style="150" bestFit="1" customWidth="1"/>
    <col min="5666" max="5666" width="16.625" style="150" bestFit="1" customWidth="1"/>
    <col min="5667" max="5884" width="6.5" style="150"/>
    <col min="5885" max="5885" width="40.25" style="150" customWidth="1"/>
    <col min="5886" max="5898" width="12.125" style="150" customWidth="1"/>
    <col min="5899" max="5899" width="51.5" style="150" customWidth="1"/>
    <col min="5900" max="5911" width="12.125" style="150" customWidth="1"/>
    <col min="5912" max="5912" width="16.625" style="150" customWidth="1"/>
    <col min="5913" max="5915" width="9.75" style="150" customWidth="1"/>
    <col min="5916" max="5916" width="0" style="150" hidden="1" customWidth="1"/>
    <col min="5917" max="5917" width="6.5" style="150"/>
    <col min="5918" max="5918" width="20" style="150" bestFit="1" customWidth="1"/>
    <col min="5919" max="5919" width="6.5" style="150"/>
    <col min="5920" max="5920" width="16.625" style="150" bestFit="1" customWidth="1"/>
    <col min="5921" max="5921" width="14.5" style="150" bestFit="1" customWidth="1"/>
    <col min="5922" max="5922" width="16.625" style="150" bestFit="1" customWidth="1"/>
    <col min="5923" max="6140" width="6.5" style="150"/>
    <col min="6141" max="6141" width="40.25" style="150" customWidth="1"/>
    <col min="6142" max="6154" width="12.125" style="150" customWidth="1"/>
    <col min="6155" max="6155" width="51.5" style="150" customWidth="1"/>
    <col min="6156" max="6167" width="12.125" style="150" customWidth="1"/>
    <col min="6168" max="6168" width="16.625" style="150" customWidth="1"/>
    <col min="6169" max="6171" width="9.75" style="150" customWidth="1"/>
    <col min="6172" max="6172" width="0" style="150" hidden="1" customWidth="1"/>
    <col min="6173" max="6173" width="6.5" style="150"/>
    <col min="6174" max="6174" width="20" style="150" bestFit="1" customWidth="1"/>
    <col min="6175" max="6175" width="6.5" style="150"/>
    <col min="6176" max="6176" width="16.625" style="150" bestFit="1" customWidth="1"/>
    <col min="6177" max="6177" width="14.5" style="150" bestFit="1" customWidth="1"/>
    <col min="6178" max="6178" width="16.625" style="150" bestFit="1" customWidth="1"/>
    <col min="6179" max="6396" width="6.5" style="150"/>
    <col min="6397" max="6397" width="40.25" style="150" customWidth="1"/>
    <col min="6398" max="6410" width="12.125" style="150" customWidth="1"/>
    <col min="6411" max="6411" width="51.5" style="150" customWidth="1"/>
    <col min="6412" max="6423" width="12.125" style="150" customWidth="1"/>
    <col min="6424" max="6424" width="16.625" style="150" customWidth="1"/>
    <col min="6425" max="6427" width="9.75" style="150" customWidth="1"/>
    <col min="6428" max="6428" width="0" style="150" hidden="1" customWidth="1"/>
    <col min="6429" max="6429" width="6.5" style="150"/>
    <col min="6430" max="6430" width="20" style="150" bestFit="1" customWidth="1"/>
    <col min="6431" max="6431" width="6.5" style="150"/>
    <col min="6432" max="6432" width="16.625" style="150" bestFit="1" customWidth="1"/>
    <col min="6433" max="6433" width="14.5" style="150" bestFit="1" customWidth="1"/>
    <col min="6434" max="6434" width="16.625" style="150" bestFit="1" customWidth="1"/>
    <col min="6435" max="6652" width="6.5" style="150"/>
    <col min="6653" max="6653" width="40.25" style="150" customWidth="1"/>
    <col min="6654" max="6666" width="12.125" style="150" customWidth="1"/>
    <col min="6667" max="6667" width="51.5" style="150" customWidth="1"/>
    <col min="6668" max="6679" width="12.125" style="150" customWidth="1"/>
    <col min="6680" max="6680" width="16.625" style="150" customWidth="1"/>
    <col min="6681" max="6683" width="9.75" style="150" customWidth="1"/>
    <col min="6684" max="6684" width="0" style="150" hidden="1" customWidth="1"/>
    <col min="6685" max="6685" width="6.5" style="150"/>
    <col min="6686" max="6686" width="20" style="150" bestFit="1" customWidth="1"/>
    <col min="6687" max="6687" width="6.5" style="150"/>
    <col min="6688" max="6688" width="16.625" style="150" bestFit="1" customWidth="1"/>
    <col min="6689" max="6689" width="14.5" style="150" bestFit="1" customWidth="1"/>
    <col min="6690" max="6690" width="16.625" style="150" bestFit="1" customWidth="1"/>
    <col min="6691" max="6908" width="6.5" style="150"/>
    <col min="6909" max="6909" width="40.25" style="150" customWidth="1"/>
    <col min="6910" max="6922" width="12.125" style="150" customWidth="1"/>
    <col min="6923" max="6923" width="51.5" style="150" customWidth="1"/>
    <col min="6924" max="6935" width="12.125" style="150" customWidth="1"/>
    <col min="6936" max="6936" width="16.625" style="150" customWidth="1"/>
    <col min="6937" max="6939" width="9.75" style="150" customWidth="1"/>
    <col min="6940" max="6940" width="0" style="150" hidden="1" customWidth="1"/>
    <col min="6941" max="6941" width="6.5" style="150"/>
    <col min="6942" max="6942" width="20" style="150" bestFit="1" customWidth="1"/>
    <col min="6943" max="6943" width="6.5" style="150"/>
    <col min="6944" max="6944" width="16.625" style="150" bestFit="1" customWidth="1"/>
    <col min="6945" max="6945" width="14.5" style="150" bestFit="1" customWidth="1"/>
    <col min="6946" max="6946" width="16.625" style="150" bestFit="1" customWidth="1"/>
    <col min="6947" max="7164" width="6.5" style="150"/>
    <col min="7165" max="7165" width="40.25" style="150" customWidth="1"/>
    <col min="7166" max="7178" width="12.125" style="150" customWidth="1"/>
    <col min="7179" max="7179" width="51.5" style="150" customWidth="1"/>
    <col min="7180" max="7191" width="12.125" style="150" customWidth="1"/>
    <col min="7192" max="7192" width="16.625" style="150" customWidth="1"/>
    <col min="7193" max="7195" width="9.75" style="150" customWidth="1"/>
    <col min="7196" max="7196" width="0" style="150" hidden="1" customWidth="1"/>
    <col min="7197" max="7197" width="6.5" style="150"/>
    <col min="7198" max="7198" width="20" style="150" bestFit="1" customWidth="1"/>
    <col min="7199" max="7199" width="6.5" style="150"/>
    <col min="7200" max="7200" width="16.625" style="150" bestFit="1" customWidth="1"/>
    <col min="7201" max="7201" width="14.5" style="150" bestFit="1" customWidth="1"/>
    <col min="7202" max="7202" width="16.625" style="150" bestFit="1" customWidth="1"/>
    <col min="7203" max="7420" width="6.5" style="150"/>
    <col min="7421" max="7421" width="40.25" style="150" customWidth="1"/>
    <col min="7422" max="7434" width="12.125" style="150" customWidth="1"/>
    <col min="7435" max="7435" width="51.5" style="150" customWidth="1"/>
    <col min="7436" max="7447" width="12.125" style="150" customWidth="1"/>
    <col min="7448" max="7448" width="16.625" style="150" customWidth="1"/>
    <col min="7449" max="7451" width="9.75" style="150" customWidth="1"/>
    <col min="7452" max="7452" width="0" style="150" hidden="1" customWidth="1"/>
    <col min="7453" max="7453" width="6.5" style="150"/>
    <col min="7454" max="7454" width="20" style="150" bestFit="1" customWidth="1"/>
    <col min="7455" max="7455" width="6.5" style="150"/>
    <col min="7456" max="7456" width="16.625" style="150" bestFit="1" customWidth="1"/>
    <col min="7457" max="7457" width="14.5" style="150" bestFit="1" customWidth="1"/>
    <col min="7458" max="7458" width="16.625" style="150" bestFit="1" customWidth="1"/>
    <col min="7459" max="7676" width="6.5" style="150"/>
    <col min="7677" max="7677" width="40.25" style="150" customWidth="1"/>
    <col min="7678" max="7690" width="12.125" style="150" customWidth="1"/>
    <col min="7691" max="7691" width="51.5" style="150" customWidth="1"/>
    <col min="7692" max="7703" width="12.125" style="150" customWidth="1"/>
    <col min="7704" max="7704" width="16.625" style="150" customWidth="1"/>
    <col min="7705" max="7707" width="9.75" style="150" customWidth="1"/>
    <col min="7708" max="7708" width="0" style="150" hidden="1" customWidth="1"/>
    <col min="7709" max="7709" width="6.5" style="150"/>
    <col min="7710" max="7710" width="20" style="150" bestFit="1" customWidth="1"/>
    <col min="7711" max="7711" width="6.5" style="150"/>
    <col min="7712" max="7712" width="16.625" style="150" bestFit="1" customWidth="1"/>
    <col min="7713" max="7713" width="14.5" style="150" bestFit="1" customWidth="1"/>
    <col min="7714" max="7714" width="16.625" style="150" bestFit="1" customWidth="1"/>
    <col min="7715" max="7932" width="6.5" style="150"/>
    <col min="7933" max="7933" width="40.25" style="150" customWidth="1"/>
    <col min="7934" max="7946" width="12.125" style="150" customWidth="1"/>
    <col min="7947" max="7947" width="51.5" style="150" customWidth="1"/>
    <col min="7948" max="7959" width="12.125" style="150" customWidth="1"/>
    <col min="7960" max="7960" width="16.625" style="150" customWidth="1"/>
    <col min="7961" max="7963" width="9.75" style="150" customWidth="1"/>
    <col min="7964" max="7964" width="0" style="150" hidden="1" customWidth="1"/>
    <col min="7965" max="7965" width="6.5" style="150"/>
    <col min="7966" max="7966" width="20" style="150" bestFit="1" customWidth="1"/>
    <col min="7967" max="7967" width="6.5" style="150"/>
    <col min="7968" max="7968" width="16.625" style="150" bestFit="1" customWidth="1"/>
    <col min="7969" max="7969" width="14.5" style="150" bestFit="1" customWidth="1"/>
    <col min="7970" max="7970" width="16.625" style="150" bestFit="1" customWidth="1"/>
    <col min="7971" max="8188" width="6.5" style="150"/>
    <col min="8189" max="8189" width="40.25" style="150" customWidth="1"/>
    <col min="8190" max="8202" width="12.125" style="150" customWidth="1"/>
    <col min="8203" max="8203" width="51.5" style="150" customWidth="1"/>
    <col min="8204" max="8215" width="12.125" style="150" customWidth="1"/>
    <col min="8216" max="8216" width="16.625" style="150" customWidth="1"/>
    <col min="8217" max="8219" width="9.75" style="150" customWidth="1"/>
    <col min="8220" max="8220" width="0" style="150" hidden="1" customWidth="1"/>
    <col min="8221" max="8221" width="6.5" style="150"/>
    <col min="8222" max="8222" width="20" style="150" bestFit="1" customWidth="1"/>
    <col min="8223" max="8223" width="6.5" style="150"/>
    <col min="8224" max="8224" width="16.625" style="150" bestFit="1" customWidth="1"/>
    <col min="8225" max="8225" width="14.5" style="150" bestFit="1" customWidth="1"/>
    <col min="8226" max="8226" width="16.625" style="150" bestFit="1" customWidth="1"/>
    <col min="8227" max="8444" width="6.5" style="150"/>
    <col min="8445" max="8445" width="40.25" style="150" customWidth="1"/>
    <col min="8446" max="8458" width="12.125" style="150" customWidth="1"/>
    <col min="8459" max="8459" width="51.5" style="150" customWidth="1"/>
    <col min="8460" max="8471" width="12.125" style="150" customWidth="1"/>
    <col min="8472" max="8472" width="16.625" style="150" customWidth="1"/>
    <col min="8473" max="8475" width="9.75" style="150" customWidth="1"/>
    <col min="8476" max="8476" width="0" style="150" hidden="1" customWidth="1"/>
    <col min="8477" max="8477" width="6.5" style="150"/>
    <col min="8478" max="8478" width="20" style="150" bestFit="1" customWidth="1"/>
    <col min="8479" max="8479" width="6.5" style="150"/>
    <col min="8480" max="8480" width="16.625" style="150" bestFit="1" customWidth="1"/>
    <col min="8481" max="8481" width="14.5" style="150" bestFit="1" customWidth="1"/>
    <col min="8482" max="8482" width="16.625" style="150" bestFit="1" customWidth="1"/>
    <col min="8483" max="8700" width="6.5" style="150"/>
    <col min="8701" max="8701" width="40.25" style="150" customWidth="1"/>
    <col min="8702" max="8714" width="12.125" style="150" customWidth="1"/>
    <col min="8715" max="8715" width="51.5" style="150" customWidth="1"/>
    <col min="8716" max="8727" width="12.125" style="150" customWidth="1"/>
    <col min="8728" max="8728" width="16.625" style="150" customWidth="1"/>
    <col min="8729" max="8731" width="9.75" style="150" customWidth="1"/>
    <col min="8732" max="8732" width="0" style="150" hidden="1" customWidth="1"/>
    <col min="8733" max="8733" width="6.5" style="150"/>
    <col min="8734" max="8734" width="20" style="150" bestFit="1" customWidth="1"/>
    <col min="8735" max="8735" width="6.5" style="150"/>
    <col min="8736" max="8736" width="16.625" style="150" bestFit="1" customWidth="1"/>
    <col min="8737" max="8737" width="14.5" style="150" bestFit="1" customWidth="1"/>
    <col min="8738" max="8738" width="16.625" style="150" bestFit="1" customWidth="1"/>
    <col min="8739" max="8956" width="6.5" style="150"/>
    <col min="8957" max="8957" width="40.25" style="150" customWidth="1"/>
    <col min="8958" max="8970" width="12.125" style="150" customWidth="1"/>
    <col min="8971" max="8971" width="51.5" style="150" customWidth="1"/>
    <col min="8972" max="8983" width="12.125" style="150" customWidth="1"/>
    <col min="8984" max="8984" width="16.625" style="150" customWidth="1"/>
    <col min="8985" max="8987" width="9.75" style="150" customWidth="1"/>
    <col min="8988" max="8988" width="0" style="150" hidden="1" customWidth="1"/>
    <col min="8989" max="8989" width="6.5" style="150"/>
    <col min="8990" max="8990" width="20" style="150" bestFit="1" customWidth="1"/>
    <col min="8991" max="8991" width="6.5" style="150"/>
    <col min="8992" max="8992" width="16.625" style="150" bestFit="1" customWidth="1"/>
    <col min="8993" max="8993" width="14.5" style="150" bestFit="1" customWidth="1"/>
    <col min="8994" max="8994" width="16.625" style="150" bestFit="1" customWidth="1"/>
    <col min="8995" max="9212" width="6.5" style="150"/>
    <col min="9213" max="9213" width="40.25" style="150" customWidth="1"/>
    <col min="9214" max="9226" width="12.125" style="150" customWidth="1"/>
    <col min="9227" max="9227" width="51.5" style="150" customWidth="1"/>
    <col min="9228" max="9239" width="12.125" style="150" customWidth="1"/>
    <col min="9240" max="9240" width="16.625" style="150" customWidth="1"/>
    <col min="9241" max="9243" width="9.75" style="150" customWidth="1"/>
    <col min="9244" max="9244" width="0" style="150" hidden="1" customWidth="1"/>
    <col min="9245" max="9245" width="6.5" style="150"/>
    <col min="9246" max="9246" width="20" style="150" bestFit="1" customWidth="1"/>
    <col min="9247" max="9247" width="6.5" style="150"/>
    <col min="9248" max="9248" width="16.625" style="150" bestFit="1" customWidth="1"/>
    <col min="9249" max="9249" width="14.5" style="150" bestFit="1" customWidth="1"/>
    <col min="9250" max="9250" width="16.625" style="150" bestFit="1" customWidth="1"/>
    <col min="9251" max="9468" width="6.5" style="150"/>
    <col min="9469" max="9469" width="40.25" style="150" customWidth="1"/>
    <col min="9470" max="9482" width="12.125" style="150" customWidth="1"/>
    <col min="9483" max="9483" width="51.5" style="150" customWidth="1"/>
    <col min="9484" max="9495" width="12.125" style="150" customWidth="1"/>
    <col min="9496" max="9496" width="16.625" style="150" customWidth="1"/>
    <col min="9497" max="9499" width="9.75" style="150" customWidth="1"/>
    <col min="9500" max="9500" width="0" style="150" hidden="1" customWidth="1"/>
    <col min="9501" max="9501" width="6.5" style="150"/>
    <col min="9502" max="9502" width="20" style="150" bestFit="1" customWidth="1"/>
    <col min="9503" max="9503" width="6.5" style="150"/>
    <col min="9504" max="9504" width="16.625" style="150" bestFit="1" customWidth="1"/>
    <col min="9505" max="9505" width="14.5" style="150" bestFit="1" customWidth="1"/>
    <col min="9506" max="9506" width="16.625" style="150" bestFit="1" customWidth="1"/>
    <col min="9507" max="9724" width="6.5" style="150"/>
    <col min="9725" max="9725" width="40.25" style="150" customWidth="1"/>
    <col min="9726" max="9738" width="12.125" style="150" customWidth="1"/>
    <col min="9739" max="9739" width="51.5" style="150" customWidth="1"/>
    <col min="9740" max="9751" width="12.125" style="150" customWidth="1"/>
    <col min="9752" max="9752" width="16.625" style="150" customWidth="1"/>
    <col min="9753" max="9755" width="9.75" style="150" customWidth="1"/>
    <col min="9756" max="9756" width="0" style="150" hidden="1" customWidth="1"/>
    <col min="9757" max="9757" width="6.5" style="150"/>
    <col min="9758" max="9758" width="20" style="150" bestFit="1" customWidth="1"/>
    <col min="9759" max="9759" width="6.5" style="150"/>
    <col min="9760" max="9760" width="16.625" style="150" bestFit="1" customWidth="1"/>
    <col min="9761" max="9761" width="14.5" style="150" bestFit="1" customWidth="1"/>
    <col min="9762" max="9762" width="16.625" style="150" bestFit="1" customWidth="1"/>
    <col min="9763" max="9980" width="6.5" style="150"/>
    <col min="9981" max="9981" width="40.25" style="150" customWidth="1"/>
    <col min="9982" max="9994" width="12.125" style="150" customWidth="1"/>
    <col min="9995" max="9995" width="51.5" style="150" customWidth="1"/>
    <col min="9996" max="10007" width="12.125" style="150" customWidth="1"/>
    <col min="10008" max="10008" width="16.625" style="150" customWidth="1"/>
    <col min="10009" max="10011" width="9.75" style="150" customWidth="1"/>
    <col min="10012" max="10012" width="0" style="150" hidden="1" customWidth="1"/>
    <col min="10013" max="10013" width="6.5" style="150"/>
    <col min="10014" max="10014" width="20" style="150" bestFit="1" customWidth="1"/>
    <col min="10015" max="10015" width="6.5" style="150"/>
    <col min="10016" max="10016" width="16.625" style="150" bestFit="1" customWidth="1"/>
    <col min="10017" max="10017" width="14.5" style="150" bestFit="1" customWidth="1"/>
    <col min="10018" max="10018" width="16.625" style="150" bestFit="1" customWidth="1"/>
    <col min="10019" max="10236" width="6.5" style="150"/>
    <col min="10237" max="10237" width="40.25" style="150" customWidth="1"/>
    <col min="10238" max="10250" width="12.125" style="150" customWidth="1"/>
    <col min="10251" max="10251" width="51.5" style="150" customWidth="1"/>
    <col min="10252" max="10263" width="12.125" style="150" customWidth="1"/>
    <col min="10264" max="10264" width="16.625" style="150" customWidth="1"/>
    <col min="10265" max="10267" width="9.75" style="150" customWidth="1"/>
    <col min="10268" max="10268" width="0" style="150" hidden="1" customWidth="1"/>
    <col min="10269" max="10269" width="6.5" style="150"/>
    <col min="10270" max="10270" width="20" style="150" bestFit="1" customWidth="1"/>
    <col min="10271" max="10271" width="6.5" style="150"/>
    <col min="10272" max="10272" width="16.625" style="150" bestFit="1" customWidth="1"/>
    <col min="10273" max="10273" width="14.5" style="150" bestFit="1" customWidth="1"/>
    <col min="10274" max="10274" width="16.625" style="150" bestFit="1" customWidth="1"/>
    <col min="10275" max="10492" width="6.5" style="150"/>
    <col min="10493" max="10493" width="40.25" style="150" customWidth="1"/>
    <col min="10494" max="10506" width="12.125" style="150" customWidth="1"/>
    <col min="10507" max="10507" width="51.5" style="150" customWidth="1"/>
    <col min="10508" max="10519" width="12.125" style="150" customWidth="1"/>
    <col min="10520" max="10520" width="16.625" style="150" customWidth="1"/>
    <col min="10521" max="10523" width="9.75" style="150" customWidth="1"/>
    <col min="10524" max="10524" width="0" style="150" hidden="1" customWidth="1"/>
    <col min="10525" max="10525" width="6.5" style="150"/>
    <col min="10526" max="10526" width="20" style="150" bestFit="1" customWidth="1"/>
    <col min="10527" max="10527" width="6.5" style="150"/>
    <col min="10528" max="10528" width="16.625" style="150" bestFit="1" customWidth="1"/>
    <col min="10529" max="10529" width="14.5" style="150" bestFit="1" customWidth="1"/>
    <col min="10530" max="10530" width="16.625" style="150" bestFit="1" customWidth="1"/>
    <col min="10531" max="10748" width="6.5" style="150"/>
    <col min="10749" max="10749" width="40.25" style="150" customWidth="1"/>
    <col min="10750" max="10762" width="12.125" style="150" customWidth="1"/>
    <col min="10763" max="10763" width="51.5" style="150" customWidth="1"/>
    <col min="10764" max="10775" width="12.125" style="150" customWidth="1"/>
    <col min="10776" max="10776" width="16.625" style="150" customWidth="1"/>
    <col min="10777" max="10779" width="9.75" style="150" customWidth="1"/>
    <col min="10780" max="10780" width="0" style="150" hidden="1" customWidth="1"/>
    <col min="10781" max="10781" width="6.5" style="150"/>
    <col min="10782" max="10782" width="20" style="150" bestFit="1" customWidth="1"/>
    <col min="10783" max="10783" width="6.5" style="150"/>
    <col min="10784" max="10784" width="16.625" style="150" bestFit="1" customWidth="1"/>
    <col min="10785" max="10785" width="14.5" style="150" bestFit="1" customWidth="1"/>
    <col min="10786" max="10786" width="16.625" style="150" bestFit="1" customWidth="1"/>
    <col min="10787" max="11004" width="6.5" style="150"/>
    <col min="11005" max="11005" width="40.25" style="150" customWidth="1"/>
    <col min="11006" max="11018" width="12.125" style="150" customWidth="1"/>
    <col min="11019" max="11019" width="51.5" style="150" customWidth="1"/>
    <col min="11020" max="11031" width="12.125" style="150" customWidth="1"/>
    <col min="11032" max="11032" width="16.625" style="150" customWidth="1"/>
    <col min="11033" max="11035" width="9.75" style="150" customWidth="1"/>
    <col min="11036" max="11036" width="0" style="150" hidden="1" customWidth="1"/>
    <col min="11037" max="11037" width="6.5" style="150"/>
    <col min="11038" max="11038" width="20" style="150" bestFit="1" customWidth="1"/>
    <col min="11039" max="11039" width="6.5" style="150"/>
    <col min="11040" max="11040" width="16.625" style="150" bestFit="1" customWidth="1"/>
    <col min="11041" max="11041" width="14.5" style="150" bestFit="1" customWidth="1"/>
    <col min="11042" max="11042" width="16.625" style="150" bestFit="1" customWidth="1"/>
    <col min="11043" max="11260" width="6.5" style="150"/>
    <col min="11261" max="11261" width="40.25" style="150" customWidth="1"/>
    <col min="11262" max="11274" width="12.125" style="150" customWidth="1"/>
    <col min="11275" max="11275" width="51.5" style="150" customWidth="1"/>
    <col min="11276" max="11287" width="12.125" style="150" customWidth="1"/>
    <col min="11288" max="11288" width="16.625" style="150" customWidth="1"/>
    <col min="11289" max="11291" width="9.75" style="150" customWidth="1"/>
    <col min="11292" max="11292" width="0" style="150" hidden="1" customWidth="1"/>
    <col min="11293" max="11293" width="6.5" style="150"/>
    <col min="11294" max="11294" width="20" style="150" bestFit="1" customWidth="1"/>
    <col min="11295" max="11295" width="6.5" style="150"/>
    <col min="11296" max="11296" width="16.625" style="150" bestFit="1" customWidth="1"/>
    <col min="11297" max="11297" width="14.5" style="150" bestFit="1" customWidth="1"/>
    <col min="11298" max="11298" width="16.625" style="150" bestFit="1" customWidth="1"/>
    <col min="11299" max="11516" width="6.5" style="150"/>
    <col min="11517" max="11517" width="40.25" style="150" customWidth="1"/>
    <col min="11518" max="11530" width="12.125" style="150" customWidth="1"/>
    <col min="11531" max="11531" width="51.5" style="150" customWidth="1"/>
    <col min="11532" max="11543" width="12.125" style="150" customWidth="1"/>
    <col min="11544" max="11544" width="16.625" style="150" customWidth="1"/>
    <col min="11545" max="11547" width="9.75" style="150" customWidth="1"/>
    <col min="11548" max="11548" width="0" style="150" hidden="1" customWidth="1"/>
    <col min="11549" max="11549" width="6.5" style="150"/>
    <col min="11550" max="11550" width="20" style="150" bestFit="1" customWidth="1"/>
    <col min="11551" max="11551" width="6.5" style="150"/>
    <col min="11552" max="11552" width="16.625" style="150" bestFit="1" customWidth="1"/>
    <col min="11553" max="11553" width="14.5" style="150" bestFit="1" customWidth="1"/>
    <col min="11554" max="11554" width="16.625" style="150" bestFit="1" customWidth="1"/>
    <col min="11555" max="11772" width="6.5" style="150"/>
    <col min="11773" max="11773" width="40.25" style="150" customWidth="1"/>
    <col min="11774" max="11786" width="12.125" style="150" customWidth="1"/>
    <col min="11787" max="11787" width="51.5" style="150" customWidth="1"/>
    <col min="11788" max="11799" width="12.125" style="150" customWidth="1"/>
    <col min="11800" max="11800" width="16.625" style="150" customWidth="1"/>
    <col min="11801" max="11803" width="9.75" style="150" customWidth="1"/>
    <col min="11804" max="11804" width="0" style="150" hidden="1" customWidth="1"/>
    <col min="11805" max="11805" width="6.5" style="150"/>
    <col min="11806" max="11806" width="20" style="150" bestFit="1" customWidth="1"/>
    <col min="11807" max="11807" width="6.5" style="150"/>
    <col min="11808" max="11808" width="16.625" style="150" bestFit="1" customWidth="1"/>
    <col min="11809" max="11809" width="14.5" style="150" bestFit="1" customWidth="1"/>
    <col min="11810" max="11810" width="16.625" style="150" bestFit="1" customWidth="1"/>
    <col min="11811" max="12028" width="6.5" style="150"/>
    <col min="12029" max="12029" width="40.25" style="150" customWidth="1"/>
    <col min="12030" max="12042" width="12.125" style="150" customWidth="1"/>
    <col min="12043" max="12043" width="51.5" style="150" customWidth="1"/>
    <col min="12044" max="12055" width="12.125" style="150" customWidth="1"/>
    <col min="12056" max="12056" width="16.625" style="150" customWidth="1"/>
    <col min="12057" max="12059" width="9.75" style="150" customWidth="1"/>
    <col min="12060" max="12060" width="0" style="150" hidden="1" customWidth="1"/>
    <col min="12061" max="12061" width="6.5" style="150"/>
    <col min="12062" max="12062" width="20" style="150" bestFit="1" customWidth="1"/>
    <col min="12063" max="12063" width="6.5" style="150"/>
    <col min="12064" max="12064" width="16.625" style="150" bestFit="1" customWidth="1"/>
    <col min="12065" max="12065" width="14.5" style="150" bestFit="1" customWidth="1"/>
    <col min="12066" max="12066" width="16.625" style="150" bestFit="1" customWidth="1"/>
    <col min="12067" max="12284" width="6.5" style="150"/>
    <col min="12285" max="12285" width="40.25" style="150" customWidth="1"/>
    <col min="12286" max="12298" width="12.125" style="150" customWidth="1"/>
    <col min="12299" max="12299" width="51.5" style="150" customWidth="1"/>
    <col min="12300" max="12311" width="12.125" style="150" customWidth="1"/>
    <col min="12312" max="12312" width="16.625" style="150" customWidth="1"/>
    <col min="12313" max="12315" width="9.75" style="150" customWidth="1"/>
    <col min="12316" max="12316" width="0" style="150" hidden="1" customWidth="1"/>
    <col min="12317" max="12317" width="6.5" style="150"/>
    <col min="12318" max="12318" width="20" style="150" bestFit="1" customWidth="1"/>
    <col min="12319" max="12319" width="6.5" style="150"/>
    <col min="12320" max="12320" width="16.625" style="150" bestFit="1" customWidth="1"/>
    <col min="12321" max="12321" width="14.5" style="150" bestFit="1" customWidth="1"/>
    <col min="12322" max="12322" width="16.625" style="150" bestFit="1" customWidth="1"/>
    <col min="12323" max="12540" width="6.5" style="150"/>
    <col min="12541" max="12541" width="40.25" style="150" customWidth="1"/>
    <col min="12542" max="12554" width="12.125" style="150" customWidth="1"/>
    <col min="12555" max="12555" width="51.5" style="150" customWidth="1"/>
    <col min="12556" max="12567" width="12.125" style="150" customWidth="1"/>
    <col min="12568" max="12568" width="16.625" style="150" customWidth="1"/>
    <col min="12569" max="12571" width="9.75" style="150" customWidth="1"/>
    <col min="12572" max="12572" width="0" style="150" hidden="1" customWidth="1"/>
    <col min="12573" max="12573" width="6.5" style="150"/>
    <col min="12574" max="12574" width="20" style="150" bestFit="1" customWidth="1"/>
    <col min="12575" max="12575" width="6.5" style="150"/>
    <col min="12576" max="12576" width="16.625" style="150" bestFit="1" customWidth="1"/>
    <col min="12577" max="12577" width="14.5" style="150" bestFit="1" customWidth="1"/>
    <col min="12578" max="12578" width="16.625" style="150" bestFit="1" customWidth="1"/>
    <col min="12579" max="12796" width="6.5" style="150"/>
    <col min="12797" max="12797" width="40.25" style="150" customWidth="1"/>
    <col min="12798" max="12810" width="12.125" style="150" customWidth="1"/>
    <col min="12811" max="12811" width="51.5" style="150" customWidth="1"/>
    <col min="12812" max="12823" width="12.125" style="150" customWidth="1"/>
    <col min="12824" max="12824" width="16.625" style="150" customWidth="1"/>
    <col min="12825" max="12827" width="9.75" style="150" customWidth="1"/>
    <col min="12828" max="12828" width="0" style="150" hidden="1" customWidth="1"/>
    <col min="12829" max="12829" width="6.5" style="150"/>
    <col min="12830" max="12830" width="20" style="150" bestFit="1" customWidth="1"/>
    <col min="12831" max="12831" width="6.5" style="150"/>
    <col min="12832" max="12832" width="16.625" style="150" bestFit="1" customWidth="1"/>
    <col min="12833" max="12833" width="14.5" style="150" bestFit="1" customWidth="1"/>
    <col min="12834" max="12834" width="16.625" style="150" bestFit="1" customWidth="1"/>
    <col min="12835" max="13052" width="6.5" style="150"/>
    <col min="13053" max="13053" width="40.25" style="150" customWidth="1"/>
    <col min="13054" max="13066" width="12.125" style="150" customWidth="1"/>
    <col min="13067" max="13067" width="51.5" style="150" customWidth="1"/>
    <col min="13068" max="13079" width="12.125" style="150" customWidth="1"/>
    <col min="13080" max="13080" width="16.625" style="150" customWidth="1"/>
    <col min="13081" max="13083" width="9.75" style="150" customWidth="1"/>
    <col min="13084" max="13084" width="0" style="150" hidden="1" customWidth="1"/>
    <col min="13085" max="13085" width="6.5" style="150"/>
    <col min="13086" max="13086" width="20" style="150" bestFit="1" customWidth="1"/>
    <col min="13087" max="13087" width="6.5" style="150"/>
    <col min="13088" max="13088" width="16.625" style="150" bestFit="1" customWidth="1"/>
    <col min="13089" max="13089" width="14.5" style="150" bestFit="1" customWidth="1"/>
    <col min="13090" max="13090" width="16.625" style="150" bestFit="1" customWidth="1"/>
    <col min="13091" max="13308" width="6.5" style="150"/>
    <col min="13309" max="13309" width="40.25" style="150" customWidth="1"/>
    <col min="13310" max="13322" width="12.125" style="150" customWidth="1"/>
    <col min="13323" max="13323" width="51.5" style="150" customWidth="1"/>
    <col min="13324" max="13335" width="12.125" style="150" customWidth="1"/>
    <col min="13336" max="13336" width="16.625" style="150" customWidth="1"/>
    <col min="13337" max="13339" width="9.75" style="150" customWidth="1"/>
    <col min="13340" max="13340" width="0" style="150" hidden="1" customWidth="1"/>
    <col min="13341" max="13341" width="6.5" style="150"/>
    <col min="13342" max="13342" width="20" style="150" bestFit="1" customWidth="1"/>
    <col min="13343" max="13343" width="6.5" style="150"/>
    <col min="13344" max="13344" width="16.625" style="150" bestFit="1" customWidth="1"/>
    <col min="13345" max="13345" width="14.5" style="150" bestFit="1" customWidth="1"/>
    <col min="13346" max="13346" width="16.625" style="150" bestFit="1" customWidth="1"/>
    <col min="13347" max="13564" width="6.5" style="150"/>
    <col min="13565" max="13565" width="40.25" style="150" customWidth="1"/>
    <col min="13566" max="13578" width="12.125" style="150" customWidth="1"/>
    <col min="13579" max="13579" width="51.5" style="150" customWidth="1"/>
    <col min="13580" max="13591" width="12.125" style="150" customWidth="1"/>
    <col min="13592" max="13592" width="16.625" style="150" customWidth="1"/>
    <col min="13593" max="13595" width="9.75" style="150" customWidth="1"/>
    <col min="13596" max="13596" width="0" style="150" hidden="1" customWidth="1"/>
    <col min="13597" max="13597" width="6.5" style="150"/>
    <col min="13598" max="13598" width="20" style="150" bestFit="1" customWidth="1"/>
    <col min="13599" max="13599" width="6.5" style="150"/>
    <col min="13600" max="13600" width="16.625" style="150" bestFit="1" customWidth="1"/>
    <col min="13601" max="13601" width="14.5" style="150" bestFit="1" customWidth="1"/>
    <col min="13602" max="13602" width="16.625" style="150" bestFit="1" customWidth="1"/>
    <col min="13603" max="13820" width="6.5" style="150"/>
    <col min="13821" max="13821" width="40.25" style="150" customWidth="1"/>
    <col min="13822" max="13834" width="12.125" style="150" customWidth="1"/>
    <col min="13835" max="13835" width="51.5" style="150" customWidth="1"/>
    <col min="13836" max="13847" width="12.125" style="150" customWidth="1"/>
    <col min="13848" max="13848" width="16.625" style="150" customWidth="1"/>
    <col min="13849" max="13851" width="9.75" style="150" customWidth="1"/>
    <col min="13852" max="13852" width="0" style="150" hidden="1" customWidth="1"/>
    <col min="13853" max="13853" width="6.5" style="150"/>
    <col min="13854" max="13854" width="20" style="150" bestFit="1" customWidth="1"/>
    <col min="13855" max="13855" width="6.5" style="150"/>
    <col min="13856" max="13856" width="16.625" style="150" bestFit="1" customWidth="1"/>
    <col min="13857" max="13857" width="14.5" style="150" bestFit="1" customWidth="1"/>
    <col min="13858" max="13858" width="16.625" style="150" bestFit="1" customWidth="1"/>
    <col min="13859" max="14076" width="6.5" style="150"/>
    <col min="14077" max="14077" width="40.25" style="150" customWidth="1"/>
    <col min="14078" max="14090" width="12.125" style="150" customWidth="1"/>
    <col min="14091" max="14091" width="51.5" style="150" customWidth="1"/>
    <col min="14092" max="14103" width="12.125" style="150" customWidth="1"/>
    <col min="14104" max="14104" width="16.625" style="150" customWidth="1"/>
    <col min="14105" max="14107" width="9.75" style="150" customWidth="1"/>
    <col min="14108" max="14108" width="0" style="150" hidden="1" customWidth="1"/>
    <col min="14109" max="14109" width="6.5" style="150"/>
    <col min="14110" max="14110" width="20" style="150" bestFit="1" customWidth="1"/>
    <col min="14111" max="14111" width="6.5" style="150"/>
    <col min="14112" max="14112" width="16.625" style="150" bestFit="1" customWidth="1"/>
    <col min="14113" max="14113" width="14.5" style="150" bestFit="1" customWidth="1"/>
    <col min="14114" max="14114" width="16.625" style="150" bestFit="1" customWidth="1"/>
    <col min="14115" max="14332" width="6.5" style="150"/>
    <col min="14333" max="14333" width="40.25" style="150" customWidth="1"/>
    <col min="14334" max="14346" width="12.125" style="150" customWidth="1"/>
    <col min="14347" max="14347" width="51.5" style="150" customWidth="1"/>
    <col min="14348" max="14359" width="12.125" style="150" customWidth="1"/>
    <col min="14360" max="14360" width="16.625" style="150" customWidth="1"/>
    <col min="14361" max="14363" width="9.75" style="150" customWidth="1"/>
    <col min="14364" max="14364" width="0" style="150" hidden="1" customWidth="1"/>
    <col min="14365" max="14365" width="6.5" style="150"/>
    <col min="14366" max="14366" width="20" style="150" bestFit="1" customWidth="1"/>
    <col min="14367" max="14367" width="6.5" style="150"/>
    <col min="14368" max="14368" width="16.625" style="150" bestFit="1" customWidth="1"/>
    <col min="14369" max="14369" width="14.5" style="150" bestFit="1" customWidth="1"/>
    <col min="14370" max="14370" width="16.625" style="150" bestFit="1" customWidth="1"/>
    <col min="14371" max="14588" width="6.5" style="150"/>
    <col min="14589" max="14589" width="40.25" style="150" customWidth="1"/>
    <col min="14590" max="14602" width="12.125" style="150" customWidth="1"/>
    <col min="14603" max="14603" width="51.5" style="150" customWidth="1"/>
    <col min="14604" max="14615" width="12.125" style="150" customWidth="1"/>
    <col min="14616" max="14616" width="16.625" style="150" customWidth="1"/>
    <col min="14617" max="14619" width="9.75" style="150" customWidth="1"/>
    <col min="14620" max="14620" width="0" style="150" hidden="1" customWidth="1"/>
    <col min="14621" max="14621" width="6.5" style="150"/>
    <col min="14622" max="14622" width="20" style="150" bestFit="1" customWidth="1"/>
    <col min="14623" max="14623" width="6.5" style="150"/>
    <col min="14624" max="14624" width="16.625" style="150" bestFit="1" customWidth="1"/>
    <col min="14625" max="14625" width="14.5" style="150" bestFit="1" customWidth="1"/>
    <col min="14626" max="14626" width="16.625" style="150" bestFit="1" customWidth="1"/>
    <col min="14627" max="14844" width="6.5" style="150"/>
    <col min="14845" max="14845" width="40.25" style="150" customWidth="1"/>
    <col min="14846" max="14858" width="12.125" style="150" customWidth="1"/>
    <col min="14859" max="14859" width="51.5" style="150" customWidth="1"/>
    <col min="14860" max="14871" width="12.125" style="150" customWidth="1"/>
    <col min="14872" max="14872" width="16.625" style="150" customWidth="1"/>
    <col min="14873" max="14875" width="9.75" style="150" customWidth="1"/>
    <col min="14876" max="14876" width="0" style="150" hidden="1" customWidth="1"/>
    <col min="14877" max="14877" width="6.5" style="150"/>
    <col min="14878" max="14878" width="20" style="150" bestFit="1" customWidth="1"/>
    <col min="14879" max="14879" width="6.5" style="150"/>
    <col min="14880" max="14880" width="16.625" style="150" bestFit="1" customWidth="1"/>
    <col min="14881" max="14881" width="14.5" style="150" bestFit="1" customWidth="1"/>
    <col min="14882" max="14882" width="16.625" style="150" bestFit="1" customWidth="1"/>
    <col min="14883" max="15100" width="6.5" style="150"/>
    <col min="15101" max="15101" width="40.25" style="150" customWidth="1"/>
    <col min="15102" max="15114" width="12.125" style="150" customWidth="1"/>
    <col min="15115" max="15115" width="51.5" style="150" customWidth="1"/>
    <col min="15116" max="15127" width="12.125" style="150" customWidth="1"/>
    <col min="15128" max="15128" width="16.625" style="150" customWidth="1"/>
    <col min="15129" max="15131" width="9.75" style="150" customWidth="1"/>
    <col min="15132" max="15132" width="0" style="150" hidden="1" customWidth="1"/>
    <col min="15133" max="15133" width="6.5" style="150"/>
    <col min="15134" max="15134" width="20" style="150" bestFit="1" customWidth="1"/>
    <col min="15135" max="15135" width="6.5" style="150"/>
    <col min="15136" max="15136" width="16.625" style="150" bestFit="1" customWidth="1"/>
    <col min="15137" max="15137" width="14.5" style="150" bestFit="1" customWidth="1"/>
    <col min="15138" max="15138" width="16.625" style="150" bestFit="1" customWidth="1"/>
    <col min="15139" max="15356" width="6.5" style="150"/>
    <col min="15357" max="15357" width="40.25" style="150" customWidth="1"/>
    <col min="15358" max="15370" width="12.125" style="150" customWidth="1"/>
    <col min="15371" max="15371" width="51.5" style="150" customWidth="1"/>
    <col min="15372" max="15383" width="12.125" style="150" customWidth="1"/>
    <col min="15384" max="15384" width="16.625" style="150" customWidth="1"/>
    <col min="15385" max="15387" width="9.75" style="150" customWidth="1"/>
    <col min="15388" max="15388" width="0" style="150" hidden="1" customWidth="1"/>
    <col min="15389" max="15389" width="6.5" style="150"/>
    <col min="15390" max="15390" width="20" style="150" bestFit="1" customWidth="1"/>
    <col min="15391" max="15391" width="6.5" style="150"/>
    <col min="15392" max="15392" width="16.625" style="150" bestFit="1" customWidth="1"/>
    <col min="15393" max="15393" width="14.5" style="150" bestFit="1" customWidth="1"/>
    <col min="15394" max="15394" width="16.625" style="150" bestFit="1" customWidth="1"/>
    <col min="15395" max="15612" width="6.5" style="150"/>
    <col min="15613" max="15613" width="40.25" style="150" customWidth="1"/>
    <col min="15614" max="15626" width="12.125" style="150" customWidth="1"/>
    <col min="15627" max="15627" width="51.5" style="150" customWidth="1"/>
    <col min="15628" max="15639" width="12.125" style="150" customWidth="1"/>
    <col min="15640" max="15640" width="16.625" style="150" customWidth="1"/>
    <col min="15641" max="15643" width="9.75" style="150" customWidth="1"/>
    <col min="15644" max="15644" width="0" style="150" hidden="1" customWidth="1"/>
    <col min="15645" max="15645" width="6.5" style="150"/>
    <col min="15646" max="15646" width="20" style="150" bestFit="1" customWidth="1"/>
    <col min="15647" max="15647" width="6.5" style="150"/>
    <col min="15648" max="15648" width="16.625" style="150" bestFit="1" customWidth="1"/>
    <col min="15649" max="15649" width="14.5" style="150" bestFit="1" customWidth="1"/>
    <col min="15650" max="15650" width="16.625" style="150" bestFit="1" customWidth="1"/>
    <col min="15651" max="15868" width="6.5" style="150"/>
    <col min="15869" max="15869" width="40.25" style="150" customWidth="1"/>
    <col min="15870" max="15882" width="12.125" style="150" customWidth="1"/>
    <col min="15883" max="15883" width="51.5" style="150" customWidth="1"/>
    <col min="15884" max="15895" width="12.125" style="150" customWidth="1"/>
    <col min="15896" max="15896" width="16.625" style="150" customWidth="1"/>
    <col min="15897" max="15899" width="9.75" style="150" customWidth="1"/>
    <col min="15900" max="15900" width="0" style="150" hidden="1" customWidth="1"/>
    <col min="15901" max="15901" width="6.5" style="150"/>
    <col min="15902" max="15902" width="20" style="150" bestFit="1" customWidth="1"/>
    <col min="15903" max="15903" width="6.5" style="150"/>
    <col min="15904" max="15904" width="16.625" style="150" bestFit="1" customWidth="1"/>
    <col min="15905" max="15905" width="14.5" style="150" bestFit="1" customWidth="1"/>
    <col min="15906" max="15906" width="16.625" style="150" bestFit="1" customWidth="1"/>
    <col min="15907" max="16124" width="6.5" style="150"/>
    <col min="16125" max="16125" width="40.25" style="150" customWidth="1"/>
    <col min="16126" max="16138" width="12.125" style="150" customWidth="1"/>
    <col min="16139" max="16139" width="51.5" style="150" customWidth="1"/>
    <col min="16140" max="16151" width="12.125" style="150" customWidth="1"/>
    <col min="16152" max="16152" width="16.625" style="150" customWidth="1"/>
    <col min="16153" max="16155" width="9.75" style="150" customWidth="1"/>
    <col min="16156" max="16156" width="0" style="150" hidden="1" customWidth="1"/>
    <col min="16157" max="16157" width="6.5" style="150"/>
    <col min="16158" max="16158" width="20" style="150" bestFit="1" customWidth="1"/>
    <col min="16159" max="16159" width="6.5" style="150"/>
    <col min="16160" max="16160" width="16.625" style="150" bestFit="1" customWidth="1"/>
    <col min="16161" max="16161" width="14.5" style="150" bestFit="1" customWidth="1"/>
    <col min="16162" max="16162" width="16.625" style="150" bestFit="1" customWidth="1"/>
    <col min="16163" max="16384" width="6.5" style="150"/>
  </cols>
  <sheetData>
    <row r="1" spans="1:34" ht="86.25" customHeight="1">
      <c r="B1" s="337" t="s">
        <v>65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151"/>
    </row>
    <row r="2" spans="1:34" ht="20.25">
      <c r="B2" s="152"/>
      <c r="C2" s="153"/>
      <c r="D2" s="153"/>
      <c r="E2" s="153"/>
      <c r="F2" s="153"/>
      <c r="G2" s="153"/>
      <c r="H2" s="154"/>
      <c r="I2" s="154"/>
      <c r="J2" s="154"/>
      <c r="K2" s="154"/>
      <c r="L2" s="154"/>
      <c r="M2" s="153"/>
      <c r="N2" s="153"/>
      <c r="O2" s="153"/>
      <c r="P2" s="155"/>
      <c r="Q2" s="153"/>
      <c r="R2" s="153"/>
      <c r="S2" s="153"/>
      <c r="T2" s="156"/>
      <c r="U2" s="153"/>
      <c r="V2" s="154"/>
      <c r="W2" s="154"/>
      <c r="X2" s="153"/>
      <c r="Y2" s="153"/>
      <c r="Z2" s="154"/>
      <c r="AA2" s="154"/>
      <c r="AB2" s="153"/>
      <c r="AC2" s="153"/>
      <c r="AD2" s="153"/>
      <c r="AE2" s="153"/>
      <c r="AF2" s="153"/>
      <c r="AG2" s="151"/>
    </row>
    <row r="3" spans="1:34" s="160" customFormat="1" ht="25.35" customHeight="1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8" t="s">
        <v>66</v>
      </c>
      <c r="AG3" s="159"/>
    </row>
    <row r="4" spans="1:34" ht="41.25" customHeight="1">
      <c r="B4" s="338" t="s">
        <v>67</v>
      </c>
      <c r="C4" s="340" t="s">
        <v>68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343" t="s">
        <v>67</v>
      </c>
      <c r="Q4" s="345" t="s">
        <v>69</v>
      </c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7"/>
      <c r="AD4" s="348" t="s">
        <v>70</v>
      </c>
      <c r="AE4" s="349"/>
      <c r="AF4" s="350"/>
      <c r="AG4" s="151"/>
    </row>
    <row r="5" spans="1:34" ht="42.75" customHeight="1" thickBot="1">
      <c r="B5" s="339"/>
      <c r="C5" s="161" t="s">
        <v>71</v>
      </c>
      <c r="D5" s="161" t="s">
        <v>72</v>
      </c>
      <c r="E5" s="161" t="s">
        <v>73</v>
      </c>
      <c r="F5" s="161" t="s">
        <v>74</v>
      </c>
      <c r="G5" s="161" t="s">
        <v>75</v>
      </c>
      <c r="H5" s="161" t="s">
        <v>76</v>
      </c>
      <c r="I5" s="161" t="s">
        <v>77</v>
      </c>
      <c r="J5" s="161" t="s">
        <v>78</v>
      </c>
      <c r="K5" s="162" t="s">
        <v>79</v>
      </c>
      <c r="L5" s="162" t="s">
        <v>80</v>
      </c>
      <c r="M5" s="162" t="s">
        <v>81</v>
      </c>
      <c r="N5" s="162" t="s">
        <v>82</v>
      </c>
      <c r="O5" s="163" t="s">
        <v>83</v>
      </c>
      <c r="P5" s="344"/>
      <c r="Q5" s="161" t="s">
        <v>71</v>
      </c>
      <c r="R5" s="161" t="s">
        <v>72</v>
      </c>
      <c r="S5" s="161" t="s">
        <v>73</v>
      </c>
      <c r="T5" s="161" t="s">
        <v>74</v>
      </c>
      <c r="U5" s="161" t="s">
        <v>75</v>
      </c>
      <c r="V5" s="161" t="s">
        <v>84</v>
      </c>
      <c r="W5" s="161" t="s">
        <v>77</v>
      </c>
      <c r="X5" s="161" t="s">
        <v>78</v>
      </c>
      <c r="Y5" s="162" t="s">
        <v>79</v>
      </c>
      <c r="Z5" s="162" t="s">
        <v>80</v>
      </c>
      <c r="AA5" s="162" t="s">
        <v>81</v>
      </c>
      <c r="AB5" s="162" t="s">
        <v>82</v>
      </c>
      <c r="AC5" s="164" t="s">
        <v>83</v>
      </c>
      <c r="AD5" s="351"/>
      <c r="AE5" s="352"/>
      <c r="AF5" s="353"/>
      <c r="AG5" s="151"/>
    </row>
    <row r="6" spans="1:34" ht="42.75" customHeight="1">
      <c r="B6" s="165" t="s">
        <v>85</v>
      </c>
      <c r="C6" s="166">
        <f t="shared" ref="C6:N6" si="0">SUM(C7+C11+C13+C10)</f>
        <v>1833686.5100000002</v>
      </c>
      <c r="D6" s="166">
        <f t="shared" si="0"/>
        <v>1041784.67</v>
      </c>
      <c r="E6" s="166">
        <f t="shared" si="0"/>
        <v>1431830.3400000003</v>
      </c>
      <c r="F6" s="166">
        <f t="shared" si="0"/>
        <v>1426209.21</v>
      </c>
      <c r="G6" s="166">
        <f t="shared" si="0"/>
        <v>1768590.6399999997</v>
      </c>
      <c r="H6" s="166">
        <f t="shared" si="0"/>
        <v>1582074.7799999998</v>
      </c>
      <c r="I6" s="166">
        <f t="shared" si="0"/>
        <v>1367040.0599999998</v>
      </c>
      <c r="J6" s="166">
        <f t="shared" si="0"/>
        <v>944028.97</v>
      </c>
      <c r="K6" s="166">
        <f t="shared" si="0"/>
        <v>2401847.0194787271</v>
      </c>
      <c r="L6" s="166">
        <f t="shared" si="0"/>
        <v>2201181.9068811666</v>
      </c>
      <c r="M6" s="166">
        <f t="shared" si="0"/>
        <v>3357322.9261796824</v>
      </c>
      <c r="N6" s="166">
        <f t="shared" si="0"/>
        <v>3498364.4005366242</v>
      </c>
      <c r="O6" s="166">
        <f>SUM(C6:N6)</f>
        <v>22853961.433076199</v>
      </c>
      <c r="P6" s="167" t="s">
        <v>86</v>
      </c>
      <c r="Q6" s="168">
        <f t="shared" ref="Q6:AB6" si="1">Q8+Q9+Q10</f>
        <v>1704244.47</v>
      </c>
      <c r="R6" s="168">
        <f t="shared" si="1"/>
        <v>620846.68999999994</v>
      </c>
      <c r="S6" s="168">
        <f t="shared" si="1"/>
        <v>45649.9</v>
      </c>
      <c r="T6" s="168">
        <f t="shared" si="1"/>
        <v>38278.120000000003</v>
      </c>
      <c r="U6" s="168">
        <f t="shared" si="1"/>
        <v>121740.23</v>
      </c>
      <c r="V6" s="168">
        <f t="shared" si="1"/>
        <v>570133.94999999995</v>
      </c>
      <c r="W6" s="168">
        <f t="shared" si="1"/>
        <v>522070.26</v>
      </c>
      <c r="X6" s="168">
        <f t="shared" si="1"/>
        <v>216468.58000000002</v>
      </c>
      <c r="Y6" s="168">
        <f t="shared" si="1"/>
        <v>413000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>SUM(AC7:AC11)</f>
        <v>4252432.2</v>
      </c>
      <c r="AD6" s="319"/>
      <c r="AE6" s="320"/>
      <c r="AF6" s="321"/>
      <c r="AG6" s="151"/>
      <c r="AH6" s="169"/>
    </row>
    <row r="7" spans="1:34" ht="42.75" customHeight="1">
      <c r="B7" s="170" t="s">
        <v>87</v>
      </c>
      <c r="C7" s="171">
        <f>SUM(C8:C9)</f>
        <v>72576.320000000007</v>
      </c>
      <c r="D7" s="171">
        <f t="shared" ref="D7:N7" si="2">SUM(D8:D9)</f>
        <v>35933.78</v>
      </c>
      <c r="E7" s="171">
        <f t="shared" si="2"/>
        <v>74569.539999999994</v>
      </c>
      <c r="F7" s="171">
        <f t="shared" si="2"/>
        <v>130908.91</v>
      </c>
      <c r="G7" s="171">
        <f t="shared" si="2"/>
        <v>106814.73</v>
      </c>
      <c r="H7" s="171">
        <f t="shared" si="2"/>
        <v>80713.959999999992</v>
      </c>
      <c r="I7" s="171">
        <f t="shared" si="2"/>
        <v>117466.77999999998</v>
      </c>
      <c r="J7" s="171">
        <f t="shared" si="2"/>
        <v>62309.1</v>
      </c>
      <c r="K7" s="171">
        <f t="shared" si="2"/>
        <v>180000</v>
      </c>
      <c r="L7" s="171">
        <f t="shared" si="2"/>
        <v>135000</v>
      </c>
      <c r="M7" s="171">
        <f t="shared" si="2"/>
        <v>53550</v>
      </c>
      <c r="N7" s="171">
        <f t="shared" si="2"/>
        <v>53550</v>
      </c>
      <c r="O7" s="171">
        <f>SUM(C7:N7)</f>
        <v>1103393.1200000001</v>
      </c>
      <c r="P7" s="172"/>
      <c r="Q7" s="173"/>
      <c r="R7" s="173"/>
      <c r="S7" s="174"/>
      <c r="T7" s="174"/>
      <c r="U7" s="174"/>
      <c r="V7" s="173"/>
      <c r="W7" s="173"/>
      <c r="X7" s="173"/>
      <c r="Y7" s="173"/>
      <c r="Z7" s="173"/>
      <c r="AA7" s="173"/>
      <c r="AB7" s="173"/>
      <c r="AC7" s="173">
        <f t="shared" ref="AC7:AC16" si="3">SUM(Q7:AB7)</f>
        <v>0</v>
      </c>
      <c r="AD7" s="322"/>
      <c r="AE7" s="323"/>
      <c r="AF7" s="324"/>
      <c r="AG7" s="151"/>
    </row>
    <row r="8" spans="1:34" ht="42.75" customHeight="1">
      <c r="B8" s="175" t="s">
        <v>88</v>
      </c>
      <c r="C8" s="176">
        <v>72576.320000000007</v>
      </c>
      <c r="D8" s="176">
        <v>35933.78</v>
      </c>
      <c r="E8" s="176">
        <v>74569.539999999994</v>
      </c>
      <c r="F8" s="176">
        <v>130908.91</v>
      </c>
      <c r="G8" s="176">
        <v>106814.73</v>
      </c>
      <c r="H8" s="176">
        <v>80713.959999999992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>
        <v>0</v>
      </c>
      <c r="O8" s="176">
        <f t="shared" ref="O8:O23" si="4">SUM(C8:N8)</f>
        <v>501517.24</v>
      </c>
      <c r="P8" s="177"/>
      <c r="Q8" s="178"/>
      <c r="R8" s="178"/>
      <c r="S8" s="179"/>
      <c r="T8" s="179"/>
      <c r="U8" s="179"/>
      <c r="V8" s="178"/>
      <c r="W8" s="178"/>
      <c r="X8" s="178"/>
      <c r="Y8" s="178"/>
      <c r="Z8" s="178"/>
      <c r="AA8" s="178"/>
      <c r="AB8" s="178"/>
      <c r="AC8" s="173">
        <f t="shared" si="3"/>
        <v>0</v>
      </c>
      <c r="AD8" s="325"/>
      <c r="AE8" s="326"/>
      <c r="AF8" s="327"/>
      <c r="AG8" s="151"/>
    </row>
    <row r="9" spans="1:34" ht="42.75" customHeight="1">
      <c r="B9" s="175" t="s">
        <v>89</v>
      </c>
      <c r="C9" s="176"/>
      <c r="D9" s="176"/>
      <c r="E9" s="176"/>
      <c r="F9" s="176"/>
      <c r="G9" s="176"/>
      <c r="H9" s="176"/>
      <c r="I9" s="176">
        <v>117466.77999999998</v>
      </c>
      <c r="J9" s="180">
        <f>SUM('[1]August CF'!HK17:HK18)</f>
        <v>62309.1</v>
      </c>
      <c r="K9" s="180">
        <f>[2]Summary!Z27*0.9</f>
        <v>180000</v>
      </c>
      <c r="L9" s="180">
        <f>[2]Summary!AA27*0.9</f>
        <v>135000</v>
      </c>
      <c r="M9" s="180">
        <f>[2]Summary!AB27*0.9</f>
        <v>53550</v>
      </c>
      <c r="N9" s="180">
        <f>[2]Summary!AC27*0.9</f>
        <v>53550</v>
      </c>
      <c r="O9" s="176">
        <f t="shared" si="4"/>
        <v>601875.88</v>
      </c>
      <c r="P9" s="177" t="s">
        <v>90</v>
      </c>
      <c r="Q9" s="173">
        <v>1704244.47</v>
      </c>
      <c r="R9" s="173">
        <v>620846.68999999994</v>
      </c>
      <c r="S9" s="174">
        <v>45649.9</v>
      </c>
      <c r="T9" s="174">
        <v>38278.120000000003</v>
      </c>
      <c r="U9" s="181">
        <v>121740.23</v>
      </c>
      <c r="V9" s="180">
        <v>570133.94999999995</v>
      </c>
      <c r="W9" s="180">
        <v>522070.26</v>
      </c>
      <c r="X9" s="180">
        <f>SUM('[1]August CF'!HK23:HK28)</f>
        <v>216468.58000000002</v>
      </c>
      <c r="Y9" s="180">
        <v>413000</v>
      </c>
      <c r="Z9" s="180"/>
      <c r="AA9" s="180"/>
      <c r="AB9" s="180">
        <v>0</v>
      </c>
      <c r="AC9" s="173">
        <f t="shared" si="3"/>
        <v>4252432.2</v>
      </c>
      <c r="AD9" s="310"/>
      <c r="AE9" s="311"/>
      <c r="AF9" s="312"/>
      <c r="AG9" s="185"/>
    </row>
    <row r="10" spans="1:34" ht="42.75" customHeight="1">
      <c r="B10" s="170" t="s">
        <v>91</v>
      </c>
      <c r="C10" s="171">
        <v>380655.78</v>
      </c>
      <c r="D10" s="171">
        <v>4889.2</v>
      </c>
      <c r="E10" s="171">
        <v>4769.3500000000004</v>
      </c>
      <c r="F10" s="171">
        <v>145516.22</v>
      </c>
      <c r="G10" s="171">
        <v>4805.8999999999996</v>
      </c>
      <c r="H10" s="186">
        <v>0</v>
      </c>
      <c r="I10" s="171">
        <v>9424.380000000001</v>
      </c>
      <c r="J10" s="171">
        <f>'[1]August CF'!HK19</f>
        <v>4819.08</v>
      </c>
      <c r="K10" s="171">
        <v>4632.5</v>
      </c>
      <c r="L10" s="171">
        <v>145632.5</v>
      </c>
      <c r="M10" s="171">
        <v>4632.5</v>
      </c>
      <c r="N10" s="171">
        <v>145632.5</v>
      </c>
      <c r="O10" s="171">
        <f t="shared" si="4"/>
        <v>855409.91</v>
      </c>
      <c r="P10" s="177" t="s">
        <v>92</v>
      </c>
      <c r="Q10" s="178"/>
      <c r="R10" s="178"/>
      <c r="S10" s="179"/>
      <c r="T10" s="179"/>
      <c r="U10" s="179"/>
      <c r="V10" s="178"/>
      <c r="W10" s="178"/>
      <c r="X10" s="178"/>
      <c r="Y10" s="178"/>
      <c r="Z10" s="178"/>
      <c r="AA10" s="178"/>
      <c r="AB10" s="178"/>
      <c r="AC10" s="173">
        <f t="shared" si="3"/>
        <v>0</v>
      </c>
      <c r="AD10" s="328"/>
      <c r="AE10" s="329"/>
      <c r="AF10" s="330"/>
      <c r="AG10" s="151"/>
    </row>
    <row r="11" spans="1:34" ht="42.75" customHeight="1">
      <c r="B11" s="170" t="s">
        <v>93</v>
      </c>
      <c r="C11" s="187">
        <f>C12</f>
        <v>1379838.9400000002</v>
      </c>
      <c r="D11" s="187">
        <f t="shared" ref="D11:N11" si="5">D12</f>
        <v>995637.87000000011</v>
      </c>
      <c r="E11" s="187">
        <f t="shared" si="5"/>
        <v>1167046.9000000001</v>
      </c>
      <c r="F11" s="187">
        <f t="shared" si="5"/>
        <v>1149219.57</v>
      </c>
      <c r="G11" s="187">
        <f t="shared" si="5"/>
        <v>1500251.65</v>
      </c>
      <c r="H11" s="188">
        <f t="shared" si="5"/>
        <v>1498842.15</v>
      </c>
      <c r="I11" s="187">
        <f t="shared" si="5"/>
        <v>1239576.1199999999</v>
      </c>
      <c r="J11" s="187">
        <f t="shared" si="5"/>
        <v>876111.89</v>
      </c>
      <c r="K11" s="187">
        <f t="shared" si="5"/>
        <v>2217214.5194787271</v>
      </c>
      <c r="L11" s="187">
        <f t="shared" si="5"/>
        <v>1920549.4068811664</v>
      </c>
      <c r="M11" s="187">
        <f t="shared" si="5"/>
        <v>3299140.4261796824</v>
      </c>
      <c r="N11" s="187">
        <f t="shared" si="5"/>
        <v>3299181.9005366242</v>
      </c>
      <c r="O11" s="187">
        <f t="shared" si="4"/>
        <v>20542611.343076199</v>
      </c>
      <c r="P11" s="177"/>
      <c r="Q11" s="173"/>
      <c r="R11" s="173"/>
      <c r="S11" s="174"/>
      <c r="T11" s="174"/>
      <c r="U11" s="174"/>
      <c r="V11" s="173"/>
      <c r="W11" s="173"/>
      <c r="X11" s="173"/>
      <c r="Y11" s="173"/>
      <c r="Z11" s="173"/>
      <c r="AA11" s="173"/>
      <c r="AB11" s="173"/>
      <c r="AC11" s="173">
        <f t="shared" si="3"/>
        <v>0</v>
      </c>
      <c r="AD11" s="325"/>
      <c r="AE11" s="326"/>
      <c r="AF11" s="327"/>
      <c r="AG11" s="151"/>
    </row>
    <row r="12" spans="1:34" ht="42.75" customHeight="1">
      <c r="B12" s="189" t="s">
        <v>94</v>
      </c>
      <c r="C12" s="190">
        <v>1379838.9400000002</v>
      </c>
      <c r="D12" s="176">
        <v>995637.87000000011</v>
      </c>
      <c r="E12" s="176">
        <v>1167046.9000000001</v>
      </c>
      <c r="F12" s="176">
        <v>1149219.57</v>
      </c>
      <c r="G12" s="176">
        <v>1500251.65</v>
      </c>
      <c r="H12" s="176">
        <v>1498842.15</v>
      </c>
      <c r="I12" s="180">
        <v>1239576.1199999999</v>
      </c>
      <c r="J12" s="180">
        <f>SUM('[1]August CF'!HK11:HK16)</f>
        <v>876111.89</v>
      </c>
      <c r="K12" s="180">
        <f>([2]Summary!Z22*0.91)+([2]Summary!Z23*0.7)</f>
        <v>2217214.5194787271</v>
      </c>
      <c r="L12" s="180">
        <f>([2]Summary!AA22*0.91)+([2]Summary!AA23*0.7)</f>
        <v>1920549.4068811664</v>
      </c>
      <c r="M12" s="180">
        <f>([2]Summary!AB22*0.91)+([2]Summary!AB23*0.7)</f>
        <v>3299140.4261796824</v>
      </c>
      <c r="N12" s="180">
        <f>([2]Summary!AC22*0.91)+([2]Summary!AC23*0.7)</f>
        <v>3299181.9005366242</v>
      </c>
      <c r="O12" s="190">
        <f t="shared" si="4"/>
        <v>20542611.343076199</v>
      </c>
      <c r="P12" s="191" t="s">
        <v>95</v>
      </c>
      <c r="Q12" s="192">
        <f t="shared" ref="Q12:AB12" si="6">Q13+Q14+Q15</f>
        <v>0</v>
      </c>
      <c r="R12" s="192">
        <f t="shared" si="6"/>
        <v>0</v>
      </c>
      <c r="S12" s="192">
        <f t="shared" si="6"/>
        <v>0</v>
      </c>
      <c r="T12" s="192">
        <f t="shared" si="6"/>
        <v>0</v>
      </c>
      <c r="U12" s="192">
        <f t="shared" si="6"/>
        <v>0</v>
      </c>
      <c r="V12" s="192">
        <f t="shared" si="6"/>
        <v>0</v>
      </c>
      <c r="W12" s="192">
        <f t="shared" si="6"/>
        <v>0</v>
      </c>
      <c r="X12" s="192">
        <f t="shared" si="6"/>
        <v>0</v>
      </c>
      <c r="Y12" s="192">
        <f t="shared" si="6"/>
        <v>0</v>
      </c>
      <c r="Z12" s="192">
        <f t="shared" si="6"/>
        <v>0</v>
      </c>
      <c r="AA12" s="192">
        <f t="shared" si="6"/>
        <v>0</v>
      </c>
      <c r="AB12" s="192">
        <f t="shared" si="6"/>
        <v>0</v>
      </c>
      <c r="AC12" s="192">
        <f t="shared" si="3"/>
        <v>0</v>
      </c>
      <c r="AD12" s="331"/>
      <c r="AE12" s="332"/>
      <c r="AF12" s="333"/>
      <c r="AG12" s="151"/>
    </row>
    <row r="13" spans="1:34" ht="42.75" customHeight="1">
      <c r="B13" s="170" t="s">
        <v>96</v>
      </c>
      <c r="C13" s="187">
        <f>SUM(C14:C15)</f>
        <v>615.47</v>
      </c>
      <c r="D13" s="187">
        <f t="shared" ref="D13:N13" si="7">SUM(D14:D15)</f>
        <v>5323.82</v>
      </c>
      <c r="E13" s="187">
        <f t="shared" si="7"/>
        <v>185444.55</v>
      </c>
      <c r="F13" s="187">
        <f t="shared" si="7"/>
        <v>564.51</v>
      </c>
      <c r="G13" s="187">
        <f t="shared" si="7"/>
        <v>156718.35999999999</v>
      </c>
      <c r="H13" s="188">
        <f t="shared" si="7"/>
        <v>2518.67</v>
      </c>
      <c r="I13" s="188">
        <f t="shared" si="7"/>
        <v>572.78</v>
      </c>
      <c r="J13" s="187">
        <f t="shared" si="7"/>
        <v>788.90000000000009</v>
      </c>
      <c r="K13" s="187">
        <f t="shared" si="7"/>
        <v>0</v>
      </c>
      <c r="L13" s="187">
        <f t="shared" si="7"/>
        <v>0</v>
      </c>
      <c r="M13" s="187">
        <f t="shared" si="7"/>
        <v>0</v>
      </c>
      <c r="N13" s="187">
        <f t="shared" si="7"/>
        <v>0</v>
      </c>
      <c r="O13" s="187">
        <f t="shared" si="4"/>
        <v>352547.06</v>
      </c>
      <c r="P13" s="177" t="s">
        <v>97</v>
      </c>
      <c r="Q13" s="178">
        <v>0</v>
      </c>
      <c r="R13" s="178">
        <v>0</v>
      </c>
      <c r="S13" s="179">
        <v>0</v>
      </c>
      <c r="T13" s="179">
        <v>0</v>
      </c>
      <c r="U13" s="179">
        <v>0</v>
      </c>
      <c r="V13" s="178"/>
      <c r="W13" s="178"/>
      <c r="X13" s="178"/>
      <c r="Y13" s="178"/>
      <c r="Z13" s="178"/>
      <c r="AA13" s="178"/>
      <c r="AB13" s="178"/>
      <c r="AC13" s="173">
        <f t="shared" si="3"/>
        <v>0</v>
      </c>
      <c r="AD13" s="334"/>
      <c r="AE13" s="335"/>
      <c r="AF13" s="336"/>
      <c r="AG13" s="151"/>
    </row>
    <row r="14" spans="1:34" ht="42.75" customHeight="1">
      <c r="B14" s="189" t="s">
        <v>98</v>
      </c>
      <c r="C14" s="190"/>
      <c r="D14" s="190"/>
      <c r="E14" s="190"/>
      <c r="F14" s="190"/>
      <c r="G14" s="190"/>
      <c r="H14" s="190"/>
      <c r="I14" s="193"/>
      <c r="J14" s="190"/>
      <c r="K14" s="190"/>
      <c r="L14" s="190"/>
      <c r="M14" s="190"/>
      <c r="N14" s="190"/>
      <c r="O14" s="190">
        <f t="shared" si="4"/>
        <v>0</v>
      </c>
      <c r="P14" s="177" t="s">
        <v>99</v>
      </c>
      <c r="Q14" s="178">
        <v>0</v>
      </c>
      <c r="R14" s="178">
        <v>0</v>
      </c>
      <c r="S14" s="178">
        <v>0</v>
      </c>
      <c r="T14" s="178">
        <v>0</v>
      </c>
      <c r="U14" s="178">
        <v>0</v>
      </c>
      <c r="V14" s="178"/>
      <c r="W14" s="178"/>
      <c r="X14" s="178"/>
      <c r="Y14" s="178"/>
      <c r="Z14" s="178"/>
      <c r="AA14" s="178"/>
      <c r="AB14" s="178"/>
      <c r="AC14" s="173">
        <f t="shared" si="3"/>
        <v>0</v>
      </c>
      <c r="AD14" s="334"/>
      <c r="AE14" s="335"/>
      <c r="AF14" s="336"/>
      <c r="AG14" s="151"/>
    </row>
    <row r="15" spans="1:34" ht="42.75" customHeight="1">
      <c r="B15" s="194" t="s">
        <v>100</v>
      </c>
      <c r="C15" s="195">
        <v>615.47</v>
      </c>
      <c r="D15" s="195">
        <v>5323.82</v>
      </c>
      <c r="E15" s="195">
        <v>185444.55</v>
      </c>
      <c r="F15" s="195">
        <v>564.51</v>
      </c>
      <c r="G15" s="195">
        <v>156718.35999999999</v>
      </c>
      <c r="H15" s="195">
        <v>2518.67</v>
      </c>
      <c r="I15" s="195">
        <v>572.78</v>
      </c>
      <c r="J15" s="195">
        <f>SUM('[1]August CF'!HK20,'[1]August CF'!HK73)</f>
        <v>788.90000000000009</v>
      </c>
      <c r="K15" s="195">
        <v>0</v>
      </c>
      <c r="L15" s="196"/>
      <c r="M15" s="195">
        <v>0</v>
      </c>
      <c r="N15" s="195">
        <v>0</v>
      </c>
      <c r="O15" s="195">
        <f t="shared" si="4"/>
        <v>352547.06</v>
      </c>
      <c r="P15" s="197" t="s">
        <v>101</v>
      </c>
      <c r="Q15" s="178">
        <v>0</v>
      </c>
      <c r="R15" s="178">
        <v>0</v>
      </c>
      <c r="S15" s="178">
        <v>0</v>
      </c>
      <c r="T15" s="178">
        <v>0</v>
      </c>
      <c r="U15" s="178">
        <v>0</v>
      </c>
      <c r="V15" s="178"/>
      <c r="W15" s="178"/>
      <c r="X15" s="178"/>
      <c r="Y15" s="178"/>
      <c r="Z15" s="178"/>
      <c r="AA15" s="178"/>
      <c r="AB15" s="178"/>
      <c r="AC15" s="173">
        <f t="shared" si="3"/>
        <v>0</v>
      </c>
      <c r="AD15" s="334"/>
      <c r="AE15" s="335"/>
      <c r="AF15" s="336"/>
      <c r="AG15" s="151"/>
    </row>
    <row r="16" spans="1:34" s="198" customFormat="1" ht="42.75" customHeight="1">
      <c r="B16" s="199" t="s">
        <v>102</v>
      </c>
      <c r="C16" s="200">
        <f t="shared" ref="C16:N16" si="8">+C17+C18</f>
        <v>0</v>
      </c>
      <c r="D16" s="200">
        <f t="shared" si="8"/>
        <v>18273326.960000001</v>
      </c>
      <c r="E16" s="200">
        <f t="shared" si="8"/>
        <v>0</v>
      </c>
      <c r="F16" s="200">
        <f t="shared" si="8"/>
        <v>0</v>
      </c>
      <c r="G16" s="200">
        <f t="shared" si="8"/>
        <v>0</v>
      </c>
      <c r="H16" s="200">
        <f t="shared" si="8"/>
        <v>0</v>
      </c>
      <c r="I16" s="200">
        <f t="shared" si="8"/>
        <v>0</v>
      </c>
      <c r="J16" s="200">
        <f t="shared" si="8"/>
        <v>0</v>
      </c>
      <c r="K16" s="200">
        <f t="shared" si="8"/>
        <v>534025</v>
      </c>
      <c r="L16" s="200">
        <f t="shared" si="8"/>
        <v>0</v>
      </c>
      <c r="M16" s="200">
        <f t="shared" si="8"/>
        <v>0</v>
      </c>
      <c r="N16" s="200">
        <f t="shared" si="8"/>
        <v>4000000</v>
      </c>
      <c r="O16" s="200">
        <f t="shared" si="4"/>
        <v>22807351.960000001</v>
      </c>
      <c r="P16" s="201" t="s">
        <v>103</v>
      </c>
      <c r="Q16" s="192">
        <f t="shared" ref="Q16:AB16" si="9">Q17+Q33</f>
        <v>2817979.16</v>
      </c>
      <c r="R16" s="192">
        <f t="shared" si="9"/>
        <v>21006778.609999999</v>
      </c>
      <c r="S16" s="192">
        <f t="shared" si="9"/>
        <v>1490294.23</v>
      </c>
      <c r="T16" s="192">
        <f t="shared" si="9"/>
        <v>1394289.22</v>
      </c>
      <c r="U16" s="192">
        <f t="shared" si="9"/>
        <v>1335558.5599999998</v>
      </c>
      <c r="V16" s="192">
        <f t="shared" si="9"/>
        <v>1341596.67</v>
      </c>
      <c r="W16" s="192">
        <f t="shared" si="9"/>
        <v>1685670.91</v>
      </c>
      <c r="X16" s="192">
        <f t="shared" si="9"/>
        <v>1509211.22</v>
      </c>
      <c r="Y16" s="192">
        <f>Y17+Y33</f>
        <v>1330977.7812876753</v>
      </c>
      <c r="Z16" s="192">
        <f t="shared" si="9"/>
        <v>1460495.7533546083</v>
      </c>
      <c r="AA16" s="192">
        <f t="shared" si="9"/>
        <v>1775966.9408208295</v>
      </c>
      <c r="AB16" s="192">
        <f t="shared" si="9"/>
        <v>8977023.1921763457</v>
      </c>
      <c r="AC16" s="192">
        <f t="shared" si="3"/>
        <v>46125842.247639447</v>
      </c>
      <c r="AD16" s="331"/>
      <c r="AE16" s="332"/>
      <c r="AF16" s="333"/>
      <c r="AG16" s="202"/>
    </row>
    <row r="17" spans="2:49" ht="42.75" customHeight="1">
      <c r="B17" s="170" t="s">
        <v>104</v>
      </c>
      <c r="C17" s="203"/>
      <c r="D17" s="203">
        <v>18273326.960000001</v>
      </c>
      <c r="E17" s="203"/>
      <c r="F17" s="203"/>
      <c r="G17" s="204"/>
      <c r="H17" s="204"/>
      <c r="I17" s="204"/>
      <c r="J17" s="204"/>
      <c r="K17" s="205">
        <f>+'[1]26년 STE 연간'!Y24-210000</f>
        <v>534025</v>
      </c>
      <c r="L17" s="204"/>
      <c r="M17" s="190"/>
      <c r="N17" s="205">
        <v>4000000</v>
      </c>
      <c r="O17" s="171">
        <f t="shared" si="4"/>
        <v>22807351.960000001</v>
      </c>
      <c r="P17" s="206" t="s">
        <v>105</v>
      </c>
      <c r="Q17" s="171">
        <f>SUM(Q18:Q31)</f>
        <v>1616024.5899999999</v>
      </c>
      <c r="R17" s="171">
        <f>SUM(R18:R31)</f>
        <v>2838910.1199999996</v>
      </c>
      <c r="S17" s="171">
        <f t="shared" ref="S17:AB17" si="10">SUM(S18:S31)</f>
        <v>1490294.23</v>
      </c>
      <c r="T17" s="207">
        <f t="shared" si="10"/>
        <v>1394289.22</v>
      </c>
      <c r="U17" s="171">
        <f t="shared" si="10"/>
        <v>1335558.5599999998</v>
      </c>
      <c r="V17" s="171">
        <f t="shared" si="10"/>
        <v>1341596.67</v>
      </c>
      <c r="W17" s="171">
        <f t="shared" si="10"/>
        <v>1685670.91</v>
      </c>
      <c r="X17" s="171">
        <f t="shared" si="10"/>
        <v>1509211.22</v>
      </c>
      <c r="Y17" s="171">
        <f t="shared" si="10"/>
        <v>1330977.7812876753</v>
      </c>
      <c r="Z17" s="171">
        <f t="shared" si="10"/>
        <v>1460495.7533546083</v>
      </c>
      <c r="AA17" s="171">
        <f t="shared" si="10"/>
        <v>1775966.9408208295</v>
      </c>
      <c r="AB17" s="171">
        <f t="shared" si="10"/>
        <v>1977023.1921763448</v>
      </c>
      <c r="AC17" s="171">
        <f t="shared" ref="AC17:AC37" si="11">+SUM(Q17:AB17)</f>
        <v>19756019.18763946</v>
      </c>
      <c r="AD17" s="316"/>
      <c r="AE17" s="317"/>
      <c r="AF17" s="318"/>
      <c r="AG17" s="151"/>
      <c r="AH17" s="185"/>
    </row>
    <row r="18" spans="2:49" ht="42.75" customHeight="1">
      <c r="B18" s="170" t="s">
        <v>106</v>
      </c>
      <c r="C18" s="208"/>
      <c r="D18" s="209"/>
      <c r="E18" s="176"/>
      <c r="F18" s="176"/>
      <c r="G18" s="210"/>
      <c r="H18" s="210"/>
      <c r="I18" s="176"/>
      <c r="J18" s="176"/>
      <c r="K18" s="176"/>
      <c r="L18" s="176"/>
      <c r="M18" s="211"/>
      <c r="N18" s="176"/>
      <c r="O18" s="171">
        <f t="shared" si="4"/>
        <v>0</v>
      </c>
      <c r="P18" s="212" t="s">
        <v>107</v>
      </c>
      <c r="Q18" s="180">
        <v>270920.31999999995</v>
      </c>
      <c r="R18" s="180">
        <v>275005.32</v>
      </c>
      <c r="S18" s="180">
        <v>256842.95</v>
      </c>
      <c r="T18" s="180">
        <v>462766.07999999996</v>
      </c>
      <c r="U18" s="190">
        <v>259806.81</v>
      </c>
      <c r="V18" s="190">
        <v>262459.37</v>
      </c>
      <c r="W18" s="190">
        <v>277101.58</v>
      </c>
      <c r="X18" s="213">
        <f>SUM('[1]August CF'!HK29:HK30)</f>
        <v>277986.24</v>
      </c>
      <c r="Y18" s="190">
        <v>280664.72683333332</v>
      </c>
      <c r="Z18" s="190">
        <v>280664.72683333332</v>
      </c>
      <c r="AA18" s="190">
        <v>280664.72683333332</v>
      </c>
      <c r="AB18" s="190">
        <v>283464.72683333332</v>
      </c>
      <c r="AC18" s="176">
        <f t="shared" si="11"/>
        <v>3468347.577333333</v>
      </c>
      <c r="AD18" s="310" t="s">
        <v>108</v>
      </c>
      <c r="AE18" s="311"/>
      <c r="AF18" s="312"/>
      <c r="AG18" s="151"/>
      <c r="AH18" s="185"/>
    </row>
    <row r="19" spans="2:49" ht="42.75" customHeight="1">
      <c r="B19" s="214"/>
      <c r="C19" s="215"/>
      <c r="D19" s="216"/>
      <c r="E19" s="216"/>
      <c r="F19" s="216"/>
      <c r="G19" s="216"/>
      <c r="H19" s="217"/>
      <c r="I19" s="215"/>
      <c r="J19" s="215"/>
      <c r="K19" s="208"/>
      <c r="L19" s="218"/>
      <c r="M19" s="218"/>
      <c r="N19" s="215"/>
      <c r="O19" s="219">
        <f t="shared" si="4"/>
        <v>0</v>
      </c>
      <c r="P19" s="212" t="s">
        <v>109</v>
      </c>
      <c r="Q19" s="180">
        <v>86828.090000000011</v>
      </c>
      <c r="R19" s="180">
        <v>49931.53</v>
      </c>
      <c r="S19" s="180">
        <v>69693.440000000002</v>
      </c>
      <c r="T19" s="180">
        <v>93040.1</v>
      </c>
      <c r="U19" s="190">
        <v>60152.989999999991</v>
      </c>
      <c r="V19" s="190">
        <v>74172.10000000002</v>
      </c>
      <c r="W19" s="190">
        <v>69770.679999999993</v>
      </c>
      <c r="X19" s="213">
        <f>SUM('[1]August CF'!HK31:HK40)</f>
        <v>52235.99</v>
      </c>
      <c r="Y19" s="190">
        <v>59320.348374999994</v>
      </c>
      <c r="Z19" s="190">
        <v>59320.348374999994</v>
      </c>
      <c r="AA19" s="190">
        <v>59320.348374999994</v>
      </c>
      <c r="AB19" s="190">
        <v>59320.348374999994</v>
      </c>
      <c r="AC19" s="220">
        <f t="shared" si="11"/>
        <v>793106.31349999981</v>
      </c>
      <c r="AD19" s="221" t="s">
        <v>110</v>
      </c>
      <c r="AE19" s="222"/>
      <c r="AF19" s="223"/>
      <c r="AG19" s="202"/>
      <c r="AH19" s="185"/>
    </row>
    <row r="20" spans="2:49" ht="42.75" customHeight="1">
      <c r="B20" s="170"/>
      <c r="C20" s="215"/>
      <c r="D20" s="216"/>
      <c r="E20" s="216"/>
      <c r="F20" s="216"/>
      <c r="G20" s="224"/>
      <c r="H20" s="215"/>
      <c r="I20" s="218"/>
      <c r="J20" s="215"/>
      <c r="K20" s="215"/>
      <c r="L20" s="215"/>
      <c r="M20" s="215"/>
      <c r="N20" s="215"/>
      <c r="O20" s="225">
        <f t="shared" si="4"/>
        <v>0</v>
      </c>
      <c r="P20" s="226" t="s">
        <v>111</v>
      </c>
      <c r="Q20" s="180">
        <v>6440.2100000000009</v>
      </c>
      <c r="R20" s="180">
        <v>3378.52</v>
      </c>
      <c r="S20" s="180">
        <v>2008.7399999999998</v>
      </c>
      <c r="T20" s="180">
        <v>26967.060000000005</v>
      </c>
      <c r="U20" s="190">
        <v>12367.33</v>
      </c>
      <c r="V20" s="190">
        <v>3156.84</v>
      </c>
      <c r="W20" s="190">
        <v>3753.21</v>
      </c>
      <c r="X20" s="190">
        <v>1827.17</v>
      </c>
      <c r="Y20" s="190">
        <v>2150</v>
      </c>
      <c r="Z20" s="190">
        <v>1950</v>
      </c>
      <c r="AA20" s="190">
        <v>1450</v>
      </c>
      <c r="AB20" s="190">
        <v>6150</v>
      </c>
      <c r="AC20" s="220">
        <f>+SUM(Q20:AB20)</f>
        <v>71599.080000000016</v>
      </c>
      <c r="AD20" s="221" t="s">
        <v>112</v>
      </c>
      <c r="AE20" s="222"/>
      <c r="AF20" s="223"/>
      <c r="AG20" s="202"/>
      <c r="AH20" s="185"/>
      <c r="AW20" s="227"/>
    </row>
    <row r="21" spans="2:49" ht="42.75" customHeight="1">
      <c r="B21" s="214"/>
      <c r="C21" s="215"/>
      <c r="D21" s="216"/>
      <c r="E21" s="216"/>
      <c r="F21" s="216"/>
      <c r="G21" s="216"/>
      <c r="H21" s="215"/>
      <c r="I21" s="218"/>
      <c r="K21" s="215"/>
      <c r="L21" s="215"/>
      <c r="M21" s="215"/>
      <c r="N21" s="215"/>
      <c r="O21" s="225">
        <f t="shared" si="4"/>
        <v>0</v>
      </c>
      <c r="P21" s="226" t="s">
        <v>113</v>
      </c>
      <c r="Q21" s="180">
        <v>302484.76999999996</v>
      </c>
      <c r="R21" s="180">
        <v>183653.21000000002</v>
      </c>
      <c r="S21" s="180">
        <v>184977.56</v>
      </c>
      <c r="T21" s="180">
        <v>200338.26</v>
      </c>
      <c r="U21" s="180">
        <v>236675.33000000002</v>
      </c>
      <c r="V21" s="180">
        <v>222456.12000000002</v>
      </c>
      <c r="W21" s="180">
        <v>224453.39</v>
      </c>
      <c r="X21" s="228">
        <f>SUM('[1]August CF'!HK43:HK49)+51632.9</f>
        <v>226370.74999999997</v>
      </c>
      <c r="Y21" s="180">
        <v>217826.95610831786</v>
      </c>
      <c r="Z21" s="180">
        <v>241347.89547995327</v>
      </c>
      <c r="AA21" s="180">
        <v>347855.88330468739</v>
      </c>
      <c r="AB21" s="180">
        <v>402869.06605953851</v>
      </c>
      <c r="AC21" s="220">
        <f t="shared" si="11"/>
        <v>2991309.1909524971</v>
      </c>
      <c r="AD21" s="182" t="s">
        <v>114</v>
      </c>
      <c r="AE21" s="183"/>
      <c r="AF21" s="184"/>
      <c r="AG21" s="202"/>
      <c r="AH21" s="185"/>
    </row>
    <row r="22" spans="2:49" ht="42.75" customHeight="1">
      <c r="B22" s="214"/>
      <c r="C22" s="215"/>
      <c r="D22" s="216"/>
      <c r="E22" s="216"/>
      <c r="F22" s="216"/>
      <c r="G22" s="216"/>
      <c r="H22" s="215"/>
      <c r="I22" s="215"/>
      <c r="J22" s="215"/>
      <c r="K22" s="215"/>
      <c r="L22" s="215"/>
      <c r="M22" s="215"/>
      <c r="N22" s="215"/>
      <c r="O22" s="225">
        <f t="shared" si="4"/>
        <v>0</v>
      </c>
      <c r="P22" s="226" t="s">
        <v>115</v>
      </c>
      <c r="Q22" s="180">
        <v>31258.560000000001</v>
      </c>
      <c r="R22" s="180">
        <v>31350.880000000001</v>
      </c>
      <c r="S22" s="180">
        <v>31277.119999999999</v>
      </c>
      <c r="T22" s="180">
        <v>31303.11</v>
      </c>
      <c r="U22" s="180">
        <v>31390.14</v>
      </c>
      <c r="V22" s="180">
        <v>32076.47</v>
      </c>
      <c r="W22" s="180">
        <v>31937.15</v>
      </c>
      <c r="X22" s="180">
        <f>'[1]August CF'!HK50</f>
        <v>31792.91</v>
      </c>
      <c r="Y22" s="180">
        <v>31900</v>
      </c>
      <c r="Z22" s="180">
        <v>31900</v>
      </c>
      <c r="AA22" s="180">
        <v>33264.527999999998</v>
      </c>
      <c r="AB22" s="180">
        <v>33264.527999999998</v>
      </c>
      <c r="AC22" s="220">
        <f t="shared" si="11"/>
        <v>382715.39599999995</v>
      </c>
      <c r="AD22" s="313" t="s">
        <v>116</v>
      </c>
      <c r="AE22" s="314"/>
      <c r="AF22" s="315"/>
      <c r="AG22" s="202"/>
      <c r="AH22" s="185"/>
    </row>
    <row r="23" spans="2:49" ht="42.75" customHeight="1">
      <c r="B23" s="214"/>
      <c r="C23" s="215"/>
      <c r="D23" s="216"/>
      <c r="E23" s="216"/>
      <c r="F23" s="216"/>
      <c r="G23" s="216"/>
      <c r="H23" s="215"/>
      <c r="I23" s="215"/>
      <c r="J23" s="215"/>
      <c r="K23" s="215"/>
      <c r="L23" s="215"/>
      <c r="M23" s="215"/>
      <c r="N23" s="215"/>
      <c r="O23" s="225">
        <f t="shared" si="4"/>
        <v>0</v>
      </c>
      <c r="P23" s="212" t="s">
        <v>117</v>
      </c>
      <c r="Q23" s="180">
        <v>8407.15</v>
      </c>
      <c r="R23" s="180">
        <v>5985.49</v>
      </c>
      <c r="S23" s="180">
        <v>6151.51</v>
      </c>
      <c r="T23" s="180">
        <v>5639.05</v>
      </c>
      <c r="U23" s="180">
        <v>5065.8100000000004</v>
      </c>
      <c r="V23" s="180">
        <v>4746.93</v>
      </c>
      <c r="W23" s="180">
        <v>10382.9</v>
      </c>
      <c r="X23" s="180">
        <f>SUM('[1]August CF'!HK53,'[1]August CF'!HK66)+5075.27</f>
        <v>8128.170000000001</v>
      </c>
      <c r="Y23" s="180">
        <v>6250</v>
      </c>
      <c r="Z23" s="180">
        <v>6250</v>
      </c>
      <c r="AA23" s="180">
        <v>6250</v>
      </c>
      <c r="AB23" s="180">
        <v>6250</v>
      </c>
      <c r="AC23" s="220">
        <f t="shared" si="11"/>
        <v>79507.010000000009</v>
      </c>
      <c r="AD23" s="310" t="s">
        <v>118</v>
      </c>
      <c r="AE23" s="311"/>
      <c r="AF23" s="312"/>
      <c r="AG23" s="151"/>
      <c r="AH23" s="185"/>
    </row>
    <row r="24" spans="2:49" ht="42.75" customHeight="1">
      <c r="B24" s="214"/>
      <c r="C24" s="215"/>
      <c r="D24" s="216"/>
      <c r="E24" s="216"/>
      <c r="F24" s="216"/>
      <c r="G24" s="216"/>
      <c r="H24" s="229"/>
      <c r="I24" s="215"/>
      <c r="J24" s="215"/>
      <c r="K24" s="215"/>
      <c r="L24" s="215"/>
      <c r="M24" s="215"/>
      <c r="N24" s="215"/>
      <c r="O24" s="225"/>
      <c r="P24" s="212" t="s">
        <v>119</v>
      </c>
      <c r="Q24" s="180">
        <v>387034.58999999997</v>
      </c>
      <c r="R24" s="180">
        <v>752467.80999999994</v>
      </c>
      <c r="S24" s="180">
        <v>199379.08000000002</v>
      </c>
      <c r="T24" s="180">
        <v>195558.75999999998</v>
      </c>
      <c r="U24" s="180">
        <v>217668.16</v>
      </c>
      <c r="V24" s="180">
        <v>340967.97</v>
      </c>
      <c r="W24" s="180">
        <v>335575.29999999993</v>
      </c>
      <c r="X24" s="228">
        <f>'[1]August CF'!HK51+12982.2--322.81</f>
        <v>272054.08999999997</v>
      </c>
      <c r="Y24" s="180">
        <v>235849.19379897311</v>
      </c>
      <c r="Z24" s="180">
        <v>350990.37800932431</v>
      </c>
      <c r="AA24" s="180">
        <v>390647.49729248328</v>
      </c>
      <c r="AB24" s="180">
        <v>671058.47216733126</v>
      </c>
      <c r="AC24" s="220">
        <f t="shared" si="11"/>
        <v>4349251.3012681119</v>
      </c>
      <c r="AD24" s="182" t="s">
        <v>120</v>
      </c>
      <c r="AE24" s="183"/>
      <c r="AF24" s="184"/>
      <c r="AG24" s="151"/>
      <c r="AH24" s="185"/>
    </row>
    <row r="25" spans="2:49" ht="42.75" customHeight="1">
      <c r="B25" s="230"/>
      <c r="C25" s="215"/>
      <c r="D25" s="216"/>
      <c r="E25" s="216"/>
      <c r="F25" s="216"/>
      <c r="G25" s="216"/>
      <c r="H25" s="215"/>
      <c r="I25" s="215"/>
      <c r="J25" s="215"/>
      <c r="K25" s="215"/>
      <c r="L25" s="215"/>
      <c r="M25" s="215"/>
      <c r="N25" s="215"/>
      <c r="O25" s="225">
        <f t="shared" ref="O25:O39" si="12">SUM(C25:N25)</f>
        <v>0</v>
      </c>
      <c r="P25" s="212" t="s">
        <v>121</v>
      </c>
      <c r="Q25" s="180">
        <v>71905.59</v>
      </c>
      <c r="R25" s="180">
        <v>281788.5</v>
      </c>
      <c r="S25" s="180">
        <v>268854.76999999996</v>
      </c>
      <c r="T25" s="180">
        <v>30632.97</v>
      </c>
      <c r="U25" s="180">
        <v>151650.89000000001</v>
      </c>
      <c r="V25" s="180">
        <v>74177.240000000005</v>
      </c>
      <c r="W25" s="180">
        <v>48100.24</v>
      </c>
      <c r="X25" s="228">
        <f>'[1]August CF'!HK52</f>
        <v>72787.5</v>
      </c>
      <c r="Y25" s="180">
        <v>19166.666666666672</v>
      </c>
      <c r="Z25" s="180">
        <v>101166.66666666667</v>
      </c>
      <c r="AA25" s="180">
        <v>154166.66666666669</v>
      </c>
      <c r="AB25" s="180">
        <v>72166.666666666672</v>
      </c>
      <c r="AC25" s="220">
        <f t="shared" si="11"/>
        <v>1346564.3666666667</v>
      </c>
      <c r="AD25" s="310" t="s">
        <v>122</v>
      </c>
      <c r="AE25" s="311"/>
      <c r="AF25" s="312"/>
      <c r="AG25" s="151"/>
      <c r="AH25" s="185"/>
    </row>
    <row r="26" spans="2:49" ht="42.75" customHeight="1">
      <c r="B26" s="230"/>
      <c r="C26" s="215"/>
      <c r="D26" s="216"/>
      <c r="E26" s="216"/>
      <c r="F26" s="216"/>
      <c r="G26" s="216"/>
      <c r="H26" s="231"/>
      <c r="I26" s="215"/>
      <c r="J26" s="215"/>
      <c r="K26" s="215"/>
      <c r="L26" s="215"/>
      <c r="M26" s="215"/>
      <c r="N26" s="215"/>
      <c r="O26" s="225">
        <f t="shared" si="12"/>
        <v>0</v>
      </c>
      <c r="P26" s="212" t="s">
        <v>123</v>
      </c>
      <c r="Q26" s="180">
        <v>294389.44999999995</v>
      </c>
      <c r="R26" s="180">
        <v>374107.55</v>
      </c>
      <c r="S26" s="180">
        <v>252481.91999999998</v>
      </c>
      <c r="T26" s="180">
        <v>275533.82</v>
      </c>
      <c r="U26" s="190">
        <v>294028.9599999999</v>
      </c>
      <c r="V26" s="190">
        <v>265318.68</v>
      </c>
      <c r="W26" s="190">
        <v>355536.05</v>
      </c>
      <c r="X26" s="213">
        <f>SUM('[1]August CF'!HK54:HK60)</f>
        <v>252875.03000000003</v>
      </c>
      <c r="Y26" s="190">
        <v>192847.37290538449</v>
      </c>
      <c r="Z26" s="190">
        <v>301219.58404033078</v>
      </c>
      <c r="AA26" s="190">
        <v>375900.49177732854</v>
      </c>
      <c r="AB26" s="190">
        <v>267479.3840744748</v>
      </c>
      <c r="AC26" s="220">
        <f t="shared" si="11"/>
        <v>3501718.292797518</v>
      </c>
      <c r="AD26" s="310" t="s">
        <v>124</v>
      </c>
      <c r="AE26" s="311"/>
      <c r="AF26" s="312"/>
      <c r="AG26" s="151"/>
      <c r="AH26" s="185"/>
    </row>
    <row r="27" spans="2:49" ht="42.75" customHeight="1">
      <c r="B27" s="230"/>
      <c r="C27" s="215"/>
      <c r="D27" s="216"/>
      <c r="E27" s="216"/>
      <c r="F27" s="216"/>
      <c r="G27" s="216"/>
      <c r="H27" s="231"/>
      <c r="I27" s="215"/>
      <c r="J27" s="215"/>
      <c r="K27" s="215"/>
      <c r="L27" s="215"/>
      <c r="M27" s="215"/>
      <c r="N27" s="215"/>
      <c r="O27" s="225">
        <f t="shared" si="12"/>
        <v>0</v>
      </c>
      <c r="P27" s="212" t="s">
        <v>125</v>
      </c>
      <c r="Q27" s="180">
        <v>86383.73</v>
      </c>
      <c r="R27" s="180">
        <v>809715.16999999993</v>
      </c>
      <c r="S27" s="180">
        <v>162915.82</v>
      </c>
      <c r="T27" s="180">
        <v>14971.970000000001</v>
      </c>
      <c r="U27" s="180">
        <v>6212.18</v>
      </c>
      <c r="V27" s="180">
        <v>0</v>
      </c>
      <c r="W27" s="180">
        <v>281634.49</v>
      </c>
      <c r="X27" s="228">
        <f>'[1]August CF'!HK61</f>
        <v>268224.17</v>
      </c>
      <c r="Y27" s="180">
        <v>214825.83</v>
      </c>
      <c r="Z27" s="180"/>
      <c r="AA27" s="180"/>
      <c r="AB27" s="180"/>
      <c r="AC27" s="220">
        <f t="shared" si="11"/>
        <v>1844883.3599999999</v>
      </c>
      <c r="AD27" s="182" t="s">
        <v>126</v>
      </c>
      <c r="AE27" s="183"/>
      <c r="AF27" s="184"/>
      <c r="AG27" s="151"/>
      <c r="AH27" s="185"/>
    </row>
    <row r="28" spans="2:49" ht="42.75" customHeight="1">
      <c r="B28" s="230"/>
      <c r="C28" s="218"/>
      <c r="D28" s="204"/>
      <c r="E28" s="204"/>
      <c r="F28" s="204"/>
      <c r="G28" s="204"/>
      <c r="H28" s="218"/>
      <c r="I28" s="218"/>
      <c r="J28" s="218"/>
      <c r="K28" s="218"/>
      <c r="L28" s="218"/>
      <c r="M28" s="218"/>
      <c r="N28" s="218"/>
      <c r="O28" s="232">
        <f t="shared" si="12"/>
        <v>0</v>
      </c>
      <c r="P28" s="212" t="s">
        <v>127</v>
      </c>
      <c r="Q28" s="180">
        <v>744.98</v>
      </c>
      <c r="R28" s="180">
        <v>23869.75</v>
      </c>
      <c r="S28" s="180">
        <v>316.89999999999998</v>
      </c>
      <c r="T28" s="180">
        <v>5.0000000000011369E-2</v>
      </c>
      <c r="U28" s="190">
        <v>12684.189999999999</v>
      </c>
      <c r="V28" s="190">
        <v>0</v>
      </c>
      <c r="W28" s="190">
        <v>1800</v>
      </c>
      <c r="X28" s="190">
        <f>'[1]August CF'!HK62+1122.99</f>
        <v>1122.99</v>
      </c>
      <c r="Y28" s="190">
        <v>2000</v>
      </c>
      <c r="Z28" s="190">
        <v>37500</v>
      </c>
      <c r="AA28" s="190">
        <v>4500</v>
      </c>
      <c r="AB28" s="190">
        <v>2000</v>
      </c>
      <c r="AC28" s="220">
        <f t="shared" si="11"/>
        <v>86538.859999999986</v>
      </c>
      <c r="AD28" s="310" t="s">
        <v>128</v>
      </c>
      <c r="AE28" s="311"/>
      <c r="AF28" s="312"/>
      <c r="AG28" s="151"/>
      <c r="AH28" s="185"/>
    </row>
    <row r="29" spans="2:49" ht="42.75" customHeight="1">
      <c r="B29" s="230"/>
      <c r="C29" s="218"/>
      <c r="D29" s="204"/>
      <c r="E29" s="204"/>
      <c r="F29" s="204"/>
      <c r="G29" s="204"/>
      <c r="H29" s="218"/>
      <c r="I29" s="218"/>
      <c r="J29" s="218"/>
      <c r="K29" s="218"/>
      <c r="L29" s="218"/>
      <c r="M29" s="218"/>
      <c r="N29" s="218"/>
      <c r="O29" s="232">
        <f t="shared" si="12"/>
        <v>0</v>
      </c>
      <c r="P29" s="233" t="s">
        <v>129</v>
      </c>
      <c r="Q29" s="180">
        <v>69227.149999999994</v>
      </c>
      <c r="R29" s="180">
        <v>47656.389999999992</v>
      </c>
      <c r="S29" s="180">
        <v>55394.42</v>
      </c>
      <c r="T29" s="180">
        <v>57537.99</v>
      </c>
      <c r="U29" s="190">
        <v>47855.770000000004</v>
      </c>
      <c r="V29" s="190">
        <v>62064.95</v>
      </c>
      <c r="W29" s="190">
        <v>45625.919999999998</v>
      </c>
      <c r="X29" s="213">
        <f>SUM('[1]August CF'!HK63:HK64)</f>
        <v>43806.209999999992</v>
      </c>
      <c r="Y29" s="190">
        <f>I12*0.055</f>
        <v>68176.686600000001</v>
      </c>
      <c r="Z29" s="190">
        <f t="shared" ref="Z29:AA29" si="13">J12*0.055</f>
        <v>48186.15395</v>
      </c>
      <c r="AA29" s="190">
        <f t="shared" si="13"/>
        <v>121946.79857132999</v>
      </c>
      <c r="AB29" s="190">
        <v>173000</v>
      </c>
      <c r="AC29" s="220">
        <f t="shared" si="11"/>
        <v>840478.43912132992</v>
      </c>
      <c r="AD29" s="310" t="s">
        <v>130</v>
      </c>
      <c r="AE29" s="311"/>
      <c r="AF29" s="312"/>
      <c r="AG29" s="151"/>
      <c r="AH29" s="185"/>
    </row>
    <row r="30" spans="2:49" ht="42.75" hidden="1" customHeight="1">
      <c r="B30" s="170"/>
      <c r="C30" s="218"/>
      <c r="D30" s="204"/>
      <c r="E30" s="204"/>
      <c r="F30" s="204"/>
      <c r="G30" s="204"/>
      <c r="H30" s="218"/>
      <c r="I30" s="218"/>
      <c r="J30" s="218"/>
      <c r="K30" s="218"/>
      <c r="L30" s="218"/>
      <c r="M30" s="218"/>
      <c r="N30" s="218"/>
      <c r="O30" s="232">
        <f t="shared" si="12"/>
        <v>0</v>
      </c>
      <c r="P30" s="233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220">
        <f t="shared" si="11"/>
        <v>0</v>
      </c>
      <c r="AD30" s="310"/>
      <c r="AE30" s="311"/>
      <c r="AF30" s="312"/>
      <c r="AG30" s="151"/>
      <c r="AH30" s="234"/>
    </row>
    <row r="31" spans="2:49" ht="42.75" hidden="1" customHeight="1">
      <c r="B31" s="170"/>
      <c r="C31" s="218"/>
      <c r="D31" s="204"/>
      <c r="E31" s="204"/>
      <c r="F31" s="204"/>
      <c r="G31" s="204"/>
      <c r="H31" s="218"/>
      <c r="I31" s="218"/>
      <c r="J31" s="218"/>
      <c r="K31" s="218"/>
      <c r="L31" s="218"/>
      <c r="M31" s="218"/>
      <c r="N31" s="218"/>
      <c r="O31" s="232">
        <f t="shared" si="12"/>
        <v>0</v>
      </c>
      <c r="P31" s="233"/>
      <c r="Q31" s="235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220">
        <f t="shared" si="11"/>
        <v>0</v>
      </c>
      <c r="AD31" s="310"/>
      <c r="AE31" s="311"/>
      <c r="AF31" s="312"/>
      <c r="AG31" s="151"/>
      <c r="AH31" s="234"/>
    </row>
    <row r="32" spans="2:49" ht="42.75" hidden="1" customHeight="1">
      <c r="B32" s="170"/>
      <c r="C32" s="218"/>
      <c r="D32" s="204"/>
      <c r="E32" s="204"/>
      <c r="F32" s="204"/>
      <c r="G32" s="204"/>
      <c r="H32" s="218"/>
      <c r="I32" s="218"/>
      <c r="J32" s="218"/>
      <c r="K32" s="218"/>
      <c r="L32" s="218"/>
      <c r="M32" s="218"/>
      <c r="N32" s="218"/>
      <c r="O32" s="232">
        <f t="shared" si="12"/>
        <v>0</v>
      </c>
      <c r="V32" s="236"/>
      <c r="W32" s="180"/>
      <c r="X32" s="180"/>
      <c r="Y32" s="180"/>
      <c r="Z32" s="180"/>
      <c r="AA32" s="180"/>
      <c r="AB32" s="180"/>
      <c r="AC32" s="220">
        <f t="shared" si="11"/>
        <v>0</v>
      </c>
      <c r="AD32" s="310"/>
      <c r="AE32" s="311"/>
      <c r="AF32" s="312"/>
      <c r="AG32" s="151"/>
      <c r="AH32" s="234"/>
    </row>
    <row r="33" spans="2:34" ht="42.75" customHeight="1">
      <c r="B33" s="237"/>
      <c r="C33" s="218"/>
      <c r="D33" s="204"/>
      <c r="E33" s="204"/>
      <c r="F33" s="204"/>
      <c r="G33" s="204"/>
      <c r="H33" s="218"/>
      <c r="I33" s="218"/>
      <c r="J33" s="218"/>
      <c r="K33" s="218"/>
      <c r="L33" s="218"/>
      <c r="M33" s="218"/>
      <c r="N33" s="218"/>
      <c r="O33" s="232">
        <f t="shared" si="12"/>
        <v>0</v>
      </c>
      <c r="P33" s="238" t="s">
        <v>131</v>
      </c>
      <c r="Q33" s="239">
        <f t="shared" ref="Q33:AB33" si="14">SUM(Q34:Q38)</f>
        <v>1201954.57</v>
      </c>
      <c r="R33" s="239">
        <f>SUM(R34:R38)</f>
        <v>18167868.489999998</v>
      </c>
      <c r="S33" s="239">
        <f t="shared" si="14"/>
        <v>0</v>
      </c>
      <c r="T33" s="239">
        <f t="shared" si="14"/>
        <v>0</v>
      </c>
      <c r="U33" s="239">
        <f t="shared" si="14"/>
        <v>0</v>
      </c>
      <c r="V33" s="239">
        <f t="shared" si="14"/>
        <v>0</v>
      </c>
      <c r="W33" s="239">
        <f t="shared" si="14"/>
        <v>0</v>
      </c>
      <c r="X33" s="239">
        <f t="shared" si="14"/>
        <v>0</v>
      </c>
      <c r="Y33" s="239">
        <f t="shared" si="14"/>
        <v>0</v>
      </c>
      <c r="Z33" s="239">
        <f t="shared" si="14"/>
        <v>0</v>
      </c>
      <c r="AA33" s="239">
        <f t="shared" si="14"/>
        <v>0</v>
      </c>
      <c r="AB33" s="239">
        <f t="shared" si="14"/>
        <v>7000000</v>
      </c>
      <c r="AC33" s="239">
        <f t="shared" si="11"/>
        <v>26369823.059999999</v>
      </c>
      <c r="AD33" s="221"/>
      <c r="AE33" s="222"/>
      <c r="AF33" s="240"/>
      <c r="AG33" s="151"/>
      <c r="AH33" s="185"/>
    </row>
    <row r="34" spans="2:34" ht="42.75" customHeight="1">
      <c r="B34" s="237"/>
      <c r="C34" s="218"/>
      <c r="D34" s="204"/>
      <c r="E34" s="204"/>
      <c r="F34" s="204"/>
      <c r="G34" s="204"/>
      <c r="H34" s="218"/>
      <c r="I34" s="218"/>
      <c r="J34" s="218"/>
      <c r="K34" s="218"/>
      <c r="L34" s="218"/>
      <c r="M34" s="218"/>
      <c r="N34" s="218"/>
      <c r="O34" s="232">
        <f t="shared" si="12"/>
        <v>0</v>
      </c>
      <c r="P34" s="241" t="s">
        <v>132</v>
      </c>
      <c r="Q34" s="173"/>
      <c r="R34" s="173"/>
      <c r="S34" s="174"/>
      <c r="T34" s="173"/>
      <c r="U34" s="174"/>
      <c r="V34" s="173"/>
      <c r="W34" s="173"/>
      <c r="X34" s="173"/>
      <c r="Y34" s="173"/>
      <c r="Z34" s="173"/>
      <c r="AA34" s="173"/>
      <c r="AB34" s="173"/>
      <c r="AC34" s="173">
        <f t="shared" si="11"/>
        <v>0</v>
      </c>
      <c r="AD34" s="310"/>
      <c r="AE34" s="311"/>
      <c r="AF34" s="312"/>
      <c r="AG34" s="151"/>
      <c r="AH34" s="185"/>
    </row>
    <row r="35" spans="2:34" ht="42.75" customHeight="1">
      <c r="B35" s="237"/>
      <c r="C35" s="218"/>
      <c r="D35" s="204"/>
      <c r="E35" s="204"/>
      <c r="F35" s="204"/>
      <c r="G35" s="204"/>
      <c r="H35" s="218"/>
      <c r="I35" s="218"/>
      <c r="J35" s="218"/>
      <c r="K35" s="218"/>
      <c r="L35" s="218"/>
      <c r="M35" s="218"/>
      <c r="N35" s="218"/>
      <c r="O35" s="232">
        <f t="shared" si="12"/>
        <v>0</v>
      </c>
      <c r="P35" s="241" t="s">
        <v>133</v>
      </c>
      <c r="Q35" s="173"/>
      <c r="R35" s="173">
        <v>18000000</v>
      </c>
      <c r="S35" s="181"/>
      <c r="T35" s="180"/>
      <c r="U35" s="174"/>
      <c r="V35" s="173"/>
      <c r="W35" s="173"/>
      <c r="X35" s="173"/>
      <c r="Y35" s="173"/>
      <c r="Z35" s="173"/>
      <c r="AA35" s="173"/>
      <c r="AB35" s="242">
        <v>7000000</v>
      </c>
      <c r="AC35" s="173">
        <f t="shared" si="11"/>
        <v>25000000</v>
      </c>
      <c r="AD35" s="310"/>
      <c r="AE35" s="311"/>
      <c r="AF35" s="312"/>
      <c r="AG35" s="151"/>
      <c r="AH35" s="185"/>
    </row>
    <row r="36" spans="2:34" ht="38.25" customHeight="1">
      <c r="B36" s="237"/>
      <c r="C36" s="218"/>
      <c r="D36" s="204"/>
      <c r="E36" s="204"/>
      <c r="F36" s="204"/>
      <c r="G36" s="204"/>
      <c r="H36" s="218"/>
      <c r="I36" s="243"/>
      <c r="J36" s="218"/>
      <c r="K36" s="218"/>
      <c r="L36" s="218"/>
      <c r="M36" s="218"/>
      <c r="N36" s="218"/>
      <c r="O36" s="232">
        <f t="shared" si="12"/>
        <v>0</v>
      </c>
      <c r="P36" s="241" t="s">
        <v>134</v>
      </c>
      <c r="Q36" s="180">
        <v>1201954.57</v>
      </c>
      <c r="R36" s="180"/>
      <c r="S36" s="181"/>
      <c r="T36" s="180"/>
      <c r="U36" s="181"/>
      <c r="V36" s="180">
        <v>0</v>
      </c>
      <c r="W36" s="180"/>
      <c r="X36" s="180"/>
      <c r="Y36" s="180"/>
      <c r="Z36" s="180">
        <v>0</v>
      </c>
      <c r="AA36" s="180">
        <v>0</v>
      </c>
      <c r="AB36" s="180">
        <v>0</v>
      </c>
      <c r="AC36" s="220">
        <f t="shared" si="11"/>
        <v>1201954.57</v>
      </c>
      <c r="AD36" s="182"/>
      <c r="AE36" s="244"/>
      <c r="AF36" s="245"/>
      <c r="AG36" s="151"/>
      <c r="AH36" s="185"/>
    </row>
    <row r="37" spans="2:34" ht="42.75" customHeight="1">
      <c r="B37" s="237"/>
      <c r="C37" s="218"/>
      <c r="D37" s="204"/>
      <c r="E37" s="204"/>
      <c r="F37" s="204"/>
      <c r="G37" s="204"/>
      <c r="H37" s="218"/>
      <c r="I37" s="218"/>
      <c r="J37" s="218"/>
      <c r="K37" s="218"/>
      <c r="L37" s="218"/>
      <c r="M37" s="218"/>
      <c r="N37" s="218"/>
      <c r="O37" s="232">
        <f t="shared" si="12"/>
        <v>0</v>
      </c>
      <c r="P37" s="241" t="s">
        <v>135</v>
      </c>
      <c r="Q37" s="180"/>
      <c r="R37" s="180">
        <v>167868.49</v>
      </c>
      <c r="S37" s="181"/>
      <c r="T37" s="180"/>
      <c r="U37" s="181"/>
      <c r="V37" s="180"/>
      <c r="W37" s="180"/>
      <c r="X37" s="180"/>
      <c r="Y37" s="180"/>
      <c r="Z37" s="180"/>
      <c r="AA37" s="180"/>
      <c r="AB37" s="180"/>
      <c r="AC37" s="180">
        <f t="shared" si="11"/>
        <v>167868.49</v>
      </c>
      <c r="AD37" s="182"/>
      <c r="AE37" s="183"/>
      <c r="AF37" s="184"/>
      <c r="AG37" s="151"/>
      <c r="AH37" s="185"/>
    </row>
    <row r="38" spans="2:34" ht="42.75" customHeight="1" thickBot="1">
      <c r="B38" s="237"/>
      <c r="C38" s="218"/>
      <c r="D38" s="204"/>
      <c r="E38" s="204"/>
      <c r="F38" s="204"/>
      <c r="G38" s="204"/>
      <c r="H38" s="218"/>
      <c r="I38" s="218"/>
      <c r="J38" s="218"/>
      <c r="K38" s="218"/>
      <c r="L38" s="218"/>
      <c r="M38" s="218"/>
      <c r="N38" s="218"/>
      <c r="O38" s="218">
        <f t="shared" si="12"/>
        <v>0</v>
      </c>
      <c r="Q38" s="180"/>
      <c r="R38" s="180"/>
      <c r="S38" s="181"/>
      <c r="T38" s="180"/>
      <c r="U38" s="181"/>
      <c r="V38" s="246"/>
      <c r="W38" s="180"/>
      <c r="X38" s="180"/>
      <c r="Y38" s="180"/>
      <c r="Z38" s="180"/>
      <c r="AA38" s="180"/>
      <c r="AB38" s="180"/>
      <c r="AC38" s="180">
        <f>SUM(Q38:AB38)</f>
        <v>0</v>
      </c>
      <c r="AD38" s="182"/>
      <c r="AE38" s="244"/>
      <c r="AF38" s="245"/>
      <c r="AG38" s="151"/>
      <c r="AH38" s="185"/>
    </row>
    <row r="39" spans="2:34" s="198" customFormat="1" ht="42.75" customHeight="1" thickBot="1">
      <c r="B39" s="247" t="s">
        <v>136</v>
      </c>
      <c r="C39" s="248">
        <f t="shared" ref="C39:N39" si="15">+C6+C16</f>
        <v>1833686.5100000002</v>
      </c>
      <c r="D39" s="248">
        <f t="shared" si="15"/>
        <v>19315111.630000003</v>
      </c>
      <c r="E39" s="248">
        <f t="shared" si="15"/>
        <v>1431830.3400000003</v>
      </c>
      <c r="F39" s="248">
        <f t="shared" si="15"/>
        <v>1426209.21</v>
      </c>
      <c r="G39" s="248">
        <f t="shared" si="15"/>
        <v>1768590.6399999997</v>
      </c>
      <c r="H39" s="248">
        <f t="shared" si="15"/>
        <v>1582074.7799999998</v>
      </c>
      <c r="I39" s="248">
        <f t="shared" si="15"/>
        <v>1367040.0599999998</v>
      </c>
      <c r="J39" s="248">
        <f t="shared" si="15"/>
        <v>944028.97</v>
      </c>
      <c r="K39" s="248">
        <f t="shared" si="15"/>
        <v>2935872.0194787271</v>
      </c>
      <c r="L39" s="248">
        <f t="shared" si="15"/>
        <v>2201181.9068811666</v>
      </c>
      <c r="M39" s="248">
        <f t="shared" si="15"/>
        <v>3357322.9261796824</v>
      </c>
      <c r="N39" s="248">
        <f t="shared" si="15"/>
        <v>7498364.4005366247</v>
      </c>
      <c r="O39" s="248">
        <f t="shared" si="12"/>
        <v>45661313.393076211</v>
      </c>
      <c r="P39" s="249" t="s">
        <v>137</v>
      </c>
      <c r="Q39" s="250">
        <f t="shared" ref="Q39:AB39" si="16">+Q16+Q6+Q12</f>
        <v>4522223.63</v>
      </c>
      <c r="R39" s="250">
        <f t="shared" si="16"/>
        <v>21627625.300000001</v>
      </c>
      <c r="S39" s="250">
        <f t="shared" si="16"/>
        <v>1535944.13</v>
      </c>
      <c r="T39" s="250">
        <f t="shared" si="16"/>
        <v>1432567.34</v>
      </c>
      <c r="U39" s="250">
        <f t="shared" si="16"/>
        <v>1457298.7899999998</v>
      </c>
      <c r="V39" s="251">
        <f t="shared" si="16"/>
        <v>1911730.6199999999</v>
      </c>
      <c r="W39" s="251">
        <f t="shared" si="16"/>
        <v>2207741.17</v>
      </c>
      <c r="X39" s="251">
        <f t="shared" si="16"/>
        <v>1725679.8</v>
      </c>
      <c r="Y39" s="251">
        <f>+Y16+Y6+Y12</f>
        <v>1743977.7812876753</v>
      </c>
      <c r="Z39" s="251">
        <f t="shared" si="16"/>
        <v>1460495.7533546083</v>
      </c>
      <c r="AA39" s="251">
        <f t="shared" si="16"/>
        <v>1775966.9408208295</v>
      </c>
      <c r="AB39" s="251">
        <f t="shared" si="16"/>
        <v>8977023.1921763457</v>
      </c>
      <c r="AC39" s="248">
        <f>+SUM(Q39:AB39)</f>
        <v>50378274.44763945</v>
      </c>
      <c r="AD39" s="252"/>
      <c r="AE39" s="253"/>
      <c r="AF39" s="254"/>
      <c r="AG39" s="202"/>
    </row>
    <row r="40" spans="2:34" ht="42.75" customHeight="1">
      <c r="B40" s="255"/>
      <c r="C40" s="176"/>
      <c r="D40" s="256"/>
      <c r="E40" s="256"/>
      <c r="F40" s="256"/>
      <c r="G40" s="256"/>
      <c r="H40" s="176"/>
      <c r="I40" s="176"/>
      <c r="J40" s="176"/>
      <c r="K40" s="176"/>
      <c r="L40" s="176"/>
      <c r="M40" s="176"/>
      <c r="N40" s="176"/>
      <c r="O40" s="176">
        <f>+C40</f>
        <v>0</v>
      </c>
      <c r="P40" s="257" t="s">
        <v>138</v>
      </c>
      <c r="Q40" s="256">
        <f t="shared" ref="Q40:AB40" si="17">C6-Q6-Q17</f>
        <v>-1486582.5499999996</v>
      </c>
      <c r="R40" s="256">
        <f t="shared" si="17"/>
        <v>-2417972.1399999997</v>
      </c>
      <c r="S40" s="256">
        <f t="shared" si="17"/>
        <v>-104113.78999999957</v>
      </c>
      <c r="T40" s="256">
        <f t="shared" si="17"/>
        <v>-6358.1300000001211</v>
      </c>
      <c r="U40" s="256">
        <f t="shared" si="17"/>
        <v>311291.84999999986</v>
      </c>
      <c r="V40" s="176">
        <f t="shared" si="17"/>
        <v>-329655.84000000008</v>
      </c>
      <c r="W40" s="176">
        <f t="shared" si="17"/>
        <v>-840701.1100000001</v>
      </c>
      <c r="X40" s="176">
        <f t="shared" si="17"/>
        <v>-781650.83000000007</v>
      </c>
      <c r="Y40" s="176">
        <f t="shared" si="17"/>
        <v>657869.23819105187</v>
      </c>
      <c r="Z40" s="176">
        <f t="shared" si="17"/>
        <v>740686.15352655831</v>
      </c>
      <c r="AA40" s="176">
        <f t="shared" si="17"/>
        <v>1581355.9853588529</v>
      </c>
      <c r="AB40" s="176">
        <f t="shared" si="17"/>
        <v>1521341.2083602794</v>
      </c>
      <c r="AC40" s="176">
        <f>+O6-AC6-AC17</f>
        <v>-1154489.9545632601</v>
      </c>
      <c r="AD40" s="258"/>
      <c r="AE40" s="258"/>
      <c r="AF40" s="259"/>
      <c r="AG40" s="151"/>
      <c r="AH40" s="185"/>
    </row>
    <row r="41" spans="2:34" ht="42.75" customHeight="1" thickBot="1">
      <c r="B41" s="255"/>
      <c r="C41" s="176"/>
      <c r="D41" s="256"/>
      <c r="E41" s="256"/>
      <c r="F41" s="256"/>
      <c r="G41" s="256"/>
      <c r="H41" s="176"/>
      <c r="I41" s="176"/>
      <c r="J41" s="176"/>
      <c r="K41" s="176"/>
      <c r="L41" s="176"/>
      <c r="M41" s="176"/>
      <c r="N41" s="176"/>
      <c r="O41" s="176"/>
      <c r="P41" s="260" t="s">
        <v>139</v>
      </c>
      <c r="Q41" s="256">
        <f t="shared" ref="Q41:AB41" si="18">C39-Q39</f>
        <v>-2688537.1199999996</v>
      </c>
      <c r="R41" s="256">
        <f t="shared" si="18"/>
        <v>-2312513.6699999981</v>
      </c>
      <c r="S41" s="256">
        <f t="shared" si="18"/>
        <v>-104113.78999999957</v>
      </c>
      <c r="T41" s="256">
        <f t="shared" si="18"/>
        <v>-6358.1300000001211</v>
      </c>
      <c r="U41" s="256">
        <f t="shared" si="18"/>
        <v>311291.84999999986</v>
      </c>
      <c r="V41" s="176">
        <f t="shared" si="18"/>
        <v>-329655.84000000008</v>
      </c>
      <c r="W41" s="176">
        <f t="shared" si="18"/>
        <v>-840701.1100000001</v>
      </c>
      <c r="X41" s="176">
        <f t="shared" si="18"/>
        <v>-781650.83000000007</v>
      </c>
      <c r="Y41" s="176">
        <f t="shared" si="18"/>
        <v>1191894.2381910519</v>
      </c>
      <c r="Z41" s="176">
        <f t="shared" si="18"/>
        <v>740686.15352655831</v>
      </c>
      <c r="AA41" s="176">
        <f t="shared" si="18"/>
        <v>1581355.9853588529</v>
      </c>
      <c r="AB41" s="176">
        <f t="shared" si="18"/>
        <v>-1478658.791639721</v>
      </c>
      <c r="AC41" s="176">
        <f>+O39-AC39</f>
        <v>-4716961.0545632392</v>
      </c>
      <c r="AD41" s="261"/>
      <c r="AE41" s="262"/>
      <c r="AF41" s="263"/>
      <c r="AG41" s="151"/>
      <c r="AH41" s="185"/>
    </row>
    <row r="42" spans="2:34" ht="42.75" hidden="1" customHeight="1" thickBot="1">
      <c r="B42" s="255"/>
      <c r="C42" s="176"/>
      <c r="D42" s="256"/>
      <c r="E42" s="256"/>
      <c r="F42" s="256"/>
      <c r="G42" s="256"/>
      <c r="H42" s="176"/>
      <c r="I42" s="176"/>
      <c r="J42" s="176"/>
      <c r="K42" s="176"/>
      <c r="L42" s="176"/>
      <c r="M42" s="176"/>
      <c r="N42" s="176"/>
      <c r="O42" s="176"/>
      <c r="P42" s="264" t="s">
        <v>140</v>
      </c>
      <c r="Q42" s="207"/>
      <c r="R42" s="207"/>
      <c r="S42" s="207"/>
      <c r="T42" s="207"/>
      <c r="U42" s="207"/>
      <c r="V42" s="171"/>
      <c r="W42" s="171"/>
      <c r="X42" s="171"/>
      <c r="Y42" s="171"/>
      <c r="Z42" s="171"/>
      <c r="AA42" s="171"/>
      <c r="AB42" s="171"/>
      <c r="AC42" s="171">
        <f>+SUM(Q42:AB42)</f>
        <v>0</v>
      </c>
      <c r="AD42" s="261"/>
      <c r="AE42" s="262"/>
      <c r="AF42" s="263"/>
      <c r="AG42" s="151"/>
      <c r="AH42" s="185"/>
    </row>
    <row r="43" spans="2:34" s="198" customFormat="1" ht="42.75" customHeight="1" thickBot="1">
      <c r="B43" s="247" t="s">
        <v>141</v>
      </c>
      <c r="C43" s="265">
        <f>7562701.54</f>
        <v>7562701.54</v>
      </c>
      <c r="D43" s="248">
        <f t="shared" ref="D43:N43" si="19">+Q43</f>
        <v>4874164.42</v>
      </c>
      <c r="E43" s="248">
        <f t="shared" si="19"/>
        <v>2561650.7500000019</v>
      </c>
      <c r="F43" s="248">
        <f t="shared" si="19"/>
        <v>2457536.9600000023</v>
      </c>
      <c r="G43" s="248">
        <f t="shared" si="19"/>
        <v>2451178.8300000019</v>
      </c>
      <c r="H43" s="248">
        <f t="shared" si="19"/>
        <v>2762470.6800000016</v>
      </c>
      <c r="I43" s="248">
        <f t="shared" si="19"/>
        <v>2432814.8400000017</v>
      </c>
      <c r="J43" s="248">
        <f t="shared" si="19"/>
        <v>1592113.7300000016</v>
      </c>
      <c r="K43" s="248">
        <f t="shared" si="19"/>
        <v>810462.90000000154</v>
      </c>
      <c r="L43" s="248">
        <f t="shared" si="19"/>
        <v>2002357.1381910534</v>
      </c>
      <c r="M43" s="248">
        <f t="shared" si="19"/>
        <v>2743043.2917176117</v>
      </c>
      <c r="N43" s="248">
        <f t="shared" si="19"/>
        <v>4324399.2770764641</v>
      </c>
      <c r="O43" s="248">
        <f>C43</f>
        <v>7562701.54</v>
      </c>
      <c r="P43" s="266" t="s">
        <v>142</v>
      </c>
      <c r="Q43" s="248">
        <f>C43+Q41+Q42</f>
        <v>4874164.42</v>
      </c>
      <c r="R43" s="248">
        <f>Q43+R41+R42</f>
        <v>2561650.7500000019</v>
      </c>
      <c r="S43" s="248">
        <f t="shared" ref="S43:AB43" si="20">R43+S41+S42</f>
        <v>2457536.9600000023</v>
      </c>
      <c r="T43" s="248">
        <f t="shared" si="20"/>
        <v>2451178.8300000019</v>
      </c>
      <c r="U43" s="248">
        <f t="shared" si="20"/>
        <v>2762470.6800000016</v>
      </c>
      <c r="V43" s="248">
        <f t="shared" si="20"/>
        <v>2432814.8400000017</v>
      </c>
      <c r="W43" s="248">
        <f t="shared" si="20"/>
        <v>1592113.7300000016</v>
      </c>
      <c r="X43" s="248">
        <f t="shared" si="20"/>
        <v>810462.90000000154</v>
      </c>
      <c r="Y43" s="267">
        <f t="shared" si="20"/>
        <v>2002357.1381910534</v>
      </c>
      <c r="Z43" s="267">
        <f t="shared" si="20"/>
        <v>2743043.2917176117</v>
      </c>
      <c r="AA43" s="267">
        <f t="shared" si="20"/>
        <v>4324399.2770764641</v>
      </c>
      <c r="AB43" s="267">
        <f t="shared" si="20"/>
        <v>2845740.4854367431</v>
      </c>
      <c r="AC43" s="248">
        <f>+O43+AC41</f>
        <v>2845740.4854367608</v>
      </c>
      <c r="AD43" s="268"/>
      <c r="AE43" s="269"/>
      <c r="AF43" s="270"/>
      <c r="AG43" s="202"/>
    </row>
    <row r="44" spans="2:34" s="274" customFormat="1" ht="18.75">
      <c r="B44" s="271"/>
      <c r="C44" s="272"/>
      <c r="D44" s="273"/>
      <c r="F44" s="275"/>
      <c r="I44" s="276"/>
      <c r="J44" s="275"/>
      <c r="K44" s="277"/>
      <c r="L44" s="276"/>
      <c r="M44" s="277"/>
      <c r="N44" s="278"/>
      <c r="O44" s="278"/>
      <c r="P44" s="278"/>
      <c r="Q44" s="279"/>
      <c r="R44" s="280"/>
      <c r="S44" s="280"/>
      <c r="T44" s="281"/>
      <c r="U44" s="282"/>
      <c r="W44" s="283"/>
      <c r="X44" s="283"/>
      <c r="Y44" s="283"/>
      <c r="Z44" s="283"/>
      <c r="AA44" s="283"/>
      <c r="AB44" s="283"/>
      <c r="AC44" s="284"/>
      <c r="AD44" s="285"/>
      <c r="AE44" s="273"/>
      <c r="AF44" s="286"/>
      <c r="AG44" s="273"/>
      <c r="AH44" s="273"/>
    </row>
    <row r="45" spans="2:34" s="280" customFormat="1" ht="20.25" customHeight="1">
      <c r="B45" s="271"/>
      <c r="C45" s="271"/>
      <c r="D45" s="287"/>
      <c r="E45" s="278"/>
      <c r="F45" s="278"/>
      <c r="G45" s="278"/>
      <c r="H45" s="278"/>
      <c r="I45" s="278"/>
      <c r="J45" s="278"/>
      <c r="K45" s="278"/>
      <c r="L45" s="288"/>
      <c r="M45" s="278"/>
      <c r="Q45" s="289"/>
      <c r="R45" s="289"/>
      <c r="S45" s="289"/>
      <c r="T45" s="289"/>
      <c r="U45" s="290"/>
      <c r="V45" s="283"/>
      <c r="W45" s="291"/>
      <c r="X45" s="290"/>
      <c r="Y45" s="290"/>
      <c r="Z45" s="290"/>
      <c r="AA45" s="290"/>
      <c r="AB45" s="290"/>
      <c r="AC45" s="289"/>
      <c r="AD45" s="285"/>
      <c r="AE45" s="273"/>
      <c r="AF45" s="278"/>
      <c r="AG45" s="278"/>
      <c r="AH45" s="278"/>
    </row>
    <row r="46" spans="2:34" ht="24">
      <c r="D46" s="292"/>
      <c r="Q46" s="293"/>
      <c r="R46" s="293"/>
      <c r="S46" s="293"/>
      <c r="T46" s="293"/>
      <c r="U46" s="293"/>
      <c r="V46" s="294"/>
      <c r="W46" s="294"/>
      <c r="X46" s="295"/>
      <c r="Y46" s="295"/>
      <c r="Z46" s="295"/>
      <c r="AA46" s="295"/>
      <c r="AB46" s="295"/>
      <c r="AC46" s="296"/>
    </row>
    <row r="47" spans="2:34" ht="24">
      <c r="D47" s="292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8"/>
      <c r="S47" s="297"/>
      <c r="T47" s="297"/>
      <c r="U47" s="297"/>
      <c r="V47" s="295"/>
      <c r="W47" s="295"/>
      <c r="X47" s="295"/>
      <c r="Y47" s="295"/>
      <c r="Z47" s="295"/>
      <c r="AA47" s="295"/>
      <c r="AB47" s="295"/>
      <c r="AC47" s="295"/>
    </row>
    <row r="48" spans="2:34" ht="24">
      <c r="W48" s="299"/>
      <c r="X48" s="295"/>
      <c r="Y48" s="295"/>
      <c r="Z48" s="295"/>
      <c r="AA48" s="295"/>
      <c r="AB48" s="295"/>
      <c r="AC48" s="300"/>
    </row>
    <row r="49" spans="14:28" ht="24">
      <c r="X49" s="295"/>
      <c r="Y49" s="295"/>
      <c r="Z49" s="295"/>
      <c r="AA49" s="295"/>
      <c r="AB49" s="295"/>
    </row>
    <row r="50" spans="14:28" ht="24">
      <c r="N50" s="301"/>
      <c r="X50" s="295"/>
      <c r="Y50" s="295"/>
      <c r="Z50" s="295"/>
      <c r="AA50" s="295"/>
      <c r="AB50" s="295"/>
    </row>
    <row r="51" spans="14:28" ht="24">
      <c r="X51" s="295"/>
      <c r="Y51" s="295"/>
      <c r="Z51" s="295"/>
      <c r="AA51" s="295"/>
      <c r="AB51" s="295"/>
    </row>
    <row r="52" spans="14:28" ht="24">
      <c r="X52" s="295"/>
      <c r="Y52" s="295"/>
      <c r="Z52" s="295"/>
      <c r="AA52" s="295"/>
      <c r="AB52" s="295"/>
    </row>
    <row r="53" spans="14:28" ht="24">
      <c r="X53" s="295"/>
      <c r="Y53" s="295"/>
      <c r="Z53" s="295"/>
      <c r="AA53" s="295"/>
      <c r="AB53" s="295"/>
    </row>
    <row r="54" spans="14:28" ht="24">
      <c r="X54" s="295"/>
      <c r="Y54" s="295"/>
      <c r="Z54" s="295"/>
      <c r="AA54" s="295"/>
      <c r="AB54" s="295"/>
    </row>
    <row r="55" spans="14:28" ht="24">
      <c r="X55" s="295"/>
      <c r="Y55" s="295"/>
      <c r="Z55" s="295"/>
      <c r="AA55" s="295"/>
      <c r="AB55" s="295"/>
    </row>
    <row r="56" spans="14:28" ht="24">
      <c r="X56" s="295"/>
      <c r="Y56" s="295"/>
      <c r="Z56" s="295"/>
      <c r="AA56" s="295"/>
      <c r="AB56" s="295"/>
    </row>
    <row r="57" spans="14:28" ht="24">
      <c r="X57" s="295"/>
      <c r="Y57" s="295"/>
      <c r="Z57" s="295"/>
      <c r="AA57" s="295"/>
      <c r="AB57" s="295"/>
    </row>
    <row r="58" spans="14:28" ht="24">
      <c r="X58" s="295"/>
      <c r="Y58" s="295"/>
      <c r="Z58" s="295"/>
      <c r="AA58" s="295"/>
      <c r="AB58" s="295"/>
    </row>
    <row r="59" spans="14:28" ht="24">
      <c r="X59" s="295"/>
      <c r="Y59" s="295"/>
      <c r="Z59" s="295"/>
      <c r="AA59" s="295"/>
      <c r="AB59" s="295"/>
    </row>
    <row r="60" spans="14:28" ht="24">
      <c r="X60" s="295"/>
      <c r="Y60" s="295"/>
      <c r="Z60" s="295"/>
      <c r="AA60" s="295"/>
      <c r="AB60" s="295"/>
    </row>
    <row r="61" spans="14:28" ht="24">
      <c r="X61" s="295"/>
      <c r="Y61" s="295"/>
      <c r="Z61" s="295"/>
      <c r="AA61" s="295"/>
      <c r="AB61" s="295"/>
    </row>
    <row r="62" spans="14:28" ht="24">
      <c r="X62" s="295"/>
      <c r="Y62" s="295"/>
      <c r="Z62" s="295"/>
      <c r="AA62" s="295"/>
      <c r="AB62" s="295"/>
    </row>
    <row r="63" spans="14:28" ht="24">
      <c r="X63" s="295"/>
      <c r="Y63" s="295"/>
      <c r="Z63" s="295"/>
      <c r="AA63" s="295"/>
      <c r="AB63" s="295"/>
    </row>
    <row r="64" spans="14:28" ht="24">
      <c r="X64" s="295"/>
      <c r="Y64" s="295"/>
      <c r="Z64" s="295"/>
      <c r="AA64" s="295"/>
      <c r="AB64" s="295"/>
    </row>
    <row r="65" spans="24:28" ht="24">
      <c r="X65" s="295"/>
      <c r="Y65" s="295"/>
      <c r="Z65" s="295"/>
      <c r="AA65" s="295"/>
      <c r="AB65" s="295"/>
    </row>
    <row r="66" spans="24:28" ht="24">
      <c r="X66" s="295"/>
      <c r="Y66" s="295"/>
      <c r="Z66" s="295"/>
      <c r="AA66" s="295"/>
      <c r="AB66" s="295"/>
    </row>
    <row r="67" spans="24:28" ht="24">
      <c r="X67" s="295"/>
      <c r="Y67" s="295"/>
      <c r="Z67" s="295"/>
      <c r="AA67" s="295"/>
      <c r="AB67" s="295"/>
    </row>
    <row r="68" spans="24:28" ht="24">
      <c r="X68" s="295"/>
      <c r="Y68" s="295"/>
      <c r="Z68" s="295"/>
      <c r="AA68" s="295"/>
      <c r="AB68" s="295"/>
    </row>
    <row r="69" spans="24:28" ht="24">
      <c r="Z69" s="295"/>
      <c r="AA69" s="295"/>
      <c r="AB69" s="295"/>
    </row>
    <row r="70" spans="24:28" ht="24">
      <c r="Z70" s="295"/>
      <c r="AA70" s="295"/>
      <c r="AB70" s="295"/>
    </row>
    <row r="71" spans="24:28" ht="24">
      <c r="Z71" s="295"/>
      <c r="AA71" s="295"/>
      <c r="AB71" s="295"/>
    </row>
    <row r="72" spans="24:28" ht="24">
      <c r="Z72" s="295"/>
      <c r="AA72" s="295"/>
      <c r="AB72" s="295"/>
    </row>
    <row r="73" spans="24:28" ht="24">
      <c r="Z73" s="295"/>
      <c r="AA73" s="295"/>
      <c r="AB73" s="295"/>
    </row>
    <row r="74" spans="24:28" ht="24">
      <c r="Z74" s="295"/>
      <c r="AA74" s="295"/>
      <c r="AB74" s="295"/>
    </row>
    <row r="75" spans="24:28" ht="24">
      <c r="Z75" s="295"/>
      <c r="AA75" s="295"/>
      <c r="AB75" s="295"/>
    </row>
    <row r="98" spans="107:107">
      <c r="DC98" s="150" t="s">
        <v>143</v>
      </c>
    </row>
  </sheetData>
  <mergeCells count="30">
    <mergeCell ref="B1:AF1"/>
    <mergeCell ref="B4:B5"/>
    <mergeCell ref="C4:O4"/>
    <mergeCell ref="P4:P5"/>
    <mergeCell ref="Q4:AC4"/>
    <mergeCell ref="AD4:AF5"/>
    <mergeCell ref="AD17:AF17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D35:AF35"/>
    <mergeCell ref="AD18:AF18"/>
    <mergeCell ref="AD22:AF22"/>
    <mergeCell ref="AD23:AF23"/>
    <mergeCell ref="AD25:AF25"/>
    <mergeCell ref="AD26:AF26"/>
    <mergeCell ref="AD28:AF28"/>
    <mergeCell ref="AD29:AF29"/>
    <mergeCell ref="AD30:AF30"/>
    <mergeCell ref="AD31:AF31"/>
    <mergeCell ref="AD32:AF32"/>
    <mergeCell ref="AD34:AF34"/>
  </mergeCells>
  <phoneticPr fontId="3" type="noConversion"/>
  <printOptions horizontalCentered="1" verticalCentered="1"/>
  <pageMargins left="3.937007874015748E-2" right="3.937007874015748E-2" top="0.74803149606299213" bottom="0.23622047244094491" header="0.31496062992125984" footer="0.23622047244094491"/>
  <pageSetup paperSize="8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5D7-D645-4256-95B7-B778F703CD47}">
  <sheetPr>
    <tabColor rgb="FFFFC000"/>
    <pageSetUpPr fitToPage="1"/>
  </sheetPr>
  <dimension ref="A1:DC98"/>
  <sheetViews>
    <sheetView topLeftCell="C3" zoomScale="55" zoomScaleNormal="55" workbookViewId="0">
      <pane ySplit="3" topLeftCell="A15" activePane="bottomLeft" state="frozen"/>
      <selection activeCell="A3" sqref="A3"/>
      <selection pane="bottomLeft" activeCell="Q27" sqref="Q27"/>
    </sheetView>
  </sheetViews>
  <sheetFormatPr defaultColWidth="6.5" defaultRowHeight="16.5"/>
  <cols>
    <col min="1" max="1" width="6.5" style="150"/>
    <col min="2" max="2" width="40.25" style="150" customWidth="1"/>
    <col min="3" max="7" width="12.75" style="150" customWidth="1"/>
    <col min="8" max="8" width="12.75" style="150" customWidth="1" collapsed="1"/>
    <col min="9" max="15" width="12.75" style="150" customWidth="1"/>
    <col min="16" max="16" width="43" style="150" customWidth="1"/>
    <col min="17" max="29" width="12.75" style="150" customWidth="1"/>
    <col min="30" max="31" width="17" style="150" customWidth="1"/>
    <col min="32" max="32" width="67.25" style="150" customWidth="1"/>
    <col min="33" max="33" width="12.75" style="150" customWidth="1"/>
    <col min="34" max="34" width="16.625" style="150" bestFit="1" customWidth="1"/>
    <col min="35" max="48" width="6.5" style="150"/>
    <col min="49" max="49" width="11.5" style="150" bestFit="1" customWidth="1"/>
    <col min="50" max="252" width="6.5" style="150"/>
    <col min="253" max="253" width="40.25" style="150" customWidth="1"/>
    <col min="254" max="266" width="12.125" style="150" customWidth="1"/>
    <col min="267" max="267" width="51.5" style="150" customWidth="1"/>
    <col min="268" max="279" width="12.125" style="150" customWidth="1"/>
    <col min="280" max="280" width="16.625" style="150" customWidth="1"/>
    <col min="281" max="283" width="9.75" style="150" customWidth="1"/>
    <col min="284" max="284" width="0" style="150" hidden="1" customWidth="1"/>
    <col min="285" max="285" width="6.5" style="150"/>
    <col min="286" max="286" width="20" style="150" bestFit="1" customWidth="1"/>
    <col min="287" max="287" width="6.5" style="150"/>
    <col min="288" max="288" width="16.625" style="150" bestFit="1" customWidth="1"/>
    <col min="289" max="289" width="14.5" style="150" bestFit="1" customWidth="1"/>
    <col min="290" max="290" width="16.625" style="150" bestFit="1" customWidth="1"/>
    <col min="291" max="508" width="6.5" style="150"/>
    <col min="509" max="509" width="40.25" style="150" customWidth="1"/>
    <col min="510" max="522" width="12.125" style="150" customWidth="1"/>
    <col min="523" max="523" width="51.5" style="150" customWidth="1"/>
    <col min="524" max="535" width="12.125" style="150" customWidth="1"/>
    <col min="536" max="536" width="16.625" style="150" customWidth="1"/>
    <col min="537" max="539" width="9.75" style="150" customWidth="1"/>
    <col min="540" max="540" width="0" style="150" hidden="1" customWidth="1"/>
    <col min="541" max="541" width="6.5" style="150"/>
    <col min="542" max="542" width="20" style="150" bestFit="1" customWidth="1"/>
    <col min="543" max="543" width="6.5" style="150"/>
    <col min="544" max="544" width="16.625" style="150" bestFit="1" customWidth="1"/>
    <col min="545" max="545" width="14.5" style="150" bestFit="1" customWidth="1"/>
    <col min="546" max="546" width="16.625" style="150" bestFit="1" customWidth="1"/>
    <col min="547" max="764" width="6.5" style="150"/>
    <col min="765" max="765" width="40.25" style="150" customWidth="1"/>
    <col min="766" max="778" width="12.125" style="150" customWidth="1"/>
    <col min="779" max="779" width="51.5" style="150" customWidth="1"/>
    <col min="780" max="791" width="12.125" style="150" customWidth="1"/>
    <col min="792" max="792" width="16.625" style="150" customWidth="1"/>
    <col min="793" max="795" width="9.75" style="150" customWidth="1"/>
    <col min="796" max="796" width="0" style="150" hidden="1" customWidth="1"/>
    <col min="797" max="797" width="6.5" style="150"/>
    <col min="798" max="798" width="20" style="150" bestFit="1" customWidth="1"/>
    <col min="799" max="799" width="6.5" style="150"/>
    <col min="800" max="800" width="16.625" style="150" bestFit="1" customWidth="1"/>
    <col min="801" max="801" width="14.5" style="150" bestFit="1" customWidth="1"/>
    <col min="802" max="802" width="16.625" style="150" bestFit="1" customWidth="1"/>
    <col min="803" max="1020" width="6.5" style="150"/>
    <col min="1021" max="1021" width="40.25" style="150" customWidth="1"/>
    <col min="1022" max="1034" width="12.125" style="150" customWidth="1"/>
    <col min="1035" max="1035" width="51.5" style="150" customWidth="1"/>
    <col min="1036" max="1047" width="12.125" style="150" customWidth="1"/>
    <col min="1048" max="1048" width="16.625" style="150" customWidth="1"/>
    <col min="1049" max="1051" width="9.75" style="150" customWidth="1"/>
    <col min="1052" max="1052" width="0" style="150" hidden="1" customWidth="1"/>
    <col min="1053" max="1053" width="6.5" style="150"/>
    <col min="1054" max="1054" width="20" style="150" bestFit="1" customWidth="1"/>
    <col min="1055" max="1055" width="6.5" style="150"/>
    <col min="1056" max="1056" width="16.625" style="150" bestFit="1" customWidth="1"/>
    <col min="1057" max="1057" width="14.5" style="150" bestFit="1" customWidth="1"/>
    <col min="1058" max="1058" width="16.625" style="150" bestFit="1" customWidth="1"/>
    <col min="1059" max="1276" width="6.5" style="150"/>
    <col min="1277" max="1277" width="40.25" style="150" customWidth="1"/>
    <col min="1278" max="1290" width="12.125" style="150" customWidth="1"/>
    <col min="1291" max="1291" width="51.5" style="150" customWidth="1"/>
    <col min="1292" max="1303" width="12.125" style="150" customWidth="1"/>
    <col min="1304" max="1304" width="16.625" style="150" customWidth="1"/>
    <col min="1305" max="1307" width="9.75" style="150" customWidth="1"/>
    <col min="1308" max="1308" width="0" style="150" hidden="1" customWidth="1"/>
    <col min="1309" max="1309" width="6.5" style="150"/>
    <col min="1310" max="1310" width="20" style="150" bestFit="1" customWidth="1"/>
    <col min="1311" max="1311" width="6.5" style="150"/>
    <col min="1312" max="1312" width="16.625" style="150" bestFit="1" customWidth="1"/>
    <col min="1313" max="1313" width="14.5" style="150" bestFit="1" customWidth="1"/>
    <col min="1314" max="1314" width="16.625" style="150" bestFit="1" customWidth="1"/>
    <col min="1315" max="1532" width="6.5" style="150"/>
    <col min="1533" max="1533" width="40.25" style="150" customWidth="1"/>
    <col min="1534" max="1546" width="12.125" style="150" customWidth="1"/>
    <col min="1547" max="1547" width="51.5" style="150" customWidth="1"/>
    <col min="1548" max="1559" width="12.125" style="150" customWidth="1"/>
    <col min="1560" max="1560" width="16.625" style="150" customWidth="1"/>
    <col min="1561" max="1563" width="9.75" style="150" customWidth="1"/>
    <col min="1564" max="1564" width="0" style="150" hidden="1" customWidth="1"/>
    <col min="1565" max="1565" width="6.5" style="150"/>
    <col min="1566" max="1566" width="20" style="150" bestFit="1" customWidth="1"/>
    <col min="1567" max="1567" width="6.5" style="150"/>
    <col min="1568" max="1568" width="16.625" style="150" bestFit="1" customWidth="1"/>
    <col min="1569" max="1569" width="14.5" style="150" bestFit="1" customWidth="1"/>
    <col min="1570" max="1570" width="16.625" style="150" bestFit="1" customWidth="1"/>
    <col min="1571" max="1788" width="6.5" style="150"/>
    <col min="1789" max="1789" width="40.25" style="150" customWidth="1"/>
    <col min="1790" max="1802" width="12.125" style="150" customWidth="1"/>
    <col min="1803" max="1803" width="51.5" style="150" customWidth="1"/>
    <col min="1804" max="1815" width="12.125" style="150" customWidth="1"/>
    <col min="1816" max="1816" width="16.625" style="150" customWidth="1"/>
    <col min="1817" max="1819" width="9.75" style="150" customWidth="1"/>
    <col min="1820" max="1820" width="0" style="150" hidden="1" customWidth="1"/>
    <col min="1821" max="1821" width="6.5" style="150"/>
    <col min="1822" max="1822" width="20" style="150" bestFit="1" customWidth="1"/>
    <col min="1823" max="1823" width="6.5" style="150"/>
    <col min="1824" max="1824" width="16.625" style="150" bestFit="1" customWidth="1"/>
    <col min="1825" max="1825" width="14.5" style="150" bestFit="1" customWidth="1"/>
    <col min="1826" max="1826" width="16.625" style="150" bestFit="1" customWidth="1"/>
    <col min="1827" max="2044" width="6.5" style="150"/>
    <col min="2045" max="2045" width="40.25" style="150" customWidth="1"/>
    <col min="2046" max="2058" width="12.125" style="150" customWidth="1"/>
    <col min="2059" max="2059" width="51.5" style="150" customWidth="1"/>
    <col min="2060" max="2071" width="12.125" style="150" customWidth="1"/>
    <col min="2072" max="2072" width="16.625" style="150" customWidth="1"/>
    <col min="2073" max="2075" width="9.75" style="150" customWidth="1"/>
    <col min="2076" max="2076" width="0" style="150" hidden="1" customWidth="1"/>
    <col min="2077" max="2077" width="6.5" style="150"/>
    <col min="2078" max="2078" width="20" style="150" bestFit="1" customWidth="1"/>
    <col min="2079" max="2079" width="6.5" style="150"/>
    <col min="2080" max="2080" width="16.625" style="150" bestFit="1" customWidth="1"/>
    <col min="2081" max="2081" width="14.5" style="150" bestFit="1" customWidth="1"/>
    <col min="2082" max="2082" width="16.625" style="150" bestFit="1" customWidth="1"/>
    <col min="2083" max="2300" width="6.5" style="150"/>
    <col min="2301" max="2301" width="40.25" style="150" customWidth="1"/>
    <col min="2302" max="2314" width="12.125" style="150" customWidth="1"/>
    <col min="2315" max="2315" width="51.5" style="150" customWidth="1"/>
    <col min="2316" max="2327" width="12.125" style="150" customWidth="1"/>
    <col min="2328" max="2328" width="16.625" style="150" customWidth="1"/>
    <col min="2329" max="2331" width="9.75" style="150" customWidth="1"/>
    <col min="2332" max="2332" width="0" style="150" hidden="1" customWidth="1"/>
    <col min="2333" max="2333" width="6.5" style="150"/>
    <col min="2334" max="2334" width="20" style="150" bestFit="1" customWidth="1"/>
    <col min="2335" max="2335" width="6.5" style="150"/>
    <col min="2336" max="2336" width="16.625" style="150" bestFit="1" customWidth="1"/>
    <col min="2337" max="2337" width="14.5" style="150" bestFit="1" customWidth="1"/>
    <col min="2338" max="2338" width="16.625" style="150" bestFit="1" customWidth="1"/>
    <col min="2339" max="2556" width="6.5" style="150"/>
    <col min="2557" max="2557" width="40.25" style="150" customWidth="1"/>
    <col min="2558" max="2570" width="12.125" style="150" customWidth="1"/>
    <col min="2571" max="2571" width="51.5" style="150" customWidth="1"/>
    <col min="2572" max="2583" width="12.125" style="150" customWidth="1"/>
    <col min="2584" max="2584" width="16.625" style="150" customWidth="1"/>
    <col min="2585" max="2587" width="9.75" style="150" customWidth="1"/>
    <col min="2588" max="2588" width="0" style="150" hidden="1" customWidth="1"/>
    <col min="2589" max="2589" width="6.5" style="150"/>
    <col min="2590" max="2590" width="20" style="150" bestFit="1" customWidth="1"/>
    <col min="2591" max="2591" width="6.5" style="150"/>
    <col min="2592" max="2592" width="16.625" style="150" bestFit="1" customWidth="1"/>
    <col min="2593" max="2593" width="14.5" style="150" bestFit="1" customWidth="1"/>
    <col min="2594" max="2594" width="16.625" style="150" bestFit="1" customWidth="1"/>
    <col min="2595" max="2812" width="6.5" style="150"/>
    <col min="2813" max="2813" width="40.25" style="150" customWidth="1"/>
    <col min="2814" max="2826" width="12.125" style="150" customWidth="1"/>
    <col min="2827" max="2827" width="51.5" style="150" customWidth="1"/>
    <col min="2828" max="2839" width="12.125" style="150" customWidth="1"/>
    <col min="2840" max="2840" width="16.625" style="150" customWidth="1"/>
    <col min="2841" max="2843" width="9.75" style="150" customWidth="1"/>
    <col min="2844" max="2844" width="0" style="150" hidden="1" customWidth="1"/>
    <col min="2845" max="2845" width="6.5" style="150"/>
    <col min="2846" max="2846" width="20" style="150" bestFit="1" customWidth="1"/>
    <col min="2847" max="2847" width="6.5" style="150"/>
    <col min="2848" max="2848" width="16.625" style="150" bestFit="1" customWidth="1"/>
    <col min="2849" max="2849" width="14.5" style="150" bestFit="1" customWidth="1"/>
    <col min="2850" max="2850" width="16.625" style="150" bestFit="1" customWidth="1"/>
    <col min="2851" max="3068" width="6.5" style="150"/>
    <col min="3069" max="3069" width="40.25" style="150" customWidth="1"/>
    <col min="3070" max="3082" width="12.125" style="150" customWidth="1"/>
    <col min="3083" max="3083" width="51.5" style="150" customWidth="1"/>
    <col min="3084" max="3095" width="12.125" style="150" customWidth="1"/>
    <col min="3096" max="3096" width="16.625" style="150" customWidth="1"/>
    <col min="3097" max="3099" width="9.75" style="150" customWidth="1"/>
    <col min="3100" max="3100" width="0" style="150" hidden="1" customWidth="1"/>
    <col min="3101" max="3101" width="6.5" style="150"/>
    <col min="3102" max="3102" width="20" style="150" bestFit="1" customWidth="1"/>
    <col min="3103" max="3103" width="6.5" style="150"/>
    <col min="3104" max="3104" width="16.625" style="150" bestFit="1" customWidth="1"/>
    <col min="3105" max="3105" width="14.5" style="150" bestFit="1" customWidth="1"/>
    <col min="3106" max="3106" width="16.625" style="150" bestFit="1" customWidth="1"/>
    <col min="3107" max="3324" width="6.5" style="150"/>
    <col min="3325" max="3325" width="40.25" style="150" customWidth="1"/>
    <col min="3326" max="3338" width="12.125" style="150" customWidth="1"/>
    <col min="3339" max="3339" width="51.5" style="150" customWidth="1"/>
    <col min="3340" max="3351" width="12.125" style="150" customWidth="1"/>
    <col min="3352" max="3352" width="16.625" style="150" customWidth="1"/>
    <col min="3353" max="3355" width="9.75" style="150" customWidth="1"/>
    <col min="3356" max="3356" width="0" style="150" hidden="1" customWidth="1"/>
    <col min="3357" max="3357" width="6.5" style="150"/>
    <col min="3358" max="3358" width="20" style="150" bestFit="1" customWidth="1"/>
    <col min="3359" max="3359" width="6.5" style="150"/>
    <col min="3360" max="3360" width="16.625" style="150" bestFit="1" customWidth="1"/>
    <col min="3361" max="3361" width="14.5" style="150" bestFit="1" customWidth="1"/>
    <col min="3362" max="3362" width="16.625" style="150" bestFit="1" customWidth="1"/>
    <col min="3363" max="3580" width="6.5" style="150"/>
    <col min="3581" max="3581" width="40.25" style="150" customWidth="1"/>
    <col min="3582" max="3594" width="12.125" style="150" customWidth="1"/>
    <col min="3595" max="3595" width="51.5" style="150" customWidth="1"/>
    <col min="3596" max="3607" width="12.125" style="150" customWidth="1"/>
    <col min="3608" max="3608" width="16.625" style="150" customWidth="1"/>
    <col min="3609" max="3611" width="9.75" style="150" customWidth="1"/>
    <col min="3612" max="3612" width="0" style="150" hidden="1" customWidth="1"/>
    <col min="3613" max="3613" width="6.5" style="150"/>
    <col min="3614" max="3614" width="20" style="150" bestFit="1" customWidth="1"/>
    <col min="3615" max="3615" width="6.5" style="150"/>
    <col min="3616" max="3616" width="16.625" style="150" bestFit="1" customWidth="1"/>
    <col min="3617" max="3617" width="14.5" style="150" bestFit="1" customWidth="1"/>
    <col min="3618" max="3618" width="16.625" style="150" bestFit="1" customWidth="1"/>
    <col min="3619" max="3836" width="6.5" style="150"/>
    <col min="3837" max="3837" width="40.25" style="150" customWidth="1"/>
    <col min="3838" max="3850" width="12.125" style="150" customWidth="1"/>
    <col min="3851" max="3851" width="51.5" style="150" customWidth="1"/>
    <col min="3852" max="3863" width="12.125" style="150" customWidth="1"/>
    <col min="3864" max="3864" width="16.625" style="150" customWidth="1"/>
    <col min="3865" max="3867" width="9.75" style="150" customWidth="1"/>
    <col min="3868" max="3868" width="0" style="150" hidden="1" customWidth="1"/>
    <col min="3869" max="3869" width="6.5" style="150"/>
    <col min="3870" max="3870" width="20" style="150" bestFit="1" customWidth="1"/>
    <col min="3871" max="3871" width="6.5" style="150"/>
    <col min="3872" max="3872" width="16.625" style="150" bestFit="1" customWidth="1"/>
    <col min="3873" max="3873" width="14.5" style="150" bestFit="1" customWidth="1"/>
    <col min="3874" max="3874" width="16.625" style="150" bestFit="1" customWidth="1"/>
    <col min="3875" max="4092" width="6.5" style="150"/>
    <col min="4093" max="4093" width="40.25" style="150" customWidth="1"/>
    <col min="4094" max="4106" width="12.125" style="150" customWidth="1"/>
    <col min="4107" max="4107" width="51.5" style="150" customWidth="1"/>
    <col min="4108" max="4119" width="12.125" style="150" customWidth="1"/>
    <col min="4120" max="4120" width="16.625" style="150" customWidth="1"/>
    <col min="4121" max="4123" width="9.75" style="150" customWidth="1"/>
    <col min="4124" max="4124" width="0" style="150" hidden="1" customWidth="1"/>
    <col min="4125" max="4125" width="6.5" style="150"/>
    <col min="4126" max="4126" width="20" style="150" bestFit="1" customWidth="1"/>
    <col min="4127" max="4127" width="6.5" style="150"/>
    <col min="4128" max="4128" width="16.625" style="150" bestFit="1" customWidth="1"/>
    <col min="4129" max="4129" width="14.5" style="150" bestFit="1" customWidth="1"/>
    <col min="4130" max="4130" width="16.625" style="150" bestFit="1" customWidth="1"/>
    <col min="4131" max="4348" width="6.5" style="150"/>
    <col min="4349" max="4349" width="40.25" style="150" customWidth="1"/>
    <col min="4350" max="4362" width="12.125" style="150" customWidth="1"/>
    <col min="4363" max="4363" width="51.5" style="150" customWidth="1"/>
    <col min="4364" max="4375" width="12.125" style="150" customWidth="1"/>
    <col min="4376" max="4376" width="16.625" style="150" customWidth="1"/>
    <col min="4377" max="4379" width="9.75" style="150" customWidth="1"/>
    <col min="4380" max="4380" width="0" style="150" hidden="1" customWidth="1"/>
    <col min="4381" max="4381" width="6.5" style="150"/>
    <col min="4382" max="4382" width="20" style="150" bestFit="1" customWidth="1"/>
    <col min="4383" max="4383" width="6.5" style="150"/>
    <col min="4384" max="4384" width="16.625" style="150" bestFit="1" customWidth="1"/>
    <col min="4385" max="4385" width="14.5" style="150" bestFit="1" customWidth="1"/>
    <col min="4386" max="4386" width="16.625" style="150" bestFit="1" customWidth="1"/>
    <col min="4387" max="4604" width="6.5" style="150"/>
    <col min="4605" max="4605" width="40.25" style="150" customWidth="1"/>
    <col min="4606" max="4618" width="12.125" style="150" customWidth="1"/>
    <col min="4619" max="4619" width="51.5" style="150" customWidth="1"/>
    <col min="4620" max="4631" width="12.125" style="150" customWidth="1"/>
    <col min="4632" max="4632" width="16.625" style="150" customWidth="1"/>
    <col min="4633" max="4635" width="9.75" style="150" customWidth="1"/>
    <col min="4636" max="4636" width="0" style="150" hidden="1" customWidth="1"/>
    <col min="4637" max="4637" width="6.5" style="150"/>
    <col min="4638" max="4638" width="20" style="150" bestFit="1" customWidth="1"/>
    <col min="4639" max="4639" width="6.5" style="150"/>
    <col min="4640" max="4640" width="16.625" style="150" bestFit="1" customWidth="1"/>
    <col min="4641" max="4641" width="14.5" style="150" bestFit="1" customWidth="1"/>
    <col min="4642" max="4642" width="16.625" style="150" bestFit="1" customWidth="1"/>
    <col min="4643" max="4860" width="6.5" style="150"/>
    <col min="4861" max="4861" width="40.25" style="150" customWidth="1"/>
    <col min="4862" max="4874" width="12.125" style="150" customWidth="1"/>
    <col min="4875" max="4875" width="51.5" style="150" customWidth="1"/>
    <col min="4876" max="4887" width="12.125" style="150" customWidth="1"/>
    <col min="4888" max="4888" width="16.625" style="150" customWidth="1"/>
    <col min="4889" max="4891" width="9.75" style="150" customWidth="1"/>
    <col min="4892" max="4892" width="0" style="150" hidden="1" customWidth="1"/>
    <col min="4893" max="4893" width="6.5" style="150"/>
    <col min="4894" max="4894" width="20" style="150" bestFit="1" customWidth="1"/>
    <col min="4895" max="4895" width="6.5" style="150"/>
    <col min="4896" max="4896" width="16.625" style="150" bestFit="1" customWidth="1"/>
    <col min="4897" max="4897" width="14.5" style="150" bestFit="1" customWidth="1"/>
    <col min="4898" max="4898" width="16.625" style="150" bestFit="1" customWidth="1"/>
    <col min="4899" max="5116" width="6.5" style="150"/>
    <col min="5117" max="5117" width="40.25" style="150" customWidth="1"/>
    <col min="5118" max="5130" width="12.125" style="150" customWidth="1"/>
    <col min="5131" max="5131" width="51.5" style="150" customWidth="1"/>
    <col min="5132" max="5143" width="12.125" style="150" customWidth="1"/>
    <col min="5144" max="5144" width="16.625" style="150" customWidth="1"/>
    <col min="5145" max="5147" width="9.75" style="150" customWidth="1"/>
    <col min="5148" max="5148" width="0" style="150" hidden="1" customWidth="1"/>
    <col min="5149" max="5149" width="6.5" style="150"/>
    <col min="5150" max="5150" width="20" style="150" bestFit="1" customWidth="1"/>
    <col min="5151" max="5151" width="6.5" style="150"/>
    <col min="5152" max="5152" width="16.625" style="150" bestFit="1" customWidth="1"/>
    <col min="5153" max="5153" width="14.5" style="150" bestFit="1" customWidth="1"/>
    <col min="5154" max="5154" width="16.625" style="150" bestFit="1" customWidth="1"/>
    <col min="5155" max="5372" width="6.5" style="150"/>
    <col min="5373" max="5373" width="40.25" style="150" customWidth="1"/>
    <col min="5374" max="5386" width="12.125" style="150" customWidth="1"/>
    <col min="5387" max="5387" width="51.5" style="150" customWidth="1"/>
    <col min="5388" max="5399" width="12.125" style="150" customWidth="1"/>
    <col min="5400" max="5400" width="16.625" style="150" customWidth="1"/>
    <col min="5401" max="5403" width="9.75" style="150" customWidth="1"/>
    <col min="5404" max="5404" width="0" style="150" hidden="1" customWidth="1"/>
    <col min="5405" max="5405" width="6.5" style="150"/>
    <col min="5406" max="5406" width="20" style="150" bestFit="1" customWidth="1"/>
    <col min="5407" max="5407" width="6.5" style="150"/>
    <col min="5408" max="5408" width="16.625" style="150" bestFit="1" customWidth="1"/>
    <col min="5409" max="5409" width="14.5" style="150" bestFit="1" customWidth="1"/>
    <col min="5410" max="5410" width="16.625" style="150" bestFit="1" customWidth="1"/>
    <col min="5411" max="5628" width="6.5" style="150"/>
    <col min="5629" max="5629" width="40.25" style="150" customWidth="1"/>
    <col min="5630" max="5642" width="12.125" style="150" customWidth="1"/>
    <col min="5643" max="5643" width="51.5" style="150" customWidth="1"/>
    <col min="5644" max="5655" width="12.125" style="150" customWidth="1"/>
    <col min="5656" max="5656" width="16.625" style="150" customWidth="1"/>
    <col min="5657" max="5659" width="9.75" style="150" customWidth="1"/>
    <col min="5660" max="5660" width="0" style="150" hidden="1" customWidth="1"/>
    <col min="5661" max="5661" width="6.5" style="150"/>
    <col min="5662" max="5662" width="20" style="150" bestFit="1" customWidth="1"/>
    <col min="5663" max="5663" width="6.5" style="150"/>
    <col min="5664" max="5664" width="16.625" style="150" bestFit="1" customWidth="1"/>
    <col min="5665" max="5665" width="14.5" style="150" bestFit="1" customWidth="1"/>
    <col min="5666" max="5666" width="16.625" style="150" bestFit="1" customWidth="1"/>
    <col min="5667" max="5884" width="6.5" style="150"/>
    <col min="5885" max="5885" width="40.25" style="150" customWidth="1"/>
    <col min="5886" max="5898" width="12.125" style="150" customWidth="1"/>
    <col min="5899" max="5899" width="51.5" style="150" customWidth="1"/>
    <col min="5900" max="5911" width="12.125" style="150" customWidth="1"/>
    <col min="5912" max="5912" width="16.625" style="150" customWidth="1"/>
    <col min="5913" max="5915" width="9.75" style="150" customWidth="1"/>
    <col min="5916" max="5916" width="0" style="150" hidden="1" customWidth="1"/>
    <col min="5917" max="5917" width="6.5" style="150"/>
    <col min="5918" max="5918" width="20" style="150" bestFit="1" customWidth="1"/>
    <col min="5919" max="5919" width="6.5" style="150"/>
    <col min="5920" max="5920" width="16.625" style="150" bestFit="1" customWidth="1"/>
    <col min="5921" max="5921" width="14.5" style="150" bestFit="1" customWidth="1"/>
    <col min="5922" max="5922" width="16.625" style="150" bestFit="1" customWidth="1"/>
    <col min="5923" max="6140" width="6.5" style="150"/>
    <col min="6141" max="6141" width="40.25" style="150" customWidth="1"/>
    <col min="6142" max="6154" width="12.125" style="150" customWidth="1"/>
    <col min="6155" max="6155" width="51.5" style="150" customWidth="1"/>
    <col min="6156" max="6167" width="12.125" style="150" customWidth="1"/>
    <col min="6168" max="6168" width="16.625" style="150" customWidth="1"/>
    <col min="6169" max="6171" width="9.75" style="150" customWidth="1"/>
    <col min="6172" max="6172" width="0" style="150" hidden="1" customWidth="1"/>
    <col min="6173" max="6173" width="6.5" style="150"/>
    <col min="6174" max="6174" width="20" style="150" bestFit="1" customWidth="1"/>
    <col min="6175" max="6175" width="6.5" style="150"/>
    <col min="6176" max="6176" width="16.625" style="150" bestFit="1" customWidth="1"/>
    <col min="6177" max="6177" width="14.5" style="150" bestFit="1" customWidth="1"/>
    <col min="6178" max="6178" width="16.625" style="150" bestFit="1" customWidth="1"/>
    <col min="6179" max="6396" width="6.5" style="150"/>
    <col min="6397" max="6397" width="40.25" style="150" customWidth="1"/>
    <col min="6398" max="6410" width="12.125" style="150" customWidth="1"/>
    <col min="6411" max="6411" width="51.5" style="150" customWidth="1"/>
    <col min="6412" max="6423" width="12.125" style="150" customWidth="1"/>
    <col min="6424" max="6424" width="16.625" style="150" customWidth="1"/>
    <col min="6425" max="6427" width="9.75" style="150" customWidth="1"/>
    <col min="6428" max="6428" width="0" style="150" hidden="1" customWidth="1"/>
    <col min="6429" max="6429" width="6.5" style="150"/>
    <col min="6430" max="6430" width="20" style="150" bestFit="1" customWidth="1"/>
    <col min="6431" max="6431" width="6.5" style="150"/>
    <col min="6432" max="6432" width="16.625" style="150" bestFit="1" customWidth="1"/>
    <col min="6433" max="6433" width="14.5" style="150" bestFit="1" customWidth="1"/>
    <col min="6434" max="6434" width="16.625" style="150" bestFit="1" customWidth="1"/>
    <col min="6435" max="6652" width="6.5" style="150"/>
    <col min="6653" max="6653" width="40.25" style="150" customWidth="1"/>
    <col min="6654" max="6666" width="12.125" style="150" customWidth="1"/>
    <col min="6667" max="6667" width="51.5" style="150" customWidth="1"/>
    <col min="6668" max="6679" width="12.125" style="150" customWidth="1"/>
    <col min="6680" max="6680" width="16.625" style="150" customWidth="1"/>
    <col min="6681" max="6683" width="9.75" style="150" customWidth="1"/>
    <col min="6684" max="6684" width="0" style="150" hidden="1" customWidth="1"/>
    <col min="6685" max="6685" width="6.5" style="150"/>
    <col min="6686" max="6686" width="20" style="150" bestFit="1" customWidth="1"/>
    <col min="6687" max="6687" width="6.5" style="150"/>
    <col min="6688" max="6688" width="16.625" style="150" bestFit="1" customWidth="1"/>
    <col min="6689" max="6689" width="14.5" style="150" bestFit="1" customWidth="1"/>
    <col min="6690" max="6690" width="16.625" style="150" bestFit="1" customWidth="1"/>
    <col min="6691" max="6908" width="6.5" style="150"/>
    <col min="6909" max="6909" width="40.25" style="150" customWidth="1"/>
    <col min="6910" max="6922" width="12.125" style="150" customWidth="1"/>
    <col min="6923" max="6923" width="51.5" style="150" customWidth="1"/>
    <col min="6924" max="6935" width="12.125" style="150" customWidth="1"/>
    <col min="6936" max="6936" width="16.625" style="150" customWidth="1"/>
    <col min="6937" max="6939" width="9.75" style="150" customWidth="1"/>
    <col min="6940" max="6940" width="0" style="150" hidden="1" customWidth="1"/>
    <col min="6941" max="6941" width="6.5" style="150"/>
    <col min="6942" max="6942" width="20" style="150" bestFit="1" customWidth="1"/>
    <col min="6943" max="6943" width="6.5" style="150"/>
    <col min="6944" max="6944" width="16.625" style="150" bestFit="1" customWidth="1"/>
    <col min="6945" max="6945" width="14.5" style="150" bestFit="1" customWidth="1"/>
    <col min="6946" max="6946" width="16.625" style="150" bestFit="1" customWidth="1"/>
    <col min="6947" max="7164" width="6.5" style="150"/>
    <col min="7165" max="7165" width="40.25" style="150" customWidth="1"/>
    <col min="7166" max="7178" width="12.125" style="150" customWidth="1"/>
    <col min="7179" max="7179" width="51.5" style="150" customWidth="1"/>
    <col min="7180" max="7191" width="12.125" style="150" customWidth="1"/>
    <col min="7192" max="7192" width="16.625" style="150" customWidth="1"/>
    <col min="7193" max="7195" width="9.75" style="150" customWidth="1"/>
    <col min="7196" max="7196" width="0" style="150" hidden="1" customWidth="1"/>
    <col min="7197" max="7197" width="6.5" style="150"/>
    <col min="7198" max="7198" width="20" style="150" bestFit="1" customWidth="1"/>
    <col min="7199" max="7199" width="6.5" style="150"/>
    <col min="7200" max="7200" width="16.625" style="150" bestFit="1" customWidth="1"/>
    <col min="7201" max="7201" width="14.5" style="150" bestFit="1" customWidth="1"/>
    <col min="7202" max="7202" width="16.625" style="150" bestFit="1" customWidth="1"/>
    <col min="7203" max="7420" width="6.5" style="150"/>
    <col min="7421" max="7421" width="40.25" style="150" customWidth="1"/>
    <col min="7422" max="7434" width="12.125" style="150" customWidth="1"/>
    <col min="7435" max="7435" width="51.5" style="150" customWidth="1"/>
    <col min="7436" max="7447" width="12.125" style="150" customWidth="1"/>
    <col min="7448" max="7448" width="16.625" style="150" customWidth="1"/>
    <col min="7449" max="7451" width="9.75" style="150" customWidth="1"/>
    <col min="7452" max="7452" width="0" style="150" hidden="1" customWidth="1"/>
    <col min="7453" max="7453" width="6.5" style="150"/>
    <col min="7454" max="7454" width="20" style="150" bestFit="1" customWidth="1"/>
    <col min="7455" max="7455" width="6.5" style="150"/>
    <col min="7456" max="7456" width="16.625" style="150" bestFit="1" customWidth="1"/>
    <col min="7457" max="7457" width="14.5" style="150" bestFit="1" customWidth="1"/>
    <col min="7458" max="7458" width="16.625" style="150" bestFit="1" customWidth="1"/>
    <col min="7459" max="7676" width="6.5" style="150"/>
    <col min="7677" max="7677" width="40.25" style="150" customWidth="1"/>
    <col min="7678" max="7690" width="12.125" style="150" customWidth="1"/>
    <col min="7691" max="7691" width="51.5" style="150" customWidth="1"/>
    <col min="7692" max="7703" width="12.125" style="150" customWidth="1"/>
    <col min="7704" max="7704" width="16.625" style="150" customWidth="1"/>
    <col min="7705" max="7707" width="9.75" style="150" customWidth="1"/>
    <col min="7708" max="7708" width="0" style="150" hidden="1" customWidth="1"/>
    <col min="7709" max="7709" width="6.5" style="150"/>
    <col min="7710" max="7710" width="20" style="150" bestFit="1" customWidth="1"/>
    <col min="7711" max="7711" width="6.5" style="150"/>
    <col min="7712" max="7712" width="16.625" style="150" bestFit="1" customWidth="1"/>
    <col min="7713" max="7713" width="14.5" style="150" bestFit="1" customWidth="1"/>
    <col min="7714" max="7714" width="16.625" style="150" bestFit="1" customWidth="1"/>
    <col min="7715" max="7932" width="6.5" style="150"/>
    <col min="7933" max="7933" width="40.25" style="150" customWidth="1"/>
    <col min="7934" max="7946" width="12.125" style="150" customWidth="1"/>
    <col min="7947" max="7947" width="51.5" style="150" customWidth="1"/>
    <col min="7948" max="7959" width="12.125" style="150" customWidth="1"/>
    <col min="7960" max="7960" width="16.625" style="150" customWidth="1"/>
    <col min="7961" max="7963" width="9.75" style="150" customWidth="1"/>
    <col min="7964" max="7964" width="0" style="150" hidden="1" customWidth="1"/>
    <col min="7965" max="7965" width="6.5" style="150"/>
    <col min="7966" max="7966" width="20" style="150" bestFit="1" customWidth="1"/>
    <col min="7967" max="7967" width="6.5" style="150"/>
    <col min="7968" max="7968" width="16.625" style="150" bestFit="1" customWidth="1"/>
    <col min="7969" max="7969" width="14.5" style="150" bestFit="1" customWidth="1"/>
    <col min="7970" max="7970" width="16.625" style="150" bestFit="1" customWidth="1"/>
    <col min="7971" max="8188" width="6.5" style="150"/>
    <col min="8189" max="8189" width="40.25" style="150" customWidth="1"/>
    <col min="8190" max="8202" width="12.125" style="150" customWidth="1"/>
    <col min="8203" max="8203" width="51.5" style="150" customWidth="1"/>
    <col min="8204" max="8215" width="12.125" style="150" customWidth="1"/>
    <col min="8216" max="8216" width="16.625" style="150" customWidth="1"/>
    <col min="8217" max="8219" width="9.75" style="150" customWidth="1"/>
    <col min="8220" max="8220" width="0" style="150" hidden="1" customWidth="1"/>
    <col min="8221" max="8221" width="6.5" style="150"/>
    <col min="8222" max="8222" width="20" style="150" bestFit="1" customWidth="1"/>
    <col min="8223" max="8223" width="6.5" style="150"/>
    <col min="8224" max="8224" width="16.625" style="150" bestFit="1" customWidth="1"/>
    <col min="8225" max="8225" width="14.5" style="150" bestFit="1" customWidth="1"/>
    <col min="8226" max="8226" width="16.625" style="150" bestFit="1" customWidth="1"/>
    <col min="8227" max="8444" width="6.5" style="150"/>
    <col min="8445" max="8445" width="40.25" style="150" customWidth="1"/>
    <col min="8446" max="8458" width="12.125" style="150" customWidth="1"/>
    <col min="8459" max="8459" width="51.5" style="150" customWidth="1"/>
    <col min="8460" max="8471" width="12.125" style="150" customWidth="1"/>
    <col min="8472" max="8472" width="16.625" style="150" customWidth="1"/>
    <col min="8473" max="8475" width="9.75" style="150" customWidth="1"/>
    <col min="8476" max="8476" width="0" style="150" hidden="1" customWidth="1"/>
    <col min="8477" max="8477" width="6.5" style="150"/>
    <col min="8478" max="8478" width="20" style="150" bestFit="1" customWidth="1"/>
    <col min="8479" max="8479" width="6.5" style="150"/>
    <col min="8480" max="8480" width="16.625" style="150" bestFit="1" customWidth="1"/>
    <col min="8481" max="8481" width="14.5" style="150" bestFit="1" customWidth="1"/>
    <col min="8482" max="8482" width="16.625" style="150" bestFit="1" customWidth="1"/>
    <col min="8483" max="8700" width="6.5" style="150"/>
    <col min="8701" max="8701" width="40.25" style="150" customWidth="1"/>
    <col min="8702" max="8714" width="12.125" style="150" customWidth="1"/>
    <col min="8715" max="8715" width="51.5" style="150" customWidth="1"/>
    <col min="8716" max="8727" width="12.125" style="150" customWidth="1"/>
    <col min="8728" max="8728" width="16.625" style="150" customWidth="1"/>
    <col min="8729" max="8731" width="9.75" style="150" customWidth="1"/>
    <col min="8732" max="8732" width="0" style="150" hidden="1" customWidth="1"/>
    <col min="8733" max="8733" width="6.5" style="150"/>
    <col min="8734" max="8734" width="20" style="150" bestFit="1" customWidth="1"/>
    <col min="8735" max="8735" width="6.5" style="150"/>
    <col min="8736" max="8736" width="16.625" style="150" bestFit="1" customWidth="1"/>
    <col min="8737" max="8737" width="14.5" style="150" bestFit="1" customWidth="1"/>
    <col min="8738" max="8738" width="16.625" style="150" bestFit="1" customWidth="1"/>
    <col min="8739" max="8956" width="6.5" style="150"/>
    <col min="8957" max="8957" width="40.25" style="150" customWidth="1"/>
    <col min="8958" max="8970" width="12.125" style="150" customWidth="1"/>
    <col min="8971" max="8971" width="51.5" style="150" customWidth="1"/>
    <col min="8972" max="8983" width="12.125" style="150" customWidth="1"/>
    <col min="8984" max="8984" width="16.625" style="150" customWidth="1"/>
    <col min="8985" max="8987" width="9.75" style="150" customWidth="1"/>
    <col min="8988" max="8988" width="0" style="150" hidden="1" customWidth="1"/>
    <col min="8989" max="8989" width="6.5" style="150"/>
    <col min="8990" max="8990" width="20" style="150" bestFit="1" customWidth="1"/>
    <col min="8991" max="8991" width="6.5" style="150"/>
    <col min="8992" max="8992" width="16.625" style="150" bestFit="1" customWidth="1"/>
    <col min="8993" max="8993" width="14.5" style="150" bestFit="1" customWidth="1"/>
    <col min="8994" max="8994" width="16.625" style="150" bestFit="1" customWidth="1"/>
    <col min="8995" max="9212" width="6.5" style="150"/>
    <col min="9213" max="9213" width="40.25" style="150" customWidth="1"/>
    <col min="9214" max="9226" width="12.125" style="150" customWidth="1"/>
    <col min="9227" max="9227" width="51.5" style="150" customWidth="1"/>
    <col min="9228" max="9239" width="12.125" style="150" customWidth="1"/>
    <col min="9240" max="9240" width="16.625" style="150" customWidth="1"/>
    <col min="9241" max="9243" width="9.75" style="150" customWidth="1"/>
    <col min="9244" max="9244" width="0" style="150" hidden="1" customWidth="1"/>
    <col min="9245" max="9245" width="6.5" style="150"/>
    <col min="9246" max="9246" width="20" style="150" bestFit="1" customWidth="1"/>
    <col min="9247" max="9247" width="6.5" style="150"/>
    <col min="9248" max="9248" width="16.625" style="150" bestFit="1" customWidth="1"/>
    <col min="9249" max="9249" width="14.5" style="150" bestFit="1" customWidth="1"/>
    <col min="9250" max="9250" width="16.625" style="150" bestFit="1" customWidth="1"/>
    <col min="9251" max="9468" width="6.5" style="150"/>
    <col min="9469" max="9469" width="40.25" style="150" customWidth="1"/>
    <col min="9470" max="9482" width="12.125" style="150" customWidth="1"/>
    <col min="9483" max="9483" width="51.5" style="150" customWidth="1"/>
    <col min="9484" max="9495" width="12.125" style="150" customWidth="1"/>
    <col min="9496" max="9496" width="16.625" style="150" customWidth="1"/>
    <col min="9497" max="9499" width="9.75" style="150" customWidth="1"/>
    <col min="9500" max="9500" width="0" style="150" hidden="1" customWidth="1"/>
    <col min="9501" max="9501" width="6.5" style="150"/>
    <col min="9502" max="9502" width="20" style="150" bestFit="1" customWidth="1"/>
    <col min="9503" max="9503" width="6.5" style="150"/>
    <col min="9504" max="9504" width="16.625" style="150" bestFit="1" customWidth="1"/>
    <col min="9505" max="9505" width="14.5" style="150" bestFit="1" customWidth="1"/>
    <col min="9506" max="9506" width="16.625" style="150" bestFit="1" customWidth="1"/>
    <col min="9507" max="9724" width="6.5" style="150"/>
    <col min="9725" max="9725" width="40.25" style="150" customWidth="1"/>
    <col min="9726" max="9738" width="12.125" style="150" customWidth="1"/>
    <col min="9739" max="9739" width="51.5" style="150" customWidth="1"/>
    <col min="9740" max="9751" width="12.125" style="150" customWidth="1"/>
    <col min="9752" max="9752" width="16.625" style="150" customWidth="1"/>
    <col min="9753" max="9755" width="9.75" style="150" customWidth="1"/>
    <col min="9756" max="9756" width="0" style="150" hidden="1" customWidth="1"/>
    <col min="9757" max="9757" width="6.5" style="150"/>
    <col min="9758" max="9758" width="20" style="150" bestFit="1" customWidth="1"/>
    <col min="9759" max="9759" width="6.5" style="150"/>
    <col min="9760" max="9760" width="16.625" style="150" bestFit="1" customWidth="1"/>
    <col min="9761" max="9761" width="14.5" style="150" bestFit="1" customWidth="1"/>
    <col min="9762" max="9762" width="16.625" style="150" bestFit="1" customWidth="1"/>
    <col min="9763" max="9980" width="6.5" style="150"/>
    <col min="9981" max="9981" width="40.25" style="150" customWidth="1"/>
    <col min="9982" max="9994" width="12.125" style="150" customWidth="1"/>
    <col min="9995" max="9995" width="51.5" style="150" customWidth="1"/>
    <col min="9996" max="10007" width="12.125" style="150" customWidth="1"/>
    <col min="10008" max="10008" width="16.625" style="150" customWidth="1"/>
    <col min="10009" max="10011" width="9.75" style="150" customWidth="1"/>
    <col min="10012" max="10012" width="0" style="150" hidden="1" customWidth="1"/>
    <col min="10013" max="10013" width="6.5" style="150"/>
    <col min="10014" max="10014" width="20" style="150" bestFit="1" customWidth="1"/>
    <col min="10015" max="10015" width="6.5" style="150"/>
    <col min="10016" max="10016" width="16.625" style="150" bestFit="1" customWidth="1"/>
    <col min="10017" max="10017" width="14.5" style="150" bestFit="1" customWidth="1"/>
    <col min="10018" max="10018" width="16.625" style="150" bestFit="1" customWidth="1"/>
    <col min="10019" max="10236" width="6.5" style="150"/>
    <col min="10237" max="10237" width="40.25" style="150" customWidth="1"/>
    <col min="10238" max="10250" width="12.125" style="150" customWidth="1"/>
    <col min="10251" max="10251" width="51.5" style="150" customWidth="1"/>
    <col min="10252" max="10263" width="12.125" style="150" customWidth="1"/>
    <col min="10264" max="10264" width="16.625" style="150" customWidth="1"/>
    <col min="10265" max="10267" width="9.75" style="150" customWidth="1"/>
    <col min="10268" max="10268" width="0" style="150" hidden="1" customWidth="1"/>
    <col min="10269" max="10269" width="6.5" style="150"/>
    <col min="10270" max="10270" width="20" style="150" bestFit="1" customWidth="1"/>
    <col min="10271" max="10271" width="6.5" style="150"/>
    <col min="10272" max="10272" width="16.625" style="150" bestFit="1" customWidth="1"/>
    <col min="10273" max="10273" width="14.5" style="150" bestFit="1" customWidth="1"/>
    <col min="10274" max="10274" width="16.625" style="150" bestFit="1" customWidth="1"/>
    <col min="10275" max="10492" width="6.5" style="150"/>
    <col min="10493" max="10493" width="40.25" style="150" customWidth="1"/>
    <col min="10494" max="10506" width="12.125" style="150" customWidth="1"/>
    <col min="10507" max="10507" width="51.5" style="150" customWidth="1"/>
    <col min="10508" max="10519" width="12.125" style="150" customWidth="1"/>
    <col min="10520" max="10520" width="16.625" style="150" customWidth="1"/>
    <col min="10521" max="10523" width="9.75" style="150" customWidth="1"/>
    <col min="10524" max="10524" width="0" style="150" hidden="1" customWidth="1"/>
    <col min="10525" max="10525" width="6.5" style="150"/>
    <col min="10526" max="10526" width="20" style="150" bestFit="1" customWidth="1"/>
    <col min="10527" max="10527" width="6.5" style="150"/>
    <col min="10528" max="10528" width="16.625" style="150" bestFit="1" customWidth="1"/>
    <col min="10529" max="10529" width="14.5" style="150" bestFit="1" customWidth="1"/>
    <col min="10530" max="10530" width="16.625" style="150" bestFit="1" customWidth="1"/>
    <col min="10531" max="10748" width="6.5" style="150"/>
    <col min="10749" max="10749" width="40.25" style="150" customWidth="1"/>
    <col min="10750" max="10762" width="12.125" style="150" customWidth="1"/>
    <col min="10763" max="10763" width="51.5" style="150" customWidth="1"/>
    <col min="10764" max="10775" width="12.125" style="150" customWidth="1"/>
    <col min="10776" max="10776" width="16.625" style="150" customWidth="1"/>
    <col min="10777" max="10779" width="9.75" style="150" customWidth="1"/>
    <col min="10780" max="10780" width="0" style="150" hidden="1" customWidth="1"/>
    <col min="10781" max="10781" width="6.5" style="150"/>
    <col min="10782" max="10782" width="20" style="150" bestFit="1" customWidth="1"/>
    <col min="10783" max="10783" width="6.5" style="150"/>
    <col min="10784" max="10784" width="16.625" style="150" bestFit="1" customWidth="1"/>
    <col min="10785" max="10785" width="14.5" style="150" bestFit="1" customWidth="1"/>
    <col min="10786" max="10786" width="16.625" style="150" bestFit="1" customWidth="1"/>
    <col min="10787" max="11004" width="6.5" style="150"/>
    <col min="11005" max="11005" width="40.25" style="150" customWidth="1"/>
    <col min="11006" max="11018" width="12.125" style="150" customWidth="1"/>
    <col min="11019" max="11019" width="51.5" style="150" customWidth="1"/>
    <col min="11020" max="11031" width="12.125" style="150" customWidth="1"/>
    <col min="11032" max="11032" width="16.625" style="150" customWidth="1"/>
    <col min="11033" max="11035" width="9.75" style="150" customWidth="1"/>
    <col min="11036" max="11036" width="0" style="150" hidden="1" customWidth="1"/>
    <col min="11037" max="11037" width="6.5" style="150"/>
    <col min="11038" max="11038" width="20" style="150" bestFit="1" customWidth="1"/>
    <col min="11039" max="11039" width="6.5" style="150"/>
    <col min="11040" max="11040" width="16.625" style="150" bestFit="1" customWidth="1"/>
    <col min="11041" max="11041" width="14.5" style="150" bestFit="1" customWidth="1"/>
    <col min="11042" max="11042" width="16.625" style="150" bestFit="1" customWidth="1"/>
    <col min="11043" max="11260" width="6.5" style="150"/>
    <col min="11261" max="11261" width="40.25" style="150" customWidth="1"/>
    <col min="11262" max="11274" width="12.125" style="150" customWidth="1"/>
    <col min="11275" max="11275" width="51.5" style="150" customWidth="1"/>
    <col min="11276" max="11287" width="12.125" style="150" customWidth="1"/>
    <col min="11288" max="11288" width="16.625" style="150" customWidth="1"/>
    <col min="11289" max="11291" width="9.75" style="150" customWidth="1"/>
    <col min="11292" max="11292" width="0" style="150" hidden="1" customWidth="1"/>
    <col min="11293" max="11293" width="6.5" style="150"/>
    <col min="11294" max="11294" width="20" style="150" bestFit="1" customWidth="1"/>
    <col min="11295" max="11295" width="6.5" style="150"/>
    <col min="11296" max="11296" width="16.625" style="150" bestFit="1" customWidth="1"/>
    <col min="11297" max="11297" width="14.5" style="150" bestFit="1" customWidth="1"/>
    <col min="11298" max="11298" width="16.625" style="150" bestFit="1" customWidth="1"/>
    <col min="11299" max="11516" width="6.5" style="150"/>
    <col min="11517" max="11517" width="40.25" style="150" customWidth="1"/>
    <col min="11518" max="11530" width="12.125" style="150" customWidth="1"/>
    <col min="11531" max="11531" width="51.5" style="150" customWidth="1"/>
    <col min="11532" max="11543" width="12.125" style="150" customWidth="1"/>
    <col min="11544" max="11544" width="16.625" style="150" customWidth="1"/>
    <col min="11545" max="11547" width="9.75" style="150" customWidth="1"/>
    <col min="11548" max="11548" width="0" style="150" hidden="1" customWidth="1"/>
    <col min="11549" max="11549" width="6.5" style="150"/>
    <col min="11550" max="11550" width="20" style="150" bestFit="1" customWidth="1"/>
    <col min="11551" max="11551" width="6.5" style="150"/>
    <col min="11552" max="11552" width="16.625" style="150" bestFit="1" customWidth="1"/>
    <col min="11553" max="11553" width="14.5" style="150" bestFit="1" customWidth="1"/>
    <col min="11554" max="11554" width="16.625" style="150" bestFit="1" customWidth="1"/>
    <col min="11555" max="11772" width="6.5" style="150"/>
    <col min="11773" max="11773" width="40.25" style="150" customWidth="1"/>
    <col min="11774" max="11786" width="12.125" style="150" customWidth="1"/>
    <col min="11787" max="11787" width="51.5" style="150" customWidth="1"/>
    <col min="11788" max="11799" width="12.125" style="150" customWidth="1"/>
    <col min="11800" max="11800" width="16.625" style="150" customWidth="1"/>
    <col min="11801" max="11803" width="9.75" style="150" customWidth="1"/>
    <col min="11804" max="11804" width="0" style="150" hidden="1" customWidth="1"/>
    <col min="11805" max="11805" width="6.5" style="150"/>
    <col min="11806" max="11806" width="20" style="150" bestFit="1" customWidth="1"/>
    <col min="11807" max="11807" width="6.5" style="150"/>
    <col min="11808" max="11808" width="16.625" style="150" bestFit="1" customWidth="1"/>
    <col min="11809" max="11809" width="14.5" style="150" bestFit="1" customWidth="1"/>
    <col min="11810" max="11810" width="16.625" style="150" bestFit="1" customWidth="1"/>
    <col min="11811" max="12028" width="6.5" style="150"/>
    <col min="12029" max="12029" width="40.25" style="150" customWidth="1"/>
    <col min="12030" max="12042" width="12.125" style="150" customWidth="1"/>
    <col min="12043" max="12043" width="51.5" style="150" customWidth="1"/>
    <col min="12044" max="12055" width="12.125" style="150" customWidth="1"/>
    <col min="12056" max="12056" width="16.625" style="150" customWidth="1"/>
    <col min="12057" max="12059" width="9.75" style="150" customWidth="1"/>
    <col min="12060" max="12060" width="0" style="150" hidden="1" customWidth="1"/>
    <col min="12061" max="12061" width="6.5" style="150"/>
    <col min="12062" max="12062" width="20" style="150" bestFit="1" customWidth="1"/>
    <col min="12063" max="12063" width="6.5" style="150"/>
    <col min="12064" max="12064" width="16.625" style="150" bestFit="1" customWidth="1"/>
    <col min="12065" max="12065" width="14.5" style="150" bestFit="1" customWidth="1"/>
    <col min="12066" max="12066" width="16.625" style="150" bestFit="1" customWidth="1"/>
    <col min="12067" max="12284" width="6.5" style="150"/>
    <col min="12285" max="12285" width="40.25" style="150" customWidth="1"/>
    <col min="12286" max="12298" width="12.125" style="150" customWidth="1"/>
    <col min="12299" max="12299" width="51.5" style="150" customWidth="1"/>
    <col min="12300" max="12311" width="12.125" style="150" customWidth="1"/>
    <col min="12312" max="12312" width="16.625" style="150" customWidth="1"/>
    <col min="12313" max="12315" width="9.75" style="150" customWidth="1"/>
    <col min="12316" max="12316" width="0" style="150" hidden="1" customWidth="1"/>
    <col min="12317" max="12317" width="6.5" style="150"/>
    <col min="12318" max="12318" width="20" style="150" bestFit="1" customWidth="1"/>
    <col min="12319" max="12319" width="6.5" style="150"/>
    <col min="12320" max="12320" width="16.625" style="150" bestFit="1" customWidth="1"/>
    <col min="12321" max="12321" width="14.5" style="150" bestFit="1" customWidth="1"/>
    <col min="12322" max="12322" width="16.625" style="150" bestFit="1" customWidth="1"/>
    <col min="12323" max="12540" width="6.5" style="150"/>
    <col min="12541" max="12541" width="40.25" style="150" customWidth="1"/>
    <col min="12542" max="12554" width="12.125" style="150" customWidth="1"/>
    <col min="12555" max="12555" width="51.5" style="150" customWidth="1"/>
    <col min="12556" max="12567" width="12.125" style="150" customWidth="1"/>
    <col min="12568" max="12568" width="16.625" style="150" customWidth="1"/>
    <col min="12569" max="12571" width="9.75" style="150" customWidth="1"/>
    <col min="12572" max="12572" width="0" style="150" hidden="1" customWidth="1"/>
    <col min="12573" max="12573" width="6.5" style="150"/>
    <col min="12574" max="12574" width="20" style="150" bestFit="1" customWidth="1"/>
    <col min="12575" max="12575" width="6.5" style="150"/>
    <col min="12576" max="12576" width="16.625" style="150" bestFit="1" customWidth="1"/>
    <col min="12577" max="12577" width="14.5" style="150" bestFit="1" customWidth="1"/>
    <col min="12578" max="12578" width="16.625" style="150" bestFit="1" customWidth="1"/>
    <col min="12579" max="12796" width="6.5" style="150"/>
    <col min="12797" max="12797" width="40.25" style="150" customWidth="1"/>
    <col min="12798" max="12810" width="12.125" style="150" customWidth="1"/>
    <col min="12811" max="12811" width="51.5" style="150" customWidth="1"/>
    <col min="12812" max="12823" width="12.125" style="150" customWidth="1"/>
    <col min="12824" max="12824" width="16.625" style="150" customWidth="1"/>
    <col min="12825" max="12827" width="9.75" style="150" customWidth="1"/>
    <col min="12828" max="12828" width="0" style="150" hidden="1" customWidth="1"/>
    <col min="12829" max="12829" width="6.5" style="150"/>
    <col min="12830" max="12830" width="20" style="150" bestFit="1" customWidth="1"/>
    <col min="12831" max="12831" width="6.5" style="150"/>
    <col min="12832" max="12832" width="16.625" style="150" bestFit="1" customWidth="1"/>
    <col min="12833" max="12833" width="14.5" style="150" bestFit="1" customWidth="1"/>
    <col min="12834" max="12834" width="16.625" style="150" bestFit="1" customWidth="1"/>
    <col min="12835" max="13052" width="6.5" style="150"/>
    <col min="13053" max="13053" width="40.25" style="150" customWidth="1"/>
    <col min="13054" max="13066" width="12.125" style="150" customWidth="1"/>
    <col min="13067" max="13067" width="51.5" style="150" customWidth="1"/>
    <col min="13068" max="13079" width="12.125" style="150" customWidth="1"/>
    <col min="13080" max="13080" width="16.625" style="150" customWidth="1"/>
    <col min="13081" max="13083" width="9.75" style="150" customWidth="1"/>
    <col min="13084" max="13084" width="0" style="150" hidden="1" customWidth="1"/>
    <col min="13085" max="13085" width="6.5" style="150"/>
    <col min="13086" max="13086" width="20" style="150" bestFit="1" customWidth="1"/>
    <col min="13087" max="13087" width="6.5" style="150"/>
    <col min="13088" max="13088" width="16.625" style="150" bestFit="1" customWidth="1"/>
    <col min="13089" max="13089" width="14.5" style="150" bestFit="1" customWidth="1"/>
    <col min="13090" max="13090" width="16.625" style="150" bestFit="1" customWidth="1"/>
    <col min="13091" max="13308" width="6.5" style="150"/>
    <col min="13309" max="13309" width="40.25" style="150" customWidth="1"/>
    <col min="13310" max="13322" width="12.125" style="150" customWidth="1"/>
    <col min="13323" max="13323" width="51.5" style="150" customWidth="1"/>
    <col min="13324" max="13335" width="12.125" style="150" customWidth="1"/>
    <col min="13336" max="13336" width="16.625" style="150" customWidth="1"/>
    <col min="13337" max="13339" width="9.75" style="150" customWidth="1"/>
    <col min="13340" max="13340" width="0" style="150" hidden="1" customWidth="1"/>
    <col min="13341" max="13341" width="6.5" style="150"/>
    <col min="13342" max="13342" width="20" style="150" bestFit="1" customWidth="1"/>
    <col min="13343" max="13343" width="6.5" style="150"/>
    <col min="13344" max="13344" width="16.625" style="150" bestFit="1" customWidth="1"/>
    <col min="13345" max="13345" width="14.5" style="150" bestFit="1" customWidth="1"/>
    <col min="13346" max="13346" width="16.625" style="150" bestFit="1" customWidth="1"/>
    <col min="13347" max="13564" width="6.5" style="150"/>
    <col min="13565" max="13565" width="40.25" style="150" customWidth="1"/>
    <col min="13566" max="13578" width="12.125" style="150" customWidth="1"/>
    <col min="13579" max="13579" width="51.5" style="150" customWidth="1"/>
    <col min="13580" max="13591" width="12.125" style="150" customWidth="1"/>
    <col min="13592" max="13592" width="16.625" style="150" customWidth="1"/>
    <col min="13593" max="13595" width="9.75" style="150" customWidth="1"/>
    <col min="13596" max="13596" width="0" style="150" hidden="1" customWidth="1"/>
    <col min="13597" max="13597" width="6.5" style="150"/>
    <col min="13598" max="13598" width="20" style="150" bestFit="1" customWidth="1"/>
    <col min="13599" max="13599" width="6.5" style="150"/>
    <col min="13600" max="13600" width="16.625" style="150" bestFit="1" customWidth="1"/>
    <col min="13601" max="13601" width="14.5" style="150" bestFit="1" customWidth="1"/>
    <col min="13602" max="13602" width="16.625" style="150" bestFit="1" customWidth="1"/>
    <col min="13603" max="13820" width="6.5" style="150"/>
    <col min="13821" max="13821" width="40.25" style="150" customWidth="1"/>
    <col min="13822" max="13834" width="12.125" style="150" customWidth="1"/>
    <col min="13835" max="13835" width="51.5" style="150" customWidth="1"/>
    <col min="13836" max="13847" width="12.125" style="150" customWidth="1"/>
    <col min="13848" max="13848" width="16.625" style="150" customWidth="1"/>
    <col min="13849" max="13851" width="9.75" style="150" customWidth="1"/>
    <col min="13852" max="13852" width="0" style="150" hidden="1" customWidth="1"/>
    <col min="13853" max="13853" width="6.5" style="150"/>
    <col min="13854" max="13854" width="20" style="150" bestFit="1" customWidth="1"/>
    <col min="13855" max="13855" width="6.5" style="150"/>
    <col min="13856" max="13856" width="16.625" style="150" bestFit="1" customWidth="1"/>
    <col min="13857" max="13857" width="14.5" style="150" bestFit="1" customWidth="1"/>
    <col min="13858" max="13858" width="16.625" style="150" bestFit="1" customWidth="1"/>
    <col min="13859" max="14076" width="6.5" style="150"/>
    <col min="14077" max="14077" width="40.25" style="150" customWidth="1"/>
    <col min="14078" max="14090" width="12.125" style="150" customWidth="1"/>
    <col min="14091" max="14091" width="51.5" style="150" customWidth="1"/>
    <col min="14092" max="14103" width="12.125" style="150" customWidth="1"/>
    <col min="14104" max="14104" width="16.625" style="150" customWidth="1"/>
    <col min="14105" max="14107" width="9.75" style="150" customWidth="1"/>
    <col min="14108" max="14108" width="0" style="150" hidden="1" customWidth="1"/>
    <col min="14109" max="14109" width="6.5" style="150"/>
    <col min="14110" max="14110" width="20" style="150" bestFit="1" customWidth="1"/>
    <col min="14111" max="14111" width="6.5" style="150"/>
    <col min="14112" max="14112" width="16.625" style="150" bestFit="1" customWidth="1"/>
    <col min="14113" max="14113" width="14.5" style="150" bestFit="1" customWidth="1"/>
    <col min="14114" max="14114" width="16.625" style="150" bestFit="1" customWidth="1"/>
    <col min="14115" max="14332" width="6.5" style="150"/>
    <col min="14333" max="14333" width="40.25" style="150" customWidth="1"/>
    <col min="14334" max="14346" width="12.125" style="150" customWidth="1"/>
    <col min="14347" max="14347" width="51.5" style="150" customWidth="1"/>
    <col min="14348" max="14359" width="12.125" style="150" customWidth="1"/>
    <col min="14360" max="14360" width="16.625" style="150" customWidth="1"/>
    <col min="14361" max="14363" width="9.75" style="150" customWidth="1"/>
    <col min="14364" max="14364" width="0" style="150" hidden="1" customWidth="1"/>
    <col min="14365" max="14365" width="6.5" style="150"/>
    <col min="14366" max="14366" width="20" style="150" bestFit="1" customWidth="1"/>
    <col min="14367" max="14367" width="6.5" style="150"/>
    <col min="14368" max="14368" width="16.625" style="150" bestFit="1" customWidth="1"/>
    <col min="14369" max="14369" width="14.5" style="150" bestFit="1" customWidth="1"/>
    <col min="14370" max="14370" width="16.625" style="150" bestFit="1" customWidth="1"/>
    <col min="14371" max="14588" width="6.5" style="150"/>
    <col min="14589" max="14589" width="40.25" style="150" customWidth="1"/>
    <col min="14590" max="14602" width="12.125" style="150" customWidth="1"/>
    <col min="14603" max="14603" width="51.5" style="150" customWidth="1"/>
    <col min="14604" max="14615" width="12.125" style="150" customWidth="1"/>
    <col min="14616" max="14616" width="16.625" style="150" customWidth="1"/>
    <col min="14617" max="14619" width="9.75" style="150" customWidth="1"/>
    <col min="14620" max="14620" width="0" style="150" hidden="1" customWidth="1"/>
    <col min="14621" max="14621" width="6.5" style="150"/>
    <col min="14622" max="14622" width="20" style="150" bestFit="1" customWidth="1"/>
    <col min="14623" max="14623" width="6.5" style="150"/>
    <col min="14624" max="14624" width="16.625" style="150" bestFit="1" customWidth="1"/>
    <col min="14625" max="14625" width="14.5" style="150" bestFit="1" customWidth="1"/>
    <col min="14626" max="14626" width="16.625" style="150" bestFit="1" customWidth="1"/>
    <col min="14627" max="14844" width="6.5" style="150"/>
    <col min="14845" max="14845" width="40.25" style="150" customWidth="1"/>
    <col min="14846" max="14858" width="12.125" style="150" customWidth="1"/>
    <col min="14859" max="14859" width="51.5" style="150" customWidth="1"/>
    <col min="14860" max="14871" width="12.125" style="150" customWidth="1"/>
    <col min="14872" max="14872" width="16.625" style="150" customWidth="1"/>
    <col min="14873" max="14875" width="9.75" style="150" customWidth="1"/>
    <col min="14876" max="14876" width="0" style="150" hidden="1" customWidth="1"/>
    <col min="14877" max="14877" width="6.5" style="150"/>
    <col min="14878" max="14878" width="20" style="150" bestFit="1" customWidth="1"/>
    <col min="14879" max="14879" width="6.5" style="150"/>
    <col min="14880" max="14880" width="16.625" style="150" bestFit="1" customWidth="1"/>
    <col min="14881" max="14881" width="14.5" style="150" bestFit="1" customWidth="1"/>
    <col min="14882" max="14882" width="16.625" style="150" bestFit="1" customWidth="1"/>
    <col min="14883" max="15100" width="6.5" style="150"/>
    <col min="15101" max="15101" width="40.25" style="150" customWidth="1"/>
    <col min="15102" max="15114" width="12.125" style="150" customWidth="1"/>
    <col min="15115" max="15115" width="51.5" style="150" customWidth="1"/>
    <col min="15116" max="15127" width="12.125" style="150" customWidth="1"/>
    <col min="15128" max="15128" width="16.625" style="150" customWidth="1"/>
    <col min="15129" max="15131" width="9.75" style="150" customWidth="1"/>
    <col min="15132" max="15132" width="0" style="150" hidden="1" customWidth="1"/>
    <col min="15133" max="15133" width="6.5" style="150"/>
    <col min="15134" max="15134" width="20" style="150" bestFit="1" customWidth="1"/>
    <col min="15135" max="15135" width="6.5" style="150"/>
    <col min="15136" max="15136" width="16.625" style="150" bestFit="1" customWidth="1"/>
    <col min="15137" max="15137" width="14.5" style="150" bestFit="1" customWidth="1"/>
    <col min="15138" max="15138" width="16.625" style="150" bestFit="1" customWidth="1"/>
    <col min="15139" max="15356" width="6.5" style="150"/>
    <col min="15357" max="15357" width="40.25" style="150" customWidth="1"/>
    <col min="15358" max="15370" width="12.125" style="150" customWidth="1"/>
    <col min="15371" max="15371" width="51.5" style="150" customWidth="1"/>
    <col min="15372" max="15383" width="12.125" style="150" customWidth="1"/>
    <col min="15384" max="15384" width="16.625" style="150" customWidth="1"/>
    <col min="15385" max="15387" width="9.75" style="150" customWidth="1"/>
    <col min="15388" max="15388" width="0" style="150" hidden="1" customWidth="1"/>
    <col min="15389" max="15389" width="6.5" style="150"/>
    <col min="15390" max="15390" width="20" style="150" bestFit="1" customWidth="1"/>
    <col min="15391" max="15391" width="6.5" style="150"/>
    <col min="15392" max="15392" width="16.625" style="150" bestFit="1" customWidth="1"/>
    <col min="15393" max="15393" width="14.5" style="150" bestFit="1" customWidth="1"/>
    <col min="15394" max="15394" width="16.625" style="150" bestFit="1" customWidth="1"/>
    <col min="15395" max="15612" width="6.5" style="150"/>
    <col min="15613" max="15613" width="40.25" style="150" customWidth="1"/>
    <col min="15614" max="15626" width="12.125" style="150" customWidth="1"/>
    <col min="15627" max="15627" width="51.5" style="150" customWidth="1"/>
    <col min="15628" max="15639" width="12.125" style="150" customWidth="1"/>
    <col min="15640" max="15640" width="16.625" style="150" customWidth="1"/>
    <col min="15641" max="15643" width="9.75" style="150" customWidth="1"/>
    <col min="15644" max="15644" width="0" style="150" hidden="1" customWidth="1"/>
    <col min="15645" max="15645" width="6.5" style="150"/>
    <col min="15646" max="15646" width="20" style="150" bestFit="1" customWidth="1"/>
    <col min="15647" max="15647" width="6.5" style="150"/>
    <col min="15648" max="15648" width="16.625" style="150" bestFit="1" customWidth="1"/>
    <col min="15649" max="15649" width="14.5" style="150" bestFit="1" customWidth="1"/>
    <col min="15650" max="15650" width="16.625" style="150" bestFit="1" customWidth="1"/>
    <col min="15651" max="15868" width="6.5" style="150"/>
    <col min="15869" max="15869" width="40.25" style="150" customWidth="1"/>
    <col min="15870" max="15882" width="12.125" style="150" customWidth="1"/>
    <col min="15883" max="15883" width="51.5" style="150" customWidth="1"/>
    <col min="15884" max="15895" width="12.125" style="150" customWidth="1"/>
    <col min="15896" max="15896" width="16.625" style="150" customWidth="1"/>
    <col min="15897" max="15899" width="9.75" style="150" customWidth="1"/>
    <col min="15900" max="15900" width="0" style="150" hidden="1" customWidth="1"/>
    <col min="15901" max="15901" width="6.5" style="150"/>
    <col min="15902" max="15902" width="20" style="150" bestFit="1" customWidth="1"/>
    <col min="15903" max="15903" width="6.5" style="150"/>
    <col min="15904" max="15904" width="16.625" style="150" bestFit="1" customWidth="1"/>
    <col min="15905" max="15905" width="14.5" style="150" bestFit="1" customWidth="1"/>
    <col min="15906" max="15906" width="16.625" style="150" bestFit="1" customWidth="1"/>
    <col min="15907" max="16124" width="6.5" style="150"/>
    <col min="16125" max="16125" width="40.25" style="150" customWidth="1"/>
    <col min="16126" max="16138" width="12.125" style="150" customWidth="1"/>
    <col min="16139" max="16139" width="51.5" style="150" customWidth="1"/>
    <col min="16140" max="16151" width="12.125" style="150" customWidth="1"/>
    <col min="16152" max="16152" width="16.625" style="150" customWidth="1"/>
    <col min="16153" max="16155" width="9.75" style="150" customWidth="1"/>
    <col min="16156" max="16156" width="0" style="150" hidden="1" customWidth="1"/>
    <col min="16157" max="16157" width="6.5" style="150"/>
    <col min="16158" max="16158" width="20" style="150" bestFit="1" customWidth="1"/>
    <col min="16159" max="16159" width="6.5" style="150"/>
    <col min="16160" max="16160" width="16.625" style="150" bestFit="1" customWidth="1"/>
    <col min="16161" max="16161" width="14.5" style="150" bestFit="1" customWidth="1"/>
    <col min="16162" max="16162" width="16.625" style="150" bestFit="1" customWidth="1"/>
    <col min="16163" max="16384" width="6.5" style="150"/>
  </cols>
  <sheetData>
    <row r="1" spans="1:34" ht="86.25" customHeight="1">
      <c r="B1" s="337" t="s">
        <v>65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151"/>
    </row>
    <row r="2" spans="1:34" ht="20.25">
      <c r="B2" s="152"/>
      <c r="C2" s="153"/>
      <c r="D2" s="153"/>
      <c r="E2" s="153"/>
      <c r="F2" s="153"/>
      <c r="G2" s="153"/>
      <c r="H2" s="154"/>
      <c r="I2" s="154"/>
      <c r="J2" s="154"/>
      <c r="K2" s="154"/>
      <c r="L2" s="154"/>
      <c r="M2" s="153"/>
      <c r="N2" s="153"/>
      <c r="O2" s="153"/>
      <c r="P2" s="155"/>
      <c r="Q2" s="153"/>
      <c r="R2" s="153"/>
      <c r="S2" s="153"/>
      <c r="T2" s="156"/>
      <c r="U2" s="153"/>
      <c r="V2" s="154"/>
      <c r="W2" s="154"/>
      <c r="X2" s="153"/>
      <c r="Y2" s="153"/>
      <c r="Z2" s="154"/>
      <c r="AA2" s="154"/>
      <c r="AB2" s="153"/>
      <c r="AC2" s="153"/>
      <c r="AD2" s="153"/>
      <c r="AE2" s="153"/>
      <c r="AF2" s="153"/>
      <c r="AG2" s="151"/>
    </row>
    <row r="3" spans="1:34" s="160" customFormat="1" ht="25.35" customHeight="1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8" t="s">
        <v>66</v>
      </c>
      <c r="AG3" s="159"/>
    </row>
    <row r="4" spans="1:34" ht="41.25" customHeight="1">
      <c r="B4" s="338" t="s">
        <v>67</v>
      </c>
      <c r="C4" s="340" t="s">
        <v>68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343" t="s">
        <v>67</v>
      </c>
      <c r="Q4" s="345" t="s">
        <v>69</v>
      </c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7"/>
      <c r="AD4" s="348" t="s">
        <v>70</v>
      </c>
      <c r="AE4" s="349"/>
      <c r="AF4" s="350"/>
      <c r="AG4" s="151"/>
    </row>
    <row r="5" spans="1:34" ht="42.75" customHeight="1" thickBot="1">
      <c r="B5" s="339"/>
      <c r="C5" s="161" t="s">
        <v>71</v>
      </c>
      <c r="D5" s="161" t="s">
        <v>72</v>
      </c>
      <c r="E5" s="161" t="s">
        <v>73</v>
      </c>
      <c r="F5" s="161" t="s">
        <v>74</v>
      </c>
      <c r="G5" s="161" t="s">
        <v>75</v>
      </c>
      <c r="H5" s="161" t="s">
        <v>76</v>
      </c>
      <c r="I5" s="161" t="s">
        <v>77</v>
      </c>
      <c r="J5" s="161" t="s">
        <v>78</v>
      </c>
      <c r="K5" s="162" t="s">
        <v>79</v>
      </c>
      <c r="L5" s="162" t="s">
        <v>80</v>
      </c>
      <c r="M5" s="162" t="s">
        <v>81</v>
      </c>
      <c r="N5" s="162" t="s">
        <v>82</v>
      </c>
      <c r="O5" s="163" t="s">
        <v>83</v>
      </c>
      <c r="P5" s="344"/>
      <c r="Q5" s="161" t="s">
        <v>71</v>
      </c>
      <c r="R5" s="161" t="s">
        <v>72</v>
      </c>
      <c r="S5" s="161" t="s">
        <v>73</v>
      </c>
      <c r="T5" s="161" t="s">
        <v>74</v>
      </c>
      <c r="U5" s="161" t="s">
        <v>75</v>
      </c>
      <c r="V5" s="161" t="s">
        <v>84</v>
      </c>
      <c r="W5" s="161" t="s">
        <v>77</v>
      </c>
      <c r="X5" s="161" t="s">
        <v>78</v>
      </c>
      <c r="Y5" s="162" t="s">
        <v>79</v>
      </c>
      <c r="Z5" s="162" t="s">
        <v>80</v>
      </c>
      <c r="AA5" s="162" t="s">
        <v>81</v>
      </c>
      <c r="AB5" s="162" t="s">
        <v>82</v>
      </c>
      <c r="AC5" s="164" t="s">
        <v>83</v>
      </c>
      <c r="AD5" s="351"/>
      <c r="AE5" s="352"/>
      <c r="AF5" s="353"/>
      <c r="AG5" s="151"/>
    </row>
    <row r="6" spans="1:34" ht="42.75" customHeight="1">
      <c r="B6" s="165" t="s">
        <v>85</v>
      </c>
      <c r="C6" s="166">
        <f t="shared" ref="C6:N6" si="0">SUM(C7+C11+C13+C10)</f>
        <v>1833686.5100000002</v>
      </c>
      <c r="D6" s="166">
        <f t="shared" si="0"/>
        <v>1041784.67</v>
      </c>
      <c r="E6" s="166">
        <f t="shared" si="0"/>
        <v>1431830.3400000003</v>
      </c>
      <c r="F6" s="166">
        <f t="shared" si="0"/>
        <v>1426209.21</v>
      </c>
      <c r="G6" s="166">
        <f t="shared" si="0"/>
        <v>1768590.6399999997</v>
      </c>
      <c r="H6" s="166">
        <f t="shared" si="0"/>
        <v>1582074.7799999998</v>
      </c>
      <c r="I6" s="166">
        <f t="shared" si="0"/>
        <v>1367040.0599999998</v>
      </c>
      <c r="J6" s="166">
        <f t="shared" si="0"/>
        <v>944028.97</v>
      </c>
      <c r="K6" s="166">
        <f t="shared" si="0"/>
        <v>1316820.726908613</v>
      </c>
      <c r="L6" s="166">
        <f t="shared" si="0"/>
        <v>1452889.4131450457</v>
      </c>
      <c r="M6" s="166">
        <f t="shared" si="0"/>
        <v>2547365.6131880935</v>
      </c>
      <c r="N6" s="166">
        <f t="shared" si="0"/>
        <v>2495931.0888890545</v>
      </c>
      <c r="O6" s="166">
        <f t="shared" ref="O6:O23" si="1">SUM(C6:N6)</f>
        <v>19208252.022130806</v>
      </c>
      <c r="P6" s="167" t="s">
        <v>86</v>
      </c>
      <c r="Q6" s="168">
        <f t="shared" ref="Q6:AB6" si="2">Q8+Q9+Q10</f>
        <v>1704244.47</v>
      </c>
      <c r="R6" s="168">
        <f t="shared" si="2"/>
        <v>620846.68999999994</v>
      </c>
      <c r="S6" s="168">
        <f t="shared" si="2"/>
        <v>45649.9</v>
      </c>
      <c r="T6" s="168">
        <f t="shared" si="2"/>
        <v>38278.120000000003</v>
      </c>
      <c r="U6" s="168">
        <f t="shared" si="2"/>
        <v>121740.23</v>
      </c>
      <c r="V6" s="168">
        <f t="shared" si="2"/>
        <v>570133.94999999995</v>
      </c>
      <c r="W6" s="168">
        <f t="shared" si="2"/>
        <v>522070.26</v>
      </c>
      <c r="X6" s="168">
        <f t="shared" si="2"/>
        <v>216468.58000000002</v>
      </c>
      <c r="Y6" s="168">
        <f t="shared" si="2"/>
        <v>345435</v>
      </c>
      <c r="Z6" s="168">
        <f t="shared" si="2"/>
        <v>0</v>
      </c>
      <c r="AA6" s="168">
        <f t="shared" si="2"/>
        <v>0</v>
      </c>
      <c r="AB6" s="168">
        <f t="shared" si="2"/>
        <v>0</v>
      </c>
      <c r="AC6" s="168">
        <f>SUM(AC7:AC11)</f>
        <v>4184867.2</v>
      </c>
      <c r="AD6" s="319"/>
      <c r="AE6" s="320"/>
      <c r="AF6" s="321"/>
      <c r="AG6" s="151"/>
      <c r="AH6" s="169"/>
    </row>
    <row r="7" spans="1:34" ht="42.75" customHeight="1">
      <c r="B7" s="170" t="s">
        <v>87</v>
      </c>
      <c r="C7" s="171">
        <f t="shared" ref="C7:N7" si="3">SUM(C8:C9)</f>
        <v>72576.320000000007</v>
      </c>
      <c r="D7" s="171">
        <f t="shared" si="3"/>
        <v>35933.78</v>
      </c>
      <c r="E7" s="171">
        <f t="shared" si="3"/>
        <v>74569.539999999994</v>
      </c>
      <c r="F7" s="171">
        <f t="shared" si="3"/>
        <v>130908.91</v>
      </c>
      <c r="G7" s="171">
        <f t="shared" si="3"/>
        <v>106814.73</v>
      </c>
      <c r="H7" s="171">
        <f t="shared" si="3"/>
        <v>80713.959999999992</v>
      </c>
      <c r="I7" s="171">
        <f t="shared" si="3"/>
        <v>117466.77999999998</v>
      </c>
      <c r="J7" s="171">
        <f t="shared" si="3"/>
        <v>62309.1</v>
      </c>
      <c r="K7" s="171">
        <f t="shared" si="3"/>
        <v>180000</v>
      </c>
      <c r="L7" s="171">
        <f t="shared" si="3"/>
        <v>135000</v>
      </c>
      <c r="M7" s="171">
        <f t="shared" si="3"/>
        <v>53550</v>
      </c>
      <c r="N7" s="171">
        <f t="shared" si="3"/>
        <v>53550</v>
      </c>
      <c r="O7" s="171">
        <f t="shared" si="1"/>
        <v>1103393.1200000001</v>
      </c>
      <c r="P7" s="172"/>
      <c r="Q7" s="173"/>
      <c r="R7" s="173"/>
      <c r="S7" s="174"/>
      <c r="T7" s="174"/>
      <c r="U7" s="174"/>
      <c r="V7" s="173"/>
      <c r="W7" s="173"/>
      <c r="X7" s="173"/>
      <c r="Y7" s="173"/>
      <c r="Z7" s="173"/>
      <c r="AA7" s="173"/>
      <c r="AB7" s="173"/>
      <c r="AC7" s="173">
        <f t="shared" ref="AC7:AC16" si="4">SUM(Q7:AB7)</f>
        <v>0</v>
      </c>
      <c r="AD7" s="322"/>
      <c r="AE7" s="323"/>
      <c r="AF7" s="324"/>
      <c r="AG7" s="151"/>
    </row>
    <row r="8" spans="1:34" ht="42.75" customHeight="1">
      <c r="B8" s="175" t="s">
        <v>88</v>
      </c>
      <c r="C8" s="176">
        <v>72576.320000000007</v>
      </c>
      <c r="D8" s="176">
        <v>35933.78</v>
      </c>
      <c r="E8" s="176">
        <v>74569.539999999994</v>
      </c>
      <c r="F8" s="176">
        <v>130908.91</v>
      </c>
      <c r="G8" s="176">
        <v>106814.73</v>
      </c>
      <c r="H8" s="176">
        <v>80713.959999999992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>
        <v>0</v>
      </c>
      <c r="O8" s="176">
        <f t="shared" si="1"/>
        <v>501517.24</v>
      </c>
      <c r="P8" s="177"/>
      <c r="Q8" s="178"/>
      <c r="R8" s="178"/>
      <c r="S8" s="179"/>
      <c r="T8" s="179"/>
      <c r="U8" s="179"/>
      <c r="V8" s="178"/>
      <c r="W8" s="178"/>
      <c r="X8" s="178"/>
      <c r="Y8" s="178"/>
      <c r="Z8" s="178"/>
      <c r="AA8" s="178"/>
      <c r="AB8" s="178"/>
      <c r="AC8" s="173">
        <f t="shared" si="4"/>
        <v>0</v>
      </c>
      <c r="AD8" s="325"/>
      <c r="AE8" s="326"/>
      <c r="AF8" s="327"/>
      <c r="AG8" s="151"/>
    </row>
    <row r="9" spans="1:34" ht="42.75" customHeight="1">
      <c r="B9" s="175" t="s">
        <v>89</v>
      </c>
      <c r="C9" s="176"/>
      <c r="D9" s="176"/>
      <c r="E9" s="176"/>
      <c r="F9" s="176"/>
      <c r="G9" s="176"/>
      <c r="H9" s="176"/>
      <c r="I9" s="176">
        <v>117466.77999999998</v>
      </c>
      <c r="J9" s="180">
        <f>SUM('[3]August CF'!HK17:HK18)</f>
        <v>62309.1</v>
      </c>
      <c r="K9" s="306">
        <f>'[4]STO P&amp;L'!AL27*0.9</f>
        <v>180000</v>
      </c>
      <c r="L9" s="180">
        <f>'[4]STO P&amp;L'!AM27*0.9</f>
        <v>135000</v>
      </c>
      <c r="M9" s="180">
        <f>'[4]STO P&amp;L'!AN27*0.9</f>
        <v>53550</v>
      </c>
      <c r="N9" s="180">
        <f>'[4]STO P&amp;L'!AO27*0.9</f>
        <v>53550</v>
      </c>
      <c r="O9" s="176">
        <f t="shared" si="1"/>
        <v>601875.88</v>
      </c>
      <c r="P9" s="177" t="s">
        <v>90</v>
      </c>
      <c r="Q9" s="173">
        <v>1704244.47</v>
      </c>
      <c r="R9" s="173">
        <v>620846.68999999994</v>
      </c>
      <c r="S9" s="174">
        <v>45649.9</v>
      </c>
      <c r="T9" s="174">
        <v>38278.120000000003</v>
      </c>
      <c r="U9" s="181">
        <v>121740.23</v>
      </c>
      <c r="V9" s="180">
        <v>570133.94999999995</v>
      </c>
      <c r="W9" s="180">
        <v>522070.26</v>
      </c>
      <c r="X9" s="180">
        <f>SUM('[3]August CF'!HK23:HK28)</f>
        <v>216468.58000000002</v>
      </c>
      <c r="Y9" s="180">
        <v>345435</v>
      </c>
      <c r="Z9" s="180"/>
      <c r="AA9" s="180"/>
      <c r="AB9" s="180">
        <v>0</v>
      </c>
      <c r="AC9" s="173">
        <f t="shared" si="4"/>
        <v>4184867.2</v>
      </c>
      <c r="AD9" s="310"/>
      <c r="AE9" s="311"/>
      <c r="AF9" s="312"/>
      <c r="AG9" s="185"/>
    </row>
    <row r="10" spans="1:34" ht="42.75" customHeight="1">
      <c r="B10" s="170" t="s">
        <v>91</v>
      </c>
      <c r="C10" s="171">
        <v>380655.78</v>
      </c>
      <c r="D10" s="171">
        <v>4889.2</v>
      </c>
      <c r="E10" s="171">
        <v>4769.3500000000004</v>
      </c>
      <c r="F10" s="171">
        <v>145516.22</v>
      </c>
      <c r="G10" s="171">
        <v>4805.8999999999996</v>
      </c>
      <c r="H10" s="186">
        <v>0</v>
      </c>
      <c r="I10" s="171">
        <v>9424.380000000001</v>
      </c>
      <c r="J10" s="171">
        <f>'[3]August CF'!HK19</f>
        <v>4819.08</v>
      </c>
      <c r="K10" s="307">
        <v>4632.5</v>
      </c>
      <c r="L10" s="171">
        <v>4632.5</v>
      </c>
      <c r="M10" s="171">
        <v>4632.5</v>
      </c>
      <c r="N10" s="171">
        <v>4632.5</v>
      </c>
      <c r="O10" s="171">
        <f t="shared" si="1"/>
        <v>573409.91</v>
      </c>
      <c r="P10" s="177" t="s">
        <v>92</v>
      </c>
      <c r="Q10" s="178"/>
      <c r="R10" s="178"/>
      <c r="S10" s="179"/>
      <c r="T10" s="179"/>
      <c r="U10" s="179"/>
      <c r="V10" s="178"/>
      <c r="W10" s="178"/>
      <c r="X10" s="178"/>
      <c r="Y10" s="178"/>
      <c r="Z10" s="178"/>
      <c r="AA10" s="178"/>
      <c r="AB10" s="178"/>
      <c r="AC10" s="173">
        <f t="shared" si="4"/>
        <v>0</v>
      </c>
      <c r="AD10" s="328"/>
      <c r="AE10" s="329"/>
      <c r="AF10" s="330"/>
      <c r="AG10" s="151"/>
    </row>
    <row r="11" spans="1:34" ht="42.75" customHeight="1">
      <c r="B11" s="170" t="s">
        <v>93</v>
      </c>
      <c r="C11" s="187">
        <f t="shared" ref="C11:N11" si="5">C12</f>
        <v>1379838.9400000002</v>
      </c>
      <c r="D11" s="187">
        <f t="shared" si="5"/>
        <v>995637.87000000011</v>
      </c>
      <c r="E11" s="187">
        <f t="shared" si="5"/>
        <v>1167046.9000000001</v>
      </c>
      <c r="F11" s="187">
        <f t="shared" si="5"/>
        <v>1149219.57</v>
      </c>
      <c r="G11" s="187">
        <f t="shared" si="5"/>
        <v>1500251.65</v>
      </c>
      <c r="H11" s="188">
        <f t="shared" si="5"/>
        <v>1498842.15</v>
      </c>
      <c r="I11" s="187">
        <f t="shared" si="5"/>
        <v>1239576.1199999999</v>
      </c>
      <c r="J11" s="187">
        <f t="shared" si="5"/>
        <v>876111.89</v>
      </c>
      <c r="K11" s="308">
        <f t="shared" si="5"/>
        <v>1132188.226908613</v>
      </c>
      <c r="L11" s="187">
        <f t="shared" si="5"/>
        <v>1313256.9131450457</v>
      </c>
      <c r="M11" s="187">
        <f t="shared" si="5"/>
        <v>2489183.1131880935</v>
      </c>
      <c r="N11" s="187">
        <f t="shared" si="5"/>
        <v>2437748.5888890545</v>
      </c>
      <c r="O11" s="187">
        <f t="shared" si="1"/>
        <v>17178901.932130806</v>
      </c>
      <c r="P11" s="177"/>
      <c r="Q11" s="173"/>
      <c r="R11" s="173"/>
      <c r="S11" s="174"/>
      <c r="T11" s="174"/>
      <c r="U11" s="174"/>
      <c r="V11" s="173"/>
      <c r="W11" s="173"/>
      <c r="X11" s="173"/>
      <c r="Y11" s="173"/>
      <c r="Z11" s="173"/>
      <c r="AA11" s="173"/>
      <c r="AB11" s="173"/>
      <c r="AC11" s="173">
        <f t="shared" si="4"/>
        <v>0</v>
      </c>
      <c r="AD11" s="325"/>
      <c r="AE11" s="326"/>
      <c r="AF11" s="327"/>
      <c r="AG11" s="151"/>
    </row>
    <row r="12" spans="1:34" ht="42.75" customHeight="1">
      <c r="B12" s="189" t="s">
        <v>94</v>
      </c>
      <c r="C12" s="190">
        <v>1379838.9400000002</v>
      </c>
      <c r="D12" s="176">
        <v>995637.87000000011</v>
      </c>
      <c r="E12" s="176">
        <v>1167046.9000000001</v>
      </c>
      <c r="F12" s="176">
        <v>1149219.57</v>
      </c>
      <c r="G12" s="176">
        <v>1500251.65</v>
      </c>
      <c r="H12" s="176">
        <v>1498842.15</v>
      </c>
      <c r="I12" s="180">
        <v>1239576.1199999999</v>
      </c>
      <c r="J12" s="180">
        <f>SUM('[3]August CF'!HK11:HK16)</f>
        <v>876111.89</v>
      </c>
      <c r="K12" s="180">
        <f>('[4]STO P&amp;L'!AL22*0.91)+('[4]STO P&amp;L'!AL23*0.7)</f>
        <v>1132188.226908613</v>
      </c>
      <c r="L12" s="180">
        <f>('[4]STO P&amp;L'!AM22*0.91)+('[4]STO P&amp;L'!AM23*0.7)</f>
        <v>1313256.9131450457</v>
      </c>
      <c r="M12" s="180">
        <f>('[4]STO P&amp;L'!AN22*0.91)+('[4]STO P&amp;L'!AN23*0.7)</f>
        <v>2489183.1131880935</v>
      </c>
      <c r="N12" s="180">
        <f>('[4]STO P&amp;L'!AO22*0.91)+('[4]STO P&amp;L'!AO23*0.7)</f>
        <v>2437748.5888890545</v>
      </c>
      <c r="O12" s="190">
        <f t="shared" si="1"/>
        <v>17178901.932130806</v>
      </c>
      <c r="P12" s="191" t="s">
        <v>95</v>
      </c>
      <c r="Q12" s="192">
        <f t="shared" ref="Q12:AB12" si="6">Q13+Q14+Q15</f>
        <v>0</v>
      </c>
      <c r="R12" s="192">
        <f t="shared" si="6"/>
        <v>0</v>
      </c>
      <c r="S12" s="192">
        <f t="shared" si="6"/>
        <v>0</v>
      </c>
      <c r="T12" s="192">
        <f t="shared" si="6"/>
        <v>0</v>
      </c>
      <c r="U12" s="192">
        <f t="shared" si="6"/>
        <v>0</v>
      </c>
      <c r="V12" s="192">
        <f t="shared" si="6"/>
        <v>0</v>
      </c>
      <c r="W12" s="192">
        <f t="shared" si="6"/>
        <v>0</v>
      </c>
      <c r="X12" s="192">
        <f t="shared" si="6"/>
        <v>0</v>
      </c>
      <c r="Y12" s="192">
        <f t="shared" si="6"/>
        <v>0</v>
      </c>
      <c r="Z12" s="192">
        <f t="shared" si="6"/>
        <v>0</v>
      </c>
      <c r="AA12" s="192">
        <f t="shared" si="6"/>
        <v>0</v>
      </c>
      <c r="AB12" s="192">
        <f t="shared" si="6"/>
        <v>0</v>
      </c>
      <c r="AC12" s="192">
        <f t="shared" si="4"/>
        <v>0</v>
      </c>
      <c r="AD12" s="331"/>
      <c r="AE12" s="332"/>
      <c r="AF12" s="333"/>
      <c r="AG12" s="151"/>
    </row>
    <row r="13" spans="1:34" ht="42.75" customHeight="1">
      <c r="B13" s="170" t="s">
        <v>96</v>
      </c>
      <c r="C13" s="187">
        <f t="shared" ref="C13:N13" si="7">SUM(C14:C15)</f>
        <v>615.47</v>
      </c>
      <c r="D13" s="187">
        <f t="shared" si="7"/>
        <v>5323.82</v>
      </c>
      <c r="E13" s="187">
        <f t="shared" si="7"/>
        <v>185444.55</v>
      </c>
      <c r="F13" s="187">
        <f t="shared" si="7"/>
        <v>564.51</v>
      </c>
      <c r="G13" s="187">
        <f t="shared" si="7"/>
        <v>156718.35999999999</v>
      </c>
      <c r="H13" s="188">
        <f t="shared" si="7"/>
        <v>2518.67</v>
      </c>
      <c r="I13" s="188">
        <f t="shared" si="7"/>
        <v>572.78</v>
      </c>
      <c r="J13" s="187">
        <f t="shared" si="7"/>
        <v>788.90000000000009</v>
      </c>
      <c r="K13" s="187">
        <f t="shared" si="7"/>
        <v>0</v>
      </c>
      <c r="L13" s="187">
        <f t="shared" si="7"/>
        <v>0</v>
      </c>
      <c r="M13" s="187">
        <f t="shared" si="7"/>
        <v>0</v>
      </c>
      <c r="N13" s="187">
        <f t="shared" si="7"/>
        <v>0</v>
      </c>
      <c r="O13" s="187">
        <f t="shared" si="1"/>
        <v>352547.06</v>
      </c>
      <c r="P13" s="177" t="s">
        <v>97</v>
      </c>
      <c r="Q13" s="178">
        <v>0</v>
      </c>
      <c r="R13" s="178">
        <v>0</v>
      </c>
      <c r="S13" s="179">
        <v>0</v>
      </c>
      <c r="T13" s="179">
        <v>0</v>
      </c>
      <c r="U13" s="179">
        <v>0</v>
      </c>
      <c r="V13" s="178"/>
      <c r="W13" s="178"/>
      <c r="X13" s="178"/>
      <c r="Y13" s="178"/>
      <c r="Z13" s="178"/>
      <c r="AA13" s="178"/>
      <c r="AB13" s="178"/>
      <c r="AC13" s="173">
        <f t="shared" si="4"/>
        <v>0</v>
      </c>
      <c r="AD13" s="334"/>
      <c r="AE13" s="335"/>
      <c r="AF13" s="336"/>
      <c r="AG13" s="151"/>
    </row>
    <row r="14" spans="1:34" ht="42.75" customHeight="1">
      <c r="B14" s="189" t="s">
        <v>98</v>
      </c>
      <c r="C14" s="190"/>
      <c r="D14" s="190"/>
      <c r="E14" s="190"/>
      <c r="F14" s="190"/>
      <c r="G14" s="190"/>
      <c r="H14" s="190"/>
      <c r="I14" s="193"/>
      <c r="J14" s="190"/>
      <c r="K14" s="190"/>
      <c r="L14" s="190"/>
      <c r="M14" s="190"/>
      <c r="N14" s="190"/>
      <c r="O14" s="190">
        <f t="shared" si="1"/>
        <v>0</v>
      </c>
      <c r="P14" s="177" t="s">
        <v>99</v>
      </c>
      <c r="Q14" s="178">
        <v>0</v>
      </c>
      <c r="R14" s="178">
        <v>0</v>
      </c>
      <c r="S14" s="178">
        <v>0</v>
      </c>
      <c r="T14" s="178">
        <v>0</v>
      </c>
      <c r="U14" s="178">
        <v>0</v>
      </c>
      <c r="V14" s="178"/>
      <c r="W14" s="178"/>
      <c r="X14" s="178"/>
      <c r="Y14" s="178"/>
      <c r="Z14" s="178"/>
      <c r="AA14" s="178"/>
      <c r="AB14" s="178"/>
      <c r="AC14" s="173">
        <f t="shared" si="4"/>
        <v>0</v>
      </c>
      <c r="AD14" s="334"/>
      <c r="AE14" s="335"/>
      <c r="AF14" s="336"/>
      <c r="AG14" s="151"/>
    </row>
    <row r="15" spans="1:34" ht="42.75" customHeight="1">
      <c r="B15" s="194" t="s">
        <v>100</v>
      </c>
      <c r="C15" s="195">
        <v>615.47</v>
      </c>
      <c r="D15" s="195">
        <v>5323.82</v>
      </c>
      <c r="E15" s="195">
        <v>185444.55</v>
      </c>
      <c r="F15" s="195">
        <v>564.51</v>
      </c>
      <c r="G15" s="195">
        <v>156718.35999999999</v>
      </c>
      <c r="H15" s="195">
        <v>2518.67</v>
      </c>
      <c r="I15" s="195">
        <v>572.78</v>
      </c>
      <c r="J15" s="195">
        <f>SUM('[3]August CF'!HK20,'[3]August CF'!HK73)</f>
        <v>788.90000000000009</v>
      </c>
      <c r="K15" s="195">
        <v>0</v>
      </c>
      <c r="L15" s="196"/>
      <c r="M15" s="195">
        <v>0</v>
      </c>
      <c r="N15" s="195">
        <v>0</v>
      </c>
      <c r="O15" s="195">
        <f t="shared" si="1"/>
        <v>352547.06</v>
      </c>
      <c r="P15" s="197" t="s">
        <v>101</v>
      </c>
      <c r="Q15" s="178">
        <v>0</v>
      </c>
      <c r="R15" s="178">
        <v>0</v>
      </c>
      <c r="S15" s="178">
        <v>0</v>
      </c>
      <c r="T15" s="178">
        <v>0</v>
      </c>
      <c r="U15" s="178">
        <v>0</v>
      </c>
      <c r="V15" s="178"/>
      <c r="W15" s="178"/>
      <c r="X15" s="178"/>
      <c r="Y15" s="178"/>
      <c r="Z15" s="178"/>
      <c r="AA15" s="178"/>
      <c r="AB15" s="178"/>
      <c r="AC15" s="173">
        <f t="shared" si="4"/>
        <v>0</v>
      </c>
      <c r="AD15" s="334"/>
      <c r="AE15" s="335"/>
      <c r="AF15" s="336"/>
      <c r="AG15" s="151"/>
    </row>
    <row r="16" spans="1:34" s="198" customFormat="1" ht="42.75" customHeight="1">
      <c r="B16" s="199" t="s">
        <v>102</v>
      </c>
      <c r="C16" s="200">
        <f t="shared" ref="C16:N16" si="8">+C17+C18</f>
        <v>0</v>
      </c>
      <c r="D16" s="200">
        <f t="shared" si="8"/>
        <v>18273326.960000001</v>
      </c>
      <c r="E16" s="200">
        <f t="shared" si="8"/>
        <v>0</v>
      </c>
      <c r="F16" s="200">
        <f t="shared" si="8"/>
        <v>0</v>
      </c>
      <c r="G16" s="200">
        <f t="shared" si="8"/>
        <v>0</v>
      </c>
      <c r="H16" s="200">
        <f t="shared" si="8"/>
        <v>0</v>
      </c>
      <c r="I16" s="200">
        <f t="shared" si="8"/>
        <v>0</v>
      </c>
      <c r="J16" s="200">
        <f t="shared" si="8"/>
        <v>0</v>
      </c>
      <c r="K16" s="200">
        <f t="shared" si="8"/>
        <v>0</v>
      </c>
      <c r="L16" s="200">
        <f t="shared" si="8"/>
        <v>0</v>
      </c>
      <c r="M16" s="200">
        <f t="shared" si="8"/>
        <v>0</v>
      </c>
      <c r="N16" s="200">
        <f t="shared" si="8"/>
        <v>4000000</v>
      </c>
      <c r="O16" s="200">
        <f t="shared" si="1"/>
        <v>22273326.960000001</v>
      </c>
      <c r="P16" s="201" t="s">
        <v>103</v>
      </c>
      <c r="Q16" s="192">
        <f t="shared" ref="Q16:AB16" si="9">Q17+Q33</f>
        <v>2817979.16</v>
      </c>
      <c r="R16" s="192">
        <f t="shared" si="9"/>
        <v>21006778.609999999</v>
      </c>
      <c r="S16" s="192">
        <f t="shared" si="9"/>
        <v>1490294.23</v>
      </c>
      <c r="T16" s="192">
        <f t="shared" si="9"/>
        <v>1394289.22</v>
      </c>
      <c r="U16" s="192">
        <f t="shared" si="9"/>
        <v>1335558.5599999998</v>
      </c>
      <c r="V16" s="192">
        <f t="shared" si="9"/>
        <v>1341596.67</v>
      </c>
      <c r="W16" s="192">
        <f t="shared" si="9"/>
        <v>1685670.91</v>
      </c>
      <c r="X16" s="192">
        <f t="shared" si="9"/>
        <v>1508888.41</v>
      </c>
      <c r="Y16" s="192">
        <f t="shared" si="9"/>
        <v>802572.70947807014</v>
      </c>
      <c r="Z16" s="192">
        <f t="shared" si="9"/>
        <v>1391196.3547205559</v>
      </c>
      <c r="AA16" s="192">
        <f t="shared" si="9"/>
        <v>1326097.6588621899</v>
      </c>
      <c r="AB16" s="192">
        <f t="shared" si="9"/>
        <v>5567096.4545024475</v>
      </c>
      <c r="AC16" s="192">
        <f t="shared" si="4"/>
        <v>41668018.947563261</v>
      </c>
      <c r="AD16" s="331"/>
      <c r="AE16" s="332"/>
      <c r="AF16" s="333"/>
      <c r="AG16" s="202"/>
    </row>
    <row r="17" spans="2:49" ht="42.75" customHeight="1">
      <c r="B17" s="170" t="s">
        <v>104</v>
      </c>
      <c r="C17" s="203"/>
      <c r="D17" s="203">
        <v>18273326.960000001</v>
      </c>
      <c r="E17" s="203"/>
      <c r="F17" s="203"/>
      <c r="G17" s="204"/>
      <c r="H17" s="204"/>
      <c r="I17" s="204"/>
      <c r="J17" s="204"/>
      <c r="K17" s="205"/>
      <c r="L17" s="204"/>
      <c r="M17" s="190"/>
      <c r="N17" s="303">
        <v>4000000</v>
      </c>
      <c r="O17" s="171">
        <f t="shared" si="1"/>
        <v>22273326.960000001</v>
      </c>
      <c r="P17" s="206" t="s">
        <v>105</v>
      </c>
      <c r="Q17" s="171">
        <f t="shared" ref="Q17:AB17" si="10">SUM(Q18:Q31)</f>
        <v>1616024.5899999999</v>
      </c>
      <c r="R17" s="171">
        <f t="shared" si="10"/>
        <v>2838910.1199999996</v>
      </c>
      <c r="S17" s="171">
        <f t="shared" si="10"/>
        <v>1490294.23</v>
      </c>
      <c r="T17" s="207">
        <f t="shared" si="10"/>
        <v>1394289.22</v>
      </c>
      <c r="U17" s="171">
        <f t="shared" si="10"/>
        <v>1335558.5599999998</v>
      </c>
      <c r="V17" s="171">
        <f t="shared" si="10"/>
        <v>1341596.67</v>
      </c>
      <c r="W17" s="171">
        <f t="shared" si="10"/>
        <v>1685670.91</v>
      </c>
      <c r="X17" s="171">
        <f t="shared" si="10"/>
        <v>1508888.41</v>
      </c>
      <c r="Y17" s="171">
        <f t="shared" si="10"/>
        <v>802572.70947807014</v>
      </c>
      <c r="Z17" s="171">
        <f t="shared" si="10"/>
        <v>1391196.3547205559</v>
      </c>
      <c r="AA17" s="171">
        <f t="shared" si="10"/>
        <v>1326097.6588621899</v>
      </c>
      <c r="AB17" s="171">
        <f t="shared" si="10"/>
        <v>2567096.4545024475</v>
      </c>
      <c r="AC17" s="171">
        <f t="shared" ref="AC17:AC37" si="11">+SUM(Q17:AB17)</f>
        <v>19298195.887563262</v>
      </c>
      <c r="AD17" s="316"/>
      <c r="AE17" s="317"/>
      <c r="AF17" s="318"/>
      <c r="AG17" s="151"/>
      <c r="AH17" s="185"/>
    </row>
    <row r="18" spans="2:49" ht="42.75" customHeight="1">
      <c r="B18" s="170" t="s">
        <v>106</v>
      </c>
      <c r="C18" s="208"/>
      <c r="D18" s="209"/>
      <c r="E18" s="176"/>
      <c r="F18" s="176"/>
      <c r="G18" s="210"/>
      <c r="H18" s="210"/>
      <c r="I18" s="176"/>
      <c r="J18" s="176"/>
      <c r="K18" s="176"/>
      <c r="L18" s="176"/>
      <c r="M18" s="211"/>
      <c r="N18" s="176"/>
      <c r="O18" s="171">
        <f t="shared" si="1"/>
        <v>0</v>
      </c>
      <c r="P18" s="212" t="s">
        <v>107</v>
      </c>
      <c r="Q18" s="180">
        <v>270920.31999999995</v>
      </c>
      <c r="R18" s="180">
        <v>275005.32</v>
      </c>
      <c r="S18" s="180">
        <v>256842.95</v>
      </c>
      <c r="T18" s="180">
        <v>462766.07999999996</v>
      </c>
      <c r="U18" s="190">
        <v>259806.81</v>
      </c>
      <c r="V18" s="190">
        <v>262459.37</v>
      </c>
      <c r="W18" s="190">
        <v>277101.58</v>
      </c>
      <c r="X18" s="190">
        <f>SUM('[3]August CF'!HK29:HK30)</f>
        <v>277986.24</v>
      </c>
      <c r="Y18" s="309">
        <v>293246.10578947369</v>
      </c>
      <c r="Z18" s="309">
        <v>299628.44</v>
      </c>
      <c r="AA18" s="309">
        <v>320918.44</v>
      </c>
      <c r="AB18" s="309">
        <v>305718.44</v>
      </c>
      <c r="AC18" s="176">
        <f t="shared" si="11"/>
        <v>3562400.0957894735</v>
      </c>
      <c r="AD18" s="310" t="s">
        <v>108</v>
      </c>
      <c r="AE18" s="311"/>
      <c r="AF18" s="312"/>
      <c r="AG18" s="151"/>
      <c r="AH18" s="185"/>
    </row>
    <row r="19" spans="2:49" ht="42.75" customHeight="1">
      <c r="B19" s="214"/>
      <c r="C19" s="215"/>
      <c r="D19" s="216"/>
      <c r="E19" s="216"/>
      <c r="F19" s="216"/>
      <c r="G19" s="216"/>
      <c r="H19" s="217"/>
      <c r="I19" s="215"/>
      <c r="J19" s="215"/>
      <c r="K19" s="208"/>
      <c r="L19" s="218"/>
      <c r="M19" s="218"/>
      <c r="N19" s="215"/>
      <c r="O19" s="219">
        <f t="shared" si="1"/>
        <v>0</v>
      </c>
      <c r="P19" s="212" t="s">
        <v>109</v>
      </c>
      <c r="Q19" s="180">
        <v>86828.090000000011</v>
      </c>
      <c r="R19" s="180">
        <v>49931.53</v>
      </c>
      <c r="S19" s="180">
        <v>69693.440000000002</v>
      </c>
      <c r="T19" s="180">
        <v>93040.1</v>
      </c>
      <c r="U19" s="190">
        <v>60152.989999999991</v>
      </c>
      <c r="V19" s="190">
        <v>74172.10000000002</v>
      </c>
      <c r="W19" s="190">
        <v>69770.679999999993</v>
      </c>
      <c r="X19" s="190">
        <f>SUM('[3]August CF'!HK31:HK40)</f>
        <v>52235.99</v>
      </c>
      <c r="Y19" s="309">
        <v>54589.020838596487</v>
      </c>
      <c r="Z19" s="309">
        <v>54267.227733333333</v>
      </c>
      <c r="AA19" s="309">
        <v>62392.227733333333</v>
      </c>
      <c r="AB19" s="309">
        <v>62392.227733333333</v>
      </c>
      <c r="AC19" s="220">
        <f t="shared" si="11"/>
        <v>789465.62403859664</v>
      </c>
      <c r="AD19" s="221" t="s">
        <v>110</v>
      </c>
      <c r="AE19" s="222"/>
      <c r="AF19" s="223"/>
      <c r="AG19" s="202"/>
      <c r="AH19" s="185"/>
    </row>
    <row r="20" spans="2:49" ht="42.75" customHeight="1">
      <c r="B20" s="170"/>
      <c r="C20" s="215"/>
      <c r="D20" s="216"/>
      <c r="E20" s="216"/>
      <c r="F20" s="216"/>
      <c r="G20" s="224"/>
      <c r="H20" s="215"/>
      <c r="I20" s="218"/>
      <c r="J20" s="215"/>
      <c r="K20" s="215"/>
      <c r="L20" s="215"/>
      <c r="M20" s="215"/>
      <c r="N20" s="215"/>
      <c r="O20" s="225">
        <f t="shared" si="1"/>
        <v>0</v>
      </c>
      <c r="P20" s="226" t="s">
        <v>111</v>
      </c>
      <c r="Q20" s="180">
        <v>6440.2100000000009</v>
      </c>
      <c r="R20" s="180">
        <v>3378.52</v>
      </c>
      <c r="S20" s="180">
        <v>2008.7399999999998</v>
      </c>
      <c r="T20" s="180">
        <v>26967.060000000005</v>
      </c>
      <c r="U20" s="190">
        <v>12367.33</v>
      </c>
      <c r="V20" s="190">
        <v>3156.84</v>
      </c>
      <c r="W20" s="190">
        <v>3753.21</v>
      </c>
      <c r="X20" s="190">
        <v>1827.17</v>
      </c>
      <c r="Y20" s="190">
        <v>3500</v>
      </c>
      <c r="Z20" s="190">
        <v>3500</v>
      </c>
      <c r="AA20" s="190">
        <v>3500</v>
      </c>
      <c r="AB20" s="190">
        <v>3500</v>
      </c>
      <c r="AC20" s="220">
        <f t="shared" si="11"/>
        <v>73899.080000000016</v>
      </c>
      <c r="AD20" s="221" t="s">
        <v>112</v>
      </c>
      <c r="AE20" s="222"/>
      <c r="AF20" s="223"/>
      <c r="AG20" s="202"/>
      <c r="AH20" s="185"/>
      <c r="AW20" s="227"/>
    </row>
    <row r="21" spans="2:49" ht="42.75" customHeight="1">
      <c r="B21" s="214"/>
      <c r="C21" s="215"/>
      <c r="D21" s="216"/>
      <c r="E21" s="216"/>
      <c r="F21" s="216"/>
      <c r="G21" s="216"/>
      <c r="H21" s="215"/>
      <c r="I21" s="218"/>
      <c r="K21" s="215"/>
      <c r="L21" s="215"/>
      <c r="M21" s="215"/>
      <c r="N21" s="215"/>
      <c r="O21" s="225">
        <f t="shared" si="1"/>
        <v>0</v>
      </c>
      <c r="P21" s="226" t="s">
        <v>113</v>
      </c>
      <c r="Q21" s="180">
        <v>302484.76999999996</v>
      </c>
      <c r="R21" s="180">
        <v>183653.21000000002</v>
      </c>
      <c r="S21" s="180">
        <v>184977.56</v>
      </c>
      <c r="T21" s="180">
        <v>200338.26</v>
      </c>
      <c r="U21" s="180">
        <v>236675.33000000002</v>
      </c>
      <c r="V21" s="180">
        <v>222456.12000000002</v>
      </c>
      <c r="W21" s="180">
        <v>224453.39</v>
      </c>
      <c r="X21" s="180">
        <f>SUM('[3]August CF'!HK43:HK49)+51632.9</f>
        <v>226370.74999999997</v>
      </c>
      <c r="Y21" s="306">
        <v>289640.36</v>
      </c>
      <c r="Z21" s="306">
        <v>199818.14768598284</v>
      </c>
      <c r="AA21" s="306">
        <v>237778.27598545013</v>
      </c>
      <c r="AB21" s="306">
        <v>556384.10275411722</v>
      </c>
      <c r="AC21" s="220">
        <f t="shared" si="11"/>
        <v>3065030.2764255498</v>
      </c>
      <c r="AD21" s="182" t="s">
        <v>114</v>
      </c>
      <c r="AE21" s="183"/>
      <c r="AF21" s="184"/>
      <c r="AG21" s="202"/>
      <c r="AH21" s="185"/>
    </row>
    <row r="22" spans="2:49" ht="42.75" customHeight="1">
      <c r="B22" s="214"/>
      <c r="C22" s="215"/>
      <c r="D22" s="216"/>
      <c r="E22" s="216"/>
      <c r="F22" s="216"/>
      <c r="G22" s="216"/>
      <c r="H22" s="215"/>
      <c r="I22" s="215"/>
      <c r="J22" s="215"/>
      <c r="K22" s="215"/>
      <c r="L22" s="215"/>
      <c r="M22" s="215"/>
      <c r="N22" s="215"/>
      <c r="O22" s="225">
        <f t="shared" si="1"/>
        <v>0</v>
      </c>
      <c r="P22" s="226" t="s">
        <v>115</v>
      </c>
      <c r="Q22" s="180">
        <v>31258.560000000001</v>
      </c>
      <c r="R22" s="180">
        <v>31350.880000000001</v>
      </c>
      <c r="S22" s="180">
        <v>31277.119999999999</v>
      </c>
      <c r="T22" s="180">
        <v>31303.11</v>
      </c>
      <c r="U22" s="180">
        <v>31390.14</v>
      </c>
      <c r="V22" s="180">
        <v>32076.47</v>
      </c>
      <c r="W22" s="180">
        <v>31937.15</v>
      </c>
      <c r="X22" s="180">
        <f>'[3]August CF'!HK50</f>
        <v>31792.91</v>
      </c>
      <c r="Y22" s="180">
        <v>31900</v>
      </c>
      <c r="Z22" s="180">
        <v>31900</v>
      </c>
      <c r="AA22" s="180">
        <v>33264.527999999998</v>
      </c>
      <c r="AB22" s="180">
        <v>33264.527999999998</v>
      </c>
      <c r="AC22" s="220">
        <f t="shared" si="11"/>
        <v>382715.39599999995</v>
      </c>
      <c r="AD22" s="313" t="s">
        <v>116</v>
      </c>
      <c r="AE22" s="314"/>
      <c r="AF22" s="315"/>
      <c r="AG22" s="202"/>
      <c r="AH22" s="185"/>
    </row>
    <row r="23" spans="2:49" ht="42.75" customHeight="1">
      <c r="B23" s="214"/>
      <c r="C23" s="215"/>
      <c r="D23" s="216"/>
      <c r="E23" s="216"/>
      <c r="F23" s="216"/>
      <c r="G23" s="216"/>
      <c r="H23" s="215"/>
      <c r="I23" s="215"/>
      <c r="J23" s="215"/>
      <c r="K23" s="215"/>
      <c r="L23" s="215"/>
      <c r="M23" s="215"/>
      <c r="N23" s="215"/>
      <c r="O23" s="225">
        <f t="shared" si="1"/>
        <v>0</v>
      </c>
      <c r="P23" s="212" t="s">
        <v>117</v>
      </c>
      <c r="Q23" s="180">
        <v>8407.15</v>
      </c>
      <c r="R23" s="180">
        <v>5985.49</v>
      </c>
      <c r="S23" s="180">
        <v>6151.51</v>
      </c>
      <c r="T23" s="180">
        <v>5639.05</v>
      </c>
      <c r="U23" s="180">
        <v>5065.8100000000004</v>
      </c>
      <c r="V23" s="180">
        <v>4746.93</v>
      </c>
      <c r="W23" s="180">
        <v>10382.9</v>
      </c>
      <c r="X23" s="180">
        <f>SUM('[3]August CF'!HK53,'[3]August CF'!HK66)+5075.27</f>
        <v>8128.170000000001</v>
      </c>
      <c r="Y23" s="180">
        <v>25000</v>
      </c>
      <c r="Z23" s="180">
        <v>25000</v>
      </c>
      <c r="AA23" s="180">
        <v>25000</v>
      </c>
      <c r="AB23" s="180">
        <v>25000</v>
      </c>
      <c r="AC23" s="220">
        <f t="shared" si="11"/>
        <v>154507.01</v>
      </c>
      <c r="AD23" s="310" t="s">
        <v>118</v>
      </c>
      <c r="AE23" s="311"/>
      <c r="AF23" s="312"/>
      <c r="AG23" s="151"/>
      <c r="AH23" s="185"/>
    </row>
    <row r="24" spans="2:49" ht="42.75" customHeight="1">
      <c r="B24" s="214"/>
      <c r="C24" s="215"/>
      <c r="D24" s="216"/>
      <c r="E24" s="216"/>
      <c r="F24" s="216"/>
      <c r="G24" s="216"/>
      <c r="H24" s="229"/>
      <c r="I24" s="215"/>
      <c r="J24" s="215"/>
      <c r="K24" s="215"/>
      <c r="L24" s="215"/>
      <c r="M24" s="215"/>
      <c r="N24" s="215"/>
      <c r="O24" s="225"/>
      <c r="P24" s="212" t="s">
        <v>119</v>
      </c>
      <c r="Q24" s="180">
        <v>387034.58999999997</v>
      </c>
      <c r="R24" s="180">
        <v>752467.80999999994</v>
      </c>
      <c r="S24" s="180">
        <v>199379.08000000002</v>
      </c>
      <c r="T24" s="180">
        <v>195558.75999999998</v>
      </c>
      <c r="U24" s="180">
        <v>217668.16</v>
      </c>
      <c r="V24" s="180">
        <v>340967.97</v>
      </c>
      <c r="W24" s="180">
        <v>335575.29999999993</v>
      </c>
      <c r="X24" s="180">
        <f>'[3]August CF'!HK51+12982.2</f>
        <v>271731.27999999997</v>
      </c>
      <c r="Y24" s="306">
        <v>213179.11</v>
      </c>
      <c r="Z24" s="306">
        <v>247844.17798549513</v>
      </c>
      <c r="AA24" s="306">
        <v>263078.90353753115</v>
      </c>
      <c r="AB24" s="306">
        <v>621849.73732454376</v>
      </c>
      <c r="AC24" s="220">
        <f t="shared" si="11"/>
        <v>4046334.8788475697</v>
      </c>
      <c r="AD24" s="182" t="s">
        <v>120</v>
      </c>
      <c r="AE24" s="183"/>
      <c r="AF24" s="184"/>
      <c r="AG24" s="151"/>
      <c r="AH24" s="185"/>
    </row>
    <row r="25" spans="2:49" ht="42.75" customHeight="1">
      <c r="B25" s="230"/>
      <c r="C25" s="215"/>
      <c r="D25" s="216"/>
      <c r="E25" s="216"/>
      <c r="F25" s="216"/>
      <c r="G25" s="216"/>
      <c r="H25" s="215"/>
      <c r="I25" s="215"/>
      <c r="J25" s="215"/>
      <c r="K25" s="215"/>
      <c r="L25" s="215"/>
      <c r="M25" s="215"/>
      <c r="N25" s="215"/>
      <c r="O25" s="225">
        <f t="shared" ref="O25:O39" si="12">SUM(C25:N25)</f>
        <v>0</v>
      </c>
      <c r="P25" s="212" t="s">
        <v>121</v>
      </c>
      <c r="Q25" s="180">
        <v>71905.59</v>
      </c>
      <c r="R25" s="180">
        <v>281788.5</v>
      </c>
      <c r="S25" s="180">
        <v>268854.76999999996</v>
      </c>
      <c r="T25" s="180">
        <v>30632.97</v>
      </c>
      <c r="U25" s="180">
        <v>151650.89000000001</v>
      </c>
      <c r="V25" s="180">
        <v>74177.240000000005</v>
      </c>
      <c r="W25" s="180">
        <v>48100.24</v>
      </c>
      <c r="X25" s="180">
        <f>'[3]August CF'!HK52</f>
        <v>72787.5</v>
      </c>
      <c r="Y25" s="306">
        <f>263338-744187.16</f>
        <v>-480849.16000000003</v>
      </c>
      <c r="Z25" s="306">
        <v>50000</v>
      </c>
      <c r="AA25" s="306">
        <v>50000</v>
      </c>
      <c r="AB25" s="306">
        <v>150000</v>
      </c>
      <c r="AC25" s="220">
        <f t="shared" si="11"/>
        <v>769048.5399999998</v>
      </c>
      <c r="AD25" s="310" t="s">
        <v>122</v>
      </c>
      <c r="AE25" s="311"/>
      <c r="AF25" s="312"/>
      <c r="AG25" s="151"/>
      <c r="AH25" s="185"/>
    </row>
    <row r="26" spans="2:49" ht="42.75" customHeight="1">
      <c r="B26" s="230"/>
      <c r="C26" s="215"/>
      <c r="D26" s="216"/>
      <c r="E26" s="216"/>
      <c r="F26" s="216"/>
      <c r="G26" s="216"/>
      <c r="H26" s="231"/>
      <c r="I26" s="215"/>
      <c r="J26" s="215"/>
      <c r="K26" s="215"/>
      <c r="L26" s="215"/>
      <c r="M26" s="215"/>
      <c r="N26" s="215"/>
      <c r="O26" s="225">
        <f t="shared" si="12"/>
        <v>0</v>
      </c>
      <c r="P26" s="212" t="s">
        <v>123</v>
      </c>
      <c r="Q26" s="180">
        <v>294389.44999999995</v>
      </c>
      <c r="R26" s="180">
        <v>374107.55</v>
      </c>
      <c r="S26" s="180">
        <v>252481.91999999998</v>
      </c>
      <c r="T26" s="180">
        <v>275533.82</v>
      </c>
      <c r="U26" s="190">
        <v>294028.9599999999</v>
      </c>
      <c r="V26" s="190">
        <v>265318.68</v>
      </c>
      <c r="W26" s="190">
        <v>355536.05</v>
      </c>
      <c r="X26" s="190">
        <f>SUM('[3]August CF'!HK54:HK60)</f>
        <v>252875.03000000003</v>
      </c>
      <c r="Y26" s="309">
        <v>313420</v>
      </c>
      <c r="Z26" s="309">
        <v>242518.12656668472</v>
      </c>
      <c r="AA26" s="309">
        <v>281303.58425144746</v>
      </c>
      <c r="AB26" s="309">
        <v>583190.51633322716</v>
      </c>
      <c r="AC26" s="220">
        <f t="shared" si="11"/>
        <v>3784703.6871513594</v>
      </c>
      <c r="AD26" s="310" t="s">
        <v>124</v>
      </c>
      <c r="AE26" s="311"/>
      <c r="AF26" s="312"/>
      <c r="AG26" s="151"/>
      <c r="AH26" s="185"/>
    </row>
    <row r="27" spans="2:49" ht="42.75" customHeight="1">
      <c r="B27" s="230"/>
      <c r="C27" s="215"/>
      <c r="D27" s="216"/>
      <c r="E27" s="216"/>
      <c r="F27" s="216"/>
      <c r="G27" s="216"/>
      <c r="H27" s="231"/>
      <c r="I27" s="215"/>
      <c r="J27" s="215"/>
      <c r="K27" s="215"/>
      <c r="L27" s="215"/>
      <c r="M27" s="215"/>
      <c r="N27" s="215"/>
      <c r="O27" s="225">
        <f t="shared" si="12"/>
        <v>0</v>
      </c>
      <c r="P27" s="212" t="s">
        <v>125</v>
      </c>
      <c r="Q27" s="180">
        <v>86383.73</v>
      </c>
      <c r="R27" s="180">
        <v>809715.16999999993</v>
      </c>
      <c r="S27" s="180">
        <v>162915.82</v>
      </c>
      <c r="T27" s="180">
        <v>14971.970000000001</v>
      </c>
      <c r="U27" s="180">
        <v>6212.18</v>
      </c>
      <c r="V27" s="180">
        <v>0</v>
      </c>
      <c r="W27" s="180">
        <v>281634.49</v>
      </c>
      <c r="X27" s="180">
        <f>'[3]August CF'!HK61</f>
        <v>268224.17</v>
      </c>
      <c r="Y27" s="306"/>
      <c r="Z27" s="306">
        <v>156628</v>
      </c>
      <c r="AA27" s="306"/>
      <c r="AB27" s="306"/>
      <c r="AC27" s="220">
        <f t="shared" si="11"/>
        <v>1786685.5299999998</v>
      </c>
      <c r="AD27" s="182" t="s">
        <v>126</v>
      </c>
      <c r="AE27" s="183"/>
      <c r="AF27" s="184"/>
      <c r="AG27" s="151"/>
      <c r="AH27" s="185"/>
    </row>
    <row r="28" spans="2:49" ht="42.75" customHeight="1">
      <c r="B28" s="230"/>
      <c r="C28" s="218"/>
      <c r="D28" s="204"/>
      <c r="E28" s="204"/>
      <c r="F28" s="204"/>
      <c r="G28" s="204"/>
      <c r="H28" s="218"/>
      <c r="I28" s="218"/>
      <c r="J28" s="218"/>
      <c r="K28" s="218"/>
      <c r="L28" s="218"/>
      <c r="M28" s="218"/>
      <c r="N28" s="218"/>
      <c r="O28" s="232">
        <f t="shared" si="12"/>
        <v>0</v>
      </c>
      <c r="P28" s="212" t="s">
        <v>127</v>
      </c>
      <c r="Q28" s="180">
        <v>744.98</v>
      </c>
      <c r="R28" s="180">
        <v>23869.75</v>
      </c>
      <c r="S28" s="180">
        <v>316.89999999999998</v>
      </c>
      <c r="T28" s="180">
        <v>5.0000000000011369E-2</v>
      </c>
      <c r="U28" s="190">
        <v>12684.189999999999</v>
      </c>
      <c r="V28" s="190">
        <v>0</v>
      </c>
      <c r="W28" s="190">
        <v>1800</v>
      </c>
      <c r="X28" s="190">
        <f>'[3]August CF'!HK62+1122.99</f>
        <v>1122.99</v>
      </c>
      <c r="Y28" s="190">
        <v>2000</v>
      </c>
      <c r="Z28" s="190">
        <v>37500</v>
      </c>
      <c r="AA28" s="190">
        <v>4500</v>
      </c>
      <c r="AB28" s="190">
        <v>22000</v>
      </c>
      <c r="AC28" s="220">
        <f t="shared" si="11"/>
        <v>106538.85999999999</v>
      </c>
      <c r="AD28" s="310" t="s">
        <v>128</v>
      </c>
      <c r="AE28" s="311"/>
      <c r="AF28" s="312"/>
      <c r="AG28" s="151"/>
      <c r="AH28" s="185"/>
    </row>
    <row r="29" spans="2:49" ht="42.75" customHeight="1">
      <c r="B29" s="230"/>
      <c r="C29" s="218"/>
      <c r="D29" s="204"/>
      <c r="E29" s="204"/>
      <c r="F29" s="204"/>
      <c r="G29" s="204"/>
      <c r="H29" s="218"/>
      <c r="I29" s="218"/>
      <c r="J29" s="218"/>
      <c r="K29" s="218"/>
      <c r="L29" s="218"/>
      <c r="M29" s="218"/>
      <c r="N29" s="218"/>
      <c r="O29" s="232">
        <f t="shared" si="12"/>
        <v>0</v>
      </c>
      <c r="P29" s="233" t="s">
        <v>129</v>
      </c>
      <c r="Q29" s="180">
        <v>69227.149999999994</v>
      </c>
      <c r="R29" s="180">
        <v>47656.389999999992</v>
      </c>
      <c r="S29" s="180">
        <v>55394.42</v>
      </c>
      <c r="T29" s="180">
        <v>57537.99</v>
      </c>
      <c r="U29" s="190">
        <v>47855.770000000004</v>
      </c>
      <c r="V29" s="190">
        <v>62064.95</v>
      </c>
      <c r="W29" s="190">
        <v>45625.919999999998</v>
      </c>
      <c r="X29" s="190">
        <f>SUM('[3]August CF'!HK63:HK64)</f>
        <v>43806.209999999992</v>
      </c>
      <c r="Y29" s="309">
        <v>56947.272850000001</v>
      </c>
      <c r="Z29" s="309">
        <v>42592.234749059848</v>
      </c>
      <c r="AA29" s="309">
        <v>44361.699354427983</v>
      </c>
      <c r="AB29" s="309">
        <v>203796.90235722609</v>
      </c>
      <c r="AC29" s="220">
        <f t="shared" si="11"/>
        <v>776866.90931071388</v>
      </c>
      <c r="AD29" s="310" t="s">
        <v>130</v>
      </c>
      <c r="AE29" s="311"/>
      <c r="AF29" s="312"/>
      <c r="AG29" s="151"/>
      <c r="AH29" s="185"/>
    </row>
    <row r="30" spans="2:49" ht="42.75" hidden="1" customHeight="1">
      <c r="B30" s="170"/>
      <c r="C30" s="218"/>
      <c r="D30" s="204"/>
      <c r="E30" s="204"/>
      <c r="F30" s="204"/>
      <c r="G30" s="204"/>
      <c r="H30" s="218"/>
      <c r="I30" s="218"/>
      <c r="J30" s="218"/>
      <c r="K30" s="218"/>
      <c r="L30" s="218"/>
      <c r="M30" s="218"/>
      <c r="N30" s="218"/>
      <c r="O30" s="232">
        <f t="shared" si="12"/>
        <v>0</v>
      </c>
      <c r="P30" s="233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220">
        <f t="shared" si="11"/>
        <v>0</v>
      </c>
      <c r="AD30" s="310"/>
      <c r="AE30" s="311"/>
      <c r="AF30" s="312"/>
      <c r="AG30" s="151"/>
      <c r="AH30" s="234"/>
    </row>
    <row r="31" spans="2:49" ht="42.75" hidden="1" customHeight="1">
      <c r="B31" s="170"/>
      <c r="C31" s="218"/>
      <c r="D31" s="204"/>
      <c r="E31" s="204"/>
      <c r="F31" s="204"/>
      <c r="G31" s="204"/>
      <c r="H31" s="218"/>
      <c r="I31" s="218"/>
      <c r="J31" s="218"/>
      <c r="K31" s="218"/>
      <c r="L31" s="218"/>
      <c r="M31" s="218"/>
      <c r="N31" s="218"/>
      <c r="O31" s="232">
        <f t="shared" si="12"/>
        <v>0</v>
      </c>
      <c r="P31" s="233"/>
      <c r="Q31" s="235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220">
        <f t="shared" si="11"/>
        <v>0</v>
      </c>
      <c r="AD31" s="310"/>
      <c r="AE31" s="311"/>
      <c r="AF31" s="312"/>
      <c r="AG31" s="151"/>
      <c r="AH31" s="234"/>
    </row>
    <row r="32" spans="2:49" ht="42.75" hidden="1" customHeight="1">
      <c r="B32" s="170"/>
      <c r="C32" s="218"/>
      <c r="D32" s="204"/>
      <c r="E32" s="204"/>
      <c r="F32" s="204"/>
      <c r="G32" s="204"/>
      <c r="H32" s="218"/>
      <c r="I32" s="218"/>
      <c r="J32" s="218"/>
      <c r="K32" s="218"/>
      <c r="L32" s="218"/>
      <c r="M32" s="218"/>
      <c r="N32" s="218"/>
      <c r="O32" s="232">
        <f t="shared" si="12"/>
        <v>0</v>
      </c>
      <c r="V32" s="236"/>
      <c r="W32" s="180"/>
      <c r="X32" s="180"/>
      <c r="Y32" s="180"/>
      <c r="Z32" s="180"/>
      <c r="AA32" s="180"/>
      <c r="AB32" s="180"/>
      <c r="AC32" s="220">
        <f t="shared" si="11"/>
        <v>0</v>
      </c>
      <c r="AD32" s="310"/>
      <c r="AE32" s="311"/>
      <c r="AF32" s="312"/>
      <c r="AG32" s="151"/>
      <c r="AH32" s="234"/>
    </row>
    <row r="33" spans="2:34" ht="42.75" customHeight="1">
      <c r="B33" s="237"/>
      <c r="C33" s="218"/>
      <c r="D33" s="204"/>
      <c r="E33" s="204"/>
      <c r="F33" s="204"/>
      <c r="G33" s="204"/>
      <c r="H33" s="218"/>
      <c r="I33" s="218"/>
      <c r="J33" s="218"/>
      <c r="K33" s="218"/>
      <c r="L33" s="218"/>
      <c r="M33" s="218"/>
      <c r="N33" s="218"/>
      <c r="O33" s="232">
        <f t="shared" si="12"/>
        <v>0</v>
      </c>
      <c r="P33" s="238" t="s">
        <v>131</v>
      </c>
      <c r="Q33" s="239">
        <f t="shared" ref="Q33:AB33" si="13">SUM(Q34:Q38)</f>
        <v>1201954.57</v>
      </c>
      <c r="R33" s="239">
        <f t="shared" si="13"/>
        <v>18167868.489999998</v>
      </c>
      <c r="S33" s="239">
        <f t="shared" si="13"/>
        <v>0</v>
      </c>
      <c r="T33" s="239">
        <f t="shared" si="13"/>
        <v>0</v>
      </c>
      <c r="U33" s="239">
        <f t="shared" si="13"/>
        <v>0</v>
      </c>
      <c r="V33" s="239">
        <f t="shared" si="13"/>
        <v>0</v>
      </c>
      <c r="W33" s="239">
        <f t="shared" si="13"/>
        <v>0</v>
      </c>
      <c r="X33" s="239">
        <f t="shared" si="13"/>
        <v>0</v>
      </c>
      <c r="Y33" s="239">
        <f t="shared" si="13"/>
        <v>0</v>
      </c>
      <c r="Z33" s="239">
        <f t="shared" si="13"/>
        <v>0</v>
      </c>
      <c r="AA33" s="239">
        <f t="shared" si="13"/>
        <v>0</v>
      </c>
      <c r="AB33" s="239">
        <f t="shared" si="13"/>
        <v>3000000</v>
      </c>
      <c r="AC33" s="239">
        <f t="shared" si="11"/>
        <v>22369823.059999999</v>
      </c>
      <c r="AD33" s="221"/>
      <c r="AE33" s="222"/>
      <c r="AF33" s="240"/>
      <c r="AG33" s="151"/>
      <c r="AH33" s="185"/>
    </row>
    <row r="34" spans="2:34" ht="42.75" customHeight="1">
      <c r="B34" s="237"/>
      <c r="C34" s="218"/>
      <c r="D34" s="204"/>
      <c r="E34" s="204"/>
      <c r="F34" s="204"/>
      <c r="G34" s="204"/>
      <c r="H34" s="218"/>
      <c r="I34" s="218"/>
      <c r="J34" s="218"/>
      <c r="K34" s="218"/>
      <c r="L34" s="218"/>
      <c r="M34" s="218"/>
      <c r="N34" s="218"/>
      <c r="O34" s="232">
        <f t="shared" si="12"/>
        <v>0</v>
      </c>
      <c r="P34" s="241" t="s">
        <v>132</v>
      </c>
      <c r="Q34" s="173"/>
      <c r="R34" s="173"/>
      <c r="S34" s="174"/>
      <c r="T34" s="173"/>
      <c r="U34" s="174"/>
      <c r="V34" s="173"/>
      <c r="W34" s="173"/>
      <c r="X34" s="173"/>
      <c r="Y34" s="173"/>
      <c r="Z34" s="173"/>
      <c r="AA34" s="173"/>
      <c r="AB34" s="173"/>
      <c r="AC34" s="173">
        <f t="shared" si="11"/>
        <v>0</v>
      </c>
      <c r="AD34" s="310"/>
      <c r="AE34" s="311"/>
      <c r="AF34" s="312"/>
      <c r="AG34" s="151"/>
      <c r="AH34" s="185"/>
    </row>
    <row r="35" spans="2:34" ht="42.75" customHeight="1">
      <c r="B35" s="237"/>
      <c r="C35" s="218"/>
      <c r="D35" s="204"/>
      <c r="E35" s="204"/>
      <c r="F35" s="204"/>
      <c r="G35" s="204"/>
      <c r="H35" s="218"/>
      <c r="I35" s="218"/>
      <c r="J35" s="218"/>
      <c r="K35" s="218"/>
      <c r="L35" s="218"/>
      <c r="M35" s="218"/>
      <c r="N35" s="218"/>
      <c r="O35" s="232">
        <f t="shared" si="12"/>
        <v>0</v>
      </c>
      <c r="P35" s="241" t="s">
        <v>133</v>
      </c>
      <c r="Q35" s="173"/>
      <c r="R35" s="173">
        <v>18000000</v>
      </c>
      <c r="S35" s="181"/>
      <c r="T35" s="180"/>
      <c r="U35" s="174"/>
      <c r="V35" s="173"/>
      <c r="W35" s="173"/>
      <c r="X35" s="173"/>
      <c r="Y35" s="173"/>
      <c r="Z35" s="173"/>
      <c r="AA35" s="173"/>
      <c r="AB35" s="302">
        <v>3000000</v>
      </c>
      <c r="AC35" s="173">
        <f t="shared" si="11"/>
        <v>21000000</v>
      </c>
      <c r="AD35" s="310"/>
      <c r="AE35" s="311"/>
      <c r="AF35" s="312"/>
      <c r="AG35" s="151"/>
      <c r="AH35" s="185"/>
    </row>
    <row r="36" spans="2:34" ht="38.25" customHeight="1">
      <c r="B36" s="237"/>
      <c r="C36" s="218"/>
      <c r="D36" s="204"/>
      <c r="E36" s="204"/>
      <c r="F36" s="204"/>
      <c r="G36" s="204"/>
      <c r="H36" s="218"/>
      <c r="I36" s="243"/>
      <c r="J36" s="218"/>
      <c r="K36" s="218"/>
      <c r="L36" s="218"/>
      <c r="M36" s="218"/>
      <c r="N36" s="218"/>
      <c r="O36" s="232">
        <f t="shared" si="12"/>
        <v>0</v>
      </c>
      <c r="P36" s="241" t="s">
        <v>134</v>
      </c>
      <c r="Q36" s="180">
        <v>1201954.57</v>
      </c>
      <c r="R36" s="180"/>
      <c r="S36" s="181"/>
      <c r="T36" s="180"/>
      <c r="U36" s="181"/>
      <c r="V36" s="180">
        <v>0</v>
      </c>
      <c r="W36" s="180"/>
      <c r="X36" s="180"/>
      <c r="Y36" s="180"/>
      <c r="Z36" s="180">
        <v>0</v>
      </c>
      <c r="AA36" s="180">
        <v>0</v>
      </c>
      <c r="AB36" s="180"/>
      <c r="AC36" s="220">
        <f t="shared" si="11"/>
        <v>1201954.57</v>
      </c>
      <c r="AD36" s="182"/>
      <c r="AE36" s="244"/>
      <c r="AF36" s="245"/>
      <c r="AG36" s="151"/>
      <c r="AH36" s="185"/>
    </row>
    <row r="37" spans="2:34" ht="42.75" customHeight="1">
      <c r="B37" s="237"/>
      <c r="C37" s="218"/>
      <c r="D37" s="204"/>
      <c r="E37" s="204"/>
      <c r="F37" s="204"/>
      <c r="G37" s="204"/>
      <c r="H37" s="218"/>
      <c r="I37" s="218"/>
      <c r="J37" s="218"/>
      <c r="K37" s="218"/>
      <c r="L37" s="218"/>
      <c r="M37" s="218"/>
      <c r="N37" s="218"/>
      <c r="O37" s="232">
        <f t="shared" si="12"/>
        <v>0</v>
      </c>
      <c r="P37" s="241" t="s">
        <v>135</v>
      </c>
      <c r="Q37" s="180"/>
      <c r="R37" s="180">
        <v>167868.49</v>
      </c>
      <c r="S37" s="181"/>
      <c r="T37" s="180"/>
      <c r="U37" s="181"/>
      <c r="V37" s="180"/>
      <c r="W37" s="180"/>
      <c r="X37" s="180"/>
      <c r="Y37" s="180"/>
      <c r="Z37" s="180"/>
      <c r="AA37" s="180"/>
      <c r="AB37" s="180"/>
      <c r="AC37" s="180">
        <f t="shared" si="11"/>
        <v>167868.49</v>
      </c>
      <c r="AD37" s="182"/>
      <c r="AE37" s="183"/>
      <c r="AF37" s="184"/>
      <c r="AG37" s="151"/>
      <c r="AH37" s="185"/>
    </row>
    <row r="38" spans="2:34" ht="42.75" customHeight="1" thickBot="1">
      <c r="B38" s="237"/>
      <c r="C38" s="218"/>
      <c r="D38" s="204"/>
      <c r="E38" s="204"/>
      <c r="F38" s="204"/>
      <c r="G38" s="204"/>
      <c r="H38" s="218"/>
      <c r="I38" s="218"/>
      <c r="J38" s="218"/>
      <c r="K38" s="218"/>
      <c r="L38" s="218"/>
      <c r="M38" s="218"/>
      <c r="N38" s="218"/>
      <c r="O38" s="218">
        <f t="shared" si="12"/>
        <v>0</v>
      </c>
      <c r="Q38" s="180"/>
      <c r="R38" s="180"/>
      <c r="S38" s="181"/>
      <c r="T38" s="180"/>
      <c r="U38" s="181"/>
      <c r="V38" s="246"/>
      <c r="W38" s="180"/>
      <c r="X38" s="180"/>
      <c r="Y38" s="180"/>
      <c r="Z38" s="180"/>
      <c r="AA38" s="180"/>
      <c r="AB38" s="180"/>
      <c r="AC38" s="180">
        <f>SUM(Q38:AB38)</f>
        <v>0</v>
      </c>
      <c r="AD38" s="182"/>
      <c r="AE38" s="244"/>
      <c r="AF38" s="245"/>
      <c r="AG38" s="151"/>
      <c r="AH38" s="185"/>
    </row>
    <row r="39" spans="2:34" s="198" customFormat="1" ht="42.75" customHeight="1" thickBot="1">
      <c r="B39" s="247" t="s">
        <v>136</v>
      </c>
      <c r="C39" s="248">
        <f t="shared" ref="C39:N39" si="14">+C6+C16</f>
        <v>1833686.5100000002</v>
      </c>
      <c r="D39" s="248">
        <f t="shared" si="14"/>
        <v>19315111.630000003</v>
      </c>
      <c r="E39" s="248">
        <f t="shared" si="14"/>
        <v>1431830.3400000003</v>
      </c>
      <c r="F39" s="248">
        <f t="shared" si="14"/>
        <v>1426209.21</v>
      </c>
      <c r="G39" s="248">
        <f t="shared" si="14"/>
        <v>1768590.6399999997</v>
      </c>
      <c r="H39" s="248">
        <f t="shared" si="14"/>
        <v>1582074.7799999998</v>
      </c>
      <c r="I39" s="248">
        <f t="shared" si="14"/>
        <v>1367040.0599999998</v>
      </c>
      <c r="J39" s="248">
        <f t="shared" si="14"/>
        <v>944028.97</v>
      </c>
      <c r="K39" s="248">
        <f t="shared" si="14"/>
        <v>1316820.726908613</v>
      </c>
      <c r="L39" s="248">
        <f t="shared" si="14"/>
        <v>1452889.4131450457</v>
      </c>
      <c r="M39" s="248">
        <f t="shared" si="14"/>
        <v>2547365.6131880935</v>
      </c>
      <c r="N39" s="248">
        <f t="shared" si="14"/>
        <v>6495931.088889055</v>
      </c>
      <c r="O39" s="248">
        <f t="shared" si="12"/>
        <v>41481578.982130811</v>
      </c>
      <c r="P39" s="249" t="s">
        <v>137</v>
      </c>
      <c r="Q39" s="250">
        <f t="shared" ref="Q39:AB39" si="15">+Q16+Q6+Q12</f>
        <v>4522223.63</v>
      </c>
      <c r="R39" s="250">
        <f t="shared" si="15"/>
        <v>21627625.300000001</v>
      </c>
      <c r="S39" s="250">
        <f t="shared" si="15"/>
        <v>1535944.13</v>
      </c>
      <c r="T39" s="250">
        <f t="shared" si="15"/>
        <v>1432567.34</v>
      </c>
      <c r="U39" s="250">
        <f t="shared" si="15"/>
        <v>1457298.7899999998</v>
      </c>
      <c r="V39" s="251">
        <f t="shared" si="15"/>
        <v>1911730.6199999999</v>
      </c>
      <c r="W39" s="251">
        <f t="shared" si="15"/>
        <v>2207741.17</v>
      </c>
      <c r="X39" s="251">
        <f t="shared" si="15"/>
        <v>1725356.99</v>
      </c>
      <c r="Y39" s="251">
        <f t="shared" si="15"/>
        <v>1148007.70947807</v>
      </c>
      <c r="Z39" s="251">
        <f t="shared" si="15"/>
        <v>1391196.3547205559</v>
      </c>
      <c r="AA39" s="251">
        <f t="shared" si="15"/>
        <v>1326097.6588621899</v>
      </c>
      <c r="AB39" s="251">
        <f t="shared" si="15"/>
        <v>5567096.4545024475</v>
      </c>
      <c r="AC39" s="248">
        <f>+SUM(Q39:AB39)</f>
        <v>45852886.147563264</v>
      </c>
      <c r="AD39" s="252"/>
      <c r="AE39" s="253"/>
      <c r="AF39" s="254"/>
      <c r="AG39" s="202"/>
    </row>
    <row r="40" spans="2:34" ht="42.75" customHeight="1">
      <c r="B40" s="255"/>
      <c r="C40" s="176"/>
      <c r="D40" s="256"/>
      <c r="E40" s="256"/>
      <c r="F40" s="256"/>
      <c r="G40" s="256"/>
      <c r="H40" s="176"/>
      <c r="I40" s="176"/>
      <c r="J40" s="176"/>
      <c r="K40" s="176"/>
      <c r="L40" s="176"/>
      <c r="M40" s="176"/>
      <c r="N40" s="176"/>
      <c r="O40" s="176">
        <f>+C40</f>
        <v>0</v>
      </c>
      <c r="P40" s="257" t="s">
        <v>138</v>
      </c>
      <c r="Q40" s="256">
        <f t="shared" ref="Q40:AB40" si="16">C6-Q6-Q17</f>
        <v>-1486582.5499999996</v>
      </c>
      <c r="R40" s="256">
        <f t="shared" si="16"/>
        <v>-2417972.1399999997</v>
      </c>
      <c r="S40" s="256">
        <f t="shared" si="16"/>
        <v>-104113.78999999957</v>
      </c>
      <c r="T40" s="256">
        <f t="shared" si="16"/>
        <v>-6358.1300000001211</v>
      </c>
      <c r="U40" s="256">
        <f t="shared" si="16"/>
        <v>311291.84999999986</v>
      </c>
      <c r="V40" s="176">
        <f t="shared" si="16"/>
        <v>-329655.84000000008</v>
      </c>
      <c r="W40" s="176">
        <f t="shared" si="16"/>
        <v>-840701.1100000001</v>
      </c>
      <c r="X40" s="176">
        <f t="shared" si="16"/>
        <v>-781328.02</v>
      </c>
      <c r="Y40" s="176">
        <f t="shared" si="16"/>
        <v>168813.01743054285</v>
      </c>
      <c r="Z40" s="176">
        <f t="shared" si="16"/>
        <v>61693.058424489805</v>
      </c>
      <c r="AA40" s="176">
        <f t="shared" si="16"/>
        <v>1221267.9543259037</v>
      </c>
      <c r="AB40" s="176">
        <f t="shared" si="16"/>
        <v>-71165.36561339302</v>
      </c>
      <c r="AC40" s="176">
        <f>+O6-AC6-AC17</f>
        <v>-4274811.0654324554</v>
      </c>
      <c r="AD40" s="258"/>
      <c r="AE40" s="258"/>
      <c r="AF40" s="259"/>
      <c r="AG40" s="151"/>
      <c r="AH40" s="185"/>
    </row>
    <row r="41" spans="2:34" ht="42.75" customHeight="1" thickBot="1">
      <c r="B41" s="255"/>
      <c r="C41" s="176"/>
      <c r="D41" s="256"/>
      <c r="E41" s="256"/>
      <c r="F41" s="256"/>
      <c r="G41" s="256"/>
      <c r="H41" s="176"/>
      <c r="I41" s="176"/>
      <c r="J41" s="176"/>
      <c r="K41" s="176"/>
      <c r="L41" s="176"/>
      <c r="M41" s="176"/>
      <c r="N41" s="176"/>
      <c r="O41" s="176"/>
      <c r="P41" s="260" t="s">
        <v>139</v>
      </c>
      <c r="Q41" s="256">
        <f t="shared" ref="Q41:AB41" si="17">C39-Q39</f>
        <v>-2688537.1199999996</v>
      </c>
      <c r="R41" s="256">
        <f t="shared" si="17"/>
        <v>-2312513.6699999981</v>
      </c>
      <c r="S41" s="256">
        <f t="shared" si="17"/>
        <v>-104113.78999999957</v>
      </c>
      <c r="T41" s="256">
        <f t="shared" si="17"/>
        <v>-6358.1300000001211</v>
      </c>
      <c r="U41" s="256">
        <f t="shared" si="17"/>
        <v>311291.84999999986</v>
      </c>
      <c r="V41" s="176">
        <f t="shared" si="17"/>
        <v>-329655.84000000008</v>
      </c>
      <c r="W41" s="176">
        <f t="shared" si="17"/>
        <v>-840701.1100000001</v>
      </c>
      <c r="X41" s="176">
        <f t="shared" si="17"/>
        <v>-781328.02</v>
      </c>
      <c r="Y41" s="176">
        <f t="shared" si="17"/>
        <v>168813.01743054297</v>
      </c>
      <c r="Z41" s="176">
        <f t="shared" si="17"/>
        <v>61693.058424489805</v>
      </c>
      <c r="AA41" s="176">
        <f t="shared" si="17"/>
        <v>1221267.9543259037</v>
      </c>
      <c r="AB41" s="176">
        <f t="shared" si="17"/>
        <v>928834.63438660745</v>
      </c>
      <c r="AC41" s="176">
        <f>+O39-AC39</f>
        <v>-4371307.1654324532</v>
      </c>
      <c r="AD41" s="261"/>
      <c r="AE41" s="262"/>
      <c r="AF41" s="263"/>
      <c r="AG41" s="151"/>
      <c r="AH41" s="185"/>
    </row>
    <row r="42" spans="2:34" ht="42.75" hidden="1" customHeight="1" thickBot="1">
      <c r="B42" s="255"/>
      <c r="C42" s="176"/>
      <c r="D42" s="256"/>
      <c r="E42" s="256"/>
      <c r="F42" s="256"/>
      <c r="G42" s="256"/>
      <c r="H42" s="176"/>
      <c r="I42" s="176"/>
      <c r="J42" s="176"/>
      <c r="K42" s="176"/>
      <c r="L42" s="176"/>
      <c r="M42" s="176"/>
      <c r="N42" s="176"/>
      <c r="O42" s="176"/>
      <c r="P42" s="264" t="s">
        <v>140</v>
      </c>
      <c r="Q42" s="207"/>
      <c r="R42" s="207"/>
      <c r="S42" s="207"/>
      <c r="T42" s="207"/>
      <c r="U42" s="207"/>
      <c r="V42" s="171"/>
      <c r="W42" s="171"/>
      <c r="X42" s="171"/>
      <c r="Y42" s="171"/>
      <c r="Z42" s="171"/>
      <c r="AA42" s="171"/>
      <c r="AB42" s="171"/>
      <c r="AC42" s="171">
        <f>+SUM(Q42:AB42)</f>
        <v>0</v>
      </c>
      <c r="AD42" s="261"/>
      <c r="AE42" s="262"/>
      <c r="AF42" s="263"/>
      <c r="AG42" s="151"/>
      <c r="AH42" s="185"/>
    </row>
    <row r="43" spans="2:34" s="198" customFormat="1" ht="42.75" customHeight="1" thickBot="1">
      <c r="B43" s="247" t="s">
        <v>141</v>
      </c>
      <c r="C43" s="265">
        <f>7562701.54</f>
        <v>7562701.54</v>
      </c>
      <c r="D43" s="248">
        <f t="shared" ref="D43:N43" si="18">+Q43</f>
        <v>4874164.42</v>
      </c>
      <c r="E43" s="248">
        <f t="shared" si="18"/>
        <v>2561650.7500000019</v>
      </c>
      <c r="F43" s="248">
        <f t="shared" si="18"/>
        <v>2457536.9600000023</v>
      </c>
      <c r="G43" s="248">
        <f t="shared" si="18"/>
        <v>2451178.8300000019</v>
      </c>
      <c r="H43" s="248">
        <f t="shared" si="18"/>
        <v>2762470.6800000016</v>
      </c>
      <c r="I43" s="248">
        <f t="shared" si="18"/>
        <v>2432814.8400000017</v>
      </c>
      <c r="J43" s="248">
        <f t="shared" si="18"/>
        <v>1592113.7300000016</v>
      </c>
      <c r="K43" s="248">
        <f t="shared" si="18"/>
        <v>810785.71000000159</v>
      </c>
      <c r="L43" s="248">
        <f t="shared" si="18"/>
        <v>979598.72743054456</v>
      </c>
      <c r="M43" s="248">
        <f t="shared" si="18"/>
        <v>1041291.7858550344</v>
      </c>
      <c r="N43" s="248">
        <f t="shared" si="18"/>
        <v>2262559.740180938</v>
      </c>
      <c r="O43" s="248">
        <f>C43</f>
        <v>7562701.54</v>
      </c>
      <c r="P43" s="266" t="s">
        <v>142</v>
      </c>
      <c r="Q43" s="248">
        <f>C43+Q41+Q42</f>
        <v>4874164.42</v>
      </c>
      <c r="R43" s="248">
        <f t="shared" ref="R43:AB43" si="19">Q43+R41+R42</f>
        <v>2561650.7500000019</v>
      </c>
      <c r="S43" s="248">
        <f t="shared" si="19"/>
        <v>2457536.9600000023</v>
      </c>
      <c r="T43" s="248">
        <f t="shared" si="19"/>
        <v>2451178.8300000019</v>
      </c>
      <c r="U43" s="248">
        <f t="shared" si="19"/>
        <v>2762470.6800000016</v>
      </c>
      <c r="V43" s="248">
        <f t="shared" si="19"/>
        <v>2432814.8400000017</v>
      </c>
      <c r="W43" s="248">
        <f t="shared" si="19"/>
        <v>1592113.7300000016</v>
      </c>
      <c r="X43" s="248">
        <f t="shared" si="19"/>
        <v>810785.71000000159</v>
      </c>
      <c r="Y43" s="267">
        <f t="shared" si="19"/>
        <v>979598.72743054456</v>
      </c>
      <c r="Z43" s="267">
        <f t="shared" si="19"/>
        <v>1041291.7858550344</v>
      </c>
      <c r="AA43" s="267">
        <f t="shared" si="19"/>
        <v>2262559.740180938</v>
      </c>
      <c r="AB43" s="267">
        <f t="shared" si="19"/>
        <v>3191394.3745675455</v>
      </c>
      <c r="AC43" s="248">
        <f>+O43+AC41</f>
        <v>3191394.3745675469</v>
      </c>
      <c r="AD43" s="268"/>
      <c r="AE43" s="269"/>
      <c r="AF43" s="270"/>
      <c r="AG43" s="202"/>
    </row>
    <row r="44" spans="2:34" s="274" customFormat="1" ht="18.75">
      <c r="B44" s="271"/>
      <c r="C44" s="272"/>
      <c r="D44" s="273"/>
      <c r="F44" s="275"/>
      <c r="I44" s="276"/>
      <c r="J44" s="275"/>
      <c r="K44" s="277"/>
      <c r="L44" s="276"/>
      <c r="M44" s="277"/>
      <c r="N44" s="278"/>
      <c r="O44" s="278"/>
      <c r="P44" s="278"/>
      <c r="Q44" s="279"/>
      <c r="R44" s="280"/>
      <c r="S44" s="280"/>
      <c r="T44" s="281"/>
      <c r="U44" s="282"/>
      <c r="W44" s="283"/>
      <c r="X44" s="283"/>
      <c r="Y44" s="283"/>
      <c r="Z44" s="283"/>
      <c r="AA44" s="283"/>
      <c r="AB44" s="283"/>
      <c r="AC44" s="284"/>
      <c r="AD44" s="285"/>
      <c r="AE44" s="273"/>
      <c r="AF44" s="286"/>
      <c r="AG44" s="273"/>
      <c r="AH44" s="273"/>
    </row>
    <row r="45" spans="2:34" s="280" customFormat="1" ht="20.25" customHeight="1">
      <c r="B45" s="271"/>
      <c r="C45" s="271"/>
      <c r="D45" s="287"/>
      <c r="E45" s="278"/>
      <c r="F45" s="278"/>
      <c r="G45" s="278"/>
      <c r="H45" s="278"/>
      <c r="I45" s="278"/>
      <c r="J45" s="278"/>
      <c r="K45" s="278"/>
      <c r="L45" s="288"/>
      <c r="M45" s="278"/>
      <c r="Q45" s="289"/>
      <c r="R45" s="289"/>
      <c r="S45" s="289"/>
      <c r="T45" s="289"/>
      <c r="U45" s="290"/>
      <c r="V45" s="283"/>
      <c r="W45" s="291"/>
      <c r="X45" s="290"/>
      <c r="Y45" s="291"/>
      <c r="Z45" s="291"/>
      <c r="AA45" s="291"/>
      <c r="AB45" s="291"/>
      <c r="AC45" s="289"/>
      <c r="AD45" s="285"/>
      <c r="AE45" s="273"/>
      <c r="AF45" s="278"/>
      <c r="AG45" s="278"/>
      <c r="AH45" s="278"/>
    </row>
    <row r="46" spans="2:34" ht="24">
      <c r="D46" s="292"/>
      <c r="Q46" s="293"/>
      <c r="R46" s="293"/>
      <c r="S46" s="293"/>
      <c r="T46" s="293"/>
      <c r="U46" s="293"/>
      <c r="V46" s="294"/>
      <c r="W46" s="294"/>
      <c r="X46" s="295"/>
      <c r="Y46" s="295"/>
      <c r="Z46" s="295"/>
      <c r="AA46" s="295"/>
      <c r="AB46" s="295"/>
      <c r="AC46" s="296"/>
    </row>
    <row r="47" spans="2:34" ht="24">
      <c r="D47" s="292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8"/>
      <c r="S47" s="297"/>
      <c r="T47" s="297"/>
      <c r="U47" s="297"/>
      <c r="V47" s="295"/>
      <c r="W47" s="295"/>
      <c r="X47" s="295"/>
      <c r="Y47" s="295"/>
      <c r="Z47" s="295"/>
      <c r="AA47" s="295"/>
      <c r="AB47" s="295"/>
      <c r="AC47" s="295"/>
    </row>
    <row r="48" spans="2:34" ht="24">
      <c r="W48" s="299"/>
      <c r="X48" s="295"/>
      <c r="Y48" s="295"/>
      <c r="Z48" s="295"/>
      <c r="AA48" s="295"/>
      <c r="AB48" s="295"/>
      <c r="AC48" s="300"/>
    </row>
    <row r="49" spans="14:28" ht="24">
      <c r="X49" s="295"/>
      <c r="Y49" s="295"/>
      <c r="Z49" s="295"/>
      <c r="AA49" s="295"/>
      <c r="AB49" s="295"/>
    </row>
    <row r="50" spans="14:28" ht="24">
      <c r="N50" s="301"/>
      <c r="X50" s="295"/>
      <c r="Y50" s="295"/>
      <c r="Z50" s="295"/>
      <c r="AA50" s="295"/>
      <c r="AB50" s="295"/>
    </row>
    <row r="51" spans="14:28" ht="24">
      <c r="X51" s="295"/>
      <c r="Y51" s="295"/>
      <c r="Z51" s="295"/>
      <c r="AA51" s="295"/>
      <c r="AB51" s="295"/>
    </row>
    <row r="52" spans="14:28" ht="24">
      <c r="X52" s="295"/>
      <c r="Y52" s="295"/>
      <c r="Z52" s="295"/>
      <c r="AA52" s="295"/>
      <c r="AB52" s="295"/>
    </row>
    <row r="53" spans="14:28" ht="24">
      <c r="X53" s="295"/>
      <c r="Y53" s="295"/>
      <c r="Z53" s="295"/>
      <c r="AA53" s="295"/>
      <c r="AB53" s="295"/>
    </row>
    <row r="54" spans="14:28" ht="24">
      <c r="X54" s="295"/>
      <c r="Y54" s="295"/>
      <c r="Z54" s="295"/>
      <c r="AA54" s="295"/>
      <c r="AB54" s="295"/>
    </row>
    <row r="55" spans="14:28" ht="24">
      <c r="X55" s="295"/>
      <c r="Y55" s="295"/>
      <c r="Z55" s="295"/>
      <c r="AA55" s="295"/>
      <c r="AB55" s="295"/>
    </row>
    <row r="56" spans="14:28" ht="24">
      <c r="X56" s="295"/>
      <c r="Y56" s="295"/>
      <c r="Z56" s="295"/>
      <c r="AA56" s="295"/>
      <c r="AB56" s="295"/>
    </row>
    <row r="57" spans="14:28" ht="24">
      <c r="X57" s="295"/>
      <c r="Y57" s="295"/>
      <c r="Z57" s="295"/>
      <c r="AA57" s="295"/>
      <c r="AB57" s="295"/>
    </row>
    <row r="58" spans="14:28" ht="24">
      <c r="X58" s="295"/>
      <c r="Y58" s="295"/>
      <c r="Z58" s="295"/>
      <c r="AA58" s="295"/>
      <c r="AB58" s="295"/>
    </row>
    <row r="59" spans="14:28" ht="24">
      <c r="X59" s="295"/>
      <c r="Y59" s="295"/>
      <c r="Z59" s="295"/>
      <c r="AA59" s="295"/>
      <c r="AB59" s="295"/>
    </row>
    <row r="60" spans="14:28" ht="24">
      <c r="X60" s="295"/>
      <c r="Y60" s="295"/>
      <c r="Z60" s="295"/>
      <c r="AA60" s="295"/>
      <c r="AB60" s="295"/>
    </row>
    <row r="61" spans="14:28" ht="24">
      <c r="X61" s="295"/>
      <c r="Y61" s="295"/>
      <c r="Z61" s="295"/>
      <c r="AA61" s="295"/>
      <c r="AB61" s="295"/>
    </row>
    <row r="62" spans="14:28" ht="24">
      <c r="X62" s="295"/>
      <c r="Y62" s="295"/>
      <c r="Z62" s="295"/>
      <c r="AA62" s="295"/>
      <c r="AB62" s="295"/>
    </row>
    <row r="63" spans="14:28" ht="24">
      <c r="X63" s="295"/>
      <c r="Y63" s="295"/>
      <c r="Z63" s="295"/>
      <c r="AA63" s="295"/>
      <c r="AB63" s="295"/>
    </row>
    <row r="64" spans="14:28" ht="24">
      <c r="X64" s="295"/>
      <c r="Y64" s="295"/>
      <c r="Z64" s="295"/>
      <c r="AA64" s="295"/>
      <c r="AB64" s="295"/>
    </row>
    <row r="65" spans="24:28" ht="24">
      <c r="X65" s="295"/>
      <c r="Y65" s="295"/>
      <c r="Z65" s="295"/>
      <c r="AA65" s="295"/>
      <c r="AB65" s="295"/>
    </row>
    <row r="66" spans="24:28" ht="24">
      <c r="X66" s="295"/>
      <c r="Y66" s="295"/>
      <c r="Z66" s="295"/>
      <c r="AA66" s="295"/>
      <c r="AB66" s="295"/>
    </row>
    <row r="67" spans="24:28" ht="24">
      <c r="X67" s="295"/>
      <c r="Y67" s="295"/>
      <c r="Z67" s="295"/>
      <c r="AA67" s="295"/>
      <c r="AB67" s="295"/>
    </row>
    <row r="68" spans="24:28" ht="24">
      <c r="X68" s="295"/>
      <c r="Y68" s="295"/>
      <c r="Z68" s="295"/>
      <c r="AA68" s="295"/>
      <c r="AB68" s="295"/>
    </row>
    <row r="69" spans="24:28" ht="24">
      <c r="Z69" s="295"/>
      <c r="AA69" s="295"/>
      <c r="AB69" s="295"/>
    </row>
    <row r="70" spans="24:28" ht="24">
      <c r="Z70" s="295"/>
      <c r="AA70" s="295"/>
      <c r="AB70" s="295"/>
    </row>
    <row r="71" spans="24:28" ht="24">
      <c r="Z71" s="295"/>
      <c r="AA71" s="295"/>
      <c r="AB71" s="295"/>
    </row>
    <row r="72" spans="24:28" ht="24">
      <c r="Z72" s="295"/>
      <c r="AA72" s="295"/>
      <c r="AB72" s="295"/>
    </row>
    <row r="73" spans="24:28" ht="24">
      <c r="Z73" s="295"/>
      <c r="AA73" s="295"/>
      <c r="AB73" s="295"/>
    </row>
    <row r="74" spans="24:28" ht="24">
      <c r="Z74" s="295"/>
      <c r="AA74" s="295"/>
      <c r="AB74" s="295"/>
    </row>
    <row r="75" spans="24:28" ht="24">
      <c r="Z75" s="295"/>
      <c r="AA75" s="295"/>
      <c r="AB75" s="295"/>
    </row>
    <row r="98" spans="107:107">
      <c r="DC98" s="150" t="s">
        <v>143</v>
      </c>
    </row>
  </sheetData>
  <mergeCells count="30">
    <mergeCell ref="AD35:AF35"/>
    <mergeCell ref="AD18:AF18"/>
    <mergeCell ref="AD22:AF22"/>
    <mergeCell ref="AD23:AF23"/>
    <mergeCell ref="AD25:AF25"/>
    <mergeCell ref="AD26:AF26"/>
    <mergeCell ref="AD28:AF28"/>
    <mergeCell ref="AD29:AF29"/>
    <mergeCell ref="AD30:AF30"/>
    <mergeCell ref="AD31:AF31"/>
    <mergeCell ref="AD32:AF32"/>
    <mergeCell ref="AD34:AF34"/>
    <mergeCell ref="AD17:AF17"/>
    <mergeCell ref="AD6:AF6"/>
    <mergeCell ref="AD7:AF7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B1:AF1"/>
    <mergeCell ref="B4:B5"/>
    <mergeCell ref="C4:O4"/>
    <mergeCell ref="P4:P5"/>
    <mergeCell ref="Q4:AC4"/>
    <mergeCell ref="AD4:AF5"/>
  </mergeCells>
  <phoneticPr fontId="3" type="noConversion"/>
  <printOptions horizontalCentered="1" verticalCentered="1"/>
  <pageMargins left="3.937007874015748E-2" right="3.937007874015748E-2" top="0.74803149606299213" bottom="0.23622047244094491" header="0.31496062992125984" footer="0.23622047244094491"/>
  <pageSetup paperSize="8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PL_before</vt:lpstr>
      <vt:lpstr>PL_after</vt:lpstr>
      <vt:lpstr>Inven_before</vt:lpstr>
      <vt:lpstr>Inven_after</vt:lpstr>
      <vt:lpstr>Cash_before</vt:lpstr>
      <vt:lpstr>Cash_after</vt:lpstr>
      <vt:lpstr>Cash_after!Print_Area</vt:lpstr>
      <vt:lpstr>Cash_before!Print_Area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2026-09-09T00:31:15Z</dcterms:created>
  <dcterms:modified xsi:type="dcterms:W3CDTF">2026-09-15T03:22:02Z</dcterms:modified>
</cp:coreProperties>
</file>