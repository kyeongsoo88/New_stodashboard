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업무인수인계\6.실적보고\2025년\stodashboard\"/>
    </mc:Choice>
  </mc:AlternateContent>
  <xr:revisionPtr revIDLastSave="0" documentId="13_ncr:1_{C88A74BF-1E23-4548-A4B6-9A472B2A9F5E}" xr6:coauthVersionLast="47" xr6:coauthVersionMax="47" xr10:uidLastSave="{00000000-0000-0000-0000-000000000000}"/>
  <bookViews>
    <workbookView xWindow="28680" yWindow="15" windowWidth="29040" windowHeight="15720" activeTab="14" xr2:uid="{89435D38-00F2-43D0-AB28-88A78F638C6E}"/>
  </bookViews>
  <sheets>
    <sheet name="11월" sheetId="15" r:id="rId1"/>
    <sheet name="YTD -12월까지" sheetId="2" r:id="rId2"/>
    <sheet name="Sheet1" sheetId="13" r:id="rId3"/>
    <sheet name="Sheet2" sheetId="14" r:id="rId4"/>
    <sheet name="1월" sheetId="3" r:id="rId5"/>
    <sheet name="2월" sheetId="4" r:id="rId6"/>
    <sheet name="3월" sheetId="5" r:id="rId7"/>
    <sheet name="4월" sheetId="6" r:id="rId8"/>
    <sheet name="5월" sheetId="7" r:id="rId9"/>
    <sheet name="6월" sheetId="8" r:id="rId10"/>
    <sheet name="7월" sheetId="9" r:id="rId11"/>
    <sheet name="8월" sheetId="10" r:id="rId12"/>
    <sheet name="9월" sheetId="11" r:id="rId13"/>
    <sheet name="10월" sheetId="12" r:id="rId14"/>
    <sheet name="12월" sheetId="16" r:id="rId15"/>
  </sheets>
  <externalReferences>
    <externalReference r:id="rId16"/>
  </externalReferences>
  <definedNames>
    <definedName name="_" hidden="1">#REF!</definedName>
    <definedName name="_?">#REF!</definedName>
    <definedName name="_?0_F" hidden="1">#REF!</definedName>
    <definedName name="_?춑_TOTAL">#REF!</definedName>
    <definedName name="_?춮t2">#REF!</definedName>
    <definedName name="_?춮ta">#REF!</definedName>
    <definedName name="_?춮tb">#REF!</definedName>
    <definedName name="__">#REF!</definedName>
    <definedName name="__?">#REF!</definedName>
    <definedName name="__?춑_TOTAL">#REF!</definedName>
    <definedName name="__?춮t2">#REF!</definedName>
    <definedName name="__?춮ta">#REF!</definedName>
    <definedName name="__?춮tb">#REF!</definedName>
    <definedName name="___">#REF!</definedName>
    <definedName name="___?">#REF!</definedName>
    <definedName name="___?춑_TOTAL">#REF!</definedName>
    <definedName name="____">#REF!</definedName>
    <definedName name="____?">#REF!</definedName>
    <definedName name="____?춑_TOTAL">#REF!</definedName>
    <definedName name="____?춮t2">#REF!</definedName>
    <definedName name="____?춮ta">#REF!</definedName>
    <definedName name="____?춮tb">#REF!</definedName>
    <definedName name="_____">#REF!</definedName>
    <definedName name="_____?">#REF!</definedName>
    <definedName name="_____?춑_TOTAL">#REF!</definedName>
    <definedName name="______">#REF!</definedName>
    <definedName name="______?">#REF!</definedName>
    <definedName name="______?춑_TOTAL">#REF!</definedName>
    <definedName name="_______">#REF!</definedName>
    <definedName name="_______?">#REF!</definedName>
    <definedName name="_______?춑_TOTAL">#REF!</definedName>
    <definedName name="________">#REF!</definedName>
    <definedName name="________?">#REF!</definedName>
    <definedName name="________?춑_TOTAL">#REF!</definedName>
    <definedName name="_________">#REF!</definedName>
    <definedName name="_________?">#REF!</definedName>
    <definedName name="_________?춑_TOTAL">#REF!</definedName>
    <definedName name="__________">#REF!</definedName>
    <definedName name="__________?">#REF!</definedName>
    <definedName name="__________?춑_TOTAL">#REF!</definedName>
    <definedName name="___________">#REF!</definedName>
    <definedName name="___________?">#REF!</definedName>
    <definedName name="___________?춑_TOTAL">#REF!</definedName>
    <definedName name="____________?">#REF!</definedName>
    <definedName name="____________?춑_TOTAL">#REF!</definedName>
    <definedName name="_____________?">#REF!</definedName>
    <definedName name="______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>#REF!</definedName>
    <definedName name="____________________E65954">#REF!</definedName>
    <definedName name="_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>#REF!</definedName>
    <definedName name="___________________E65954">#REF!</definedName>
    <definedName name="_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>#REF!</definedName>
    <definedName name="__________________E65954">#REF!</definedName>
    <definedName name="_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>#REF!</definedName>
    <definedName name="_________________E65954">#REF!</definedName>
    <definedName name="_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>#REF!</definedName>
    <definedName name="________________E65954">#REF!</definedName>
    <definedName name="_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>#REF!</definedName>
    <definedName name="_______________E65954">#REF!</definedName>
    <definedName name="_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>#REF!</definedName>
    <definedName name="______________E65954">#REF!</definedName>
    <definedName name="_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>#REF!</definedName>
    <definedName name="_____________C1244ㅁ1430">#REF!</definedName>
    <definedName name="_____________C332897">#REF!</definedName>
    <definedName name="_____________E65954">#REF!</definedName>
    <definedName name="_____________KD1">#REF!</definedName>
    <definedName name="_____________kz1" hidden="1">#REF!</definedName>
    <definedName name="_____________kz2" hidden="1">#REF!</definedName>
    <definedName name="_____________kz3" hidden="1">#REF!</definedName>
    <definedName name="_____________kz4" hidden="1">#REF!</definedName>
    <definedName name="_____________kz5" hidden="1">#REF!</definedName>
    <definedName name="_____________kz6" hidden="1">#REF!</definedName>
    <definedName name="_____________kz7" hidden="1">#REF!</definedName>
    <definedName name="_____________kz8" hidden="1">#REF!</definedName>
    <definedName name="_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>#REF!</definedName>
    <definedName name="____________C1244ㅁ1430">#REF!</definedName>
    <definedName name="____________C332897">#REF!</definedName>
    <definedName name="____________E65954">#REF!</definedName>
    <definedName name="____________KD1">#REF!</definedName>
    <definedName name="____________kz1" hidden="1">#REF!</definedName>
    <definedName name="____________kz2" hidden="1">#REF!</definedName>
    <definedName name="____________kz3" hidden="1">#REF!</definedName>
    <definedName name="____________kz4" hidden="1">#REF!</definedName>
    <definedName name="____________kz5" hidden="1">#REF!</definedName>
    <definedName name="____________kz6" hidden="1">#REF!</definedName>
    <definedName name="____________kz7" hidden="1">#REF!</definedName>
    <definedName name="____________kz8" hidden="1">#REF!</definedName>
    <definedName name="_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>#REF!</definedName>
    <definedName name="___________C1244ㅁ1430">#REF!</definedName>
    <definedName name="___________C332897">#REF!</definedName>
    <definedName name="___________E65954">#REF!</definedName>
    <definedName name="___________KD1">#REF!</definedName>
    <definedName name="___________kz1" hidden="1">#REF!</definedName>
    <definedName name="___________kz2" hidden="1">#REF!</definedName>
    <definedName name="___________kz3" hidden="1">#REF!</definedName>
    <definedName name="___________kz4" hidden="1">#REF!</definedName>
    <definedName name="___________kz5" hidden="1">#REF!</definedName>
    <definedName name="___________kz6" hidden="1">#REF!</definedName>
    <definedName name="___________kz7" hidden="1">#REF!</definedName>
    <definedName name="___________kz8" hidden="1">#REF!</definedName>
    <definedName name="_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>#REF!</definedName>
    <definedName name="__________C1244ㅁ1430">#REF!</definedName>
    <definedName name="__________C332897">#REF!</definedName>
    <definedName name="__________E65954">#REF!</definedName>
    <definedName name="__________KD1">#REF!</definedName>
    <definedName name="__________kz1" hidden="1">#REF!</definedName>
    <definedName name="__________kz2" hidden="1">#REF!</definedName>
    <definedName name="__________kz3" hidden="1">#REF!</definedName>
    <definedName name="__________kz4" hidden="1">#REF!</definedName>
    <definedName name="__________kz5" hidden="1">#REF!</definedName>
    <definedName name="__________kz6" hidden="1">#REF!</definedName>
    <definedName name="__________kz7" hidden="1">#REF!</definedName>
    <definedName name="__________kz8" hidden="1">#REF!</definedName>
    <definedName name="_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>#REF!</definedName>
    <definedName name="_________C1244ㅁ1430">#REF!</definedName>
    <definedName name="_________C332897">#REF!</definedName>
    <definedName name="_________E65954">#REF!</definedName>
    <definedName name="_________KD1">#REF!</definedName>
    <definedName name="_________kz1" hidden="1">#REF!</definedName>
    <definedName name="_________kz2" hidden="1">#REF!</definedName>
    <definedName name="_________kz3" hidden="1">#REF!</definedName>
    <definedName name="_________kz4" hidden="1">#REF!</definedName>
    <definedName name="_________kz5" hidden="1">#REF!</definedName>
    <definedName name="_________kz6" hidden="1">#REF!</definedName>
    <definedName name="_________kz7" hidden="1">#REF!</definedName>
    <definedName name="_________kz8" hidden="1">#REF!</definedName>
    <definedName name="_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>#REF!</definedName>
    <definedName name="________C1244ㅁ1430">#REF!</definedName>
    <definedName name="________C332897">#REF!</definedName>
    <definedName name="________E65954">#REF!</definedName>
    <definedName name="________KD1">#REF!</definedName>
    <definedName name="________kz1" hidden="1">#REF!</definedName>
    <definedName name="________kz2" hidden="1">#REF!</definedName>
    <definedName name="________kz3" hidden="1">#REF!</definedName>
    <definedName name="________kz4" hidden="1">#REF!</definedName>
    <definedName name="________kz5" hidden="1">#REF!</definedName>
    <definedName name="________kz6" hidden="1">#REF!</definedName>
    <definedName name="________kz7" hidden="1">#REF!</definedName>
    <definedName name="________kz8" hidden="1">#REF!</definedName>
    <definedName name="_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>#REF!</definedName>
    <definedName name="_______A20000">#REF!</definedName>
    <definedName name="_______Ａ４">#REF!</definedName>
    <definedName name="_______A99999">#REF!</definedName>
    <definedName name="_______C1244ㅁ1430">#REF!</definedName>
    <definedName name="_______C332897">#REF!</definedName>
    <definedName name="_______E65954">#REF!</definedName>
    <definedName name="_______KD1">#REF!</definedName>
    <definedName name="_______kz1" hidden="1">#REF!</definedName>
    <definedName name="_______kz2" hidden="1">#REF!</definedName>
    <definedName name="_______kz3" hidden="1">#REF!</definedName>
    <definedName name="_______kz4" hidden="1">#REF!</definedName>
    <definedName name="_______kz5" hidden="1">#REF!</definedName>
    <definedName name="_______kz6" hidden="1">#REF!</definedName>
    <definedName name="_______kz7" hidden="1">#REF!</definedName>
    <definedName name="_______kz8" hidden="1">#REF!</definedName>
    <definedName name="_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>#REF!</definedName>
    <definedName name="______Ａ４">#REF!</definedName>
    <definedName name="______C1244ㅁ1430">#REF!</definedName>
    <definedName name="______C332897">#REF!</definedName>
    <definedName name="______E65954">#REF!</definedName>
    <definedName name="______KD1">#REF!</definedName>
    <definedName name="______kz1" hidden="1">#REF!</definedName>
    <definedName name="______kz2" hidden="1">#REF!</definedName>
    <definedName name="______kz3" hidden="1">#REF!</definedName>
    <definedName name="______kz4" hidden="1">#REF!</definedName>
    <definedName name="______kz5" hidden="1">#REF!</definedName>
    <definedName name="______kz6" hidden="1">#REF!</definedName>
    <definedName name="______kz7" hidden="1">#REF!</definedName>
    <definedName name="______kz8" hidden="1">#REF!</definedName>
    <definedName name="______R3_t">#N/A</definedName>
    <definedName name="______R3_t1">#N/A</definedName>
    <definedName name="_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>#REF!</definedName>
    <definedName name="_____A99999">#REF!</definedName>
    <definedName name="_____C1244ㅁ1430">#REF!</definedName>
    <definedName name="_____C332897">#REF!</definedName>
    <definedName name="_____E65954">#REF!</definedName>
    <definedName name="_____KD1">#REF!</definedName>
    <definedName name="_____kz1" hidden="1">#REF!</definedName>
    <definedName name="_____kz2" hidden="1">#REF!</definedName>
    <definedName name="_____kz3" hidden="1">#REF!</definedName>
    <definedName name="_____kz4" hidden="1">#REF!</definedName>
    <definedName name="_____kz5" hidden="1">#REF!</definedName>
    <definedName name="_____kz6" hidden="1">#REF!</definedName>
    <definedName name="_____kz7" hidden="1">#REF!</definedName>
    <definedName name="_____kz8" hidden="1">#REF!</definedName>
    <definedName name="_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>#REF!</definedName>
    <definedName name="____A19999">#REF!</definedName>
    <definedName name="____A20000">#REF!</definedName>
    <definedName name="____Ａ４">#REF!</definedName>
    <definedName name="____A99999">#REF!</definedName>
    <definedName name="____C1244ㅁ1430">#REF!</definedName>
    <definedName name="____C332897">#REF!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>#REF!</definedName>
    <definedName name="____GEL10">#REF!</definedName>
    <definedName name="____GG1">#REF!</definedName>
    <definedName name="____GTE10">#REF!</definedName>
    <definedName name="____INT2" localSheetId="0" hidden="1">{#N/A,#N/A,TRUE,"일정"}</definedName>
    <definedName name="____INT2" localSheetId="14" hidden="1">{#N/A,#N/A,TRUE,"일정"}</definedName>
    <definedName name="____INT2" hidden="1">{#N/A,#N/A,TRUE,"일정"}</definedName>
    <definedName name="_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>#REF!</definedName>
    <definedName name="____kz1" hidden="1">#REF!</definedName>
    <definedName name="____kz2" hidden="1">#REF!</definedName>
    <definedName name="____kz3" hidden="1">#REF!</definedName>
    <definedName name="____kz4" hidden="1">#REF!</definedName>
    <definedName name="____kz5" hidden="1">#REF!</definedName>
    <definedName name="____kz6" hidden="1">#REF!</definedName>
    <definedName name="____kz7" hidden="1">#REF!</definedName>
    <definedName name="____kz8" hidden="1">#REF!</definedName>
    <definedName name="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0" hidden="1">{#N/A,#N/A,TRUE,"일정"}</definedName>
    <definedName name="____Tir1" localSheetId="14" hidden="1">{#N/A,#N/A,TRUE,"일정"}</definedName>
    <definedName name="____Tir1" hidden="1">{#N/A,#N/A,TRUE,"일정"}</definedName>
    <definedName name="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>#REF!</definedName>
    <definedName name="___A19999">#REF!</definedName>
    <definedName name="___A20000">#REF!</definedName>
    <definedName name="___A3" localSheetId="0" hidden="1">{#N/A,#N/A,FALSE,"단축1";#N/A,#N/A,FALSE,"단축2";#N/A,#N/A,FALSE,"단축3";#N/A,#N/A,FALSE,"장축";#N/A,#N/A,FALSE,"4WD"}</definedName>
    <definedName name="___A3" localSheetId="14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Ａ４">#REF!</definedName>
    <definedName name="___A99999">#REF!</definedName>
    <definedName name="___C1244ㅁ1430">#REF!</definedName>
    <definedName name="___C332897">#REF!</definedName>
    <definedName name="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>#REF!</definedName>
    <definedName name="___gap1">#REF!,#REF!</definedName>
    <definedName name="___GEL10">#REF!</definedName>
    <definedName name="___GTE10">#REF!</definedName>
    <definedName name="___INT2" localSheetId="0" hidden="1">{#N/A,#N/A,TRUE,"일정"}</definedName>
    <definedName name="___INT2" localSheetId="14" hidden="1">{#N/A,#N/A,TRUE,"일정"}</definedName>
    <definedName name="___INT2" hidden="1">{#N/A,#N/A,TRUE,"일정"}</definedName>
    <definedName name="___IRR2" hidden="1">#REF!</definedName>
    <definedName name="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>#REF!</definedName>
    <definedName name="___kz1" hidden="1">#REF!</definedName>
    <definedName name="___kz2" hidden="1">#REF!</definedName>
    <definedName name="___kz3" hidden="1">#REF!</definedName>
    <definedName name="___kz4" hidden="1">#REF!</definedName>
    <definedName name="___kz5" hidden="1">#REF!</definedName>
    <definedName name="___kz6" hidden="1">#REF!</definedName>
    <definedName name="___kz7" hidden="1">#REF!</definedName>
    <definedName name="___kz8" hidden="1">#REF!</definedName>
    <definedName name="___P2" localSheetId="0" hidden="1">{#N/A,#N/A,FALSE,"단축1";#N/A,#N/A,FALSE,"단축2";#N/A,#N/A,FALSE,"단축3";#N/A,#N/A,FALSE,"장축";#N/A,#N/A,FALSE,"4WD"}</definedName>
    <definedName name="___P2" localSheetId="14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L7" localSheetId="0" hidden="1">{#N/A,#N/A,TRUE,"대 차 대 조 표"}</definedName>
    <definedName name="___PL7" localSheetId="14" hidden="1">{#N/A,#N/A,TRUE,"대 차 대 조 표"}</definedName>
    <definedName name="___PL7" hidden="1">{#N/A,#N/A,TRUE,"대 차 대 조 표"}</definedName>
    <definedName name="___SCF4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localSheetId="0" hidden="1">{#N/A,#N/A,FALSE,"단축1";#N/A,#N/A,FALSE,"단축2";#N/A,#N/A,FALSE,"단축3";#N/A,#N/A,FALSE,"장축";#N/A,#N/A,FALSE,"4WD"}</definedName>
    <definedName name="___SUM1" localSheetId="14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T2" localSheetId="0" hidden="1">{#N/A,#N/A,FALSE,"단축1";#N/A,#N/A,FALSE,"단축2";#N/A,#N/A,FALSE,"단축3";#N/A,#N/A,FALSE,"장축";#N/A,#N/A,FALSE,"4WD"}</definedName>
    <definedName name="___T2" localSheetId="14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localSheetId="0" hidden="1">{#N/A,#N/A,FALSE,"단축1";#N/A,#N/A,FALSE,"단축2";#N/A,#N/A,FALSE,"단축3";#N/A,#N/A,FALSE,"장축";#N/A,#N/A,FALSE,"4WD"}</definedName>
    <definedName name="___T3" localSheetId="14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localSheetId="0" hidden="1">{#N/A,#N/A,FALSE,"단축1";#N/A,#N/A,FALSE,"단축2";#N/A,#N/A,FALSE,"단축3";#N/A,#N/A,FALSE,"장축";#N/A,#N/A,FALSE,"4WD"}</definedName>
    <definedName name="___T5" localSheetId="14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localSheetId="0" hidden="1">{#N/A,#N/A,TRUE,"일정"}</definedName>
    <definedName name="___Tir1" localSheetId="14" hidden="1">{#N/A,#N/A,TRUE,"일정"}</definedName>
    <definedName name="___Tir1" hidden="1">{#N/A,#N/A,TRUE,"일정"}</definedName>
    <definedName name="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>#REF!</definedName>
    <definedName name="__0">#REF!</definedName>
    <definedName name="__01">#REF!</definedName>
    <definedName name="__02">#REF!</definedName>
    <definedName name="__03">#REF!</definedName>
    <definedName name="__04">#REF!</definedName>
    <definedName name="__05">#REF!</definedName>
    <definedName name="__06">#REF!</definedName>
    <definedName name="__1_?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2_?춑_TOTAL">#REF!</definedName>
    <definedName name="__3_0_0SANGD">#REF!</definedName>
    <definedName name="__4Ａ４_">#REF!</definedName>
    <definedName name="__5SANGD">#REF!</definedName>
    <definedName name="__A19999">#N/A</definedName>
    <definedName name="__A20000">#N/A</definedName>
    <definedName name="__A3" localSheetId="0" hidden="1">{#N/A,#N/A,FALSE,"단축1";#N/A,#N/A,FALSE,"단축2";#N/A,#N/A,FALSE,"단축3";#N/A,#N/A,FALSE,"장축";#N/A,#N/A,FALSE,"4WD"}</definedName>
    <definedName name="__A3" localSheetId="14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Ａ４">#REF!</definedName>
    <definedName name="__A99999">#REF!</definedName>
    <definedName name="__aaa2" localSheetId="0" hidden="1">{#N/A,#N/A,FALSE,"Aging Summary";#N/A,#N/A,FALSE,"Ratio Analysis";#N/A,#N/A,FALSE,"Test 120 Day Accts";#N/A,#N/A,FALSE,"Tickmarks"}</definedName>
    <definedName name="__aaa2" localSheetId="14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Bp2" localSheetId="0" hidden="1">{#N/A,#N/A,FALSE,"BS";#N/A,#N/A,FALSE,"PL";#N/A,#N/A,FALSE,"처분";#N/A,#N/A,FALSE,"현금";#N/A,#N/A,FALSE,"매출";#N/A,#N/A,FALSE,"원가";#N/A,#N/A,FALSE,"경영"}</definedName>
    <definedName name="__Bp2" localSheetId="14" hidden="1">{#N/A,#N/A,FALSE,"BS";#N/A,#N/A,FALSE,"PL";#N/A,#N/A,FALSE,"처분";#N/A,#N/A,FALSE,"현금";#N/A,#N/A,FALSE,"매출";#N/A,#N/A,FALSE,"원가";#N/A,#N/A,FALSE,"경영"}</definedName>
    <definedName name="__Bp2" hidden="1">{#N/A,#N/A,FALSE,"BS";#N/A,#N/A,FALSE,"PL";#N/A,#N/A,FALSE,"처분";#N/A,#N/A,FALSE,"현금";#N/A,#N/A,FALSE,"매출";#N/A,#N/A,FALSE,"원가";#N/A,#N/A,FALSE,"경영"}</definedName>
    <definedName name="__C1244ㅁ1430">#REF!</definedName>
    <definedName name="__C33289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>#REF!</definedName>
    <definedName name="__DIR2">#REF!</definedName>
    <definedName name="__DR1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>#REF!,#REF!</definedName>
    <definedName name="__GEL10">#REF!</definedName>
    <definedName name="__GG1">#REF!</definedName>
    <definedName name="__GTE10">#REF!</definedName>
    <definedName name="__INT2" localSheetId="0" hidden="1">{#N/A,#N/A,TRUE,"일정"}</definedName>
    <definedName name="__INT2" localSheetId="14" hidden="1">{#N/A,#N/A,TRUE,"일정"}</definedName>
    <definedName name="__INT2" hidden="1">{#N/A,#N/A,TRUE,"일정"}</definedName>
    <definedName name="__IntlFixup" hidden="1">TRUE</definedName>
    <definedName name="__IRR2" hidden="1">#REF!</definedName>
    <definedName name="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>#REF!</definedName>
    <definedName name="__kz4" hidden="1">#REF!</definedName>
    <definedName name="__kz5" hidden="1">#REF!</definedName>
    <definedName name="__kz6" hidden="1">#REF!</definedName>
    <definedName name="__kz7" hidden="1">#REF!</definedName>
    <definedName name="__kz8" hidden="1">#REF!</definedName>
    <definedName name="__lbg2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localSheetId="0" hidden="1">{#N/A,#N/A,TRUE,"매출진척-1";#N/A,#N/A,TRUE,"매출진척-2";#N/A,#N/A,TRUE,"제품실적";#N/A,#N/A,TRUE,"RAC";#N/A,#N/A,TRUE,"PAC ";#N/A,#N/A,TRUE,"재고현황";#N/A,#N/A,TRUE,"공지사항"}</definedName>
    <definedName name="__LG2" localSheetId="14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>#REF!</definedName>
    <definedName name="__P2" localSheetId="0" hidden="1">{#N/A,#N/A,FALSE,"단축1";#N/A,#N/A,FALSE,"단축2";#N/A,#N/A,FALSE,"단축3";#N/A,#N/A,FALSE,"장축";#N/A,#N/A,FALSE,"4WD"}</definedName>
    <definedName name="__P2" localSheetId="14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l0201">#REF!</definedName>
    <definedName name="__pl0202">#REF!</definedName>
    <definedName name="__pl0203">#REF!</definedName>
    <definedName name="__pl0204">#REF!</definedName>
    <definedName name="__pl0205">#REF!</definedName>
    <definedName name="__pl0206">#REF!</definedName>
    <definedName name="__pl0207">#REF!</definedName>
    <definedName name="__pl0208">#REF!</definedName>
    <definedName name="__pl0209">#REF!</definedName>
    <definedName name="__pl0210">#REF!</definedName>
    <definedName name="__PL7" localSheetId="0" hidden="1">{#N/A,#N/A,TRUE,"대 차 대 조 표"}</definedName>
    <definedName name="__PL7" localSheetId="14" hidden="1">{#N/A,#N/A,TRUE,"대 차 대 조 표"}</definedName>
    <definedName name="__PL7" hidden="1">{#N/A,#N/A,TRUE,"대 차 대 조 표"}</definedName>
    <definedName name="__SA1">#REF!</definedName>
    <definedName name="__SCF4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>#REF!</definedName>
    <definedName name="__SHR2">#REF!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localSheetId="0" hidden="1">{#N/A,#N/A,FALSE,"단축1";#N/A,#N/A,FALSE,"단축2";#N/A,#N/A,FALSE,"단축3";#N/A,#N/A,FALSE,"장축";#N/A,#N/A,FALSE,"4WD"}</definedName>
    <definedName name="__SUM1" localSheetId="14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2" localSheetId="0" hidden="1">{#N/A,#N/A,FALSE,"단축1";#N/A,#N/A,FALSE,"단축2";#N/A,#N/A,FALSE,"단축3";#N/A,#N/A,FALSE,"장축";#N/A,#N/A,FALSE,"4WD"}</definedName>
    <definedName name="__T2" localSheetId="14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0" hidden="1">{#N/A,#N/A,FALSE,"단축1";#N/A,#N/A,FALSE,"단축2";#N/A,#N/A,FALSE,"단축3";#N/A,#N/A,FALSE,"장축";#N/A,#N/A,FALSE,"4WD"}</definedName>
    <definedName name="__T3" localSheetId="14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0" hidden="1">{#N/A,#N/A,FALSE,"단축1";#N/A,#N/A,FALSE,"단축2";#N/A,#N/A,FALSE,"단축3";#N/A,#N/A,FALSE,"장축";#N/A,#N/A,FALSE,"4WD"}</definedName>
    <definedName name="__T5" localSheetId="14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5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124">#REF!</definedName>
    <definedName name="__TB125">#REF!</definedName>
    <definedName name="__TB126">#REF!</definedName>
    <definedName name="__TB131">#REF!</definedName>
    <definedName name="__TB132">#REF!</definedName>
    <definedName name="__TB211">#REF!</definedName>
    <definedName name="__TB212">#REF!</definedName>
    <definedName name="__TB213">#REF!</definedName>
    <definedName name="__TB214">#REF!</definedName>
    <definedName name="__TB215">#REF!</definedName>
    <definedName name="__TB221">#REF!</definedName>
    <definedName name="__TB2210">#REF!</definedName>
    <definedName name="__TB222">#REF!</definedName>
    <definedName name="__TB223">#REF!</definedName>
    <definedName name="__TB224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1">#REF!</definedName>
    <definedName name="__TB312">#REF!</definedName>
    <definedName name="__TB313">#REF!</definedName>
    <definedName name="__TB314">#REF!</definedName>
    <definedName name="__TB315">#REF!</definedName>
    <definedName name="__TB316">#REF!</definedName>
    <definedName name="__TB317">#REF!</definedName>
    <definedName name="__TB318">#REF!</definedName>
    <definedName name="__TB319">#REF!</definedName>
    <definedName name="__TB321">#REF!</definedName>
    <definedName name="__TB322">#REF!</definedName>
    <definedName name="__TB323">#REF!</definedName>
    <definedName name="__TB324">#REF!</definedName>
    <definedName name="__TB325">#REF!</definedName>
    <definedName name="__TB401">#REF!</definedName>
    <definedName name="__TB402">#REF!</definedName>
    <definedName name="__TB403">#REF!</definedName>
    <definedName name="__TB404">#REF!</definedName>
    <definedName name="__TB405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1">#REF!</definedName>
    <definedName name="__TB512">#REF!</definedName>
    <definedName name="__TB513">#REF!</definedName>
    <definedName name="__TB601">#REF!</definedName>
    <definedName name="__TB602">#REF!</definedName>
    <definedName name="__TB603">#REF!</definedName>
    <definedName name="__TB604">#REF!</definedName>
    <definedName name="__TB605">#REF!</definedName>
    <definedName name="__TB701">#REF!</definedName>
    <definedName name="__TB811">#REF!</definedName>
    <definedName name="__TB812">#REF!</definedName>
    <definedName name="__TB813">#REF!</definedName>
    <definedName name="__TB814">#REF!</definedName>
    <definedName name="__TB820">#REF!</definedName>
    <definedName name="__TB902">#REF!</definedName>
    <definedName name="__TB903">#REF!</definedName>
    <definedName name="__TB904">#REF!</definedName>
    <definedName name="__TBI1001">#REF!</definedName>
    <definedName name="__TBI1002">#REF!</definedName>
    <definedName name="__TBI1003">#REF!</definedName>
    <definedName name="__TBI1004">#REF!</definedName>
    <definedName name="__TBI1005">#REF!</definedName>
    <definedName name="__TBI101">#REF!</definedName>
    <definedName name="__TBI102">#REF!</definedName>
    <definedName name="__TBI1100">#REF!</definedName>
    <definedName name="__TBI12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425">#REF!</definedName>
    <definedName name="__TBI601">#REF!</definedName>
    <definedName name="__TBI602">#REF!</definedName>
    <definedName name="__TBI603">#REF!</definedName>
    <definedName name="__TBI604">#REF!</definedName>
    <definedName name="__TBI605">#REF!</definedName>
    <definedName name="__TBI606">#REF!</definedName>
    <definedName name="__TBI607">#REF!</definedName>
    <definedName name="__TBI608">#REF!</definedName>
    <definedName name="__TBI609">#REF!</definedName>
    <definedName name="__TBI610">#REF!</definedName>
    <definedName name="__TBI611">#REF!</definedName>
    <definedName name="__TBI612">#REF!</definedName>
    <definedName name="__TBI613">#REF!</definedName>
    <definedName name="__TBI614">#REF!</definedName>
    <definedName name="__TBI701">#REF!</definedName>
    <definedName name="__TBI702">#REF!</definedName>
    <definedName name="__TBI703">#REF!</definedName>
    <definedName name="__TBI704">#REF!</definedName>
    <definedName name="__TBI705">#REF!</definedName>
    <definedName name="__TBI706">#REF!</definedName>
    <definedName name="__TBI707">#REF!</definedName>
    <definedName name="__TBI708">#REF!</definedName>
    <definedName name="__TBI709">#REF!</definedName>
    <definedName name="__TBI710">#REF!</definedName>
    <definedName name="__TBI711">#REF!</definedName>
    <definedName name="__TBI712">#REF!</definedName>
    <definedName name="__TBI713">#REF!</definedName>
    <definedName name="__TBI714">#REF!</definedName>
    <definedName name="__TBI715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BI903">#REF!</definedName>
    <definedName name="__TBI904">#REF!</definedName>
    <definedName name="__TBI905">#REF!</definedName>
    <definedName name="__TBI906">#REF!</definedName>
    <definedName name="__TBI907">#REF!</definedName>
    <definedName name="__Tir1" localSheetId="0" hidden="1">{#N/A,#N/A,TRUE,"일정"}</definedName>
    <definedName name="__Tir1" localSheetId="14" hidden="1">{#N/A,#N/A,TRUE,"일정"}</definedName>
    <definedName name="__Tir1" hidden="1">{#N/A,#N/A,TRUE,"일정"}</definedName>
    <definedName name="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localSheetId="0" hidden="1">{#N/A,#N/A,FALSE,"Aging Summary";#N/A,#N/A,FALSE,"Ratio Analysis";#N/A,#N/A,FALSE,"Test 120 Day Accts";#N/A,#N/A,FALSE,"Tickmarks"}</definedName>
    <definedName name="__wpl2" localSheetId="14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ZZ16384">#REF!</definedName>
    <definedName name="_1">#REF!</definedName>
    <definedName name="_1_">#REF!</definedName>
    <definedName name="_1_?">#REF!</definedName>
    <definedName name="_1__FDSAUDITLINK__" localSheetId="0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localSheetId="14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>#REF!</definedName>
    <definedName name="_10">#REF!</definedName>
    <definedName name="_10_05">#REF!</definedName>
    <definedName name="_101600">#REF!</definedName>
    <definedName name="_101601">#REF!</definedName>
    <definedName name="_10A20000_">#REF!</definedName>
    <definedName name="_10SANGD">#REF!</definedName>
    <definedName name="_10T3_" localSheetId="0" hidden="1">{#N/A,#N/A,FALSE,"단축1";#N/A,#N/A,FALSE,"단축2";#N/A,#N/A,FALSE,"단축3";#N/A,#N/A,FALSE,"장축";#N/A,#N/A,FALSE,"4WD"}</definedName>
    <definedName name="_10T3_" localSheetId="14" hidden="1">{#N/A,#N/A,FALSE,"단축1";#N/A,#N/A,FALSE,"단축2";#N/A,#N/A,FALSE,"단축3";#N/A,#N/A,FALSE,"장축";#N/A,#N/A,FALSE,"4WD"}</definedName>
    <definedName name="_10T3_" hidden="1">{#N/A,#N/A,FALSE,"단축1";#N/A,#N/A,FALSE,"단축2";#N/A,#N/A,FALSE,"단축3";#N/A,#N/A,FALSE,"장축";#N/A,#N/A,FALSE,"4WD"}</definedName>
    <definedName name="_11">#REF!</definedName>
    <definedName name="_11_06">#REF!</definedName>
    <definedName name="_11T5_" localSheetId="0" hidden="1">{#N/A,#N/A,FALSE,"단축1";#N/A,#N/A,FALSE,"단축2";#N/A,#N/A,FALSE,"단축3";#N/A,#N/A,FALSE,"장축";#N/A,#N/A,FALSE,"4WD"}</definedName>
    <definedName name="_11T5_" localSheetId="14" hidden="1">{#N/A,#N/A,FALSE,"단축1";#N/A,#N/A,FALSE,"단축2";#N/A,#N/A,FALSE,"단축3";#N/A,#N/A,FALSE,"장축";#N/A,#N/A,FALSE,"4WD"}</definedName>
    <definedName name="_11T5_" hidden="1">{#N/A,#N/A,FALSE,"단축1";#N/A,#N/A,FALSE,"단축2";#N/A,#N/A,FALSE,"단축3";#N/A,#N/A,FALSE,"장축";#N/A,#N/A,FALSE,"4WD"}</definedName>
    <definedName name="_12">#REF!</definedName>
    <definedName name="_12_0ㅁ">#REF!</definedName>
    <definedName name="_12_7_0__123Graph_LB" hidden="1">#REF!</definedName>
    <definedName name="_13_0_0SANGD">#REF!</definedName>
    <definedName name="_13_0bcrclcl100rtr">#REF!</definedName>
    <definedName name="_13____S" hidden="1">#REF!</definedName>
    <definedName name="_135_0Crite">#REF!</definedName>
    <definedName name="_14_0Crite">#REF!</definedName>
    <definedName name="_147_0계기">#REF!</definedName>
    <definedName name="_149_0계기en">#REF!</definedName>
    <definedName name="_15_0Extr">#REF!</definedName>
    <definedName name="_15__0_S" hidden="1">#REF!</definedName>
    <definedName name="_151_0누계기">#REF!</definedName>
    <definedName name="_153_0누계생">#REF!</definedName>
    <definedName name="_155_0누실마">#REF!</definedName>
    <definedName name="_15672asdf">#REF!</definedName>
    <definedName name="_157_0누실적">#REF!</definedName>
    <definedName name="_159_0실기버">#REF!</definedName>
    <definedName name="_16_?춑_TOTAL">#REF!</definedName>
    <definedName name="_16_9_0__123Grap" hidden="1">#REF!</definedName>
    <definedName name="_161_0실적마">#REF!</definedName>
    <definedName name="_163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>#REF!</definedName>
    <definedName name="_167n_0Extr">#REF!</definedName>
    <definedName name="_16A1_">#REF!</definedName>
    <definedName name="_17A100_">#REF!</definedName>
    <definedName name="_18A101_">#REF!</definedName>
    <definedName name="_1999_01_29">#REF!</definedName>
    <definedName name="_19A20000_">#REF!</definedName>
    <definedName name="_1A19999_">#REF!</definedName>
    <definedName name="_1Bp2_" localSheetId="0" hidden="1">{#N/A,#N/A,FALSE,"BS";#N/A,#N/A,FALSE,"PL";#N/A,#N/A,FALSE,"처분";#N/A,#N/A,FALSE,"현금";#N/A,#N/A,FALSE,"매출";#N/A,#N/A,FALSE,"원가";#N/A,#N/A,FALSE,"경영"}</definedName>
    <definedName name="_1Bp2_" localSheetId="14" hidden="1">{#N/A,#N/A,FALSE,"BS";#N/A,#N/A,FALSE,"PL";#N/A,#N/A,FALSE,"처분";#N/A,#N/A,FALSE,"현금";#N/A,#N/A,FALSE,"매출";#N/A,#N/A,FALSE,"원가";#N/A,#N/A,FALSE,"경영"}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>#REF!</definedName>
    <definedName name="_1st_Yr_V">#REF!</definedName>
    <definedName name="_1st_Yr_Vacancy">#REF!</definedName>
    <definedName name="_2">#REF!</definedName>
    <definedName name="_2_">#REF!</definedName>
    <definedName name="_2_?">#REF!</definedName>
    <definedName name="_2_?춑_TOTAL">#REF!</definedName>
    <definedName name="_2__FDSAUDITLINK__" localSheetId="0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localSheetId="14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>#REF!</definedName>
    <definedName name="_20_9_0__123Graph_LB" hidden="1">#REF!</definedName>
    <definedName name="_20A25000_">#REF!</definedName>
    <definedName name="_21Ａ４_">#REF!</definedName>
    <definedName name="_2311">#REF!</definedName>
    <definedName name="_2331">#REF!</definedName>
    <definedName name="_23DR1_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>#REF!</definedName>
    <definedName name="_24p1_">#REF!</definedName>
    <definedName name="_2512">#REF!</definedName>
    <definedName name="_25120">#REF!</definedName>
    <definedName name="_25160">#REF!</definedName>
    <definedName name="_26A3_" localSheetId="0" hidden="1">{#N/A,#N/A,FALSE,"단축1";#N/A,#N/A,FALSE,"단축2";#N/A,#N/A,FALSE,"단축3";#N/A,#N/A,FALSE,"장축";#N/A,#N/A,FALSE,"4WD"}</definedName>
    <definedName name="_26A3_" localSheetId="14" hidden="1">{#N/A,#N/A,FALSE,"단축1";#N/A,#N/A,FALSE,"단축2";#N/A,#N/A,FALSE,"단축3";#N/A,#N/A,FALSE,"장축";#N/A,#N/A,FALSE,"4WD"}</definedName>
    <definedName name="_26A3_" hidden="1">{#N/A,#N/A,FALSE,"단축1";#N/A,#N/A,FALSE,"단축2";#N/A,#N/A,FALSE,"단축3";#N/A,#N/A,FALSE,"장축";#N/A,#N/A,FALSE,"4WD"}</definedName>
    <definedName name="_26T2_" localSheetId="0" hidden="1">{#N/A,#N/A,FALSE,"단축1";#N/A,#N/A,FALSE,"단축2";#N/A,#N/A,FALSE,"단축3";#N/A,#N/A,FALSE,"장축";#N/A,#N/A,FALSE,"4WD"}</definedName>
    <definedName name="_26T2_" localSheetId="14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localSheetId="0" hidden="1">{#N/A,#N/A,FALSE,"Aging Summary";#N/A,#N/A,FALSE,"Ratio Analysis";#N/A,#N/A,FALSE,"Test 120 Day Accts";#N/A,#N/A,FALSE,"Tickmarks"}</definedName>
    <definedName name="_28aa1_" localSheetId="14" hidden="1">{#N/A,#N/A,FALSE,"Aging Summary";#N/A,#N/A,FALSE,"Ratio Analysis";#N/A,#N/A,FALSE,"Test 120 Day Accts";#N/A,#N/A,FALSE,"Tickmarks"}</definedName>
    <definedName name="_28aa1_" hidden="1">{#N/A,#N/A,FALSE,"Aging Summary";#N/A,#N/A,FALSE,"Ratio Analysis";#N/A,#N/A,FALSE,"Test 120 Day Accts";#N/A,#N/A,FALSE,"Tickmarks"}</definedName>
    <definedName name="_28T3_" localSheetId="0" hidden="1">{#N/A,#N/A,FALSE,"단축1";#N/A,#N/A,FALSE,"단축2";#N/A,#N/A,FALSE,"단축3";#N/A,#N/A,FALSE,"장축";#N/A,#N/A,FALSE,"4WD"}</definedName>
    <definedName name="_28T3_" localSheetId="14" hidden="1">{#N/A,#N/A,FALSE,"단축1";#N/A,#N/A,FALSE,"단축2";#N/A,#N/A,FALSE,"단축3";#N/A,#N/A,FALSE,"장축";#N/A,#N/A,FALSE,"4WD"}</definedName>
    <definedName name="_28T3_" hidden="1">{#N/A,#N/A,FALSE,"단축1";#N/A,#N/A,FALSE,"단축2";#N/A,#N/A,FALSE,"단축3";#N/A,#N/A,FALSE,"장축";#N/A,#N/A,FALSE,"4WD"}</definedName>
    <definedName name="_29Bp2_" localSheetId="0" hidden="1">{#N/A,#N/A,FALSE,"BS";#N/A,#N/A,FALSE,"PL";#N/A,#N/A,FALSE,"처분";#N/A,#N/A,FALSE,"현금";#N/A,#N/A,FALSE,"매출";#N/A,#N/A,FALSE,"원가";#N/A,#N/A,FALSE,"경영"}</definedName>
    <definedName name="_29Bp2_" localSheetId="14" hidden="1">{#N/A,#N/A,FALSE,"BS";#N/A,#N/A,FALSE,"PL";#N/A,#N/A,FALSE,"처분";#N/A,#N/A,FALSE,"현금";#N/A,#N/A,FALSE,"매출";#N/A,#N/A,FALSE,"원가";#N/A,#N/A,FALSE,"경영"}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>#REF!</definedName>
    <definedName name="_2A20000_">#REF!</definedName>
    <definedName name="_2FM2_" localSheetId="13">BlankMacro1</definedName>
    <definedName name="_2FM2_" localSheetId="0">BlankMacro1</definedName>
    <definedName name="_2FM2_" localSheetId="14">BlankMacro1</definedName>
    <definedName name="_2FM2_" localSheetId="4">BlankMacro1</definedName>
    <definedName name="_2FM2_" localSheetId="5">BlankMacro1</definedName>
    <definedName name="_2FM2_" localSheetId="6">BlankMacro1</definedName>
    <definedName name="_2FM2_" localSheetId="7">BlankMacro1</definedName>
    <definedName name="_2FM2_" localSheetId="8">BlankMacro1</definedName>
    <definedName name="_2FM2_" localSheetId="9">BlankMacro1</definedName>
    <definedName name="_2FM2_" localSheetId="10">BlankMacro1</definedName>
    <definedName name="_2FM2_" localSheetId="11">BlankMacro1</definedName>
    <definedName name="_2FM2_" localSheetId="12">BlankMacro1</definedName>
    <definedName name="_2FM2_" localSheetId="1">BlankMacro1</definedName>
    <definedName name="_2FM2_">BlankMacro1</definedName>
    <definedName name="_2MatInverse" hidden="1">#REF!</definedName>
    <definedName name="_3">#REF!</definedName>
    <definedName name="_3_">#REF!</definedName>
    <definedName name="_3_?">#REF!</definedName>
    <definedName name="_3_?춮tb">#REF!</definedName>
    <definedName name="_3_0_0SANGD">#REF!</definedName>
    <definedName name="_30__0_S">#REF!</definedName>
    <definedName name="_32Ａ４_">#REF!</definedName>
    <definedName name="_3311">#REF!</definedName>
    <definedName name="_3331">#REF!</definedName>
    <definedName name="_33310">#REF!</definedName>
    <definedName name="_35P2_" localSheetId="0" hidden="1">{#N/A,#N/A,FALSE,"단축1";#N/A,#N/A,FALSE,"단축2";#N/A,#N/A,FALSE,"단축3";#N/A,#N/A,FALSE,"장축";#N/A,#N/A,FALSE,"4WD"}</definedName>
    <definedName name="_35P2_" localSheetId="14" hidden="1">{#N/A,#N/A,FALSE,"단축1";#N/A,#N/A,FALSE,"단축2";#N/A,#N/A,FALSE,"단축3";#N/A,#N/A,FALSE,"장축";#N/A,#N/A,FALSE,"4WD"}</definedName>
    <definedName name="_35P2_" hidden="1">{#N/A,#N/A,FALSE,"단축1";#N/A,#N/A,FALSE,"단축2";#N/A,#N/A,FALSE,"단축3";#N/A,#N/A,FALSE,"장축";#N/A,#N/A,FALSE,"4WD"}</definedName>
    <definedName name="_3Ａ４_">#REF!</definedName>
    <definedName name="_4">#REF!</definedName>
    <definedName name="_4_">#REF!</definedName>
    <definedName name="_4_?춑_TOTAL">#REF!</definedName>
    <definedName name="_4_0">#REF!</definedName>
    <definedName name="_4_0_0_MatInverse" hidden="1">#REF!</definedName>
    <definedName name="_4_0_0SANGD">#REF!</definedName>
    <definedName name="_4_0실마">#REF!</definedName>
    <definedName name="_4_5_0__123Grap" hidden="1">#REF!</definedName>
    <definedName name="_40SANGD">#REF!</definedName>
    <definedName name="_43T2_" localSheetId="0" hidden="1">{#N/A,#N/A,FALSE,"단축1";#N/A,#N/A,FALSE,"단축2";#N/A,#N/A,FALSE,"단축3";#N/A,#N/A,FALSE,"장축";#N/A,#N/A,FALSE,"4WD"}</definedName>
    <definedName name="_43T2_" localSheetId="14" hidden="1">{#N/A,#N/A,FALSE,"단축1";#N/A,#N/A,FALSE,"단축2";#N/A,#N/A,FALSE,"단축3";#N/A,#N/A,FALSE,"장축";#N/A,#N/A,FALSE,"4WD"}</definedName>
    <definedName name="_43T2_" hidden="1">{#N/A,#N/A,FALSE,"단축1";#N/A,#N/A,FALSE,"단축2";#N/A,#N/A,FALSE,"단축3";#N/A,#N/A,FALSE,"장축";#N/A,#N/A,FALSE,"4WD"}</definedName>
    <definedName name="_44">#REF!</definedName>
    <definedName name="_44T3_" localSheetId="0" hidden="1">{#N/A,#N/A,FALSE,"단축1";#N/A,#N/A,FALSE,"단축2";#N/A,#N/A,FALSE,"단축3";#N/A,#N/A,FALSE,"장축";#N/A,#N/A,FALSE,"4WD"}</definedName>
    <definedName name="_44T3_" localSheetId="14" hidden="1">{#N/A,#N/A,FALSE,"단축1";#N/A,#N/A,FALSE,"단축2";#N/A,#N/A,FALSE,"단축3";#N/A,#N/A,FALSE,"장축";#N/A,#N/A,FALSE,"4WD"}</definedName>
    <definedName name="_44T3_" hidden="1">{#N/A,#N/A,FALSE,"단축1";#N/A,#N/A,FALSE,"단축2";#N/A,#N/A,FALSE,"단축3";#N/A,#N/A,FALSE,"장축";#N/A,#N/A,FALSE,"4WD"}</definedName>
    <definedName name="_45T5_" localSheetId="0" hidden="1">{#N/A,#N/A,FALSE,"단축1";#N/A,#N/A,FALSE,"단축2";#N/A,#N/A,FALSE,"단축3";#N/A,#N/A,FALSE,"장축";#N/A,#N/A,FALSE,"4WD"}</definedName>
    <definedName name="_45T5_" localSheetId="14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hidden="1">#REF!</definedName>
    <definedName name="_48__0_S" hidden="1">#REF!</definedName>
    <definedName name="_4Ａ４_">#REF!</definedName>
    <definedName name="_4SANGD">#REF!</definedName>
    <definedName name="_5">#REF!</definedName>
    <definedName name="_5_">#REF!</definedName>
    <definedName name="_5__123Graph_A차트_1" hidden="1">#REF!</definedName>
    <definedName name="_5_0">#REF!</definedName>
    <definedName name="_5A19999_">#REF!</definedName>
    <definedName name="_5A3_" localSheetId="0" hidden="1">{#N/A,#N/A,FALSE,"단축1";#N/A,#N/A,FALSE,"단축2";#N/A,#N/A,FALSE,"단축3";#N/A,#N/A,FALSE,"장축";#N/A,#N/A,FALSE,"4WD"}</definedName>
    <definedName name="_5A3_" localSheetId="14" hidden="1">{#N/A,#N/A,FALSE,"단축1";#N/A,#N/A,FALSE,"단축2";#N/A,#N/A,FALSE,"단축3";#N/A,#N/A,FALSE,"장축";#N/A,#N/A,FALSE,"4WD"}</definedName>
    <definedName name="_5A3_" hidden="1">{#N/A,#N/A,FALSE,"단축1";#N/A,#N/A,FALSE,"단축2";#N/A,#N/A,FALSE,"단축3";#N/A,#N/A,FALSE,"장축";#N/A,#N/A,FALSE,"4WD"}</definedName>
    <definedName name="_5Ａ４_">#REF!</definedName>
    <definedName name="_5SANGD">#REF!</definedName>
    <definedName name="_6">#REF!</definedName>
    <definedName name="_6_">#REF!</definedName>
    <definedName name="_6_?춑_TOTAL">#REF!</definedName>
    <definedName name="_6__123Graph_B차트_1" hidden="1">#REF!</definedName>
    <definedName name="_6_0_0SANGD">#REF!</definedName>
    <definedName name="_6_01">#REF!</definedName>
    <definedName name="_6_0실적">#REF!</definedName>
    <definedName name="_6Ａ４_">#REF!</definedName>
    <definedName name="_6aa1_" localSheetId="0" hidden="1">{#N/A,#N/A,FALSE,"Aging Summary";#N/A,#N/A,FALSE,"Ratio Analysis";#N/A,#N/A,FALSE,"Test 120 Day Accts";#N/A,#N/A,FALSE,"Tickmarks"}</definedName>
    <definedName name="_6aa1_" localSheetId="14" hidden="1">{#N/A,#N/A,FALSE,"Aging Summary";#N/A,#N/A,FALSE,"Ratio Analysis";#N/A,#N/A,FALSE,"Test 120 Day Accts";#N/A,#N/A,FALSE,"Tickmarks"}</definedName>
    <definedName name="_6aa1_" hidden="1">{#N/A,#N/A,FALSE,"Aging Summary";#N/A,#N/A,FALSE,"Ratio Analysis";#N/A,#N/A,FALSE,"Test 120 Day Accts";#N/A,#N/A,FALSE,"Tickmarks"}</definedName>
    <definedName name="_6SANGD">#REF!</definedName>
    <definedName name="_7">#REF!</definedName>
    <definedName name="_7__123Graph_C차트_1" hidden="1">#REF!</definedName>
    <definedName name="_7_02">#REF!</definedName>
    <definedName name="_77">#REF!</definedName>
    <definedName name="_7Bp2_" localSheetId="0" hidden="1">{#N/A,#N/A,FALSE,"BS";#N/A,#N/A,FALSE,"PL";#N/A,#N/A,FALSE,"처분";#N/A,#N/A,FALSE,"현금";#N/A,#N/A,FALSE,"매출";#N/A,#N/A,FALSE,"원가";#N/A,#N/A,FALSE,"경영"}</definedName>
    <definedName name="_7Bp2_" localSheetId="14" hidden="1">{#N/A,#N/A,FALSE,"BS";#N/A,#N/A,FALSE,"PL";#N/A,#N/A,FALSE,"처분";#N/A,#N/A,FALSE,"현금";#N/A,#N/A,FALSE,"매출";#N/A,#N/A,FALSE,"원가";#N/A,#N/A,FALSE,"경영"}</definedName>
    <definedName name="_7Bp2_" hidden="1">{#N/A,#N/A,FALSE,"BS";#N/A,#N/A,FALSE,"PL";#N/A,#N/A,FALSE,"처분";#N/A,#N/A,FALSE,"현금";#N/A,#N/A,FALSE,"매출";#N/A,#N/A,FALSE,"원가";#N/A,#N/A,FALSE,"경영"}</definedName>
    <definedName name="_8">#REF!</definedName>
    <definedName name="_8_?">#REF!</definedName>
    <definedName name="_8__123Graph_X차트_1" hidden="1">#REF!</definedName>
    <definedName name="_8_03">#REF!</definedName>
    <definedName name="_8_7_0__123Grap" hidden="1">#REF!</definedName>
    <definedName name="_8Ａ４_">#REF!</definedName>
    <definedName name="_8P2_" localSheetId="0" hidden="1">{#N/A,#N/A,FALSE,"단축1";#N/A,#N/A,FALSE,"단축2";#N/A,#N/A,FALSE,"단축3";#N/A,#N/A,FALSE,"장축";#N/A,#N/A,FALSE,"4WD"}</definedName>
    <definedName name="_8P2_" localSheetId="14" hidden="1">{#N/A,#N/A,FALSE,"단축1";#N/A,#N/A,FALSE,"단축2";#N/A,#N/A,FALSE,"단축3";#N/A,#N/A,FALSE,"장축";#N/A,#N/A,FALSE,"4WD"}</definedName>
    <definedName name="_8P2_" hidden="1">{#N/A,#N/A,FALSE,"단축1";#N/A,#N/A,FALSE,"단축2";#N/A,#N/A,FALSE,"단축3";#N/A,#N/A,FALSE,"장축";#N/A,#N/A,FALSE,"4WD"}</definedName>
    <definedName name="_8SANGD">#REF!</definedName>
    <definedName name="_9">#REF!</definedName>
    <definedName name="_9_04">#REF!</definedName>
    <definedName name="_90045769">#REF!</definedName>
    <definedName name="_96BUD">#REF!</definedName>
    <definedName name="_9T2_" localSheetId="0" hidden="1">{#N/A,#N/A,FALSE,"단축1";#N/A,#N/A,FALSE,"단축2";#N/A,#N/A,FALSE,"단축3";#N/A,#N/A,FALSE,"장축";#N/A,#N/A,FALSE,"4WD"}</definedName>
    <definedName name="_9T2_" localSheetId="14" hidden="1">{#N/A,#N/A,FALSE,"단축1";#N/A,#N/A,FALSE,"단축2";#N/A,#N/A,FALSE,"단축3";#N/A,#N/A,FALSE,"장축";#N/A,#N/A,FALSE,"4WD"}</definedName>
    <definedName name="_9T2_" hidden="1">{#N/A,#N/A,FALSE,"단축1";#N/A,#N/A,FALSE,"단축2";#N/A,#N/A,FALSE,"단축3";#N/A,#N/A,FALSE,"장축";#N/A,#N/A,FALSE,"4WD"}</definedName>
    <definedName name="_A">#REF!</definedName>
    <definedName name="_A1">#REF!</definedName>
    <definedName name="_A100">#REF!</definedName>
    <definedName name="_A101">#REF!</definedName>
    <definedName name="_A19999">#REF!</definedName>
    <definedName name="_A20000">#REF!</definedName>
    <definedName name="_A25000">#REF!</definedName>
    <definedName name="_A3" localSheetId="0" hidden="1">{#N/A,#N/A,FALSE,"단축1";#N/A,#N/A,FALSE,"단축2";#N/A,#N/A,FALSE,"단축3";#N/A,#N/A,FALSE,"장축";#N/A,#N/A,FALSE,"4WD"}</definedName>
    <definedName name="_A3" localSheetId="14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Ａ４">#REF!</definedName>
    <definedName name="_Ａ４1">#N/A</definedName>
    <definedName name="_Ａ４2">#REF!</definedName>
    <definedName name="_Ａ４3">#REF!</definedName>
    <definedName name="_A99999">#REF!</definedName>
    <definedName name="_aa1" localSheetId="0" hidden="1">{#N/A,#N/A,FALSE,"Aging Summary";#N/A,#N/A,FALSE,"Ratio Analysis";#N/A,#N/A,FALSE,"Test 120 Day Accts";#N/A,#N/A,FALSE,"Tickmarks"}</definedName>
    <definedName name="_aa1" localSheetId="14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aa2" localSheetId="0" hidden="1">{#N/A,#N/A,FALSE,"Aging Summary";#N/A,#N/A,FALSE,"Ratio Analysis";#N/A,#N/A,FALSE,"Test 120 Day Accts";#N/A,#N/A,FALSE,"Tickmarks"}</definedName>
    <definedName name="_aaa2" localSheetId="14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>#REF!</definedName>
    <definedName name="_active_nylon_taffeta__">#REF!</definedName>
    <definedName name="_active_poplin">#REF!</definedName>
    <definedName name="_AU100000">#REF!</definedName>
    <definedName name="_AU66000">#REF!</definedName>
    <definedName name="_AU69999">#REF!</definedName>
    <definedName name="_AU70000">#REF!</definedName>
    <definedName name="_aZ">#N/A</definedName>
    <definedName name="_basic_ctn_twill">#REF!</definedName>
    <definedName name="_bdm.394f88709a624112bb885dcdf9bb9c89.edm" hidden="1">#REF!</definedName>
    <definedName name="_bdm.395863AB53644336B2056A5F6DA9A188.edm" hidden="1">#REF!</definedName>
    <definedName name="_bdm.4CDCAF1D094941E5A339B526095ADADE.edm" hidden="1">#REF!</definedName>
    <definedName name="_bdm.6015505EF38F4EA9A7A64CA91A7AC823.edm" hidden="1">#REF!</definedName>
    <definedName name="_bdm.65A2DF797C9F439DA6CD915BD1D09038.edm" hidden="1">#REF!</definedName>
    <definedName name="_bdm.672ED8E030734C3691D809C0CF43A024.edm" hidden="1">#REF!</definedName>
    <definedName name="_bdm.75DBE4F245204851BA3A62A106421643.edm" hidden="1">#REF!</definedName>
    <definedName name="_bdm.D23A8C01A3644FD396E2171ACDAE427A.edm" hidden="1">#REF!</definedName>
    <definedName name="_Bondex_Stretch">#REF!</definedName>
    <definedName name="_Bp2" localSheetId="0" hidden="1">{#N/A,#N/A,FALSE,"BS";#N/A,#N/A,FALSE,"PL";#N/A,#N/A,FALSE,"처분";#N/A,#N/A,FALSE,"현금";#N/A,#N/A,FALSE,"매출";#N/A,#N/A,FALSE,"원가";#N/A,#N/A,FALSE,"경영"}</definedName>
    <definedName name="_Bp2" localSheetId="14" hidden="1">{#N/A,#N/A,FALSE,"BS";#N/A,#N/A,FALSE,"PL";#N/A,#N/A,FALSE,"처분";#N/A,#N/A,FALSE,"현금";#N/A,#N/A,FALSE,"매출";#N/A,#N/A,FALSE,"원가";#N/A,#N/A,FALSE,"경영"}</definedName>
    <definedName name="_Bp2" hidden="1">{#N/A,#N/A,FALSE,"BS";#N/A,#N/A,FALSE,"PL";#N/A,#N/A,FALSE,"처분";#N/A,#N/A,FALSE,"현금";#N/A,#N/A,FALSE,"매출";#N/A,#N/A,FALSE,"원가";#N/A,#N/A,FALSE,"경영"}</definedName>
    <definedName name="_C1244ㅁ1430">#REF!</definedName>
    <definedName name="_C332897">#REF!</definedName>
    <definedName name="_clean_denim">#REF!</definedName>
    <definedName name="_color_denim">#REF!</definedName>
    <definedName name="_Commander">#REF!</definedName>
    <definedName name="_compact_wool_blend_o_w">#REF!</definedName>
    <definedName name="_cracked___distressed_leather">#REF!</definedName>
    <definedName name="_Crossroads">#REF!</definedName>
    <definedName name="_ctn_sateen">#REF!</definedName>
    <definedName name="_Dark_blue_denim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R1">#REF!</definedName>
    <definedName name="_DIR2">#REF!</definedName>
    <definedName name="_Dist_Bin" hidden="1">#REF!</definedName>
    <definedName name="_Dist_Bin2" hidden="1">#REF!</definedName>
    <definedName name="_Dist_Values" hidden="1">#REF!</definedName>
    <definedName name="_Dist_Values2" hidden="1">#REF!</definedName>
    <definedName name="_dressy_satin">#REF!</definedName>
    <definedName name="_E65954">#REF!</definedName>
    <definedName name="_Exp97">#REF!</definedName>
    <definedName name="_Fill" hidden="1">#REF!</definedName>
    <definedName name="_Fill2" hidden="1">#REF!</definedName>
    <definedName name="_Fill3" hidden="1">#REF!</definedName>
    <definedName name="_xlnm._FilterDatabase" hidden="1">#REF!</definedName>
    <definedName name="_fine_nylon_faille">#REF!</definedName>
    <definedName name="_flower_print_cord">#REF!</definedName>
    <definedName name="_gap1">#REF!,#REF!</definedName>
    <definedName name="_GEL10">#REF!</definedName>
    <definedName name="_GG1">#REF!</definedName>
    <definedName name="_gold_stnd_ctn_poplin">#REF!</definedName>
    <definedName name="_GTE10">#REF!</definedName>
    <definedName name="_Harrison">#REF!</definedName>
    <definedName name="_heavy_poly_microfiber_">#REF!</definedName>
    <definedName name="_Huh?" hidden="1">#REF!</definedName>
    <definedName name="_indigo__yarn_dyed_stripe">#REF!</definedName>
    <definedName name="_INT2" localSheetId="0" hidden="1">{#N/A,#N/A,TRUE,"일정"}</definedName>
    <definedName name="_INT2" localSheetId="14" hidden="1">{#N/A,#N/A,TRUE,"일정"}</definedName>
    <definedName name="_INT2" hidden="1">{#N/A,#N/A,TRUE,"일정"}</definedName>
    <definedName name="_IRR2" hidden="1">#REF!</definedName>
    <definedName name="_je2">#REF!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>#REF!</definedName>
    <definedName name="_Key1" hidden="1">#REF!</definedName>
    <definedName name="_Key11" hidden="1">#REF!</definedName>
    <definedName name="_Key2" hidden="1">#REF!</definedName>
    <definedName name="_Key22" hidden="1">#REF!</definedName>
    <definedName name="_Key3" hidden="1">#REF!</definedName>
    <definedName name="_kz4" hidden="1">#REF!</definedName>
    <definedName name="_kz5" hidden="1">#REF!</definedName>
    <definedName name="_kz6" hidden="1">#REF!</definedName>
    <definedName name="_kz7" hidden="1">#REF!</definedName>
    <definedName name="_kz8" hidden="1">#REF!</definedName>
    <definedName name="_lbg2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localSheetId="0" hidden="1">{#N/A,#N/A,TRUE,"매출진척-1";#N/A,#N/A,TRUE,"매출진척-2";#N/A,#N/A,TRUE,"제품실적";#N/A,#N/A,TRUE,"RAC";#N/A,#N/A,TRUE,"PAC ";#N/A,#N/A,TRUE,"재고현황";#N/A,#N/A,TRUE,"공지사항"}</definedName>
    <definedName name="_LG2" localSheetId="14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>#REF!</definedName>
    <definedName name="_LNF1">OFFSET(#REF!,0,0,COUNTA(#REF!)-1,1)</definedName>
    <definedName name="_loose_outerwear_poplin">#REF!</definedName>
    <definedName name="_lskfj" hidden="1">#REF!</definedName>
    <definedName name="_lt_wt_ctn_moleskin">#REF!</definedName>
    <definedName name="_MatInverse_In" hidden="1">#REF!</definedName>
    <definedName name="_MatInverse_Out" hidden="1">#REF!</definedName>
    <definedName name="_multi_count_warp_denim">#REF!</definedName>
    <definedName name="_multicount_warp_denim">#REF!</definedName>
    <definedName name="_novelty_ctn_twill">#REF!</definedName>
    <definedName name="_nylon_faille___coated">#REF!</definedName>
    <definedName name="_nylon_taffeta">#REF!</definedName>
    <definedName name="_opt1">#REF!</definedName>
    <definedName name="_opt10">#REF!</definedName>
    <definedName name="_opt11">#REF!</definedName>
    <definedName name="_opt12">#REF!</definedName>
    <definedName name="_opt13">#REF!</definedName>
    <definedName name="_opt14">#REF!</definedName>
    <definedName name="_opt15">#REF!</definedName>
    <definedName name="_opt16">#REF!</definedName>
    <definedName name="_opt17">#REF!</definedName>
    <definedName name="_opt18">#REF!</definedName>
    <definedName name="_opt19">#REF!</definedName>
    <definedName name="_opt2">#REF!</definedName>
    <definedName name="_opt20">#REF!</definedName>
    <definedName name="_opt21">#REF!</definedName>
    <definedName name="_OPT22">#REF!</definedName>
    <definedName name="_opt23">#REF!</definedName>
    <definedName name="_opt3">#REF!</definedName>
    <definedName name="_opt4">#REF!</definedName>
    <definedName name="_opt5">#REF!</definedName>
    <definedName name="_opt6">#REF!</definedName>
    <definedName name="_opt7">#REF!</definedName>
    <definedName name="_opt8">#REF!</definedName>
    <definedName name="_opt9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localSheetId="0" hidden="1">{#N/A,#N/A,FALSE,"단축1";#N/A,#N/A,FALSE,"단축2";#N/A,#N/A,FALSE,"단축3";#N/A,#N/A,FALSE,"장축";#N/A,#N/A,FALSE,"4WD"}</definedName>
    <definedName name="_P2" localSheetId="14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arse_In" hidden="1">#REF!</definedName>
    <definedName name="_Parse_Out" hidden="1">#REF!</definedName>
    <definedName name="_peach_ctn_satin_shirting">#REF!</definedName>
    <definedName name="_pigment_coated_face_nylon_oxford">#REF!</definedName>
    <definedName name="_pl0201">#REF!</definedName>
    <definedName name="_pl0202">#REF!</definedName>
    <definedName name="_pl0203">#REF!</definedName>
    <definedName name="_pl0204">#REF!</definedName>
    <definedName name="_pl0205">#REF!</definedName>
    <definedName name="_pl0206">#REF!</definedName>
    <definedName name="_pl0207">#REF!</definedName>
    <definedName name="_pl0208">#REF!</definedName>
    <definedName name="_pl0209">#REF!</definedName>
    <definedName name="_pl0210">#REF!</definedName>
    <definedName name="_PL7" localSheetId="0" hidden="1">{#N/A,#N/A,TRUE,"대 차 대 조 표"}</definedName>
    <definedName name="_PL7" localSheetId="14" hidden="1">{#N/A,#N/A,TRUE,"대 차 대 조 표"}</definedName>
    <definedName name="_PL7" hidden="1">{#N/A,#N/A,TRUE,"대 차 대 조 표"}</definedName>
    <definedName name="_PL7_1" localSheetId="0" hidden="1">{#N/A,#N/A,TRUE,"대 차 대 조 표"}</definedName>
    <definedName name="_PL7_1" localSheetId="14" hidden="1">{#N/A,#N/A,TRUE,"대 차 대 조 표"}</definedName>
    <definedName name="_PL7_1" hidden="1">{#N/A,#N/A,TRUE,"대 차 대 조 표"}</definedName>
    <definedName name="_PM1">#REF!</definedName>
    <definedName name="_PnP1">#REF!</definedName>
    <definedName name="_PNT1">#REF!</definedName>
    <definedName name="_PNT2">#REF!</definedName>
    <definedName name="_PNT3">#N/A</definedName>
    <definedName name="_PNT4">#N/A</definedName>
    <definedName name="_q1" hidden="1">#REF!</definedName>
    <definedName name="_q2" hidden="1">#REF!</definedName>
    <definedName name="_q3" hidden="1">#REF!</definedName>
    <definedName name="_q4" hidden="1">#REF!</definedName>
    <definedName name="_real_suede">#REF!</definedName>
    <definedName name="_Regression_Int" hidden="1">1</definedName>
    <definedName name="_Regression_Y" hidden="1">#REF!</definedName>
    <definedName name="_SA1">#REF!</definedName>
    <definedName name="_SCF4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>#REF!</definedName>
    <definedName name="_shiney_taffeta__core_">#REF!</definedName>
    <definedName name="_SHR1">#REF!</definedName>
    <definedName name="_SHR2">#REF!</definedName>
    <definedName name="_solid_ctn_poplin">#REF!</definedName>
    <definedName name="_Sort" hidden="1">#REF!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>#REF!</definedName>
    <definedName name="_stretch_cotton_cord">#REF!</definedName>
    <definedName name="_stretch_rht">#REF!</definedName>
    <definedName name="_SUM1" localSheetId="0" hidden="1">{#N/A,#N/A,FALSE,"단축1";#N/A,#N/A,FALSE,"단축2";#N/A,#N/A,FALSE,"단축3";#N/A,#N/A,FALSE,"장축";#N/A,#N/A,FALSE,"4WD"}</definedName>
    <definedName name="_SUM1" localSheetId="14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2" localSheetId="0" hidden="1">{#N/A,#N/A,FALSE,"단축1";#N/A,#N/A,FALSE,"단축2";#N/A,#N/A,FALSE,"단축3";#N/A,#N/A,FALSE,"장축";#N/A,#N/A,FALSE,"4WD"}</definedName>
    <definedName name="_T2" localSheetId="14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0" hidden="1">{#N/A,#N/A,FALSE,"단축1";#N/A,#N/A,FALSE,"단축2";#N/A,#N/A,FALSE,"단축3";#N/A,#N/A,FALSE,"장축";#N/A,#N/A,FALSE,"4WD"}</definedName>
    <definedName name="_T3" localSheetId="14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0" hidden="1">{#N/A,#N/A,FALSE,"단축1";#N/A,#N/A,FALSE,"단축2";#N/A,#N/A,FALSE,"단축3";#N/A,#N/A,FALSE,"장축";#N/A,#N/A,FALSE,"4WD"}</definedName>
    <definedName name="_T5" localSheetId="14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a_tined_chambray">#REF!</definedName>
    <definedName name="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TRT11" localSheetId="14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>#REF!</definedName>
    <definedName name="_uncut_cord">#REF!</definedName>
    <definedName name="_VOC2" hidden="1">255</definedName>
    <definedName name="_wide_wale_cord">#REF!</definedName>
    <definedName name="_wool_blend_skirt">#REF!</definedName>
    <definedName name="_wool_coating___solid">#REF!</definedName>
    <definedName name="_wpl2" localSheetId="0" hidden="1">{#N/A,#N/A,FALSE,"Aging Summary";#N/A,#N/A,FALSE,"Ratio Analysis";#N/A,#N/A,FALSE,"Test 120 Day Accts";#N/A,#N/A,FALSE,"Tickmarks"}</definedName>
    <definedName name="_wpl2" localSheetId="14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y_d_wool_twill_coating">#REF!</definedName>
    <definedName name="_y_dye_cording_multi_stripe">#REF!</definedName>
    <definedName name="_YEAR">#REF!</definedName>
    <definedName name="_z123">#REF!</definedName>
    <definedName name="_ZZ16384">#REF!</definedName>
    <definedName name="_첨부">#REF!</definedName>
    <definedName name="´cAE°eE¹" hidden="1">#REF!</definedName>
    <definedName name="￠￥cAE¡ÆeEⓒo" hidden="1">#REF!</definedName>
    <definedName name="¤A¤A">#REF!</definedName>
    <definedName name="¤μ¤μ">#REF!</definedName>
    <definedName name="￥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>#REF!</definedName>
    <definedName name="\d">#REF!</definedName>
    <definedName name="\E">#REF!</definedName>
    <definedName name="\f">#N/A</definedName>
    <definedName name="\g">#REF!</definedName>
    <definedName name="\h">#REF!</definedName>
    <definedName name="\i">#N/A</definedName>
    <definedName name="\j">#N/A</definedName>
    <definedName name="\k">#N/A</definedName>
    <definedName name="\L">#REF!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#N/A</definedName>
    <definedName name="\u">#REF!</definedName>
    <definedName name="\v">#N/A</definedName>
    <definedName name="\W">#REF!</definedName>
    <definedName name="\X">#REF!</definedName>
    <definedName name="\Y">#REF!</definedName>
    <definedName name="\z">#REF!</definedName>
    <definedName name="√">"SQRT"</definedName>
    <definedName name="●_기존_체계">#REF!</definedName>
    <definedName name="●_판매관리비_및_영업이익_2002년">#REF!</definedName>
    <definedName name="↑">#REF!</definedName>
    <definedName name="°a°u">#REF!</definedName>
    <definedName name="※_BGA_직접재료비_변동추이">#REF!</definedName>
    <definedName name="※_추후_NAVA__PROJECT는__부품_">#REF!</definedName>
    <definedName name="¹ß">#REF!</definedName>
    <definedName name="¹Uº¸">#REF!</definedName>
    <definedName name="³²¼R">#REF!</definedName>
    <definedName name="A">#REF!</definedName>
    <definedName name="a_1" localSheetId="0" hidden="1">{"MonthlyRentRoll",#N/A,FALSE,"RentRoll"}</definedName>
    <definedName name="a_1" localSheetId="14" hidden="1">{"MonthlyRentRoll",#N/A,FALSE,"RentRoll"}</definedName>
    <definedName name="a_1" hidden="1">{"MonthlyRentRoll",#N/A,FALSE,"RentRoll"}</definedName>
    <definedName name="A_123">#REF!,#REF!,#REF!</definedName>
    <definedName name="a_123_error_10">#REF!</definedName>
    <definedName name="a_123_error_2">#REF!</definedName>
    <definedName name="a_123_error_4">#REF!,#REF!,#REF!,#REF!</definedName>
    <definedName name="a_123_error_5">#REF!</definedName>
    <definedName name="a_123_error_7">#REF!</definedName>
    <definedName name="a_123_error_8">#REF!</definedName>
    <definedName name="a_123_error_9">#REF!</definedName>
    <definedName name="A_I">#REF!</definedName>
    <definedName name="A_I1">#REF!</definedName>
    <definedName name="A_I2">#REF!</definedName>
    <definedName name="A_P">#REF!</definedName>
    <definedName name="a_z_error_1">#REF!,#REF!,#REF!,#REF!,#REF!,#REF!</definedName>
    <definedName name="a_z_error_10">#REF!,#REF!,#REF!,#REF!,#REF!,#REF!</definedName>
    <definedName name="a_z_error_2">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>#REF!</definedName>
    <definedName name="a_z_error_8">#REF!</definedName>
    <definedName name="a_z_error_9">#REF!,#REF!,#REF!,#REF!,#REF!,#REF!</definedName>
    <definedName name="A¶E¸AOE­¸e">#REF!</definedName>
    <definedName name="A1_00근거" localSheetId="0" hidden="1">{#N/A,#N/A,FALSE,"단축1";#N/A,#N/A,FALSE,"단축2";#N/A,#N/A,FALSE,"단축3";#N/A,#N/A,FALSE,"장축";#N/A,#N/A,FALSE,"4WD"}</definedName>
    <definedName name="A1_00근거" localSheetId="14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_">#REF!</definedName>
    <definedName name="AA">#REF!</definedName>
    <definedName name="AAA">#REF!</definedName>
    <definedName name="aaa_1" localSheetId="0" hidden="1">{"MonthlyRentRoll",#N/A,FALSE,"RentRoll"}</definedName>
    <definedName name="aaa_1" localSheetId="14" hidden="1">{"MonthlyRentRoll",#N/A,FALSE,"RentRoll"}</definedName>
    <definedName name="aaa_1" hidden="1">{"MonthlyRentRoll",#N/A,FALSE,"RentRoll"}</definedName>
    <definedName name="AAA_DOCTOPS" hidden="1">"AAA_SET"</definedName>
    <definedName name="AAA_duser" hidden="1">"OFF"</definedName>
    <definedName name="AAAA" localSheetId="0" hidden="1">{#N/A,#N/A,FALSE,"단축1";#N/A,#N/A,FALSE,"단축2";#N/A,#N/A,FALSE,"단축3";#N/A,#N/A,FALSE,"장축";#N/A,#N/A,FALSE,"4WD"}</definedName>
    <definedName name="AAAA" localSheetId="14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">#REF!</definedName>
    <definedName name="aaaaa_1" localSheetId="0" hidden="1">{"p",#N/A,FALSE,"Sheet1";"p 2",#N/A,FALSE,"Sheet1";"p 3",#N/A,FALSE,"Sheet1"}</definedName>
    <definedName name="aaaaa_1" localSheetId="14" hidden="1">{"p",#N/A,FALSE,"Sheet1";"p 2",#N/A,FALSE,"Sheet1";"p 3",#N/A,FALSE,"Sheet1"}</definedName>
    <definedName name="aaaaa_1" hidden="1">{"p",#N/A,FALSE,"Sheet1";"p 2",#N/A,FALSE,"Sheet1";"p 3",#N/A,FALSE,"Sheet1"}</definedName>
    <definedName name="AAA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>#REF!</definedName>
    <definedName name="AAAAAAAA">#REF!</definedName>
    <definedName name="AAAAAAAAAA">#REF!</definedName>
    <definedName name="aaaaaaaaaaa" localSheetId="0" hidden="1">{#N/A,#N/A,FALSE,"Aging Summary";#N/A,#N/A,FALSE,"Ratio Analysis";#N/A,#N/A,FALSE,"Test 120 Day Accts";#N/A,#N/A,FALSE,"Tickmarks"}</definedName>
    <definedName name="aaaaaaaaaaa" localSheetId="14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" localSheetId="0" hidden="1">{#N/A,#N/A,FALSE,"Aging Summary";#N/A,#N/A,FALSE,"Ratio Analysis";#N/A,#N/A,FALSE,"Test 120 Day Accts";#N/A,#N/A,FALSE,"Tickmarks"}</definedName>
    <definedName name="aaaaaaaaaaaaa" localSheetId="14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localSheetId="0" hidden="1">{#N/A,#N/A,FALSE,"Aging Summary";#N/A,#N/A,FALSE,"Ratio Analysis";#N/A,#N/A,FALSE,"Test 120 Day Accts";#N/A,#N/A,FALSE,"Tickmarks"}</definedName>
    <definedName name="aaaaaaaaaaaaa12" localSheetId="14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hidden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>#REF!</definedName>
    <definedName name="AAP">#REF!</definedName>
    <definedName name="AASSQQ" hidden="1">#REF!</definedName>
    <definedName name="aassss">#REF!</definedName>
    <definedName name="AB">#REF!</definedName>
    <definedName name="abbreviations" localSheetId="0" hidden="1">{"'매출'!$A$1:$I$22"}</definedName>
    <definedName name="abbreviations" localSheetId="14" hidden="1">{"'매출'!$A$1:$I$22"}</definedName>
    <definedName name="abbreviations" hidden="1">{"'매출'!$A$1:$I$22"}</definedName>
    <definedName name="ABC" localSheetId="0" hidden="1">{#N/A,#N/A,FALSE,"3가";#N/A,#N/A,FALSE,"3나";#N/A,#N/A,FALSE,"3다"}</definedName>
    <definedName name="ABC" localSheetId="14" hidden="1">{#N/A,#N/A,FALSE,"3가";#N/A,#N/A,FALSE,"3나";#N/A,#N/A,FALSE,"3다"}</definedName>
    <definedName name="ABC" hidden="1">{#N/A,#N/A,FALSE,"3가";#N/A,#N/A,FALSE,"3나";#N/A,#N/A,FALSE,"3다"}</definedName>
    <definedName name="abcc" localSheetId="0" hidden="1">{#N/A,#N/A,FALSE,"1.CRITERIA";#N/A,#N/A,FALSE,"2.IS";#N/A,#N/A,FALSE,"3.BS";#N/A,#N/A,FALSE,"4.PER PL";#N/A,#N/A,FALSE,"5.INVESTMENT";#N/A,#N/A,FALSE,"6.공문";#N/A,#N/A,FALSE,"7.netinvest"}</definedName>
    <definedName name="abcc" localSheetId="14" hidden="1">{#N/A,#N/A,FALSE,"1.CRITERIA";#N/A,#N/A,FALSE,"2.IS";#N/A,#N/A,FALSE,"3.BS";#N/A,#N/A,FALSE,"4.PER PL";#N/A,#N/A,FALSE,"5.INVESTMENT";#N/A,#N/A,FALSE,"6.공문";#N/A,#N/A,FALSE,"7.netinvest"}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>#REF!</definedName>
    <definedName name="ABJ">#N/A</definedName>
    <definedName name="ABL">#REF!</definedName>
    <definedName name="ABP">#REF!</definedName>
    <definedName name="abs">#REF!</definedName>
    <definedName name="AC">#REF!</definedName>
    <definedName name="ACB" localSheetId="0" hidden="1">{#N/A,#N/A,FALSE,"단축1";#N/A,#N/A,FALSE,"단축2";#N/A,#N/A,FALSE,"단축3";#N/A,#N/A,FALSE,"장축";#N/A,#N/A,FALSE,"4WD"}</definedName>
    <definedName name="ACB" localSheetId="14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>#REF!</definedName>
    <definedName name="ACCR1">#REF!</definedName>
    <definedName name="accruals">#REF!</definedName>
    <definedName name="ACL">#REF!</definedName>
    <definedName name="ACON" localSheetId="0" hidden="1">{#N/A,#N/A,TRUE,"일정"}</definedName>
    <definedName name="ACON" localSheetId="14" hidden="1">{#N/A,#N/A,TRUE,"일정"}</definedName>
    <definedName name="ACON" hidden="1">{#N/A,#N/A,TRUE,"일정"}</definedName>
    <definedName name="ACP">#REF!</definedName>
    <definedName name="Acquiror">#REF!</definedName>
    <definedName name="Acquisition_Cost">#REF!</definedName>
    <definedName name="ACR4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>#REF!</definedName>
    <definedName name="ACTWK">#REF!</definedName>
    <definedName name="ACY_M1">#REF!</definedName>
    <definedName name="ACY_M2">#REF!</definedName>
    <definedName name="ACY_P1">#REF!</definedName>
    <definedName name="ACY_P10">#REF!</definedName>
    <definedName name="ACY_P2">#REF!</definedName>
    <definedName name="ACY_P3">#REF!</definedName>
    <definedName name="ACY_P4">#REF!</definedName>
    <definedName name="ACY_P5">#REF!</definedName>
    <definedName name="ACY_P6">#REF!</definedName>
    <definedName name="ACY_P7">#REF!</definedName>
    <definedName name="ACY_P8">#REF!</definedName>
    <definedName name="ACY_P9">#REF!</definedName>
    <definedName name="AD">#REF!</definedName>
    <definedName name="Add_AcqCost">#REF!</definedName>
    <definedName name="Add_ExitCost">#REF!</definedName>
    <definedName name="Add_HedgeCost">#REF!</definedName>
    <definedName name="Add_OperatingExp">#REF!</definedName>
    <definedName name="Add_OtherInc">#REF!</definedName>
    <definedName name="Add_RentalInc">#REF!</definedName>
    <definedName name="adf">#REF!</definedName>
    <definedName name="adf_1" localSheetId="0" hidden="1">{"MonthlyRentRoll",#N/A,FALSE,"RentRoll"}</definedName>
    <definedName name="adf_1" localSheetId="14" hidden="1">{"MonthlyRentRoll",#N/A,FALSE,"RentRoll"}</definedName>
    <definedName name="adf_1" hidden="1">{"MonthlyRentRoll",#N/A,FALSE,"RentRoll"}</definedName>
    <definedName name="adf3qrqer" localSheetId="0" hidden="1">{#N/A,#N/A,FALSE,"Aging Summary";#N/A,#N/A,FALSE,"Ratio Analysis";#N/A,#N/A,FALSE,"Test 120 Day Accts";#N/A,#N/A,FALSE,"Tickmarks"}</definedName>
    <definedName name="adf3qrqer" localSheetId="14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j">#REF!</definedName>
    <definedName name="ADJ_SHARE">#REF!</definedName>
    <definedName name="ADL">#REF!</definedName>
    <definedName name="ADLJFJDJ" localSheetId="0" hidden="1">{#N/A,#N/A,TRUE,"일정"}</definedName>
    <definedName name="ADLJFJDJ" localSheetId="14" hidden="1">{#N/A,#N/A,TRUE,"일정"}</definedName>
    <definedName name="ADLJFJDJ" hidden="1">{#N/A,#N/A,TRUE,"일정"}</definedName>
    <definedName name="ADP">#REF!</definedName>
    <definedName name="ads" localSheetId="0" hidden="1">{#N/A,#N/A,FALSE,"표지";#N/A,#N/A,FALSE,"전제";#N/A,#N/A,FALSE,"손익-자 (2)";#N/A,#N/A,FALSE,"손익-자";#N/A,#N/A,FALSE,"손익-마 (2)";#N/A,#N/A,FALSE,"손익-마";#N/A,#N/A,FALSE,"총손최종"}</definedName>
    <definedName name="ads" localSheetId="14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localSheetId="0" hidden="1">{#N/A,#N/A,FALSE,"Aging Summary";#N/A,#N/A,FALSE,"Ratio Analysis";#N/A,#N/A,FALSE,"Test 120 Day Accts";#N/A,#N/A,FALSE,"Tickmarks"}</definedName>
    <definedName name="adsas" localSheetId="14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0" hidden="1">{#N/A,#N/A,TRUE,"Y생산";#N/A,#N/A,TRUE,"Y판매";#N/A,#N/A,TRUE,"Y총물량";#N/A,#N/A,TRUE,"Y능력";#N/A,#N/A,TRUE,"YKD"}</definedName>
    <definedName name="ADSDF" localSheetId="14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DF_1" localSheetId="0" hidden="1">{#N/A,#N/A,TRUE,"Y생산";#N/A,#N/A,TRUE,"Y판매";#N/A,#N/A,TRUE,"Y총물량";#N/A,#N/A,TRUE,"Y능력";#N/A,#N/A,TRUE,"YKD"}</definedName>
    <definedName name="ADSDF_1" localSheetId="14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localSheetId="0" hidden="1">{#N/A,#N/A,TRUE,"매출진척-1";#N/A,#N/A,TRUE,"매출진척-2";#N/A,#N/A,TRUE,"제품실적";#N/A,#N/A,TRUE,"RAC";#N/A,#N/A,TRUE,"PAC ";#N/A,#N/A,TRUE,"재고현황";#N/A,#N/A,TRUE,"공지사항"}</definedName>
    <definedName name="ADSF" localSheetId="14" hidden="1">{#N/A,#N/A,TRUE,"매출진척-1";#N/A,#N/A,TRUE,"매출진척-2";#N/A,#N/A,TRUE,"제품실적";#N/A,#N/A,TRUE,"RAC";#N/A,#N/A,TRUE,"PAC ";#N/A,#N/A,TRUE,"재고현황";#N/A,#N/A,TRUE,"공지사항"}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>#REF!</definedName>
    <definedName name="aer">#REF!</definedName>
    <definedName name="afdasfa" localSheetId="0" hidden="1">{#N/A,#N/A,TRUE,"Assumptions";#N/A,#N/A,TRUE,"Sources of Revenue";#N/A,#N/A,TRUE,"P&amp;L";#N/A,#N/A,TRUE,"Bal. Sheet";#N/A,#N/A,TRUE,"Rights Issue &amp; X Adjustment";#N/A,#N/A,TRUE,"Transaction Model"}</definedName>
    <definedName name="afdasfa" localSheetId="14" hidden="1">{#N/A,#N/A,TRUE,"Assumptions";#N/A,#N/A,TRUE,"Sources of Revenue";#N/A,#N/A,TRUE,"P&amp;L";#N/A,#N/A,TRUE,"Bal. Sheet";#N/A,#N/A,TRUE,"Rights Issue &amp; X Adjustment";#N/A,#N/A,TRUE,"Transaction Model"}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0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14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0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14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0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14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localSheetId="0" hidden="1">{#N/A,#N/A,TRUE,"Assumptions";#N/A,#N/A,TRUE,"Sources of Revenue";#N/A,#N/A,TRUE,"P&amp;L";#N/A,#N/A,TRUE,"Bal. Sheet";#N/A,#N/A,TRUE,"Rights Issue &amp; X Adjustment";#N/A,#N/A,TRUE,"Transaction Model"}</definedName>
    <definedName name="afsafadsf" localSheetId="14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hidden="1">#REF!</definedName>
    <definedName name="Ag">#REF!</definedName>
    <definedName name="ahffk" hidden="1">"AS2DocumentBrowse"</definedName>
    <definedName name="AI">#REF!</definedName>
    <definedName name="aldkjflasdjgladg">#REF!</definedName>
    <definedName name="all">#REF!</definedName>
    <definedName name="AllTables" localSheetId="0">{5}</definedName>
    <definedName name="AllTables" localSheetId="14">{5}</definedName>
    <definedName name="AllTables">{5}</definedName>
    <definedName name="alpha1">#REF!</definedName>
    <definedName name="alpha2">#REF!</definedName>
    <definedName name="alpha3">#REF!</definedName>
    <definedName name="Alt">#REF!</definedName>
    <definedName name="ALY_M1">#REF!</definedName>
    <definedName name="ALY_M2">#REF!</definedName>
    <definedName name="ALY_P1">#REF!</definedName>
    <definedName name="ALY_P10">#REF!</definedName>
    <definedName name="ALY_P2">#REF!</definedName>
    <definedName name="ALY_P3">#REF!</definedName>
    <definedName name="ALY_P4">#REF!</definedName>
    <definedName name="ALY_P5">#REF!</definedName>
    <definedName name="ALY_P6">#REF!</definedName>
    <definedName name="ALY_P7">#REF!</definedName>
    <definedName name="ALY_P8">#REF!</definedName>
    <definedName name="ALY_P9">#REF!</definedName>
    <definedName name="am_fee">#REF!</definedName>
    <definedName name="AMC_Fee">#REF!</definedName>
    <definedName name="AMC_Promote_Fee">#REF!</definedName>
    <definedName name="AMMORT">#REF!:#REF!</definedName>
    <definedName name="Ammortamenti">#REF!:#REF!</definedName>
    <definedName name="Amounts">#REF!</definedName>
    <definedName name="Annual_Allowance">#REF!</definedName>
    <definedName name="anscount" hidden="1">2</definedName>
    <definedName name="Ao¿￢">#REF!</definedName>
    <definedName name="AOP">#REF!</definedName>
    <definedName name="aoqtmwktksdnsdyd">#REF!</definedName>
    <definedName name="APCBF_Codes">#REF!</definedName>
    <definedName name="A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>#REF!</definedName>
    <definedName name="ARA_Threshold">#REF!</definedName>
    <definedName name="ARC">#REF!</definedName>
    <definedName name="are" localSheetId="0" hidden="1">{#N/A,#N/A,FALSE,"신규dep";#N/A,#N/A,FALSE,"신규dep-금형상각후";#N/A,#N/A,FALSE,"신규dep-연구비상각후";#N/A,#N/A,FALSE,"신규dep-기계,공구상각후"}</definedName>
    <definedName name="are" localSheetId="14" hidden="1">{#N/A,#N/A,FALSE,"신규dep";#N/A,#N/A,FALSE,"신규dep-금형상각후";#N/A,#N/A,FALSE,"신규dep-연구비상각후";#N/A,#N/A,FALSE,"신규dep-기계,공구상각후"}</definedName>
    <definedName name="are" hidden="1">{#N/A,#N/A,FALSE,"신규dep";#N/A,#N/A,FALSE,"신규dep-금형상각후";#N/A,#N/A,FALSE,"신규dep-연구비상각후";#N/A,#N/A,FALSE,"신규dep-기계,공구상각후"}</definedName>
    <definedName name="AREA">#REF!</definedName>
    <definedName name="Area_Chonsei">#REF!</definedName>
    <definedName name="Area_Office">#REF!</definedName>
    <definedName name="Area_Residential">#REF!</definedName>
    <definedName name="Area_Retail">#REF!</definedName>
    <definedName name="Area_Western">#REF!</definedName>
    <definedName name="areaunit">#REF!</definedName>
    <definedName name="areaunitname">#REF!</definedName>
    <definedName name="ARP_Threshold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cxf" localSheetId="0" hidden="1">{#N/A,#N/A,FALSE,"Aging Summary";#N/A,#N/A,FALSE,"Ratio Analysis";#N/A,#N/A,FALSE,"Test 120 Day Accts";#N/A,#N/A,FALSE,"Tickmarks"}</definedName>
    <definedName name="ascxf" localSheetId="14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d">#REF!</definedName>
    <definedName name="asda">#REF!</definedName>
    <definedName name="asdasdasdad" localSheetId="0" hidden="1">{#N/A,#N/A,FALSE,"95FW"}</definedName>
    <definedName name="asdasdasdad" localSheetId="14" hidden="1">{#N/A,#N/A,FALSE,"95FW"}</definedName>
    <definedName name="asdasdasdad" hidden="1">{#N/A,#N/A,FALSE,"95FW"}</definedName>
    <definedName name="asdf">#REF!</definedName>
    <definedName name="asdfasdf" localSheetId="0" hidden="1">{#N/A,#N/A,TRUE,"Assumptions";#N/A,#N/A,TRUE,"Sources of Revenue";#N/A,#N/A,TRUE,"P&amp;L";#N/A,#N/A,TRUE,"Bal. Sheet";#N/A,#N/A,TRUE,"Rights Issue &amp; X Adjustment";#N/A,#N/A,TRUE,"Transaction Model"}</definedName>
    <definedName name="asdfasdf" localSheetId="14" hidden="1">{#N/A,#N/A,TRUE,"Assumptions";#N/A,#N/A,TRUE,"Sources of Revenue";#N/A,#N/A,TRUE,"P&amp;L";#N/A,#N/A,TRUE,"Bal. Sheet";#N/A,#N/A,TRUE,"Rights Issue &amp; X Adjustment";#N/A,#N/A,TRUE,"Transaction Model"}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hidden="1">#REF!</definedName>
    <definedName name="asdfasfgasdf" hidden="1">#REF!</definedName>
    <definedName name="ASDFF" localSheetId="0" hidden="1">{#N/A,#N/A,FALSE,"표지";#N/A,#N/A,FALSE,"전제";#N/A,#N/A,FALSE,"손익-자 (2)";#N/A,#N/A,FALSE,"손익-자";#N/A,#N/A,FALSE,"손익-마 (2)";#N/A,#N/A,FALSE,"손익-마";#N/A,#N/A,FALSE,"총손최종"}</definedName>
    <definedName name="ASDFF" localSheetId="14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hidden="1">#REF!</definedName>
    <definedName name="asdgasdg" localSheetId="0" hidden="1">{#N/A,#N/A,TRUE,"Assumptions";#N/A,#N/A,TRUE,"Sources of Revenue";#N/A,#N/A,TRUE,"P&amp;L";#N/A,#N/A,TRUE,"Bal. Sheet";#N/A,#N/A,TRUE,"Rights Issue &amp; X Adjustment";#N/A,#N/A,TRUE,"Transaction Model"}</definedName>
    <definedName name="asdgasdg" localSheetId="14" hidden="1">{#N/A,#N/A,TRUE,"Assumptions";#N/A,#N/A,TRUE,"Sources of Revenue";#N/A,#N/A,TRUE,"P&amp;L";#N/A,#N/A,TRUE,"Bal. Sheet";#N/A,#N/A,TRUE,"Rights Issue &amp; X Adjustment";#N/A,#N/A,TRUE,"Transaction Model"}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>#REF!</definedName>
    <definedName name="asfasfasf" hidden="1">#REF!</definedName>
    <definedName name="asfasfasff" hidden="1">#REF!</definedName>
    <definedName name="asfasgasdg" hidden="1">#REF!</definedName>
    <definedName name="asfgasdgas" hidden="1">#REF!</definedName>
    <definedName name="asfsa" hidden="1">#REF!</definedName>
    <definedName name="asgf" hidden="1">#REF!</definedName>
    <definedName name="asr">+#REF!</definedName>
    <definedName name="assda">#REF!</definedName>
    <definedName name="Asset">#REF!</definedName>
    <definedName name="Asset_MgmtFee">#REF!</definedName>
    <definedName name="assetdebt">#REF!</definedName>
    <definedName name="ASS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>#REF!</definedName>
    <definedName name="ASTL">#REF!</definedName>
    <definedName name="ASTR">#REF!</definedName>
    <definedName name="ASTX">#REF!</definedName>
    <definedName name="AS생산량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>#REF!</definedName>
    <definedName name="autoexec">#REF!</definedName>
    <definedName name="avrest">#REF!</definedName>
    <definedName name="awc">#REF!</definedName>
    <definedName name="AZ">#REF!</definedName>
    <definedName name="B">#REF!</definedName>
    <definedName name="b_t2">#REF!</definedName>
    <definedName name="BA">#REF!</definedName>
    <definedName name="BACK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localSheetId="1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>#REF!</definedName>
    <definedName name="BAck_AGENCY_EEFEE">#REF!</definedName>
    <definedName name="Back_ANN_BASE">#REF!</definedName>
    <definedName name="Back_ANN_EC_GIVEN">#REF!</definedName>
    <definedName name="Back_AREA_ALW">#REF!</definedName>
    <definedName name="Back_BON_ACT2">#REF!</definedName>
    <definedName name="Back_BON_TGT2">#REF!</definedName>
    <definedName name="Back_BURN_ALW">#REF!</definedName>
    <definedName name="Back_CAR_PLAN">#REF!</definedName>
    <definedName name="Back_CAR_PRK">#REF!</definedName>
    <definedName name="Back_Class_of_Lawyer">#REF!</definedName>
    <definedName name="Back_CLEAN_ALW">#REF!</definedName>
    <definedName name="Back_CLOTH_ALW">#REF!</definedName>
    <definedName name="Back_DEEMOT_ALW">#REF!</definedName>
    <definedName name="Back_DEEMOT_PRO">#REF!</definedName>
    <definedName name="Back_DRIVER_SAL">#REF!</definedName>
    <definedName name="Back_EPI_RATE">#REF!</definedName>
    <definedName name="Back_FAMILY_ALW">#REF!</definedName>
    <definedName name="Back_FBT_ITEMS">#REF!</definedName>
    <definedName name="Back_FEST_BON">#REF!</definedName>
    <definedName name="Back_FIXED_BON">#REF!</definedName>
    <definedName name="Back_FIXEMP_TEC">#REF!</definedName>
    <definedName name="Back_FLEX_ALW">#REF!</definedName>
    <definedName name="Back_GRATUITY">#REF!</definedName>
    <definedName name="Back_HI_RATE">#REF!</definedName>
    <definedName name="Back_HLTH_PREM">#REF!</definedName>
    <definedName name="Back_HRD_BEN">#REF!</definedName>
    <definedName name="Back_INCENT_ACT2">#REF!</definedName>
    <definedName name="Back_INCENT_TGT2">#REF!</definedName>
    <definedName name="Back_KIWI_CONVAL">#REF!</definedName>
    <definedName name="Back_KIWI_FUND">#REF!</definedName>
    <definedName name="Back_KIWI_OTHER">#REF!</definedName>
    <definedName name="Back_KIWI_TEC">#REF!</definedName>
    <definedName name="Back_KR_Actual_Title">#REF!</definedName>
    <definedName name="Back_KR_Code_Title">#REF!</definedName>
    <definedName name="Back_LEASEPRICE2">#REF!</definedName>
    <definedName name="Back_LEASEPRICEFBT">#REF!</definedName>
    <definedName name="Back_LEAVE_LOAD">#REF!</definedName>
    <definedName name="Back_MED_ALW">#REF!</definedName>
    <definedName name="BAck_MEDCARE_BEN">#REF!</definedName>
    <definedName name="Back_MSU_INSURE">#REF!</definedName>
    <definedName name="Back_NFBT_ITEMS">#REF!</definedName>
    <definedName name="Back_NUM_MTH2">#REF!</definedName>
    <definedName name="Back_OTH_BEN">#REF!</definedName>
    <definedName name="Back_OTHBON_ACT2">#REF!</definedName>
    <definedName name="Back_OTHBON_TGT2">#REF!</definedName>
    <definedName name="Back_OTHSUP_TEC">#REF!</definedName>
    <definedName name="Back_PAG_IBIG">#REF!</definedName>
    <definedName name="Back_PERSONALUSE">#REF!</definedName>
    <definedName name="Back_PREVENT_HLTH">#REF!</definedName>
    <definedName name="Back_PRICE2">#REF!</definedName>
    <definedName name="Back_PURCHASEDISCOUNT">#REF!</definedName>
    <definedName name="Back_RET_BENVAL">#REF!</definedName>
    <definedName name="Back_RET_CONVAL">#REF!</definedName>
    <definedName name="Back_SCOPE_ALW">#REF!</definedName>
    <definedName name="Back_SITEOFF_ALW">#REF!</definedName>
    <definedName name="Back_SLSMAN_ALW">#REF!</definedName>
    <definedName name="Back_SS_BEN">#REF!</definedName>
    <definedName name="Back_SS_RATE">#REF!</definedName>
    <definedName name="Back_Store_Type">#REF!</definedName>
    <definedName name="Back_TRAVEL_ALW">#REF!</definedName>
    <definedName name="Back_Type_of_Empl">#REF!</definedName>
    <definedName name="Back_UNION_COFEE">#REF!</definedName>
    <definedName name="Back_UNION_EEFEE">#REF!</definedName>
    <definedName name="BadLink" hidden="1">#REF!</definedName>
    <definedName name="BAL">#REF!</definedName>
    <definedName name="BalanceSheet">#REF!</definedName>
    <definedName name="BalanceSheet97">#REF!</definedName>
    <definedName name="BalanceSheetDates">#REF!</definedName>
    <definedName name="BANCA1">#REF!</definedName>
    <definedName name="banka">#REF!</definedName>
    <definedName name="bankb">#REF!</definedName>
    <definedName name="BAP">#REF!</definedName>
    <definedName name="BASE">#REF!</definedName>
    <definedName name="basebalance">#REF!</definedName>
    <definedName name="BASECARR">#N/A</definedName>
    <definedName name="BASEDOC">#N/A</definedName>
    <definedName name="Basic">#REF!</definedName>
    <definedName name="BatchName">#REF!</definedName>
    <definedName name="BB">#REF!</definedName>
    <definedName name="BBB" hidden="1">#REF!</definedName>
    <definedName name="BBBB" localSheetId="0" hidden="1">{"'호선별현황(방식)'!$K$22:$P$22","'호선별현황(방식)'!$K$22:$P$22"}</definedName>
    <definedName name="BBBB" localSheetId="14" hidden="1">{"'호선별현황(방식)'!$K$22:$P$22","'호선별현황(방식)'!$K$22:$P$22"}</definedName>
    <definedName name="BBBB" hidden="1">{"'호선별현황(방식)'!$K$22:$P$22","'호선별현황(방식)'!$K$22:$P$22"}</definedName>
    <definedName name="bbbbb" localSheetId="0" hidden="1">{#N/A,#N/A,FALSE,"Aging Summary";#N/A,#N/A,FALSE,"Ratio Analysis";#N/A,#N/A,FALSE,"Test 120 Day Accts";#N/A,#N/A,FALSE,"Tickmarks"}</definedName>
    <definedName name="bbbbb" localSheetId="14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bb">#REF!</definedName>
    <definedName name="bbbbbbbbbbbbbbb" localSheetId="0" hidden="1">{#N/A,#N/A,FALSE,"Aging Summary";#N/A,#N/A,FALSE,"Ratio Analysis";#N/A,#N/A,FALSE,"Test 120 Day Accts";#N/A,#N/A,FALSE,"Tickmarks"}</definedName>
    <definedName name="bbbbbbbbbbbbbbb" localSheetId="14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L">#REF!</definedName>
    <definedName name="BBP">#REF!</definedName>
    <definedName name="bc">#REF!</definedName>
    <definedName name="BCL">#REF!</definedName>
    <definedName name="BCP">#REF!</definedName>
    <definedName name="bcrclcl100rt">#REF!</definedName>
    <definedName name="bcrclcl100rtrkrk">#REF!</definedName>
    <definedName name="BCY_M1">#REF!</definedName>
    <definedName name="BCY_M2">#REF!</definedName>
    <definedName name="BCY_P1">#REF!</definedName>
    <definedName name="BCY_P10">#REF!</definedName>
    <definedName name="BCY_P2">#REF!</definedName>
    <definedName name="BCY_P3">#REF!</definedName>
    <definedName name="BCY_P4">#REF!</definedName>
    <definedName name="BCY_P5">#REF!</definedName>
    <definedName name="BCY_P6">#REF!</definedName>
    <definedName name="BCY_P7">#REF!</definedName>
    <definedName name="BCY_P8">#REF!</definedName>
    <definedName name="BCY_P9">#REF!</definedName>
    <definedName name="BD">#REF!</definedName>
    <definedName name="BDL">#REF!</definedName>
    <definedName name="BDP">#REF!</definedName>
    <definedName name="Beachwood" localSheetId="0" hidden="1">{"p",#N/A,FALSE,"Sheet1";"p 2",#N/A,FALSE,"Sheet1";"p 3",#N/A,FALSE,"Sheet1"}</definedName>
    <definedName name="Beachwood" localSheetId="14" hidden="1">{"p",#N/A,FALSE,"Sheet1";"p 2",#N/A,FALSE,"Sheet1";"p 3",#N/A,FALSE,"Sheet1"}</definedName>
    <definedName name="Beachwood" hidden="1">{"p",#N/A,FALSE,"Sheet1";"p 2",#N/A,FALSE,"Sheet1";"p 3",#N/A,FALSE,"Sheet1"}</definedName>
    <definedName name="Beachwood_1" localSheetId="0" hidden="1">{"p",#N/A,FALSE,"Sheet1";"p 2",#N/A,FALSE,"Sheet1";"p 3",#N/A,FALSE,"Sheet1"}</definedName>
    <definedName name="Beachwood_1" localSheetId="14" hidden="1">{"p",#N/A,FALSE,"Sheet1";"p 2",#N/A,FALSE,"Sheet1";"p 3",#N/A,FALSE,"Sheet1"}</definedName>
    <definedName name="Beachwood_1" hidden="1">{"p",#N/A,FALSE,"Sheet1";"p 2",#N/A,FALSE,"Sheet1";"p 3",#N/A,FALSE,"Sheet1"}</definedName>
    <definedName name="BEG_MISC">#REF!</definedName>
    <definedName name="Ben_LA2">#REF!</definedName>
    <definedName name="Ben_PM2">#REF!</definedName>
    <definedName name="Benchmark">#REF!</definedName>
    <definedName name="beta">#REF!</definedName>
    <definedName name="BG_Del" hidden="1">15</definedName>
    <definedName name="BG_Ins" hidden="1">4</definedName>
    <definedName name="BG_Mod" hidden="1">6</definedName>
    <definedName name="bn" localSheetId="0" hidden="1">{#N/A,#N/A,FALSE,"Aging Summary";#N/A,#N/A,FALSE,"Ratio Analysis";#N/A,#N/A,FALSE,"Test 120 Day Accts";#N/A,#N/A,FALSE,"Tickmarks"}</definedName>
    <definedName name="bn" localSheetId="14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Y_M1">#REF!</definedName>
    <definedName name="BNY_M2">#REF!</definedName>
    <definedName name="BNY_P1">#REF!</definedName>
    <definedName name="BNY_P10">#REF!</definedName>
    <definedName name="BNY_P2">#REF!</definedName>
    <definedName name="BNY_P3">#REF!</definedName>
    <definedName name="BNY_P4">#REF!</definedName>
    <definedName name="BNY_P5">#REF!</definedName>
    <definedName name="BNY_P6">#REF!</definedName>
    <definedName name="BNY_P7">#REF!</definedName>
    <definedName name="BNY_P8">#REF!</definedName>
    <definedName name="BNY_P9">#REF!</definedName>
    <definedName name="BODY">#REF!</definedName>
    <definedName name="Book_2002">#REF!</definedName>
    <definedName name="book1" localSheetId="0" hidden="1">{#N/A,#N/A,TRUE,"Y생산";#N/A,#N/A,TRUE,"Y판매";#N/A,#N/A,TRUE,"Y총물량";#N/A,#N/A,TRUE,"Y능력";#N/A,#N/A,TRUE,"YKD"}</definedName>
    <definedName name="book1" localSheetId="14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rrow_Cost">#REF!</definedName>
    <definedName name="BPR_01" localSheetId="0" hidden="1">{#N/A,#N/A,FALSE,"BS";#N/A,#N/A,FALSE,"PL";#N/A,#N/A,FALSE,"처분";#N/A,#N/A,FALSE,"현금";#N/A,#N/A,FALSE,"매출";#N/A,#N/A,FALSE,"원가";#N/A,#N/A,FALSE,"경영"}</definedName>
    <definedName name="BPR_01" localSheetId="14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ranch">#REF!</definedName>
    <definedName name="BRCOD">#REF!</definedName>
    <definedName name="bridge">#REF!</definedName>
    <definedName name="BRK">#REF!</definedName>
    <definedName name="brougham">#REF!</definedName>
    <definedName name="bs" localSheetId="0" hidden="1">{#N/A,#N/A,FALSE,"Aging Summary";#N/A,#N/A,FALSE,"Ratio Analysis";#N/A,#N/A,FALSE,"Test 120 Day Accts";#N/A,#N/A,FALSE,"Tickmarks"}</definedName>
    <definedName name="bs" localSheetId="14" hidden="1">{#N/A,#N/A,FALSE,"Aging Summary";#N/A,#N/A,FALSE,"Ratio Analysis";#N/A,#N/A,FALSE,"Test 120 Day Accts";#N/A,#N/A,FALSE,"Tickmarks"}</definedName>
    <definedName name="bs" hidden="1">{#N/A,#N/A,FALSE,"Aging Summary";#N/A,#N/A,FALSE,"Ratio Analysis";#N/A,#N/A,FALSE,"Test 120 Day Accts";#N/A,#N/A,FALSE,"Tickmarks"}</definedName>
    <definedName name="BS_Co">#REF!</definedName>
    <definedName name="bsbalance">#REF!</definedName>
    <definedName name="bsNote">#N/A</definedName>
    <definedName name="BSTA">#REF!</definedName>
    <definedName name="BSTL">#REF!</definedName>
    <definedName name="BSTR">#REF!</definedName>
    <definedName name="BSTX">#REF!</definedName>
    <definedName name="BTC_List1_100">#REF!</definedName>
    <definedName name="BTC_List1_110">#REF!</definedName>
    <definedName name="BTC_List1_120">#REF!</definedName>
    <definedName name="BTC_List1_123">#REF!</definedName>
    <definedName name="BTC_List1_130">#REF!</definedName>
    <definedName name="BTC_List1_140">#REF!</definedName>
    <definedName name="BTC_List1_150">#REF!</definedName>
    <definedName name="BTC_List1_155">#REF!</definedName>
    <definedName name="BTC_List1_160">#REF!</definedName>
    <definedName name="BTC_List1_162">#REF!</definedName>
    <definedName name="BTC_List1_166">#REF!</definedName>
    <definedName name="BTC_List1_170">#REF!</definedName>
    <definedName name="BTC_List1_180">#REF!</definedName>
    <definedName name="BTC_List1_187">#REF!</definedName>
    <definedName name="BTC_List1_190">#REF!</definedName>
    <definedName name="BTC_List1_200">#REF!</definedName>
    <definedName name="BTC_List1_210">#REF!</definedName>
    <definedName name="BTC_List1_220">#REF!</definedName>
    <definedName name="BTC_List1_501">#REF!</definedName>
    <definedName name="BTC_List1_510">#REF!</definedName>
    <definedName name="BTC_List1_520">#REF!</definedName>
    <definedName name="BTC_List1_530">#REF!</definedName>
    <definedName name="BTC_List1_541">#REF!</definedName>
    <definedName name="BTC_List1_542">#REF!</definedName>
    <definedName name="BTC_List1_543">#REF!</definedName>
    <definedName name="BTC_List1_560">#REF!</definedName>
    <definedName name="BTC_List1_570">#REF!</definedName>
    <definedName name="BTC_List1_600">#REF!</definedName>
    <definedName name="BTC_List1_610">#REF!</definedName>
    <definedName name="BTC_List1_642">#REF!</definedName>
    <definedName name="BTC_List1_671">#REF!</definedName>
    <definedName name="BTC_List1_672">#REF!</definedName>
    <definedName name="BTC_List1_690">#REF!</definedName>
    <definedName name="BTC_List1_701">#REF!</definedName>
    <definedName name="BTC_List1_702">#REF!</definedName>
    <definedName name="BTC_List1_All">#REF!</definedName>
    <definedName name="BTC_List2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>#REF!</definedName>
    <definedName name="BUTTON_N">#REF!</definedName>
    <definedName name="BUTTON_T">#REF!</definedName>
    <definedName name="Buy_Price">#REF!</definedName>
    <definedName name="bv" localSheetId="0" hidden="1">{#N/A,#N/A,FALSE,"1.CRITERIA";#N/A,#N/A,FALSE,"2.IS";#N/A,#N/A,FALSE,"3.BS";#N/A,#N/A,FALSE,"4.PER PL";#N/A,#N/A,FALSE,"5.INVESTMENT";#N/A,#N/A,FALSE,"6.공문";#N/A,#N/A,FALSE,"7.netinvest"}</definedName>
    <definedName name="bv" localSheetId="14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>#REF!</definedName>
    <definedName name="CAE해석" localSheetId="0" hidden="1">{#N/A,#N/A,FALSE,"단축1";#N/A,#N/A,FALSE,"단축2";#N/A,#N/A,FALSE,"단축3";#N/A,#N/A,FALSE,"장축";#N/A,#N/A,FALSE,"4WD"}</definedName>
    <definedName name="CAE해석" localSheetId="14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">#REF!</definedName>
    <definedName name="can">#REF!</definedName>
    <definedName name="canestr">#REF!:#REF!</definedName>
    <definedName name="CAP">#REF!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>#REF!</definedName>
    <definedName name="CapEx_B">#REF!</definedName>
    <definedName name="CapEx_C">#REF!</definedName>
    <definedName name="CapEx_D">#REF!</definedName>
    <definedName name="CapEx_E">#REF!</definedName>
    <definedName name="CapEx_F">#REF!</definedName>
    <definedName name="CapEx_G">#REF!</definedName>
    <definedName name="CapEx_H">#REF!</definedName>
    <definedName name="Capital_Reserve">#REF!</definedName>
    <definedName name="Car_List">#REF!</definedName>
    <definedName name="CARCODE">#REF!</definedName>
    <definedName name="Carpark_Revenue">#REF!</definedName>
    <definedName name="Case_Rev">#REF!</definedName>
    <definedName name="CASE1">#REF!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>#REF!</definedName>
    <definedName name="CASE4">#REF!</definedName>
    <definedName name="cash">#N/A</definedName>
    <definedName name="Cashflow">#REF!</definedName>
    <definedName name="CashFlow_Button1_Click">#N/A</definedName>
    <definedName name="CashFlow97">#REF!</definedName>
    <definedName name="CashflowStt">#REF!</definedName>
    <definedName name="cashIndex">#N/A</definedName>
    <definedName name="CB">#REF!</definedName>
    <definedName name="CBL">#REF!</definedName>
    <definedName name="CBP">#REF!</definedName>
    <definedName name="cc">#REF!</definedName>
    <definedName name="CC.QQ">#REF!</definedName>
    <definedName name="CCC">#REF!</definedName>
    <definedName name="cccccccㅊㅊㅊㅊㅊㅊㅊㅊㅊㅊㅊㅊㅊ">#REF!</definedName>
    <definedName name="CCL">#REF!</definedName>
    <definedName name="CCP">#REF!</definedName>
    <definedName name="ccr">#REF!</definedName>
    <definedName name="Ccy">#REF!</definedName>
    <definedName name="CD">#REF!</definedName>
    <definedName name="Cday">#REF!</definedName>
    <definedName name="CDE" localSheetId="0" hidden="1">{#N/A,#N/A,TRUE,"일정"}</definedName>
    <definedName name="CDE" localSheetId="14" hidden="1">{#N/A,#N/A,TRUE,"일정"}</definedName>
    <definedName name="CDE" hidden="1">{#N/A,#N/A,TRUE,"일정"}</definedName>
    <definedName name="cdhbkjbkjnkjnlmmn" localSheetId="0" hidden="1">{#N/A,#N/A,TRUE,"일정"}</definedName>
    <definedName name="cdhbkjbkjnkjnlmmn" localSheetId="14" hidden="1">{#N/A,#N/A,TRUE,"일정"}</definedName>
    <definedName name="cdhbkjbkjnkjnlmmn" hidden="1">{#N/A,#N/A,TRUE,"일정"}</definedName>
    <definedName name="CDL">#REF!</definedName>
    <definedName name="CDP">#REF!</definedName>
    <definedName name="CELLNOTE10">#REF!</definedName>
    <definedName name="CELLNOTE4">#REF!</definedName>
    <definedName name="CELLNOTE5">#REF!</definedName>
    <definedName name="CELLNOTE6">#REF!</definedName>
    <definedName name="CellSize">#REF!</definedName>
    <definedName name="CF">#REF!</definedName>
    <definedName name="cf1fc1s4" localSheetId="0" hidden="1">{#N/A,#N/A,FALSE,"Aging Summary";#N/A,#N/A,FALSE,"Ratio Analysis";#N/A,#N/A,FALSE,"Test 120 Day Accts";#N/A,#N/A,FALSE,"Tickmarks"}</definedName>
    <definedName name="cf1fc1s4" localSheetId="14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localSheetId="14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P">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>#REF!</definedName>
    <definedName name="Chonsei_Unit">#REF!</definedName>
    <definedName name="chopo">#N/A</definedName>
    <definedName name="choto">#N/A</definedName>
    <definedName name="ci" localSheetId="0" hidden="1">{#N/A,#N/A,FALSE,"단축1";#N/A,#N/A,FALSE,"단축2";#N/A,#N/A,FALSE,"단축3";#N/A,#N/A,FALSE,"장축";#N/A,#N/A,FALSE,"4WD"}</definedName>
    <definedName name="ci" localSheetId="14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hidden="1">"476f5d56-2f49-456f-b2f9-cd2c53c26ccd"</definedName>
    <definedName name="Circ">#REF!</definedName>
    <definedName name="Citi_Rent_Growth">#REF!</definedName>
    <definedName name="ckc">#REF!</definedName>
    <definedName name="closing">#REF!</definedName>
    <definedName name="Closing_Date">#REF!</definedName>
    <definedName name="Cmonth">#REF!</definedName>
    <definedName name="CoData_Link1">#REF!</definedName>
    <definedName name="Ｃｏｄｅ">#REF!</definedName>
    <definedName name="code1">#REF!</definedName>
    <definedName name="code2">#REF!</definedName>
    <definedName name="ColorNames">#REF!</definedName>
    <definedName name="Com">#REF!</definedName>
    <definedName name="comp">#REF!</definedName>
    <definedName name="Company_Code">#REF!</definedName>
    <definedName name="Company_Name">#REF!</definedName>
    <definedName name="Composite_Land_Tax">#REF!</definedName>
    <definedName name="con">#REF!</definedName>
    <definedName name="CoName1">#REF!</definedName>
    <definedName name="conb1">#REF!</definedName>
    <definedName name="conb10">#REF!</definedName>
    <definedName name="conb100">#REF!</definedName>
    <definedName name="conb101">#REF!</definedName>
    <definedName name="conb102">#REF!</definedName>
    <definedName name="conb103">#REF!</definedName>
    <definedName name="conb104">#REF!</definedName>
    <definedName name="conb105">#REF!</definedName>
    <definedName name="conb106">#REF!</definedName>
    <definedName name="conb107">#REF!</definedName>
    <definedName name="conb108">#REF!</definedName>
    <definedName name="conb109">#REF!</definedName>
    <definedName name="conb11">#REF!</definedName>
    <definedName name="conb110">#REF!</definedName>
    <definedName name="conb111">#REF!</definedName>
    <definedName name="conb112">#REF!</definedName>
    <definedName name="conb113">#REF!</definedName>
    <definedName name="conb114">#REF!</definedName>
    <definedName name="conb115">#REF!</definedName>
    <definedName name="conb116">#REF!</definedName>
    <definedName name="conb117">#REF!</definedName>
    <definedName name="conb118">#REF!</definedName>
    <definedName name="conb119">#REF!</definedName>
    <definedName name="conb12">#REF!</definedName>
    <definedName name="conb120">#REF!</definedName>
    <definedName name="conb121">#REF!</definedName>
    <definedName name="conb13">#REF!</definedName>
    <definedName name="conb14">#REF!</definedName>
    <definedName name="conb15">#REF!</definedName>
    <definedName name="conb16">#REF!</definedName>
    <definedName name="conb17">#REF!</definedName>
    <definedName name="conb18">#REF!</definedName>
    <definedName name="conb19">#REF!</definedName>
    <definedName name="conb2">#REF!</definedName>
    <definedName name="conb20">#REF!</definedName>
    <definedName name="conb21">#REF!</definedName>
    <definedName name="conb22">#REF!</definedName>
    <definedName name="conb23">#REF!</definedName>
    <definedName name="conb24">#REF!</definedName>
    <definedName name="conb25">#REF!</definedName>
    <definedName name="conb26">#REF!</definedName>
    <definedName name="conb27">#REF!</definedName>
    <definedName name="conb28">#REF!</definedName>
    <definedName name="conb29">#REF!</definedName>
    <definedName name="conb3">#REF!</definedName>
    <definedName name="conb30">#REF!</definedName>
    <definedName name="conb31">#REF!</definedName>
    <definedName name="conb33">#REF!</definedName>
    <definedName name="conb34">#REF!</definedName>
    <definedName name="conb36">#REF!</definedName>
    <definedName name="conb37">#REF!</definedName>
    <definedName name="conb38">#REF!</definedName>
    <definedName name="conb39">#REF!</definedName>
    <definedName name="conb4">#REF!</definedName>
    <definedName name="conb40">#REF!</definedName>
    <definedName name="conb41">#REF!</definedName>
    <definedName name="conb42">#REF!</definedName>
    <definedName name="conb43">#REF!</definedName>
    <definedName name="conb44">#REF!</definedName>
    <definedName name="conb45">#REF!</definedName>
    <definedName name="conb46">#REF!</definedName>
    <definedName name="conb47">#REF!</definedName>
    <definedName name="conb48">#REF!</definedName>
    <definedName name="conb49">#REF!</definedName>
    <definedName name="conb5">#REF!</definedName>
    <definedName name="conb50">#REF!</definedName>
    <definedName name="conb51">#REF!</definedName>
    <definedName name="conb52">#REF!</definedName>
    <definedName name="conb53">#REF!</definedName>
    <definedName name="conb54">#REF!</definedName>
    <definedName name="conb55">#REF!</definedName>
    <definedName name="conb58">#REF!</definedName>
    <definedName name="conb59">#REF!</definedName>
    <definedName name="conb6">#REF!</definedName>
    <definedName name="conb60">#REF!</definedName>
    <definedName name="conb61">#REF!</definedName>
    <definedName name="conb62">#REF!</definedName>
    <definedName name="conb63">#REF!</definedName>
    <definedName name="conb64">#REF!</definedName>
    <definedName name="conb65">#REF!</definedName>
    <definedName name="conb66">#REF!</definedName>
    <definedName name="conb67">#REF!</definedName>
    <definedName name="conb68">#REF!</definedName>
    <definedName name="conb69">#REF!</definedName>
    <definedName name="conb7">#REF!</definedName>
    <definedName name="conb70">#REF!</definedName>
    <definedName name="conb71">#REF!</definedName>
    <definedName name="conb72">#REF!</definedName>
    <definedName name="conb73">#REF!</definedName>
    <definedName name="conb74">#REF!</definedName>
    <definedName name="conb75">#REF!</definedName>
    <definedName name="conb76">#REF!</definedName>
    <definedName name="conb77">#REF!</definedName>
    <definedName name="conb78">#REF!</definedName>
    <definedName name="conb79">#REF!</definedName>
    <definedName name="conb8">#REF!</definedName>
    <definedName name="conb80">#REF!</definedName>
    <definedName name="conb81">#REF!</definedName>
    <definedName name="conb82">#REF!</definedName>
    <definedName name="conb83">#REF!</definedName>
    <definedName name="conb84">#REF!</definedName>
    <definedName name="conb85">#REF!</definedName>
    <definedName name="conb86">#REF!</definedName>
    <definedName name="conb87">#REF!</definedName>
    <definedName name="conb88">#REF!</definedName>
    <definedName name="conb89">#REF!</definedName>
    <definedName name="conb9">#REF!</definedName>
    <definedName name="conb90">#REF!</definedName>
    <definedName name="conb91">#REF!</definedName>
    <definedName name="conb92">#REF!</definedName>
    <definedName name="conb93">#REF!</definedName>
    <definedName name="conb94">#REF!</definedName>
    <definedName name="conb95">#REF!</definedName>
    <definedName name="conb96">#REF!</definedName>
    <definedName name="conb97">#REF!</definedName>
    <definedName name="conb98">#REF!</definedName>
    <definedName name="conb99">#REF!</definedName>
    <definedName name="ConstructionCost">#REF!</definedName>
    <definedName name="Contact1">#REF!</definedName>
    <definedName name="Contact2">#REF!</definedName>
    <definedName name="Contact3">#REF!</definedName>
    <definedName name="Contact4">#REF!</definedName>
    <definedName name="Contact5">#REF!</definedName>
    <definedName name="contagiorni">#N/A</definedName>
    <definedName name="CoNum1">#REF!</definedName>
    <definedName name="Conv">#REF!</definedName>
    <definedName name="Conventions">#REF!</definedName>
    <definedName name="CorpTax_Coeff">#REF!</definedName>
    <definedName name="cost">#REF!</definedName>
    <definedName name="CostData">#REF!</definedName>
    <definedName name="Costs_of_Sales">#REF!</definedName>
    <definedName name="Country">#REF!</definedName>
    <definedName name="CountryCode">#REF!</definedName>
    <definedName name="COUNTY">#REF!</definedName>
    <definedName name="COUPPCD">#REF!</definedName>
    <definedName name="Cover">#REF!</definedName>
    <definedName name="CPI_Sambu_RR">#REF!</definedName>
    <definedName name="CR">#REF!</definedName>
    <definedName name="CRa">#REF!</definedName>
    <definedName name="CRb">#REF!</definedName>
    <definedName name="CRC_CorpTax_Coeff">#REF!</definedName>
    <definedName name="CRC_Special_Capital_Gain_Tax">#REF!</definedName>
    <definedName name="CRC_Tax_Base_above100">#REF!</definedName>
    <definedName name="CRC_Tax_Base_below100">#REF!</definedName>
    <definedName name="CRC_Tax_Rental_Above100">#REF!</definedName>
    <definedName name="CRC_Tax_Rental_below100">#REF!</definedName>
    <definedName name="CRC_Tax_Withhold_Capital_Gains">#REF!</definedName>
    <definedName name="CRC_Tax_Withhold_Dividends">#REF!</definedName>
    <definedName name="Credit_Card_Rate">#REF!</definedName>
    <definedName name="crinkled_ctn_blend">#REF!</definedName>
    <definedName name="_xlnm.Criteria">#REF!</definedName>
    <definedName name="Criteria_MI">#REF!</definedName>
    <definedName name="CSTA">#REF!</definedName>
    <definedName name="CSTL">#REF!</definedName>
    <definedName name="CSTR">#REF!</definedName>
    <definedName name="CSTX">#REF!</definedName>
    <definedName name="CubeData">!#REF!</definedName>
    <definedName name="cumule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#REF!</definedName>
    <definedName name="Currency_List">#REF!</definedName>
    <definedName name="current">#REF!</definedName>
    <definedName name="Current_Month">#REF!</definedName>
    <definedName name="Current_Month_SvcCharge">#REF!</definedName>
    <definedName name="Current_Tenant_Deposit_Growth">#REF!</definedName>
    <definedName name="Current_Tenant_Rent_Growth">#REF!</definedName>
    <definedName name="Current_Year">#REF!</definedName>
    <definedName name="Customer_Type">#REF!</definedName>
    <definedName name="CY">#REF!</definedName>
    <definedName name="Cyear">#REF!</definedName>
    <definedName name="CYs">#REF!</definedName>
    <definedName name="CYTD_CHG">11</definedName>
    <definedName name="C채권계정과목">#REF!</definedName>
    <definedName name="C채무계정과목">#REF!</definedName>
    <definedName name="D">#REF!</definedName>
    <definedName name="dafadfafadfa" localSheetId="0" hidden="1">{#N/A,#N/A,FALSE,"Aging Summary";#N/A,#N/A,FALSE,"Ratio Analysis";#N/A,#N/A,FALSE,"Test 120 Day Accts";#N/A,#N/A,FALSE,"Tickmarks"}</definedName>
    <definedName name="dafadfafadfa" localSheetId="14" hidden="1">{#N/A,#N/A,FALSE,"Aging Summary";#N/A,#N/A,FALSE,"Ratio Analysis";#N/A,#N/A,FALSE,"Test 120 Day Accts";#N/A,#N/A,FALSE,"Tickmarks"}</definedName>
    <definedName name="dafadfafadfa" hidden="1">{#N/A,#N/A,FALSE,"Aging Summary";#N/A,#N/A,FALSE,"Ratio Analysis";#N/A,#N/A,FALSE,"Test 120 Day Accts";#N/A,#N/A,FALSE,"Tickmarks"}</definedName>
    <definedName name="Dala">#REF!</definedName>
    <definedName name="DALBAL.PriorPeriod1Balance">#REF!</definedName>
    <definedName name="dalcielo">#REF!,#REF!,#REF!,#REF!,#REF!,#REF!,#REF!</definedName>
    <definedName name="dallanos">#REF!,#REF!,#REF!,#REF!,#REF!,#REF!,#REF!</definedName>
    <definedName name="dalleganza">#REF!,#REF!,#REF!,#REF!,#REF!,#REF!,#REF!</definedName>
    <definedName name="dalnubira">#REF!,#REF!,#REF!,#REF!,#REF!,#REF!,#REF!</definedName>
    <definedName name="dalsung">#REF!,#REF!,#REF!,#REF!,#REF!,#REF!</definedName>
    <definedName name="daltacuma">#REF!,#REF!,#REF!,#REF!,#REF!,#REF!,#REF!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">#REF!</definedName>
    <definedName name="_xlnm.Database">#REF!</definedName>
    <definedName name="Database_MI">#REF!</definedName>
    <definedName name="Date">#REF!</definedName>
    <definedName name="date_lookup_range">#REF!</definedName>
    <definedName name="date2">#REF!</definedName>
    <definedName name="DateColorClear">#REF!</definedName>
    <definedName name="dates">#REF!</definedName>
    <definedName name="Davinci_AnnFee_ofBuyAcq">#REF!</definedName>
    <definedName name="Davinci_AnnFee_ofGrossRev">#REF!</definedName>
    <definedName name="DB">#REF!</definedName>
    <definedName name="DB_AC">#REF!</definedName>
    <definedName name="DB_Ave">#REF!</definedName>
    <definedName name="DB_Increase">#REF!</definedName>
    <definedName name="DB_Plan">#REF!</definedName>
    <definedName name="dbswhdgusdbswhdgus">#REF!</definedName>
    <definedName name="DC_Plan">#REF!</definedName>
    <definedName name="DCFINPUTS">#REF!</definedName>
    <definedName name="DCFMATRIX">#REF!</definedName>
    <definedName name="DD">#REF!</definedName>
    <definedName name="ddd">#REF!</definedName>
    <definedName name="DDDD">#REF!</definedName>
    <definedName name="dddd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>#REF!</definedName>
    <definedName name="dddddddd">#REF!</definedName>
    <definedName name="DDDDDDDDDD" localSheetId="0" hidden="1">{#N/A,#N/A,TRUE,"Y생산";#N/A,#N/A,TRUE,"Y판매";#N/A,#N/A,TRUE,"Y총물량";#N/A,#N/A,TRUE,"Y능력";#N/A,#N/A,TRUE,"YKD"}</definedName>
    <definedName name="DDDDDDDDDD" localSheetId="14" hidden="1">{#N/A,#N/A,TRUE,"Y생산";#N/A,#N/A,TRUE,"Y판매";#N/A,#N/A,TRUE,"Y총물량";#N/A,#N/A,TRUE,"Y능력";#N/A,#N/A,TRUE,"YKD"}</definedName>
    <definedName name="DDDDDDDDDD" hidden="1">{#N/A,#N/A,TRUE,"Y생산";#N/A,#N/A,TRUE,"Y판매";#N/A,#N/A,TRUE,"Y총물량";#N/A,#N/A,TRUE,"Y능력";#N/A,#N/A,TRUE,"YKD"}</definedName>
    <definedName name="DDDDDDDDDD_1" localSheetId="0" hidden="1">{#N/A,#N/A,TRUE,"Y생산";#N/A,#N/A,TRUE,"Y판매";#N/A,#N/A,TRUE,"Y총물량";#N/A,#N/A,TRUE,"Y능력";#N/A,#N/A,TRUE,"YKD"}</definedName>
    <definedName name="DDDDDDDDDD_1" localSheetId="14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>#REF!</definedName>
    <definedName name="DDDDDDDDDDDD" localSheetId="0" hidden="1">{#N/A,#N/A,FALSE,"표지";#N/A,#N/A,FALSE,"전제";#N/A,#N/A,FALSE,"손익-자 (2)";#N/A,#N/A,FALSE,"손익-자";#N/A,#N/A,FALSE,"손익-마 (2)";#N/A,#N/A,FALSE,"손익-마";#N/A,#N/A,FALSE,"총손최종"}</definedName>
    <definedName name="DDDDDDDDDDDD" localSheetId="14" hidden="1">{#N/A,#N/A,FALSE,"표지";#N/A,#N/A,FALSE,"전제";#N/A,#N/A,FALSE,"손익-자 (2)";#N/A,#N/A,FALSE,"손익-자";#N/A,#N/A,FALSE,"손익-마 (2)";#N/A,#N/A,FALSE,"손익-마";#N/A,#N/A,FALSE,"총손최종"}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hidden="1">#REF!</definedName>
    <definedName name="dddddddddddddddd">#REF!</definedName>
    <definedName name="dddddddddddddddddd" localSheetId="0" hidden="1">{#N/A,#N/A,FALSE,"Aging Summary";#N/A,#N/A,FALSE,"Ratio Analysis";#N/A,#N/A,FALSE,"Test 120 Day Accts";#N/A,#N/A,FALSE,"Tickmarks"}</definedName>
    <definedName name="dddddddddddddddddd" localSheetId="14" hidden="1">{#N/A,#N/A,FALSE,"Aging Summary";#N/A,#N/A,FALSE,"Ratio Analysis";#N/A,#N/A,FALSE,"Test 120 Day Accts";#N/A,#N/A,FALSE,"Tickmarks"}</definedName>
    <definedName name="dddddddddddddddddd" hidden="1">{#N/A,#N/A,FALSE,"Aging Summary";#N/A,#N/A,FALSE,"Ratio Analysis";#N/A,#N/A,FALSE,"Test 120 Day Accts";#N/A,#N/A,FALSE,"Tickmarks"}</definedName>
    <definedName name="dddddddddddddddddddddddddddddddddd">#REF!</definedName>
    <definedName name="ddddddddddddddddddddddddddddddddddddddddddddddddddddd">#REF!</definedName>
    <definedName name="DDFDF" hidden="1">#REF!</definedName>
    <definedName name="Deal_Name">#REF!</definedName>
    <definedName name="debt">#REF!</definedName>
    <definedName name="Debt_BreakFee">#REF!</definedName>
    <definedName name="Debt_Ratio">#REF!</definedName>
    <definedName name="DebtType">#REF!</definedName>
    <definedName name="DEC.GH">#REF!</definedName>
    <definedName name="deduction">#REF!</definedName>
    <definedName name="DEFERRED">#REF!</definedName>
    <definedName name="DEFERRED2">#REF!</definedName>
    <definedName name="deferred3">#REF!</definedName>
    <definedName name="dek">#REF!</definedName>
    <definedName name="Deloitte.">#REF!</definedName>
    <definedName name="DELPHONE">#N/A</definedName>
    <definedName name="delta">#REF!</definedName>
    <definedName name="delta1">#REF!</definedName>
    <definedName name="delta2">#REF!</definedName>
    <definedName name="dep_rate">#REF!</definedName>
    <definedName name="deposit">#REF!</definedName>
    <definedName name="deposit_raise">#REF!</definedName>
    <definedName name="deposit_rate">#REF!</definedName>
    <definedName name="Depreciation">#REF!</definedName>
    <definedName name="DEPT">#REF!</definedName>
    <definedName name="dererred4">#REF!</definedName>
    <definedName name="Description">#REF!</definedName>
    <definedName name="DESIGN">#REF!</definedName>
    <definedName name="detail">#REF!</definedName>
    <definedName name="detailbalance">#REF!</definedName>
    <definedName name="detteis">#REF!</definedName>
    <definedName name="Deutsche">#REF!</definedName>
    <definedName name="Develop">#REF!</definedName>
    <definedName name="devs">#REF!</definedName>
    <definedName name="DF" localSheetId="0" hidden="1">{#N/A,#N/A,FALSE,"Aging Summary";#N/A,#N/A,FALSE,"Ratio Analysis";#N/A,#N/A,FALSE,"Test 120 Day Accts";#N/A,#N/A,FALSE,"Tickmarks"}</definedName>
    <definedName name="DF" localSheetId="14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adfdafdafdafd" localSheetId="0" hidden="1">{#N/A,#N/A,FALSE,"Aging Summary";#N/A,#N/A,FALSE,"Ratio Analysis";#N/A,#N/A,FALSE,"Test 120 Day Accts";#N/A,#N/A,FALSE,"Tickmarks"}</definedName>
    <definedName name="dfadfdafdafdafd" localSheetId="14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>#REF!</definedName>
    <definedName name="DFDF" localSheetId="0" hidden="1">{#N/A,#N/A,FALSE,"Aging Summary";#N/A,#N/A,FALSE,"Ratio Analysis";#N/A,#N/A,FALSE,"Test 120 Day Accts";#N/A,#N/A,FALSE,"Tickmarks"}</definedName>
    <definedName name="DFDF" localSheetId="14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FD" localSheetId="0" hidden="1">{#N/A,#N/A,FALSE,"Aging Summary";#N/A,#N/A,FALSE,"Ratio Analysis";#N/A,#N/A,FALSE,"Test 120 Day Accts";#N/A,#N/A,FALSE,"Tickmarks"}</definedName>
    <definedName name="DFDFDFD" localSheetId="14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localSheetId="0" hidden="1">{#N/A,#N/A,TRUE,"Assumptions";#N/A,#N/A,TRUE,"Sources of Revenue";#N/A,#N/A,TRUE,"P&amp;L";#N/A,#N/A,TRUE,"Bal. Sheet";#N/A,#N/A,TRUE,"Rights Issue &amp; X Adjustment";#N/A,#N/A,TRUE,"Transaction Model"}</definedName>
    <definedName name="dfg" localSheetId="14" hidden="1">{#N/A,#N/A,TRUE,"Assumptions";#N/A,#N/A,TRUE,"Sources of Revenue";#N/A,#N/A,TRUE,"P&amp;L";#N/A,#N/A,TRUE,"Bal. Sheet";#N/A,#N/A,TRUE,"Rights Issue &amp; X Adjustment";#N/A,#N/A,TRUE,"Transaction Model"}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hidden="1">#REF!</definedName>
    <definedName name="DFGDF">#REF!</definedName>
    <definedName name="DFGFHY">#REF!</definedName>
    <definedName name="dfghdfghhdfh" localSheetId="0" hidden="1">{#N/A,#N/A,TRUE,"Assumptions";#N/A,#N/A,TRUE,"Sources of Revenue";#N/A,#N/A,TRUE,"P&amp;L";#N/A,#N/A,TRUE,"Bal. Sheet";#N/A,#N/A,TRUE,"Rights Issue &amp; X Adjustment";#N/A,#N/A,TRUE,"Transaction Model"}</definedName>
    <definedName name="dfghdfghhdfh" localSheetId="14" hidden="1">{#N/A,#N/A,TRUE,"Assumptions";#N/A,#N/A,TRUE,"Sources of Revenue";#N/A,#N/A,TRUE,"P&amp;L";#N/A,#N/A,TRUE,"Bal. Sheet";#N/A,#N/A,TRUE,"Rights Issue &amp; X Adjustment";#N/A,#N/A,TRUE,"Transaction Model"}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hidden="1">#REF!</definedName>
    <definedName name="DFSDFS" hidden="1">#REF!</definedName>
    <definedName name="DG_Company_Info">#REF!</definedName>
    <definedName name="DG_Empl_Category">#REF!</definedName>
    <definedName name="DG_Highest_Qual">#REF!</definedName>
    <definedName name="DG_Important_Notes">#REF!</definedName>
    <definedName name="DG_Incumbent_Basic">#REF!</definedName>
    <definedName name="DG_Incumbent_Compensation">#REF!</definedName>
    <definedName name="DG_Industry_List">#REF!</definedName>
    <definedName name="DG_Terms_Definitions">#REF!</definedName>
    <definedName name="DG_Toolbar">#REF!</definedName>
    <definedName name="dgffdh" localSheetId="0" hidden="1">{#N/A,#N/A,TRUE,"Assumptions";#N/A,#N/A,TRUE,"Sources of Revenue";#N/A,#N/A,TRUE,"P&amp;L";#N/A,#N/A,TRUE,"Bal. Sheet";#N/A,#N/A,TRUE,"Rights Issue &amp; X Adjustment";#N/A,#N/A,TRUE,"Transaction Model"}</definedName>
    <definedName name="dgffdh" localSheetId="14" hidden="1">{#N/A,#N/A,TRUE,"Assumptions";#N/A,#N/A,TRUE,"Sources of Revenue";#N/A,#N/A,TRUE,"P&amp;L";#N/A,#N/A,TRUE,"Bal. Sheet";#N/A,#N/A,TRUE,"Rights Issue &amp; X Adjustment";#N/A,#N/A,TRUE,"Transaction Model"}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>#REF!</definedName>
    <definedName name="dhdhdh">#REF!</definedName>
    <definedName name="DI">#REF!</definedName>
    <definedName name="DIE" localSheetId="0" hidden="1">{#N/A,#N/A,FALSE,"단축1";#N/A,#N/A,FALSE,"단축2";#N/A,#N/A,FALSE,"단축3";#N/A,#N/A,FALSE,"장축";#N/A,#N/A,FALSE,"4WD"}</definedName>
    <definedName name="DIE" localSheetId="14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0" hidden="1">{#N/A,#N/A,FALSE,"단축1";#N/A,#N/A,FALSE,"단축2";#N/A,#N/A,FALSE,"단축3";#N/A,#N/A,FALSE,"장축";#N/A,#N/A,FALSE,"4WD"}</definedName>
    <definedName name="DIESEL" localSheetId="14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0" hidden="1">{#N/A,#N/A,FALSE,"단축1";#N/A,#N/A,FALSE,"단축2";#N/A,#N/A,FALSE,"단축3";#N/A,#N/A,FALSE,"장축";#N/A,#N/A,FALSE,"4WD"}</definedName>
    <definedName name="DIESELLL" localSheetId="14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>#REF!,#REF!,#REF!,#REF!,#REF!</definedName>
    <definedName name="differe">#REF!,#REF!,#REF!,#REF!,#REF!,#REF!</definedName>
    <definedName name="DIFFERLANOS">#REF!,#REF!,#REF!,#REF!,#REF!,#REF!</definedName>
    <definedName name="DIFFERT">#REF!,#REF!,#REF!,#REF!,#REF!,#REF!</definedName>
    <definedName name="DIFFERV">#REF!,#REF!,#REF!,#REF!,#REF!,#REF!</definedName>
    <definedName name="DIR">#REF!</definedName>
    <definedName name="DIS" hidden="1">#REF!</definedName>
    <definedName name="Discount">#REF!</definedName>
    <definedName name="Discount_Factor">#REF!</definedName>
    <definedName name="Discount_Period">#REF!</definedName>
    <definedName name="discount_rate">#REF!</definedName>
    <definedName name="DISPLAY_DIALOG">#REF!</definedName>
    <definedName name="DisplaySelectedSheetsMacroButton">#REF!</definedName>
    <definedName name="dispo_date">#REF!</definedName>
    <definedName name="dispo_date_lookup">#REF!</definedName>
    <definedName name="dispo_fee">#REF!</definedName>
    <definedName name="DISTR">#REF!</definedName>
    <definedName name="DIV">#REF!</definedName>
    <definedName name="DJQAN" localSheetId="0" hidden="1">{#N/A,#N/A,TRUE,"대 차 대 조 표"}</definedName>
    <definedName name="DJQAN" localSheetId="14" hidden="1">{#N/A,#N/A,TRUE,"대 차 대 조 표"}</definedName>
    <definedName name="DJQAN" hidden="1">{#N/A,#N/A,TRUE,"대 차 대 조 표"}</definedName>
    <definedName name="DJQAN_1" localSheetId="0" hidden="1">{#N/A,#N/A,TRUE,"대 차 대 조 표"}</definedName>
    <definedName name="DJQAN_1" localSheetId="14" hidden="1">{#N/A,#N/A,TRUE,"대 차 대 조 표"}</definedName>
    <definedName name="DJQAN_1" hidden="1">{#N/A,#N/A,TRUE,"대 차 대 조 표"}</definedName>
    <definedName name="dk" localSheetId="0" hidden="1">{#N/A,#N/A,FALSE,"3가";#N/A,#N/A,FALSE,"3나";#N/A,#N/A,FALSE,"3다"}</definedName>
    <definedName name="dk" localSheetId="14" hidden="1">{#N/A,#N/A,FALSE,"3가";#N/A,#N/A,FALSE,"3나";#N/A,#N/A,FALSE,"3다"}</definedName>
    <definedName name="dk" hidden="1">{#N/A,#N/A,FALSE,"3가";#N/A,#N/A,FALSE,"3나";#N/A,#N/A,FALSE,"3다"}</definedName>
    <definedName name="dkd" localSheetId="0" hidden="1">{#N/A,#N/A,FALSE,"1.CRITERIA";#N/A,#N/A,FALSE,"2.IS";#N/A,#N/A,FALSE,"3.BS";#N/A,#N/A,FALSE,"4.PER PL";#N/A,#N/A,FALSE,"5.INVESTMENT";#N/A,#N/A,FALSE,"6.공문";#N/A,#N/A,FALSE,"7.netinvest"}</definedName>
    <definedName name="dkd" localSheetId="14" hidden="1">{#N/A,#N/A,FALSE,"1.CRITERIA";#N/A,#N/A,FALSE,"2.IS";#N/A,#N/A,FALSE,"3.BS";#N/A,#N/A,FALSE,"4.PER PL";#N/A,#N/A,FALSE,"5.INVESTMENT";#N/A,#N/A,FALSE,"6.공문";#N/A,#N/A,FALSE,"7.netinvest"}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>#REF!</definedName>
    <definedName name="DKDKFG8TBTB2RT">#REF!</definedName>
    <definedName name="dkdlrh" localSheetId="0" hidden="1">{"'Sheet1'!$A$1:$D$15"}</definedName>
    <definedName name="dkdlrh" localSheetId="14" hidden="1">{"'Sheet1'!$A$1:$D$15"}</definedName>
    <definedName name="dkdlrh" hidden="1">{"'Sheet1'!$A$1:$D$15"}</definedName>
    <definedName name="dkf" localSheetId="0" hidden="1">{#N/A,#N/A,FALSE,"채산3501.XLS";#N/A,#N/A,FALSE,"신조수A.XLS";#N/A,#N/A,FALSE,"신조수b.XLS";#N/A,#N/A,FALSE,"채산3502.XLS";#N/A,#N/A,FALSE,"신조원리.XLS";#N/A,#N/A,FALSE,"신조감가.XLS"}</definedName>
    <definedName name="dkf" localSheetId="14" hidden="1">{#N/A,#N/A,FALSE,"채산3501.XLS";#N/A,#N/A,FALSE,"신조수A.XLS";#N/A,#N/A,FALSE,"신조수b.XLS";#N/A,#N/A,FALSE,"채산3502.XLS";#N/A,#N/A,FALSE,"신조원리.XLS";#N/A,#N/A,FALSE,"신조감가.XLS"}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localSheetId="0" hidden="1">{#N/A,#N/A,FALSE,"3가";#N/A,#N/A,FALSE,"3나";#N/A,#N/A,FALSE,"3다"}</definedName>
    <definedName name="DKS" localSheetId="14" hidden="1">{#N/A,#N/A,FALSE,"3가";#N/A,#N/A,FALSE,"3나";#N/A,#N/A,FALSE,"3다"}</definedName>
    <definedName name="DKS" hidden="1">{#N/A,#N/A,FALSE,"3가";#N/A,#N/A,FALSE,"3나";#N/A,#N/A,FALSE,"3다"}</definedName>
    <definedName name="dkskslfjklsd" localSheetId="0" hidden="1">{#N/A,#N/A,FALSE,"1.CRITERIA";#N/A,#N/A,FALSE,"2.IS";#N/A,#N/A,FALSE,"3.BS";#N/A,#N/A,FALSE,"4.PER PL";#N/A,#N/A,FALSE,"5.INVESTMENT";#N/A,#N/A,FALSE,"6.공문";#N/A,#N/A,FALSE,"7.netinvest"}</definedName>
    <definedName name="dkskslfjklsd" localSheetId="14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>#REF!</definedName>
    <definedName name="DLF" localSheetId="0" hidden="1">{#N/A,#N/A,TRUE,"일정"}</definedName>
    <definedName name="DLF" localSheetId="14" hidden="1">{#N/A,#N/A,TRUE,"일정"}</definedName>
    <definedName name="DLF" hidden="1">{#N/A,#N/A,TRUE,"일정"}</definedName>
    <definedName name="DLS" localSheetId="0" hidden="1">{#N/A,#N/A,TRUE,"Y생산";#N/A,#N/A,TRUE,"Y판매";#N/A,#N/A,TRUE,"Y총물량";#N/A,#N/A,TRUE,"Y능력";#N/A,#N/A,TRUE,"YKD"}</definedName>
    <definedName name="DLS" localSheetId="14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 localSheetId="0">{"Book1"}</definedName>
    <definedName name="Document_array" localSheetId="14">{"Book1"}</definedName>
    <definedName name="Document_array">{"Book1"}</definedName>
    <definedName name="DOL">#REF!</definedName>
    <definedName name="DOMESTIC">#REF!</definedName>
    <definedName name="domestic_ctn_twill">#REF!</definedName>
    <definedName name="Dongjin">#REF!</definedName>
    <definedName name="DOOR">#REF!</definedName>
    <definedName name="DPS">#REF!</definedName>
    <definedName name="D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>#REF!</definedName>
    <definedName name="DRAW_COM2">#REF!</definedName>
    <definedName name="DRAW_TICK">#REF!</definedName>
    <definedName name="DRIVEABILITY" localSheetId="0" hidden="1">{#N/A,#N/A,FALSE,"단축1";#N/A,#N/A,FALSE,"단축2";#N/A,#N/A,FALSE,"단축3";#N/A,#N/A,FALSE,"장축";#N/A,#N/A,FALSE,"4WD"}</definedName>
    <definedName name="DRIVEABILITY" localSheetId="14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localSheetId="0" hidden="1">{#N/A,#N/A,FALSE,"BS";#N/A,#N/A,FALSE,"PL";#N/A,#N/A,FALSE,"처분";#N/A,#N/A,FALSE,"현금";#N/A,#N/A,FALSE,"매출";#N/A,#N/A,FALSE,"원가";#N/A,#N/A,FALSE,"경영"}</definedName>
    <definedName name="dsafasd" localSheetId="14" hidden="1">{#N/A,#N/A,FALSE,"BS";#N/A,#N/A,FALSE,"PL";#N/A,#N/A,FALSE,"처분";#N/A,#N/A,FALSE,"현금";#N/A,#N/A,FALSE,"매출";#N/A,#N/A,FALSE,"원가";#N/A,#N/A,FALSE,"경영"}</definedName>
    <definedName name="dsafasd" hidden="1">{#N/A,#N/A,FALSE,"BS";#N/A,#N/A,FALSE,"PL";#N/A,#N/A,FALSE,"처분";#N/A,#N/A,FALSE,"현금";#N/A,#N/A,FALSE,"매출";#N/A,#N/A,FALSE,"원가";#N/A,#N/A,FALSE,"경영"}</definedName>
    <definedName name="dsasdf" localSheetId="0" hidden="1">{#N/A,#N/A,TRUE,"Assumptions";#N/A,#N/A,TRUE,"Sources of Revenue";#N/A,#N/A,TRUE,"P&amp;L";#N/A,#N/A,TRUE,"Bal. Sheet";#N/A,#N/A,TRUE,"Rights Issue &amp; X Adjustment";#N/A,#N/A,TRUE,"Transaction Model"}</definedName>
    <definedName name="dsasdf" localSheetId="14" hidden="1">{#N/A,#N/A,TRUE,"Assumptions";#N/A,#N/A,TRUE,"Sources of Revenue";#N/A,#N/A,TRUE,"P&amp;L";#N/A,#N/A,TRUE,"Bal. Sheet";#N/A,#N/A,TRUE,"Rights Issue &amp; X Adjustment";#N/A,#N/A,TRUE,"Transaction Model"}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hidden="1">#REF!</definedName>
    <definedName name="dsjflsajf" localSheetId="0" hidden="1">{#N/A,#N/A,FALSE,"BS";#N/A,#N/A,FALSE,"PL";#N/A,#N/A,FALSE,"처분";#N/A,#N/A,FALSE,"현금";#N/A,#N/A,FALSE,"매출";#N/A,#N/A,FALSE,"원가";#N/A,#N/A,FALSE,"경영"}</definedName>
    <definedName name="dsjflsajf" localSheetId="14" hidden="1">{#N/A,#N/A,FALSE,"BS";#N/A,#N/A,FALSE,"PL";#N/A,#N/A,FALSE,"처분";#N/A,#N/A,FALSE,"현금";#N/A,#N/A,FALSE,"매출";#N/A,#N/A,FALSE,"원가";#N/A,#N/A,FALSE,"경영"}</definedName>
    <definedName name="dsjflsajf" hidden="1">{#N/A,#N/A,FALSE,"BS";#N/A,#N/A,FALSE,"PL";#N/A,#N/A,FALSE,"처분";#N/A,#N/A,FALSE,"현금";#N/A,#N/A,FALSE,"매출";#N/A,#N/A,FALSE,"원가";#N/A,#N/A,FALSE,"경영"}</definedName>
    <definedName name="DSL" localSheetId="0" hidden="1">{#N/A,#N/A,FALSE,"단축1";#N/A,#N/A,FALSE,"단축2";#N/A,#N/A,FALSE,"단축3";#N/A,#N/A,FALSE,"장축";#N/A,#N/A,FALSE,"4WD"}</definedName>
    <definedName name="DSL" localSheetId="14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DU7월Order_J">#REF!</definedName>
    <definedName name="DU7월Order_V">#REF!</definedName>
    <definedName name="DU8월Order_J">#REF!</definedName>
    <definedName name="DU8월Order_V">#REF!</definedName>
    <definedName name="dud" localSheetId="0" hidden="1">{#N/A,#N/A,FALSE,"Aging Summary";#N/A,#N/A,FALSE,"Ratio Analysis";#N/A,#N/A,FALSE,"Test 120 Day Accts";#N/A,#N/A,FALSE,"Tickmarks"}</definedName>
    <definedName name="dud" localSheetId="14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MP일정" localSheetId="0" hidden="1">{#N/A,#N/A,FALSE,"신규dep";#N/A,#N/A,FALSE,"신규dep-금형상각후";#N/A,#N/A,FALSE,"신규dep-연구비상각후";#N/A,#N/A,FALSE,"신규dep-기계,공구상각후"}</definedName>
    <definedName name="DUMP일정" localSheetId="14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>#REF!</definedName>
    <definedName name="dyna">#REF!</definedName>
    <definedName name="Dyna_Process">#REF!</definedName>
    <definedName name="dㄴㄹㅇ" localSheetId="0" hidden="1">{#N/A,#N/A,FALSE,"Aging Summary";#N/A,#N/A,FALSE,"Ratio Analysis";#N/A,#N/A,FALSE,"Test 120 Day Accts";#N/A,#N/A,FALSE,"Tickmarks"}</definedName>
    <definedName name="dㄴㄹㅇ" localSheetId="14" hidden="1">{#N/A,#N/A,FALSE,"Aging Summary";#N/A,#N/A,FALSE,"Ratio Analysis";#N/A,#N/A,FALSE,"Test 120 Day Accts";#N/A,#N/A,FALSE,"Tickmarks"}</definedName>
    <definedName name="dㄴㄹㅇ" hidden="1">{#N/A,#N/A,FALSE,"Aging Summary";#N/A,#N/A,FALSE,"Ratio Analysis";#N/A,#N/A,FALSE,"Test 120 Day Accts";#N/A,#N/A,FALSE,"Tickmarks"}</definedName>
    <definedName name="e" hidden="1">#REF!</definedName>
    <definedName name="ea" localSheetId="0" hidden="1">{#N/A,#N/A,FALSE,"Aging Summary";#N/A,#N/A,FALSE,"Ratio Analysis";#N/A,#N/A,FALSE,"Test 120 Day Accts";#N/A,#N/A,FALSE,"Tickmarks"}</definedName>
    <definedName name="ea" localSheetId="14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C_Plan">#REF!</definedName>
    <definedName name="ECOF">#REF!</definedName>
    <definedName name="EDPSP">#REF!</definedName>
    <definedName name="EE">#REF!</definedName>
    <definedName name="EEC">#N/A</definedName>
    <definedName name="eee" localSheetId="0" hidden="1">{#N/A,#N/A,TRUE,"Assumptions";#N/A,#N/A,TRUE,"Sources of Revenue";#N/A,#N/A,TRUE,"P&amp;L";#N/A,#N/A,TRUE,"Bal. Sheet";#N/A,#N/A,TRUE,"Rights Issue &amp; X Adjustment";#N/A,#N/A,TRUE,"Transaction Model"}</definedName>
    <definedName name="eee" localSheetId="14" hidden="1">{#N/A,#N/A,TRUE,"Assumptions";#N/A,#N/A,TRUE,"Sources of Revenue";#N/A,#N/A,TRUE,"P&amp;L";#N/A,#N/A,TRUE,"Bal. Sheet";#N/A,#N/A,TRUE,"Rights Issue &amp; X Adjustment";#N/A,#N/A,TRUE,"Transaction Model"}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hidden="1">#REF!</definedName>
    <definedName name="eeeee" hidden="1">#REF!</definedName>
    <definedName name="EEEEEE">#REF!</definedName>
    <definedName name="eeeeeeee">#REF!</definedName>
    <definedName name="eeeeeeeeeeeee">#REF!</definedName>
    <definedName name="eeeeeeeeeeeeeee" localSheetId="0" hidden="1">{"'호선별현황(방식)'!$K$22:$P$22","'호선별현황(방식)'!$K$22:$P$22"}</definedName>
    <definedName name="eeeeeeeeeeeeeee" localSheetId="14" hidden="1">{"'호선별현황(방식)'!$K$22:$P$22","'호선별현황(방식)'!$K$22:$P$22"}</definedName>
    <definedName name="eeeeeeeeeeeeeee" hidden="1">{"'호선별현황(방식)'!$K$22:$P$22","'호선별현황(방식)'!$K$22:$P$22"}</definedName>
    <definedName name="eeeeeeeeeeeeeeeeeeeeeee">#REF!</definedName>
    <definedName name="efewf" hidden="1">#N/A</definedName>
    <definedName name="EffDate">#REF!</definedName>
    <definedName name="EGPSP">#REF!</definedName>
    <definedName name="EI">#REF!</definedName>
    <definedName name="EKA_Adj">#REF!</definedName>
    <definedName name="EKA_Fut">#REF!</definedName>
    <definedName name="EKA_Stk">#REF!</definedName>
    <definedName name="EKC">#REF!</definedName>
    <definedName name="eland">#REF!</definedName>
    <definedName name="ELC">#REF!</definedName>
    <definedName name="ELG">#REF!</definedName>
    <definedName name="ELSK" localSheetId="0" hidden="1">{#N/A,#N/A,FALSE,"1.CRITERIA";#N/A,#N/A,FALSE,"2.IS";#N/A,#N/A,FALSE,"3.BS";#N/A,#N/A,FALSE,"4.PER PL";#N/A,#N/A,FALSE,"5.INVESTMENT";#N/A,#N/A,FALSE,"6.공문";#N/A,#N/A,FALSE,"7.netinvest"}</definedName>
    <definedName name="ELSK" localSheetId="14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>#REF!</definedName>
    <definedName name="EMC_종평보고" hidden="1">#REF!</definedName>
    <definedName name="EMEABUDGET">#REF!</definedName>
    <definedName name="EMEASUMMARY">#REF!</definedName>
    <definedName name="Employee">#REF!</definedName>
    <definedName name="Empty">#REF!,#REF!,#REF!</definedName>
    <definedName name="end">#REF!</definedName>
    <definedName name="END_SHARE">#REF!</definedName>
    <definedName name="ENG">#REF!</definedName>
    <definedName name="ENG_COOLG">#REF!</definedName>
    <definedName name="eng감가">#REF!</definedName>
    <definedName name="eng매출">#REF!</definedName>
    <definedName name="ENG배부">#REF!</definedName>
    <definedName name="eng인원">#REF!</definedName>
    <definedName name="EntryYield">#REF!</definedName>
    <definedName name="EntryYield_GoalSeek">#REF!</definedName>
    <definedName name="eo" localSheetId="0" hidden="1">{#N/A,#N/A,FALSE,"BS";#N/A,#N/A,FALSE,"PL";#N/A,#N/A,FALSE,"처분";#N/A,#N/A,FALSE,"현금";#N/A,#N/A,FALSE,"매출";#N/A,#N/A,FALSE,"원가";#N/A,#N/A,FALSE,"경영"}</definedName>
    <definedName name="eo" localSheetId="14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PS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>#REF!</definedName>
    <definedName name="er">#REF!</definedName>
    <definedName name="ERGFDG">#REF!</definedName>
    <definedName name="ErrorCode_Table">#REF!</definedName>
    <definedName name="ert" localSheetId="0" hidden="1">{#N/A,#N/A,TRUE,"Y생산";#N/A,#N/A,TRUE,"Y판매";#N/A,#N/A,TRUE,"Y총물량";#N/A,#N/A,TRUE,"Y능력";#N/A,#N/A,TRUE,"YKD"}</definedName>
    <definedName name="ert" localSheetId="14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tyweg" hidden="1">#REF!</definedName>
    <definedName name="erwweqr" hidden="1">#REF!</definedName>
    <definedName name="eryhetyjufkg" hidden="1">#REF!</definedName>
    <definedName name="es" localSheetId="0" hidden="1">{#N/A,#N/A,FALSE,"Aging Summary";#N/A,#N/A,FALSE,"Ratio Analysis";#N/A,#N/A,FALSE,"Test 120 Day Accts";#N/A,#N/A,FALSE,"Tickmarks"}</definedName>
    <definedName name="es" localSheetId="14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afasf" hidden="1">#REF!</definedName>
    <definedName name="esc">#REF!</definedName>
    <definedName name="escalation">#REF!</definedName>
    <definedName name="Escalation_Rate">#REF!</definedName>
    <definedName name="EscRate">#REF!</definedName>
    <definedName name="et">#REF!</definedName>
    <definedName name="EUATP">#REF!</definedName>
    <definedName name="Euroup_V5" hidden="1">#N/A</definedName>
    <definedName name="EV__LASTREFTIME__" hidden="1">"2018-09-14 오전 10:20:22"</definedName>
    <definedName name="evict_smarket">#REF!</definedName>
    <definedName name="ewe">#REF!</definedName>
    <definedName name="ex">#REF!</definedName>
    <definedName name="excess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localSheetId="1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>#REF!</definedName>
    <definedName name="Exch_Rate_End_Of_Period">#REF!</definedName>
    <definedName name="Exchange_Rate">#REF!</definedName>
    <definedName name="EXCLUDE">#N/A</definedName>
    <definedName name="EXDATE">#REF!</definedName>
    <definedName name="existing_key_money">#REF!</definedName>
    <definedName name="existing_occupancy">#REF!</definedName>
    <definedName name="Exit_Cap">#REF!</definedName>
    <definedName name="Exit_Cost">#REF!</definedName>
    <definedName name="Exit_Date">#REF!</definedName>
    <definedName name="Exit_Price">#REF!</definedName>
    <definedName name="Exit_Reversion">#REF!</definedName>
    <definedName name="Exit_Term">#REF!</definedName>
    <definedName name="EXP">#REF!</definedName>
    <definedName name="ExpandOutputs">#REF!</definedName>
    <definedName name="ExpandVPeriods">#REF!</definedName>
    <definedName name="Expenses">#REF!</definedName>
    <definedName name="ExportFile">#REF!</definedName>
    <definedName name="EXT" localSheetId="0" hidden="1">{#N/A,#N/A,TRUE,"일정"}</definedName>
    <definedName name="EXT" localSheetId="14" hidden="1">{#N/A,#N/A,TRUE,"일정"}</definedName>
    <definedName name="EXT" hidden="1">{#N/A,#N/A,TRUE,"일정"}</definedName>
    <definedName name="External_Renovation">#REF!</definedName>
    <definedName name="_xlnm.Extract">#REF!</definedName>
    <definedName name="Extract_MI">#REF!</definedName>
    <definedName name="EXTT" localSheetId="0" hidden="1">{#N/A,#N/A,TRUE,"일정"}</definedName>
    <definedName name="EXTT" localSheetId="14" hidden="1">{#N/A,#N/A,TRUE,"일정"}</definedName>
    <definedName name="EXTT" hidden="1">{#N/A,#N/A,TRUE,"일정"}</definedName>
    <definedName name="E매출">#REF!</definedName>
    <definedName name="E이자">#REF!</definedName>
    <definedName name="e인원">#REF!</definedName>
    <definedName name="F" localSheetId="0" hidden="1">{#N/A,#N/A,FALSE,"96 3월물량표";#N/A,#N/A,FALSE,"96 4월물량표";#N/A,#N/A,FALSE,"96 5월물량표"}</definedName>
    <definedName name="F" localSheetId="14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?LZEICHEN">#REF!</definedName>
    <definedName name="F_123">#N/A</definedName>
    <definedName name="FA">#REF!</definedName>
    <definedName name="factor">#REF!</definedName>
    <definedName name="Factor2">#REF!</definedName>
    <definedName name="Factor3">#REF!</definedName>
    <definedName name="Factor4a">#REF!</definedName>
    <definedName name="FAKOR">#REF!</definedName>
    <definedName name="Fall1차" localSheetId="0" hidden="1">{#N/A,#N/A,FALSE,"95FW"}</definedName>
    <definedName name="Fall1차" localSheetId="14" hidden="1">{#N/A,#N/A,FALSE,"95FW"}</definedName>
    <definedName name="Fall1차" hidden="1">{#N/A,#N/A,FALSE,"95FW"}</definedName>
    <definedName name="fasdfadf" localSheetId="0" hidden="1">{#N/A,#N/A,FALSE,"Aging Summary";#N/A,#N/A,FALSE,"Ratio Analysis";#N/A,#N/A,FALSE,"Test 120 Day Accts";#N/A,#N/A,FALSE,"Tickmarks"}</definedName>
    <definedName name="fasdfadf" localSheetId="14" hidden="1">{#N/A,#N/A,FALSE,"Aging Summary";#N/A,#N/A,FALSE,"Ratio Analysis";#N/A,#N/A,FALSE,"Test 120 Day Accts";#N/A,#N/A,FALSE,"Tickmarks"}</definedName>
    <definedName name="fasdfadf" hidden="1">{#N/A,#N/A,FALSE,"Aging Summary";#N/A,#N/A,FALSE,"Ratio Analysis";#N/A,#N/A,FALSE,"Test 120 Day Accts";#N/A,#N/A,FALSE,"Tickmarks"}</definedName>
    <definedName name="Fax">#REF!</definedName>
    <definedName name="FA증감">#REF!</definedName>
    <definedName name="fchynd" localSheetId="0" hidden="1">{#N/A,#N/A,FALSE,"Aging Summary";#N/A,#N/A,FALSE,"Ratio Analysis";#N/A,#N/A,FALSE,"Test 120 Day Accts";#N/A,#N/A,FALSE,"Tickmarks"}</definedName>
    <definedName name="fchynd" localSheetId="14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D" localSheetId="0" hidden="1">{#N/A,#N/A,FALSE,"Aging Summary";#N/A,#N/A,FALSE,"Ratio Analysis";#N/A,#N/A,FALSE,"Test 120 Day Accts";#N/A,#N/A,FALSE,"Tickmarks"}</definedName>
    <definedName name="FD" localSheetId="14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>#REF!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>#REF!</definedName>
    <definedName name="FE">#REF!</definedName>
    <definedName name="Fee">#REF!</definedName>
    <definedName name="feee" localSheetId="0" hidden="1">{"'買掛金'!$J$6"}</definedName>
    <definedName name="feee" localSheetId="14" hidden="1">{"'買掛金'!$J$6"}</definedName>
    <definedName name="feee" hidden="1">{"'買掛金'!$J$6"}</definedName>
    <definedName name="Fees">#REF!</definedName>
    <definedName name="FF">#REF!</definedName>
    <definedName name="ffee" localSheetId="0" hidden="1">{"'買掛金'!$J$6"}</definedName>
    <definedName name="ffee" localSheetId="14" hidden="1">{"'買掛金'!$J$6"}</definedName>
    <definedName name="ffee" hidden="1">{"'買掛金'!$J$6"}</definedName>
    <definedName name="F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>#REF!</definedName>
    <definedName name="ffffffffffffffffffffffffffffffffffffffffffffffffffffffffff">#REF!</definedName>
    <definedName name="FFGFG" hidden="1">#REF!</definedName>
    <definedName name="FG">#REF!</definedName>
    <definedName name="FG10TBTB2RT">#REF!</definedName>
    <definedName name="FG12TBTB2RTDKDKGMLRT">#REF!</definedName>
    <definedName name="FG22TBTB3RTDKDKDK">#REF!</definedName>
    <definedName name="FG46TBTB4RTDKDK">#REF!</definedName>
    <definedName name="FGDG">#REF!</definedName>
    <definedName name="FGGHGFHJ" localSheetId="0" hidden="1">{#N/A,#N/A,FALSE,"단축1";#N/A,#N/A,FALSE,"단축2";#N/A,#N/A,FALSE,"단축3";#N/A,#N/A,FALSE,"장축";#N/A,#N/A,FALSE,"4WD"}</definedName>
    <definedName name="FGGHGFHJ" localSheetId="14" hidden="1">{#N/A,#N/A,FALSE,"단축1";#N/A,#N/A,FALSE,"단축2";#N/A,#N/A,FALSE,"단축3";#N/A,#N/A,FALSE,"장축";#N/A,#N/A,FALSE,"4WD"}</definedName>
    <definedName name="FGGHGFHJ" hidden="1">{#N/A,#N/A,FALSE,"단축1";#N/A,#N/A,FALSE,"단축2";#N/A,#N/A,FALSE,"단축3";#N/A,#N/A,FALSE,"장축";#N/A,#N/A,FALSE,"4WD"}</definedName>
    <definedName name="fghj" localSheetId="0" hidden="1">{#N/A,#N/A,TRUE,"Assumptions";#N/A,#N/A,TRUE,"Sources of Revenue";#N/A,#N/A,TRUE,"P&amp;L";#N/A,#N/A,TRUE,"Bal. Sheet";#N/A,#N/A,TRUE,"Rights Issue &amp; X Adjustment";#N/A,#N/A,TRUE,"Transaction Model"}</definedName>
    <definedName name="fghj" localSheetId="14" hidden="1">{#N/A,#N/A,TRUE,"Assumptions";#N/A,#N/A,TRUE,"Sources of Revenue";#N/A,#N/A,TRUE,"P&amp;L";#N/A,#N/A,TRUE,"Bal. Sheet";#N/A,#N/A,TRUE,"Rights Issue &amp; X Adjustment";#N/A,#N/A,TRUE,"Transaction Model"}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localSheetId="0" hidden="1">{#N/A,#N/A,TRUE,"Assumptions";#N/A,#N/A,TRUE,"Sources of Revenue";#N/A,#N/A,TRUE,"P&amp;L";#N/A,#N/A,TRUE,"Bal. Sheet";#N/A,#N/A,TRUE,"Rights Issue &amp; X Adjustment";#N/A,#N/A,TRUE,"Transaction Model"}</definedName>
    <definedName name="FGHJFGHJ" localSheetId="14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localSheetId="0" hidden="1">{#N/A,#N/A,TRUE,"Assumptions";#N/A,#N/A,TRUE,"Sources of Revenue";#N/A,#N/A,TRUE,"P&amp;L";#N/A,#N/A,TRUE,"Bal. Sheet";#N/A,#N/A,TRUE,"Rights Issue &amp; X Adjustment";#N/A,#N/A,TRUE,"Transaction Model"}</definedName>
    <definedName name="fghjfgkj" localSheetId="14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localSheetId="0" hidden="1">{#N/A,#N/A,TRUE,"Assumptions";#N/A,#N/A,TRUE,"Sources of Revenue";#N/A,#N/A,TRUE,"P&amp;L";#N/A,#N/A,TRUE,"Bal. Sheet";#N/A,#N/A,TRUE,"Rights Issue &amp; X Adjustment";#N/A,#N/A,TRUE,"Transaction Model"}</definedName>
    <definedName name="FGHJFJ" localSheetId="14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localSheetId="0" hidden="1">{"'호선별현황(방식)'!$K$22:$P$22","'호선별현황(방식)'!$K$22:$P$22"}</definedName>
    <definedName name="fgj" localSheetId="14" hidden="1">{"'호선별현황(방식)'!$K$22:$P$22","'호선별현황(방식)'!$K$22:$P$22"}</definedName>
    <definedName name="fgj" hidden="1">{"'호선별현황(방식)'!$K$22:$P$22","'호선별현황(방식)'!$K$22:$P$22"}</definedName>
    <definedName name="fgPRPRRKRKRKRKRKTBTB2RT">#REF!</definedName>
    <definedName name="FGPRTBTB1RTDKDK">#REF!</definedName>
    <definedName name="FGRKBS11TBTB3RTDKDK">#REF!</definedName>
    <definedName name="FGrkbs7tbtbsprt">#REF!</definedName>
    <definedName name="fgRKBS8TBTB3RT">#REF!</definedName>
    <definedName name="FGRKRKRKRKRKRKRKRKRKTBTB1RTDKDK">#REF!</definedName>
    <definedName name="fgRKRKRKRKRKTBTB2RTDKDK">#REF!</definedName>
    <definedName name="FGtbtbspspsprtdkdk">#REF!</definedName>
    <definedName name="FHGFHJGHJK">#REF!</definedName>
    <definedName name="File">#REF!</definedName>
    <definedName name="FINAL_FS">#N/A</definedName>
    <definedName name="finalReport">#N/A</definedName>
    <definedName name="Financials">#REF!</definedName>
    <definedName name="Financing_Fee">#REF!</definedName>
    <definedName name="findingss" localSheetId="0" hidden="1">{#N/A,#N/A,FALSE,"Aging Summary";#N/A,#N/A,FALSE,"Ratio Analysis";#N/A,#N/A,FALSE,"Test 120 Day Accts";#N/A,#N/A,FALSE,"Tickmarks"}</definedName>
    <definedName name="findingss" localSheetId="14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nishedGoods">#REF!</definedName>
    <definedName name="FirstCell">#REF!</definedName>
    <definedName name="FirstFinYearEnd">#REF!</definedName>
    <definedName name="Fiscal_term">#REF!</definedName>
    <definedName name="FJD" localSheetId="0" hidden="1">{#N/A,#N/A,FALSE,"단축1";#N/A,#N/A,FALSE,"단축2";#N/A,#N/A,FALSE,"단축3";#N/A,#N/A,FALSE,"장축";#N/A,#N/A,FALSE,"4WD"}</definedName>
    <definedName name="FJD" localSheetId="14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dks" localSheetId="0" hidden="1">{#N/A,#N/A,FALSE,"Aging Summary";#N/A,#N/A,FALSE,"Ratio Analysis";#N/A,#N/A,FALSE,"Test 120 Day Accts";#N/A,#N/A,FALSE,"Tickmarks"}</definedName>
    <definedName name="fjdks" localSheetId="14" hidden="1">{#N/A,#N/A,FALSE,"Aging Summary";#N/A,#N/A,FALSE,"Ratio Analysis";#N/A,#N/A,FALSE,"Test 120 Day Accts";#N/A,#N/A,FALSE,"Tickmarks"}</definedName>
    <definedName name="fjdks" hidden="1">{#N/A,#N/A,FALSE,"Aging Summary";#N/A,#N/A,FALSE,"Ratio Analysis";#N/A,#N/A,FALSE,"Test 120 Day Accts";#N/A,#N/A,FALSE,"Tickmarks"}</definedName>
    <definedName name="fkla" localSheetId="0" hidden="1">{#N/A,#N/A,TRUE,"Y생산";#N/A,#N/A,TRUE,"Y판매";#N/A,#N/A,TRUE,"Y총물량";#N/A,#N/A,TRUE,"Y능력";#N/A,#N/A,TRUE,"YKD"}</definedName>
    <definedName name="fkla" localSheetId="14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>#REF!</definedName>
    <definedName name="FLAG2">#REF!</definedName>
    <definedName name="FLAG3">#REF!</definedName>
    <definedName name="FLAG4">#REF!</definedName>
    <definedName name="Flex_Plan">#REF!</definedName>
    <definedName name="FLEXIBLE.T.L" localSheetId="0" hidden="1">{#N/A,#N/A,FALSE,"단축1";#N/A,#N/A,FALSE,"단축2";#N/A,#N/A,FALSE,"단축3";#N/A,#N/A,FALSE,"장축";#N/A,#N/A,FALSE,"4WD"}</definedName>
    <definedName name="FLEXIBLE.T.L" localSheetId="14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ors">#REF!</definedName>
    <definedName name="FM계약일할" localSheetId="0" hidden="1">{#N/A,#N/A,TRUE,"대 차 대 조 표"}</definedName>
    <definedName name="FM계약일할" localSheetId="14" hidden="1">{#N/A,#N/A,TRUE,"대 차 대 조 표"}</definedName>
    <definedName name="FM계약일할" hidden="1">{#N/A,#N/A,TRUE,"대 차 대 조 표"}</definedName>
    <definedName name="FM계약일할_1" localSheetId="0" hidden="1">{#N/A,#N/A,TRUE,"대 차 대 조 표"}</definedName>
    <definedName name="FM계약일할_1" localSheetId="14" hidden="1">{#N/A,#N/A,TRUE,"대 차 대 조 표"}</definedName>
    <definedName name="FM계약일할_1" hidden="1">{#N/A,#N/A,TRUE,"대 차 대 조 표"}</definedName>
    <definedName name="Fo">#REF!</definedName>
    <definedName name="FO_02">68700</definedName>
    <definedName name="Fondi_ammortamento">#REF!:#REF!</definedName>
    <definedName name="forex">#REF!</definedName>
    <definedName name="Format">#REF!</definedName>
    <definedName name="formulas">#REF!</definedName>
    <definedName name="fournimmo">#REF!</definedName>
    <definedName name="FR">#REF!</definedName>
    <definedName name="frg" localSheetId="0" hidden="1">{#N/A,#N/A,FALSE,"표지";#N/A,#N/A,FALSE,"전제";#N/A,#N/A,FALSE,"손익-자 (2)";#N/A,#N/A,FALSE,"손익-자";#N/A,#N/A,FALSE,"손익-마 (2)";#N/A,#N/A,FALSE,"손익-마";#N/A,#N/A,FALSE,"총손최종"}</definedName>
    <definedName name="frg" localSheetId="14" hidden="1">{#N/A,#N/A,FALSE,"표지";#N/A,#N/A,FALSE,"전제";#N/A,#N/A,FALSE,"손익-자 (2)";#N/A,#N/A,FALSE,"손익-자";#N/A,#N/A,FALSE,"손익-마 (2)";#N/A,#N/A,FALSE,"손익-마";#N/A,#N/A,FALSE,"총손최종"}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>#REF!</definedName>
    <definedName name="FU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>#REF!</definedName>
    <definedName name="Function_List1">#REF!</definedName>
    <definedName name="Function_List2">#REF!</definedName>
    <definedName name="Funding">#REF!</definedName>
    <definedName name="FVF" hidden="1">#REF!</definedName>
    <definedName name="fx">#REF!</definedName>
    <definedName name="G" localSheetId="0" hidden="1">{#N/A,#N/A,FALSE,"96 3월물량표";#N/A,#N/A,FALSE,"96 4월물량표";#N/A,#N/A,FALSE,"96 5월물량표"}</definedName>
    <definedName name="G" localSheetId="14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a" localSheetId="0" hidden="1">{#N/A,#N/A,FALSE,"Aging Summary";#N/A,#N/A,FALSE,"Ratio Analysis";#N/A,#N/A,FALSE,"Test 120 Day Accts";#N/A,#N/A,FALSE,"Tickmarks"}</definedName>
    <definedName name="ga" localSheetId="14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LP">#REF!</definedName>
    <definedName name="GandA97">#REF!</definedName>
    <definedName name="gd" hidden="1">#REF!</definedName>
    <definedName name="gdmhgdmhg" localSheetId="0" hidden="1">{#N/A,#N/A,TRUE,"일정"}</definedName>
    <definedName name="gdmhgdmhg" localSheetId="14" hidden="1">{#N/A,#N/A,TRUE,"일정"}</definedName>
    <definedName name="gdmhgdmhg" hidden="1">{#N/A,#N/A,TRUE,"일정"}</definedName>
    <definedName name="GDP">#REF!</definedName>
    <definedName name="GE_Share">#REF!</definedName>
    <definedName name="GECC_Share">#REF!</definedName>
    <definedName name="General">#REF!</definedName>
    <definedName name="GF">#REF!</definedName>
    <definedName name="GFA">#REF!</definedName>
    <definedName name="GFA_Before">#REF!</definedName>
    <definedName name="GFACJ">#REF!</definedName>
    <definedName name="gfasdgasgasd" hidden="1">#REF!</definedName>
    <definedName name="GFD" localSheetId="0" hidden="1">{#N/A,#N/A,TRUE,"일정"}</definedName>
    <definedName name="GFD" localSheetId="14" hidden="1">{#N/A,#N/A,TRUE,"일정"}</definedName>
    <definedName name="GFD" hidden="1">{#N/A,#N/A,TRUE,"일정"}</definedName>
    <definedName name="GFHGJ" localSheetId="0" hidden="1">{#N/A,#N/A,TRUE,"Y생산";#N/A,#N/A,TRUE,"Y판매";#N/A,#N/A,TRUE,"Y총물량";#N/A,#N/A,TRUE,"Y능력";#N/A,#N/A,TRUE,"YKD"}</definedName>
    <definedName name="GFHGJ" localSheetId="14" hidden="1">{#N/A,#N/A,TRUE,"Y생산";#N/A,#N/A,TRUE,"Y판매";#N/A,#N/A,TRUE,"Y총물량";#N/A,#N/A,TRUE,"Y능력";#N/A,#N/A,TRUE,"YKD"}</definedName>
    <definedName name="GFHGJ" hidden="1">{#N/A,#N/A,TRUE,"Y생산";#N/A,#N/A,TRUE,"Y판매";#N/A,#N/A,TRUE,"Y총물량";#N/A,#N/A,TRUE,"Y능력";#N/A,#N/A,TRUE,"YKD"}</definedName>
    <definedName name="gfld" localSheetId="0" hidden="1">{#N/A,#N/A,TRUE,"Y생산";#N/A,#N/A,TRUE,"Y판매";#N/A,#N/A,TRUE,"Y총물량";#N/A,#N/A,TRUE,"Y능력";#N/A,#N/A,TRUE,"YKD"}</definedName>
    <definedName name="gfld" localSheetId="14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g_1" localSheetId="0" hidden="1">{#N/A,#N/A,FALSE,"Aging Summary";#N/A,#N/A,FALSE,"Ratio Analysis";#N/A,#N/A,FALSE,"Test 120 Day Accts";#N/A,#N/A,FALSE,"Tickmarks"}</definedName>
    <definedName name="gg_1" localSheetId="14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localSheetId="0" hidden="1">{"'Sheet1'!$A$1:$H$36"}</definedName>
    <definedName name="GGG" localSheetId="14" hidden="1">{"'Sheet1'!$A$1:$H$36"}</definedName>
    <definedName name="GGG" hidden="1">{"'Sheet1'!$A$1:$H$36"}</definedName>
    <definedName name="gggg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localSheetId="0" hidden="1">{#N/A,#N/A,FALSE,"SILO현황";#N/A,#N/A,FALSE,"타업체";#N/A,#N/A,FALSE,"생산능력"}</definedName>
    <definedName name="ggggggggggggggggg" localSheetId="14" hidden="1">{#N/A,#N/A,FALSE,"SILO현황";#N/A,#N/A,FALSE,"타업체";#N/A,#N/A,FALSE,"생산능력"}</definedName>
    <definedName name="ggggggggggggggggg" hidden="1">{#N/A,#N/A,FALSE,"SILO현황";#N/A,#N/A,FALSE,"타업체";#N/A,#N/A,FALSE,"생산능력"}</definedName>
    <definedName name="gggggggggggggggggggggggggggggggg">#REF!</definedName>
    <definedName name="GH">#REF!</definedName>
    <definedName name="GHGF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>#REF!</definedName>
    <definedName name="GHHH" hidden="1">#REF!</definedName>
    <definedName name="GHJGH">#REF!</definedName>
    <definedName name="GHKJL">#REF!</definedName>
    <definedName name="GHLDML" localSheetId="0" hidden="1">{#N/A,#N/A,FALSE,"품의서";#N/A,#N/A,FALSE,"전제";#N/A,#N/A,FALSE,"총손";#N/A,#N/A,FALSE,"손익"}</definedName>
    <definedName name="GHLDML" localSheetId="14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0" hidden="1">{#N/A,#N/A,FALSE,"96 3월물량표";#N/A,#N/A,FALSE,"96 4월물량표";#N/A,#N/A,FALSE,"96 5월물량표"}</definedName>
    <definedName name="GHUTGHF" localSheetId="14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GK" localSheetId="0" hidden="1">{#N/A,#N/A,FALSE,"표지";#N/A,#N/A,FALSE,"전제";#N/A,#N/A,FALSE,"손익-자 (2)";#N/A,#N/A,FALSE,"손익-자";#N/A,#N/A,FALSE,"손익-마 (2)";#N/A,#N/A,FALSE,"손익-마";#N/A,#N/A,FALSE,"총손최종"}</definedName>
    <definedName name="GJGK" localSheetId="14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localSheetId="0" hidden="1">{#N/A,#N/A,TRUE,"Y생산";#N/A,#N/A,TRUE,"Y판매";#N/A,#N/A,TRUE,"Y총물량";#N/A,#N/A,TRUE,"Y능력";#N/A,#N/A,TRUE,"YKD"}</definedName>
    <definedName name="GJYKU" localSheetId="14" hidden="1">{#N/A,#N/A,TRUE,"Y생산";#N/A,#N/A,TRUE,"Y판매";#N/A,#N/A,TRUE,"Y총물량";#N/A,#N/A,TRUE,"Y능력";#N/A,#N/A,TRUE,"YKD"}</definedName>
    <definedName name="GJYKU" hidden="1">{#N/A,#N/A,TRUE,"Y생산";#N/A,#N/A,TRUE,"Y판매";#N/A,#N/A,TRUE,"Y총물량";#N/A,#N/A,TRUE,"Y능력";#N/A,#N/A,TRUE,"YKD"}</definedName>
    <definedName name="gksthf" localSheetId="13">BlankMacro1</definedName>
    <definedName name="gksthf" localSheetId="0">BlankMacro1</definedName>
    <definedName name="gksthf" localSheetId="14">BlankMacro1</definedName>
    <definedName name="gksthf" localSheetId="4">BlankMacro1</definedName>
    <definedName name="gksthf" localSheetId="5">BlankMacro1</definedName>
    <definedName name="gksthf" localSheetId="6">BlankMacro1</definedName>
    <definedName name="gksthf" localSheetId="7">BlankMacro1</definedName>
    <definedName name="gksthf" localSheetId="8">BlankMacro1</definedName>
    <definedName name="gksthf" localSheetId="9">BlankMacro1</definedName>
    <definedName name="gksthf" localSheetId="10">BlankMacro1</definedName>
    <definedName name="gksthf" localSheetId="11">BlankMacro1</definedName>
    <definedName name="gksthf" localSheetId="12">BlankMacro1</definedName>
    <definedName name="gksthf" localSheetId="1">BlankMacro1</definedName>
    <definedName name="gksthf">BlankMacro1</definedName>
    <definedName name="GL_Balance">#REF!</definedName>
    <definedName name="GLS">#REF!</definedName>
    <definedName name="GRACE">#REF!</definedName>
    <definedName name="GRADE">#N/A</definedName>
    <definedName name="Graph">#REF!</definedName>
    <definedName name="GRAPH1">#REF!</definedName>
    <definedName name="GRAPH2">#REF!</definedName>
    <definedName name="Gross_Area">#REF!</definedName>
    <definedName name="GROUP">#N/A</definedName>
    <definedName name="GRY">#REF!</definedName>
    <definedName name="gunmok">#N/A</definedName>
    <definedName name="gvdasskv" localSheetId="0" hidden="1">{#N/A,#N/A,TRUE,"일정"}</definedName>
    <definedName name="gvdasskv" localSheetId="14" hidden="1">{#N/A,#N/A,TRUE,"일정"}</definedName>
    <definedName name="gvdasskv" hidden="1">{#N/A,#N/A,TRUE,"일정"}</definedName>
    <definedName name="H" localSheetId="0" hidden="1">{#N/A,#N/A,TRUE,"Y생산";#N/A,#N/A,TRUE,"Y판매";#N/A,#N/A,TRUE,"Y총물량";#N/A,#N/A,TRUE,"Y능력";#N/A,#N/A,TRUE,"YKD"}</definedName>
    <definedName name="H" localSheetId="14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1_">#REF!</definedName>
    <definedName name="hcc감가">#REF!</definedName>
    <definedName name="hcc매출">#REF!</definedName>
    <definedName name="hcc인원">#REF!</definedName>
    <definedName name="HCINV">#REF!</definedName>
    <definedName name="hcownership">#REF!</definedName>
    <definedName name="Hd_CarLn">#REF!</definedName>
    <definedName name="Hd_DB_DthPen">#REF!</definedName>
    <definedName name="Hd_DC_Cont">#REF!</definedName>
    <definedName name="Hd_HseLn">#REF!</definedName>
    <definedName name="Hd_LA_SalDef">#REF!</definedName>
    <definedName name="Hd_LTD_provA">#REF!</definedName>
    <definedName name="Hd_LTD_provB">#REF!</definedName>
    <definedName name="Hd_LTD_provC">#REF!</definedName>
    <definedName name="Hd_LTD_SalDef">#REF!</definedName>
    <definedName name="Hd_Med_PlanType">#REF!</definedName>
    <definedName name="Hd_Mob">#REF!</definedName>
    <definedName name="Hd_Ret_SalDe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ds">#REF!</definedName>
    <definedName name="head">#REF!</definedName>
    <definedName name="Hedge_Cost">#REF!</definedName>
    <definedName name="HEN">#REF!</definedName>
    <definedName name="HFG" localSheetId="0" hidden="1">{#N/A,#N/A,TRUE,"Y생산";#N/A,#N/A,TRUE,"Y판매";#N/A,#N/A,TRUE,"Y총물량";#N/A,#N/A,TRUE,"Y능력";#N/A,#N/A,TRUE,"YKD"}</definedName>
    <definedName name="HFG" localSheetId="14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c" localSheetId="0" hidden="1">{#N/A,#N/A,TRUE,"대 차 대 조 표"}</definedName>
    <definedName name="hgc" localSheetId="14" hidden="1">{#N/A,#N/A,TRUE,"대 차 대 조 표"}</definedName>
    <definedName name="hgc" hidden="1">{#N/A,#N/A,TRUE,"대 차 대 조 표"}</definedName>
    <definedName name="hgc_1" localSheetId="0" hidden="1">{#N/A,#N/A,TRUE,"대 차 대 조 표"}</definedName>
    <definedName name="hgc_1" localSheetId="14" hidden="1">{#N/A,#N/A,TRUE,"대 차 대 조 표"}</definedName>
    <definedName name="hgc_1" hidden="1">{#N/A,#N/A,TRUE,"대 차 대 조 표"}</definedName>
    <definedName name="hgfshg" localSheetId="0" hidden="1">{#N/A,#N/A,TRUE,"일정"}</definedName>
    <definedName name="hgfshg" localSheetId="14" hidden="1">{#N/A,#N/A,TRUE,"일정"}</definedName>
    <definedName name="hgfshg" hidden="1">{#N/A,#N/A,TRUE,"일정"}</definedName>
    <definedName name="hgfxd" localSheetId="0" hidden="1">{#N/A,#N/A,TRUE,"일정"}</definedName>
    <definedName name="hgfxd" localSheetId="14" hidden="1">{#N/A,#N/A,TRUE,"일정"}</definedName>
    <definedName name="hgfxd" hidden="1">{#N/A,#N/A,TRUE,"일정"}</definedName>
    <definedName name="HGGHHG" hidden="1">#REF!</definedName>
    <definedName name="HGHTJTY">#REF!</definedName>
    <definedName name="hgkdj" localSheetId="0" hidden="1">{"AnnualRentRoll",#N/A,FALSE,"RentRoll"}</definedName>
    <definedName name="hgkdj" localSheetId="14" hidden="1">{"AnnualRentRoll",#N/A,FALSE,"RentRoll"}</definedName>
    <definedName name="hgkdj" hidden="1">{"AnnualRentRoll",#N/A,FALSE,"RentRoll"}</definedName>
    <definedName name="hgkdj_1" localSheetId="0" hidden="1">{"AnnualRentRoll",#N/A,FALSE,"RentRoll"}</definedName>
    <definedName name="hgkdj_1" localSheetId="14" hidden="1">{"AnnualRentRoll",#N/A,FALSE,"RentRoll"}</definedName>
    <definedName name="hgkdj_1" hidden="1">{"AnnualRentRoll",#N/A,FALSE,"RentRoll"}</definedName>
    <definedName name="HGXC">#REF!</definedName>
    <definedName name="HH">#REF!</definedName>
    <definedName name="HHH">#REF!</definedName>
    <definedName name="hhhhhhhhhhhhhhhhhhhh">#REF!</definedName>
    <definedName name="hhhhhhhhhhhhhhhhhhhhhh">#REF!</definedName>
    <definedName name="HING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hidden="1">#REF!</definedName>
    <definedName name="hjdg" localSheetId="0" hidden="1">{#N/A,#N/A,FALSE,"PropertyInfo"}</definedName>
    <definedName name="hjdg" localSheetId="14" hidden="1">{#N/A,#N/A,FALSE,"PropertyInfo"}</definedName>
    <definedName name="hjdg" hidden="1">{#N/A,#N/A,FALSE,"PropertyInfo"}</definedName>
    <definedName name="hjdg_1" localSheetId="0" hidden="1">{#N/A,#N/A,FALSE,"PropertyInfo"}</definedName>
    <definedName name="hjdg_1" localSheetId="14" hidden="1">{#N/A,#N/A,FALSE,"PropertyInfo"}</definedName>
    <definedName name="hjdg_1" hidden="1">{#N/A,#N/A,FALSE,"PropertyInfo"}</definedName>
    <definedName name="HJJHKHJ">#REF!</definedName>
    <definedName name="hjjjh" localSheetId="0" hidden="1">{#N/A,#N/A,FALSE,"Aging Summary";#N/A,#N/A,FALSE,"Ratio Analysis";#N/A,#N/A,FALSE,"Test 120 Day Accts";#N/A,#N/A,FALSE,"Tickmarks"}</definedName>
    <definedName name="hjjjh" localSheetId="14" hidden="1">{#N/A,#N/A,FALSE,"Aging Summary";#N/A,#N/A,FALSE,"Ratio Analysis";#N/A,#N/A,FALSE,"Test 120 Day Accts";#N/A,#N/A,FALSE,"Tickmarks"}</definedName>
    <definedName name="hjjjh" hidden="1">{#N/A,#N/A,FALSE,"Aging Summary";#N/A,#N/A,FALSE,"Ratio Analysis";#N/A,#N/A,FALSE,"Test 120 Day Accts";#N/A,#N/A,FALSE,"Tickmarks"}</definedName>
    <definedName name="hkd">#REF!</definedName>
    <definedName name="HKHLJ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>#REF!</definedName>
    <definedName name="Hold_Year">#REF!</definedName>
    <definedName name="hon">#REF!</definedName>
    <definedName name="HOUSECODE">#N/A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localSheetId="0" hidden="1">{"'손익현황'!$A$1:$J$29"}</definedName>
    <definedName name="HTML_Control" localSheetId="14" hidden="1">{"'손익현황'!$A$1:$J$29"}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>#REF!</definedName>
    <definedName name="HYP" hidden="1">#REF!</definedName>
    <definedName name="H매출">#REF!</definedName>
    <definedName name="H이자">#REF!</definedName>
    <definedName name="H인원">#REF!</definedName>
    <definedName name="I">#REF!</definedName>
    <definedName name="I_Ex_Factor">#REF!</definedName>
    <definedName name="ia" localSheetId="0" hidden="1">{#N/A,#N/A,FALSE,"Aging Summary";#N/A,#N/A,FALSE,"Ratio Analysis";#N/A,#N/A,FALSE,"Test 120 Day Accts";#N/A,#N/A,FALSE,"Tickmarks"}</definedName>
    <definedName name="ia" localSheetId="14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c" localSheetId="0" hidden="1">{#N/A,#N/A,FALSE,"단축1";#N/A,#N/A,FALSE,"단축2";#N/A,#N/A,FALSE,"단축3";#N/A,#N/A,FALSE,"장축";#N/A,#N/A,FALSE,"4WD"}</definedName>
    <definedName name="ic" localSheetId="14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D">#N/A</definedName>
    <definedName name="II">#REF!</definedName>
    <definedName name="III">#REF!</definedName>
    <definedName name="iiii">#N/A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>#REF!</definedName>
    <definedName name="Immobilizzazioni">#REF!:#REF!</definedName>
    <definedName name="import">#REF!</definedName>
    <definedName name="ImportFile">#REF!</definedName>
    <definedName name="Improvement">#REF!</definedName>
    <definedName name="Inc">#REF!</definedName>
    <definedName name="Inc_Base">#REF!</definedName>
    <definedName name="include_interest">#REF!</definedName>
    <definedName name="Income">#REF!</definedName>
    <definedName name="Income_Projection_시작일">#REF!</definedName>
    <definedName name="IncomeData">#REF!</definedName>
    <definedName name="IncomeStatementDates">#REF!</definedName>
    <definedName name="INDEX">#REF!</definedName>
    <definedName name="indiv_rate">#REF!</definedName>
    <definedName name="industry_group">#REF!</definedName>
    <definedName name="inflation">#REF!</definedName>
    <definedName name="info">#REF!</definedName>
    <definedName name="ini_button_Click">#N/A</definedName>
    <definedName name="INPUT">#REF!</definedName>
    <definedName name="Installment_1">#REF!</definedName>
    <definedName name="Installment_2">#REF!</definedName>
    <definedName name="Installment_3">#REF!</definedName>
    <definedName name="Installment_4">#REF!</definedName>
    <definedName name="Installment_5">#REF!</definedName>
    <definedName name="Instructions">#REF!</definedName>
    <definedName name="INT" localSheetId="0" hidden="1">{#N/A,#N/A,TRUE,"일정"}</definedName>
    <definedName name="INT" localSheetId="14" hidden="1">{#N/A,#N/A,TRUE,"일정"}</definedName>
    <definedName name="INT" hidden="1">{#N/A,#N/A,TRUE,"일정"}</definedName>
    <definedName name="INTER">#REF!</definedName>
    <definedName name="INTER_CO">#REF!</definedName>
    <definedName name="interest_income_included">#REF!</definedName>
    <definedName name="Interest_Reserve">#REF!</definedName>
    <definedName name="interestoverall" localSheetId="0" hidden="1">{#N/A,#N/A,FALSE,"Aging Summary";#N/A,#N/A,FALSE,"Ratio Analysis";#N/A,#N/A,FALSE,"Test 120 Day Accts";#N/A,#N/A,FALSE,"Tickmarks"}</definedName>
    <definedName name="interestoverall" localSheetId="14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nal_Renovation">#REF!</definedName>
    <definedName name="INVDATE">#N/A</definedName>
    <definedName name="INVNUM">#N/A</definedName>
    <definedName name="invoice">#REF!</definedName>
    <definedName name="ipo_pct">#REF!</definedName>
    <definedName name="IPRT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>#REF!</definedName>
    <definedName name="IS">#REF!</definedName>
    <definedName name="IS_JP" localSheetId="0">{"Client Name or Project Name"}</definedName>
    <definedName name="IS_JP" localSheetId="14">{"Client Name or Project Name"}</definedName>
    <definedName name="IS_JP">{"Client Name or Project Name"}</definedName>
    <definedName name="ISAVE">#REF!</definedName>
    <definedName name="issue">#REF!</definedName>
    <definedName name="IT" localSheetId="0" hidden="1">{"'Sheet1'!$A$1:$H$36"}</definedName>
    <definedName name="IT" localSheetId="14" hidden="1">{"'Sheet1'!$A$1:$H$36"}</definedName>
    <definedName name="IT" hidden="1">{"'Sheet1'!$A$1:$H$36"}</definedName>
    <definedName name="ITEM1">#REF!</definedName>
    <definedName name="Iter">#REF!</definedName>
    <definedName name="IT수정" localSheetId="0" hidden="1">{"'Sheet1'!$A$1:$H$36"}</definedName>
    <definedName name="IT수정" localSheetId="14" hidden="1">{"'Sheet1'!$A$1:$H$36"}</definedName>
    <definedName name="IT수정" hidden="1">{"'Sheet1'!$A$1:$H$36"}</definedName>
    <definedName name="IWJJJJ" localSheetId="0" hidden="1">{#N/A,#N/A,FALSE,"Aging Summary";#N/A,#N/A,FALSE,"Ratio Analysis";#N/A,#N/A,FALSE,"Test 120 Day Accts";#N/A,#N/A,FALSE,"Tickmarks"}</definedName>
    <definedName name="IWJJJJ" localSheetId="14" hidden="1">{#N/A,#N/A,FALSE,"Aging Summary";#N/A,#N/A,FALSE,"Ratio Analysis";#N/A,#N/A,FALSE,"Test 120 Day Accts";#N/A,#N/A,FALSE,"Tickmarks"}</definedName>
    <definedName name="IWJJJJ" hidden="1">{#N/A,#N/A,FALSE,"Aging Summary";#N/A,#N/A,FALSE,"Ratio Analysis";#N/A,#N/A,FALSE,"Test 120 Day Accts";#N/A,#N/A,FALSE,"Tickmarks"}</definedName>
    <definedName name="j">#REF!</definedName>
    <definedName name="jalkjalkf" localSheetId="0" hidden="1">{#N/A,#N/A,FALSE,"BS";#N/A,#N/A,FALSE,"PL";#N/A,#N/A,FALSE,"처분";#N/A,#N/A,FALSE,"현금";#N/A,#N/A,FALSE,"매출";#N/A,#N/A,FALSE,"원가";#N/A,#N/A,FALSE,"경영"}</definedName>
    <definedName name="jalkjalkf" localSheetId="14" hidden="1">{#N/A,#N/A,FALSE,"BS";#N/A,#N/A,FALSE,"PL";#N/A,#N/A,FALSE,"처분";#N/A,#N/A,FALSE,"현금";#N/A,#N/A,FALSE,"매출";#N/A,#N/A,FALSE,"원가";#N/A,#N/A,FALSE,"경영"}</definedName>
    <definedName name="jalkjalkf" hidden="1">{#N/A,#N/A,FALSE,"BS";#N/A,#N/A,FALSE,"PL";#N/A,#N/A,FALSE,"처분";#N/A,#N/A,FALSE,"현금";#N/A,#N/A,FALSE,"매출";#N/A,#N/A,FALSE,"원가";#N/A,#N/A,FALSE,"경영"}</definedName>
    <definedName name="Japan_IncTax">#REF!</definedName>
    <definedName name="Japan_WHT">#REF!</definedName>
    <definedName name="jd" localSheetId="0" hidden="1">{#N/A,#N/A,FALSE,"LoanAssumptions"}</definedName>
    <definedName name="jd" localSheetId="14" hidden="1">{#N/A,#N/A,FALSE,"LoanAssumptions"}</definedName>
    <definedName name="jd" hidden="1">{#N/A,#N/A,FALSE,"LoanAssumptions"}</definedName>
    <definedName name="jd_1" localSheetId="0" hidden="1">{#N/A,#N/A,FALSE,"LoanAssumptions"}</definedName>
    <definedName name="jd_1" localSheetId="14" hidden="1">{#N/A,#N/A,FALSE,"LoanAssumptions"}</definedName>
    <definedName name="jd_1" hidden="1">{#N/A,#N/A,FALSE,"LoanAssumptions"}</definedName>
    <definedName name="je">#REF!</definedName>
    <definedName name="jfksjdf" localSheetId="0" hidden="1">{#N/A,#N/A,FALSE,"Aging Summary";#N/A,#N/A,FALSE,"Ratio Analysis";#N/A,#N/A,FALSE,"Test 120 Day Accts";#N/A,#N/A,FALSE,"Tickmarks"}</definedName>
    <definedName name="jfksjdf" localSheetId="14" hidden="1">{#N/A,#N/A,FALSE,"Aging Summary";#N/A,#N/A,FALSE,"Ratio Analysis";#N/A,#N/A,FALSE,"Test 120 Day Accts";#N/A,#N/A,FALSE,"Tickmarks"}</definedName>
    <definedName name="jfksjdf" hidden="1">{#N/A,#N/A,FALSE,"Aging Summary";#N/A,#N/A,FALSE,"Ratio Analysis";#N/A,#N/A,FALSE,"Test 120 Day Accts";#N/A,#N/A,FALSE,"Tickmarks"}</definedName>
    <definedName name="jgfsjhgfsjhgfsdjhgfds" localSheetId="0" hidden="1">{#N/A,#N/A,TRUE,"일정"}</definedName>
    <definedName name="jgfsjhgfsjhgfsdjhgfds" localSheetId="14" hidden="1">{#N/A,#N/A,TRUE,"일정"}</definedName>
    <definedName name="jgfsjhgfsjhgfsdjhgfds" hidden="1">{#N/A,#N/A,TRUE,"일정"}</definedName>
    <definedName name="JGHJ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>#REF!</definedName>
    <definedName name="JINs_Option">#REF!</definedName>
    <definedName name="JINs_Option2">#REF!</definedName>
    <definedName name="JJ">#REF!</definedName>
    <definedName name="jjj" localSheetId="0" hidden="1">{"'호선별현황(방식)'!$K$22:$P$22","'호선별현황(방식)'!$K$22:$P$22"}</definedName>
    <definedName name="jjj" localSheetId="14" hidden="1">{"'호선별현황(방식)'!$K$22:$P$22","'호선별현황(방식)'!$K$22:$P$22"}</definedName>
    <definedName name="jjj" hidden="1">{"'호선별현황(방식)'!$K$22:$P$22","'호선별현황(방식)'!$K$22:$P$22"}</definedName>
    <definedName name="JJJJ" hidden="1">#REF!</definedName>
    <definedName name="jjjjjjjjjjjjjjjjjjjjjjjjj">#REF!</definedName>
    <definedName name="jjjjjjjjjjjjjjjjjjjjjjjjjjjjjjjjj">#REF!</definedName>
    <definedName name="JJKR" hidden="1">#REF!</definedName>
    <definedName name="JJnlDescn">#REF!</definedName>
    <definedName name="JJnlName">#REF!</definedName>
    <definedName name="JJnlRef">#REF!</definedName>
    <definedName name="JK" localSheetId="0" hidden="1">{#N/A,#N/A,TRUE,"Y생산";#N/A,#N/A,TRUE,"Y판매";#N/A,#N/A,TRUE,"Y총물량";#N/A,#N/A,TRUE,"Y능력";#N/A,#N/A,TRUE,"YKD"}</definedName>
    <definedName name="JK" localSheetId="14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" localSheetId="0">{"Client Name or Project Name"}</definedName>
    <definedName name="jkh" localSheetId="14">{"Client Name or Project Name"}</definedName>
    <definedName name="jkh">{"Client Name or Project Name"}</definedName>
    <definedName name="JKL">#REF!</definedName>
    <definedName name="jkljk" localSheetId="0" hidden="1">{#N/A,#N/A,FALSE,"이력서&amp;자기소개서"}</definedName>
    <definedName name="jkljk" localSheetId="14" hidden="1">{#N/A,#N/A,FALSE,"이력서&amp;자기소개서"}</definedName>
    <definedName name="jkljk" hidden="1">{#N/A,#N/A,FALSE,"이력서&amp;자기소개서"}</definedName>
    <definedName name="JKYUKUK">#REF!</definedName>
    <definedName name="jlkajsf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">#REF!</definedName>
    <definedName name="job_run">#N/A</definedName>
    <definedName name="Journal">#REF!</definedName>
    <definedName name="journalcredit">#REF!</definedName>
    <definedName name="journaldebit">#REF!</definedName>
    <definedName name="Jr_CarLn">#REF!</definedName>
    <definedName name="Jr_DB_DthPen">#REF!</definedName>
    <definedName name="Jr_DC_Cont">#REF!</definedName>
    <definedName name="Jr_HseLn">#REF!</definedName>
    <definedName name="Jr_LA_SalDef">#REF!</definedName>
    <definedName name="Jr_LTD_provA">#REF!</definedName>
    <definedName name="Jr_LTD_provB">#REF!</definedName>
    <definedName name="Jr_LTD_provC">#REF!</definedName>
    <definedName name="Jr_LTD_SalDef">#REF!</definedName>
    <definedName name="Jr_Med_PlanType">#REF!</definedName>
    <definedName name="Jr_Mob">#REF!</definedName>
    <definedName name="JR_PAGE_ANCHOR_0_1">#REF!</definedName>
    <definedName name="Jr_Ret_SalDef">#REF!</definedName>
    <definedName name="jw.pl">#REF!</definedName>
    <definedName name="K">#REF!</definedName>
    <definedName name="K_OBO">#REF!</definedName>
    <definedName name="KEY" hidden="1">#REF!</definedName>
    <definedName name="Key_AcqCost">#REF!</definedName>
    <definedName name="Key_BuyPrice_Option">#REF!</definedName>
    <definedName name="Key_CapEx">#REF!</definedName>
    <definedName name="Key_DebtRatio">#REF!</definedName>
    <definedName name="Key_ExitCap">#REF!</definedName>
    <definedName name="Key_ExitCost">#REF!</definedName>
    <definedName name="Key_ExitPrice_Opion">#REF!</definedName>
    <definedName name="Key_Hedge">#REF!</definedName>
    <definedName name="Key_IRR">#REF!</definedName>
    <definedName name="key_money_dep">#REF!</definedName>
    <definedName name="Key_OtherAdminCost">#REF!</definedName>
    <definedName name="Key_SecDeposit">#REF!</definedName>
    <definedName name="Key_Tax">#REF!</definedName>
    <definedName name="KeyMoney">#REF!</definedName>
    <definedName name="keyy" hidden="1">#REF!</definedName>
    <definedName name="kfkrkf">#REF!</definedName>
    <definedName name="khks" hidden="1">#REF!</definedName>
    <definedName name="KIA" localSheetId="0" hidden="1">{#N/A,#N/A,FALSE,"단축1";#N/A,#N/A,FALSE,"단축2";#N/A,#N/A,FALSE,"단축3";#N/A,#N/A,FALSE,"장축";#N/A,#N/A,FALSE,"4WD"}</definedName>
    <definedName name="KIA" localSheetId="14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CKO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localSheetId="0" hidden="1">{#N/A,#N/A,FALSE,"표지";#N/A,#N/A,FALSE,"전제";#N/A,#N/A,FALSE,"손익-자 (2)";#N/A,#N/A,FALSE,"손익-자";#N/A,#N/A,FALSE,"손익-마 (2)";#N/A,#N/A,FALSE,"손익-마";#N/A,#N/A,FALSE,"총손최종"}</definedName>
    <definedName name="kijkj" localSheetId="14" hidden="1">{#N/A,#N/A,FALSE,"표지";#N/A,#N/A,FALSE,"전제";#N/A,#N/A,FALSE,"손익-자 (2)";#N/A,#N/A,FALSE,"손익-자";#N/A,#N/A,FALSE,"손익-마 (2)";#N/A,#N/A,FALSE,"손익-마";#N/A,#N/A,FALSE,"총손최종"}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localSheetId="0" hidden="1">{#N/A,#N/A,FALSE,"단축1";#N/A,#N/A,FALSE,"단축2";#N/A,#N/A,FALSE,"단축3";#N/A,#N/A,FALSE,"장축";#N/A,#N/A,FALSE,"4WD"}</definedName>
    <definedName name="KIM" localSheetId="14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NG" hidden="1">#REF!</definedName>
    <definedName name="kj" hidden="1">#REF!</definedName>
    <definedName name="KJH">#REF!</definedName>
    <definedName name="KK">#REF!</definedName>
    <definedName name="KKI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localSheetId="0" hidden="1">{#N/A,#N/A,FALSE,"95FW"}</definedName>
    <definedName name="KKJHJ" localSheetId="14" hidden="1">{#N/A,#N/A,FALSE,"95FW"}</definedName>
    <definedName name="KKJHJ" hidden="1">{#N/A,#N/A,FALSE,"95FW"}</definedName>
    <definedName name="KKK" localSheetId="0" hidden="1">{#N/A,#N/A,FALSE,"단축1";#N/A,#N/A,FALSE,"단축2";#N/A,#N/A,FALSE,"단축3";#N/A,#N/A,FALSE,"장축";#N/A,#N/A,FALSE,"4WD"}</definedName>
    <definedName name="KKK" localSheetId="14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>#REF!</definedName>
    <definedName name="kkkkkkkkkkkkkkkkkkkkkkkkkkkkkkkkkkkkkkkkkkkkkkkkkkkkkkkkk">#REF!</definedName>
    <definedName name="kl">#REF!</definedName>
    <definedName name="kldf" hidden="1">#REF!</definedName>
    <definedName name="klsdfj" hidden="1">#REF!</definedName>
    <definedName name="KoDoYoung">#REF!</definedName>
    <definedName name="krwm">#REF!</definedName>
    <definedName name="KRWUSD">#REF!</definedName>
    <definedName name="KSJ_25" localSheetId="0" hidden="1">{#N/A,#N/A,FALSE,"동부"}</definedName>
    <definedName name="KSJ_25" localSheetId="14" hidden="1">{#N/A,#N/A,FALSE,"동부"}</definedName>
    <definedName name="KSJ_25" hidden="1">{#N/A,#N/A,FALSE,"동부"}</definedName>
    <definedName name="KSJ_25_1" localSheetId="0" hidden="1">{#N/A,#N/A,FALSE,"동부"}</definedName>
    <definedName name="KSJ_25_1" localSheetId="14" hidden="1">{#N/A,#N/A,FALSE,"동부"}</definedName>
    <definedName name="KSJ_25_1" hidden="1">{#N/A,#N/A,FALSE,"동부"}</definedName>
    <definedName name="KU" localSheetId="0" hidden="1">{#N/A,#N/A,TRUE,"Y생산";#N/A,#N/A,TRUE,"Y판매";#N/A,#N/A,TRUE,"Y총물량";#N/A,#N/A,TRUE,"Y능력";#N/A,#N/A,TRUE,"YKD"}</definedName>
    <definedName name="KU" localSheetId="14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>#REF!</definedName>
    <definedName name="LA_AccDth">#REF!</definedName>
    <definedName name="LA_BasedPay">#REF!</definedName>
    <definedName name="LA_Lsum">#REF!</definedName>
    <definedName name="LA_Plan">#REF!</definedName>
    <definedName name="LA_SpousePen">#REF!</definedName>
    <definedName name="land">#REF!</definedName>
    <definedName name="Land_Area">#REF!</definedName>
    <definedName name="Land_Value">#REF!</definedName>
    <definedName name="Language">#REF!</definedName>
    <definedName name="Last_Quarter">#REF!</definedName>
    <definedName name="Late">#REF!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>#REF!</definedName>
    <definedName name="Leasing_Commission_Renewal">#REF!</definedName>
    <definedName name="lee">#REF!</definedName>
    <definedName name="Legal_Fee">#REF!</definedName>
    <definedName name="LHSDHSD" localSheetId="0" hidden="1">{#N/A,#N/A,TRUE,"일정"}</definedName>
    <definedName name="LHSDHSD" localSheetId="14" hidden="1">{#N/A,#N/A,TRUE,"일정"}</definedName>
    <definedName name="LHSDHSD" hidden="1">{#N/A,#N/A,TRUE,"일정"}</definedName>
    <definedName name="LINE">#REF!</definedName>
    <definedName name="LINE검토2" localSheetId="0" hidden="1">{#N/A,#N/A,TRUE,"Y생산";#N/A,#N/A,TRUE,"Y판매";#N/A,#N/A,TRUE,"Y총물량";#N/A,#N/A,TRUE,"Y능력";#N/A,#N/A,TRUE,"YKD"}</definedName>
    <definedName name="LINE검토2" localSheetId="14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Acquisition">#REF!</definedName>
    <definedName name="Link_Capex">#REF!</definedName>
    <definedName name="Link_Debt">#REF!</definedName>
    <definedName name="Link_Exit">#REF!</definedName>
    <definedName name="Link_Exp_Growth">#REF!</definedName>
    <definedName name="Link_Expense">#REF!</definedName>
    <definedName name="Link_Grth">#REF!</definedName>
    <definedName name="Link_HedgeCost">#REF!</definedName>
    <definedName name="Link_Home">#REF!</definedName>
    <definedName name="Link_PropInfo">#REF!</definedName>
    <definedName name="Link_Refurbishment">#REF!</definedName>
    <definedName name="Link_Rev_Growth">#REF!</definedName>
    <definedName name="Link_Revenue">#REF!</definedName>
    <definedName name="Link_Tax">#REF!</definedName>
    <definedName name="Link_Tenancy">#REF!</definedName>
    <definedName name="LIST">#REF!</definedName>
    <definedName name="ListSheetsMacroButton">#REF!</definedName>
    <definedName name="LK">#REF!</definedName>
    <definedName name="lksdj" hidden="1">#REF!</definedName>
    <definedName name="lksdjf" hidden="1">#REF!</definedName>
    <definedName name="LL">#REF!</definedName>
    <definedName name="lljh" hidden="1">#REF!</definedName>
    <definedName name="lll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>#REF!</definedName>
    <definedName name="LLREI_Financing_Fee">#REF!</definedName>
    <definedName name="Loans">#REF!</definedName>
    <definedName name="LOCAL">#REF!</definedName>
    <definedName name="local1" hidden="1">#REF!</definedName>
    <definedName name="LOE">#REF!</definedName>
    <definedName name="loiu" localSheetId="0" hidden="1">{#N/A,#N/A,FALSE,"표지";#N/A,#N/A,FALSE,"전제";#N/A,#N/A,FALSE,"손익-자 (2)";#N/A,#N/A,FALSE,"손익-자";#N/A,#N/A,FALSE,"손익-마 (2)";#N/A,#N/A,FALSE,"손익-마";#N/A,#N/A,FALSE,"총손최종"}</definedName>
    <definedName name="loiu" localSheetId="14" hidden="1">{#N/A,#N/A,FALSE,"표지";#N/A,#N/A,FALSE,"전제";#N/A,#N/A,FALSE,"손익-자 (2)";#N/A,#N/A,FALSE,"손익-자";#N/A,#N/A,FALSE,"손익-마 (2)";#N/A,#N/A,FALSE,"손익-마";#N/A,#N/A,FALSE,"총손최종"}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hidden="1">#REF!</definedName>
    <definedName name="LongTermCash">#REF!</definedName>
    <definedName name="LOVE">#REF!</definedName>
    <definedName name="LPI_Graph" hidden="1">#REF!</definedName>
    <definedName name="LPRT">#REF!</definedName>
    <definedName name="LPRTSAVE">#REF!</definedName>
    <definedName name="LPS">#REF!</definedName>
    <definedName name="LPS가동계획">#REF!</definedName>
    <definedName name="lrcp522">#REF!</definedName>
    <definedName name="LSAVE">#REF!</definedName>
    <definedName name="lsjdf" hidden="1">#REF!</definedName>
    <definedName name="lt_wt_cord">#REF!</definedName>
    <definedName name="lt_wt_slub_canvas">#REF!</definedName>
    <definedName name="LTD_GtdInc">#REF!</definedName>
    <definedName name="LTD_Plan">#REF!</definedName>
    <definedName name="LTI_Language">#REF!</definedName>
    <definedName name="LY">#REF!</definedName>
    <definedName name="LYs">#REF!</definedName>
    <definedName name="LYWK">#REF!</definedName>
    <definedName name="LZ_03">39500</definedName>
    <definedName name="M" localSheetId="0" hidden="1">{#N/A,#N/A,FALSE,"95FW"}</definedName>
    <definedName name="M" localSheetId="14" hidden="1">{#N/A,#N/A,FALSE,"95FW"}</definedName>
    <definedName name="M" hidden="1">{#N/A,#N/A,FALSE,"95FW"}</definedName>
    <definedName name="M.복귀">#REF!</definedName>
    <definedName name="M_Expense">#REF!</definedName>
    <definedName name="M_Rent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>#REF!</definedName>
    <definedName name="Map" hidden="1">#REF!</definedName>
    <definedName name="Mar">#REF!</definedName>
    <definedName name="MARK">#N/A</definedName>
    <definedName name="Market">#REF!</definedName>
    <definedName name="MASTER" localSheetId="0" hidden="1">{#N/A,#N/A,TRUE,"일정"}</definedName>
    <definedName name="MASTER" localSheetId="14" hidden="1">{#N/A,#N/A,TRUE,"일정"}</definedName>
    <definedName name="MASTER" hidden="1">{#N/A,#N/A,TRUE,"일정"}</definedName>
    <definedName name="MATCH1">#N/A</definedName>
    <definedName name="MATCH2">#N/A</definedName>
    <definedName name="may" hidden="1">#REF!</definedName>
    <definedName name="MB">#REF!</definedName>
    <definedName name="MDATA">#REF!</definedName>
    <definedName name="me">"Button 5"</definedName>
    <definedName name="Med_Excess">#REF!</definedName>
    <definedName name="Med_MaxCover">#REF!</definedName>
    <definedName name="Med_Plan">#REF!</definedName>
    <definedName name="MEMO">#N/A</definedName>
    <definedName name="mensuel">#REF!</definedName>
    <definedName name="Mensuelv2">#REF!</definedName>
    <definedName name="menu_button_Click">#N/A</definedName>
    <definedName name="message_turnover_rent">#REF!</definedName>
    <definedName name="mf">#REF!</definedName>
    <definedName name="MH3_A">#REF!</definedName>
    <definedName name="MK">#REF!</definedName>
    <definedName name="mkl" localSheetId="0" hidden="1">{#N/A,#N/A,TRUE,"Y생산";#N/A,#N/A,TRUE,"Y판매";#N/A,#N/A,TRUE,"Y총물량";#N/A,#N/A,TRUE,"Y능력";#N/A,#N/A,TRUE,"YKD"}</definedName>
    <definedName name="mkl" localSheetId="14" hidden="1">{#N/A,#N/A,TRUE,"Y생산";#N/A,#N/A,TRUE,"Y판매";#N/A,#N/A,TRUE,"Y총물량";#N/A,#N/A,TRUE,"Y능력";#N/A,#N/A,TRUE,"YKD"}</definedName>
    <definedName name="mkl" hidden="1">{#N/A,#N/A,TRUE,"Y생산";#N/A,#N/A,TRUE,"Y판매";#N/A,#N/A,TRUE,"Y총물량";#N/A,#N/A,TRUE,"Y능력";#N/A,#N/A,TRUE,"YKD"}</definedName>
    <definedName name="mkl_1" localSheetId="0" hidden="1">{#N/A,#N/A,TRUE,"Y생산";#N/A,#N/A,TRUE,"Y판매";#N/A,#N/A,TRUE,"Y총물량";#N/A,#N/A,TRUE,"Y능력";#N/A,#N/A,TRUE,"YKD"}</definedName>
    <definedName name="mkl_1" localSheetId="14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>#REF!</definedName>
    <definedName name="Mkt_Rent_Growth">#REF!</definedName>
    <definedName name="MLS_Top_225">#REF!</definedName>
    <definedName name="MM">#REF!</definedName>
    <definedName name="mm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hidden="1">#REF!</definedName>
    <definedName name="month">#REF!</definedName>
    <definedName name="Monthly_Maintenance_Fee__000won_py">#REF!</definedName>
    <definedName name="Monthly_Rent">#REF!</definedName>
    <definedName name="monthnames">#REF!</definedName>
    <definedName name="months_of_loss">#REF!</definedName>
    <definedName name="months_to_evict">#REF!</definedName>
    <definedName name="Months_to_Release">#REF!</definedName>
    <definedName name="montht">#REF!</definedName>
    <definedName name="mor" hidden="1">#REF!</definedName>
    <definedName name="mortgage_amount">#REF!</definedName>
    <definedName name="Most_Lease_Expire_Date">#REF!</definedName>
    <definedName name="MP">#REF!</definedName>
    <definedName name="MPROA10">#REF!</definedName>
    <definedName name="Mq">#REF!</definedName>
    <definedName name="MYTD_CHG">14</definedName>
    <definedName name="MZ">#REF!</definedName>
    <definedName name="m記" localSheetId="0" hidden="1">{"'買掛金'!$J$6"}</definedName>
    <definedName name="m記" localSheetId="14" hidden="1">{"'買掛金'!$J$6"}</definedName>
    <definedName name="m記" hidden="1">{"'買掛金'!$J$6"}</definedName>
    <definedName name="M행">#REF!</definedName>
    <definedName name="N">#REF!</definedName>
    <definedName name="NAME">OFFSET(#REF!,0,0,COUNTA(#REF!),1)</definedName>
    <definedName name="NAMELABEL">#REF!</definedName>
    <definedName name="namelist">#REF!</definedName>
    <definedName name="NCO">#REF!</definedName>
    <definedName name="NEW">#REF!</definedName>
    <definedName name="NewMatrix">#REF!</definedName>
    <definedName name="N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n">#REF!</definedName>
    <definedName name="nnn" localSheetId="0" hidden="1">{#N/A,#N/A,TRUE,"Assumptions";#N/A,#N/A,TRUE,"Sources of Revenue";#N/A,#N/A,TRUE,"P&amp;L";#N/A,#N/A,TRUE,"Bal. Sheet";#N/A,#N/A,TRUE,"Rights Issue &amp; X Adjustment";#N/A,#N/A,TRUE,"Transaction Model"}</definedName>
    <definedName name="nnn" localSheetId="14" hidden="1">{#N/A,#N/A,TRUE,"Assumptions";#N/A,#N/A,TRUE,"Sources of Revenue";#N/A,#N/A,TRUE,"P&amp;L";#N/A,#N/A,TRUE,"Bal. Sheet";#N/A,#N/A,TRUE,"Rights Issue &amp; X Adjustment";#N/A,#N/A,TRUE,"Transaction Model"}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>#REF!</definedName>
    <definedName name="No._Parking">#REF!</definedName>
    <definedName name="NOC">#REF!</definedName>
    <definedName name="NOC_col">#REF!</definedName>
    <definedName name="NOC_row">#REF!</definedName>
    <definedName name="November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localSheetId="0" hidden="1">{"'Sheet1'!$A$1:$H$36"}</definedName>
    <definedName name="NR_1203" localSheetId="14" hidden="1">{"'Sheet1'!$A$1:$H$36"}</definedName>
    <definedName name="NR_1203" hidden="1">{"'Sheet1'!$A$1:$H$36"}</definedName>
    <definedName name="NRA">#REF!</definedName>
    <definedName name="ny" localSheetId="0" hidden="1">{#N/A,#N/A,FALSE,"95FW"}</definedName>
    <definedName name="ny" localSheetId="14" hidden="1">{#N/A,#N/A,FALSE,"95FW"}</definedName>
    <definedName name="ny" hidden="1">{#N/A,#N/A,FALSE,"95FW"}</definedName>
    <definedName name="NYs">#REF!</definedName>
    <definedName name="N행">#REF!</definedName>
    <definedName name="O" localSheetId="0" hidden="1">{#N/A,#N/A,TRUE,"Y생산";#N/A,#N/A,TRUE,"Y판매";#N/A,#N/A,TRUE,"Y총물량";#N/A,#N/A,TRUE,"Y능력";#N/A,#N/A,TRUE,"YKD"}</definedName>
    <definedName name="O" localSheetId="14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¤eE_UYØ¿¿ø">#REF!</definedName>
    <definedName name="º≫≫c¼OAI">#REF!</definedName>
    <definedName name="ºA¼R">#REF!</definedName>
    <definedName name="OBS">#REF!</definedName>
    <definedName name="OIIUU" hidden="1">#REF!</definedName>
    <definedName name="OIUP" hidden="1">#REF!</definedName>
    <definedName name="ok">#REF!</definedName>
    <definedName name="okwon">#REF!</definedName>
    <definedName name="olddeli_turnover_rent">#REF!</definedName>
    <definedName name="on" hidden="1">#REF!</definedName>
    <definedName name="oo">#REF!</definedName>
    <definedName name="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>#REF!</definedName>
    <definedName name="oooooooooooooooo">#REF!</definedName>
    <definedName name="ooop" localSheetId="0" hidden="1">{"'매출'!$A$1:$I$22"}</definedName>
    <definedName name="ooop" localSheetId="14" hidden="1">{"'매출'!$A$1:$I$22"}</definedName>
    <definedName name="ooop" hidden="1">{"'매출'!$A$1:$I$22"}</definedName>
    <definedName name="OpcoBridge">#REF!</definedName>
    <definedName name="OpcoDebt">#REF!</definedName>
    <definedName name="OPEN1">#N/A</definedName>
    <definedName name="opioui" localSheetId="0" hidden="1">{#N/A,#N/A,TRUE,"Assumptions";#N/A,#N/A,TRUE,"Sources of Revenue";#N/A,#N/A,TRUE,"P&amp;L";#N/A,#N/A,TRUE,"Bal. Sheet";#N/A,#N/A,TRUE,"Rights Issue &amp; X Adjustment";#N/A,#N/A,TRUE,"Transaction Model"}</definedName>
    <definedName name="opioui" localSheetId="14" hidden="1">{#N/A,#N/A,TRUE,"Assumptions";#N/A,#N/A,TRUE,"Sources of Revenue";#N/A,#N/A,TRUE,"P&amp;L";#N/A,#N/A,TRUE,"Bal. Sheet";#N/A,#N/A,TRUE,"Rights Issue &amp; X Adjustment";#N/A,#N/A,TRUE,"Transaction Model"}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>#REF!</definedName>
    <definedName name="Option">#REF!</definedName>
    <definedName name="OptionButton21_Click">#N/A</definedName>
    <definedName name="ORADDRESS">#N/A</definedName>
    <definedName name="OrderSheet1プリント用">#REF!</definedName>
    <definedName name="ORDERTYPE">#N/A</definedName>
    <definedName name="Org">#REF!</definedName>
    <definedName name="Orig_Bank_Statement">#REF!</definedName>
    <definedName name="OST합계">#REF!</definedName>
    <definedName name="Ot_CarLn">#REF!</definedName>
    <definedName name="Ot_DB_DthPen">#REF!</definedName>
    <definedName name="Ot_DB_Payable">#REF!</definedName>
    <definedName name="Ot_DC_Cont">#REF!</definedName>
    <definedName name="Ot_HseLn">#REF!</definedName>
    <definedName name="Ot_LA_SalDef">#REF!</definedName>
    <definedName name="Ot_LTD_provA">#REF!</definedName>
    <definedName name="Ot_LTD_provB">#REF!</definedName>
    <definedName name="Ot_LTD_provC">#REF!</definedName>
    <definedName name="Ot_LTD_SalDef">#REF!</definedName>
    <definedName name="Ot_Med_PlanType">#REF!</definedName>
    <definedName name="Ot_Mob">#REF!</definedName>
    <definedName name="Ot_Ret_SalDef">#REF!</definedName>
    <definedName name="other">#REF!</definedName>
    <definedName name="Other_Revenue">#REF!</definedName>
    <definedName name="O행">#REF!</definedName>
    <definedName name="P">#REF!</definedName>
    <definedName name="p_all">#REF!</definedName>
    <definedName name="P_Income">#REF!</definedName>
    <definedName name="P_T">#REF!</definedName>
    <definedName name="P3가공향상" localSheetId="0" hidden="1">{#N/A,#N/A,TRUE,"Y생산";#N/A,#N/A,TRUE,"Y판매";#N/A,#N/A,TRUE,"Y총물량";#N/A,#N/A,TRUE,"Y능력";#N/A,#N/A,TRUE,"YKD"}</definedName>
    <definedName name="P3가공향상" localSheetId="14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2">#REF!</definedName>
    <definedName name="PAGE3">#REF!</definedName>
    <definedName name="PAGE4">#REF!</definedName>
    <definedName name="PAID">#N/A</definedName>
    <definedName name="Parking_No">#REF!</definedName>
    <definedName name="PART_NAME">#REF!</definedName>
    <definedName name="PART_NO">#REF!</definedName>
    <definedName name="PC_List">#REF!</definedName>
    <definedName name="PC_PROD">#REF!</definedName>
    <definedName name="pds">#REF!</definedName>
    <definedName name="per" localSheetId="0">{"Client Name or Project Name"}</definedName>
    <definedName name="per" localSheetId="14">{"Client Name or Project Name"}</definedName>
    <definedName name="per">{"Client Name or Project Name"}</definedName>
    <definedName name="Per_SF">#REF!</definedName>
    <definedName name="Per_SM">#REF!</definedName>
    <definedName name="Per_US">#REF!</definedName>
    <definedName name="Period">#REF!</definedName>
    <definedName name="PERIOD_EN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H">#REF!</definedName>
    <definedName name="PH단계별" localSheetId="0" hidden="1">{#N/A,#N/A,TRUE,"일정"}</definedName>
    <definedName name="PH단계별" localSheetId="14" hidden="1">{#N/A,#N/A,TRUE,"일정"}</definedName>
    <definedName name="PH단계별" hidden="1">{#N/A,#N/A,TRUE,"일정"}</definedName>
    <definedName name="PI" localSheetId="0" hidden="1">{#N/A,#N/A,TRUE,"Y생산";#N/A,#N/A,TRUE,"Y판매";#N/A,#N/A,TRUE,"Y총물량";#N/A,#N/A,TRUE,"Y능력";#N/A,#N/A,TRUE,"YKD"}</definedName>
    <definedName name="PI" localSheetId="14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ckXY">#REF!</definedName>
    <definedName name="picture">#REF!</definedName>
    <definedName name="PL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>#REF!</definedName>
    <definedName name="plNote">#N/A</definedName>
    <definedName name="PLS">#REF!</definedName>
    <definedName name="PM">#REF!</definedName>
    <definedName name="PM0tb0tb198tb32tb34rtOR132C13rt">#REF!</definedName>
    <definedName name="PM0tb0tb198tb36tb37rtOR136C13rt">#REF!</definedName>
    <definedName name="PM0tb0tb198tb36tb37rtOR136C14rt">#REF!</definedName>
    <definedName name="PM0tb0tb198tb36tb38rtOR136C13rt">#REF!</definedName>
    <definedName name="PMC_Fee">#REF!</definedName>
    <definedName name="po">#N/A</definedName>
    <definedName name="poiu" hidden="1">#REF!</definedName>
    <definedName name="POR1015C413rtPPOR1631C1520rtP">#REF!</definedName>
    <definedName name="POR11C45R141C45RTSKS15C5LRTHR5C">#REF!</definedName>
    <definedName name="POR137C13RTSC60L40RTM0TB0TB0TB0">#REF!</definedName>
    <definedName name="POR16C16R589C41RTSKS15C6LRTHR8C">#REF!</definedName>
    <definedName name="POR3C1R50C13RTSKS15C5LRTHDLRTMT">#REF!</definedName>
    <definedName name="POR439C124RTSQKS15C4LRTM0TB0TB0">#REF!</definedName>
    <definedName name="POR52C2R87C15RTMTBTBTBTBTB55RTR">#REF!</definedName>
    <definedName name="POSFINE" hidden="1">#REF!</definedName>
    <definedName name="PositionClass">#REF!</definedName>
    <definedName name="PP">#REF!,#REF!</definedName>
    <definedName name="PPK" localSheetId="0" hidden="1">{#N/A,#N/A,FALSE,"96 3월물량표";#N/A,#N/A,FALSE,"96 4월물량표";#N/A,#N/A,FALSE,"96 5월물량표"}</definedName>
    <definedName name="PPK" localSheetId="14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P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>#REF!</definedName>
    <definedName name="ppppppppppppppppppppppppppppppppp">#REF!</definedName>
    <definedName name="PQ점수">"Dialog Frame 1"</definedName>
    <definedName name="PRELIM_TM2">#REF!</definedName>
    <definedName name="press" hidden="1">#REF!</definedName>
    <definedName name="press2" hidden="1">#REF!</definedName>
    <definedName name="press3" hidden="1">#REF!</definedName>
    <definedName name="press4" hidden="1">#REF!</definedName>
    <definedName name="press5" hidden="1">#REF!</definedName>
    <definedName name="press6" hidden="1">#REF!</definedName>
    <definedName name="PRIME">#REF!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A_MI1">#REF!</definedName>
    <definedName name="Print_Dedail">#REF!</definedName>
    <definedName name="_xlnm.Print_Titles">#REF!</definedName>
    <definedName name="Print_Titles_MI">#REF!</definedName>
    <definedName name="PRINT1">#N/A</definedName>
    <definedName name="printarea">#REF!</definedName>
    <definedName name="printer_titles">#REF!</definedName>
    <definedName name="printing_stationery">#REF!</definedName>
    <definedName name="PrintManagerQuery">#REF!</definedName>
    <definedName name="PrintSelectedSheetsMacroButton">#REF!</definedName>
    <definedName name="PrintTitleArea">#REF!</definedName>
    <definedName name="PRO" localSheetId="0" hidden="1">{#N/A,#N/A,TRUE,"일정"}</definedName>
    <definedName name="PRO" localSheetId="14" hidden="1">{#N/A,#N/A,TRUE,"일정"}</definedName>
    <definedName name="PRO" hidden="1">{#N/A,#N/A,TRUE,"일정"}</definedName>
    <definedName name="profit">#REF!</definedName>
    <definedName name="Profits">#REF!</definedName>
    <definedName name="Profits_Tax_HK">#REF!</definedName>
    <definedName name="ProImportExport.ImportFile">#N/A</definedName>
    <definedName name="ProImportExport.SaveNewFile">#N/A</definedName>
    <definedName name="PROJEC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>#REF!</definedName>
    <definedName name="ProjectName" localSheetId="0">{"Client Name or Project Name"}</definedName>
    <definedName name="ProjectName" localSheetId="14">{"Client Name or Project Name"}</definedName>
    <definedName name="ProjectName">{"Client Name or Project Name"}</definedName>
    <definedName name="ProjectName2" localSheetId="0">{"Client Name or Project Name"}</definedName>
    <definedName name="ProjectName2" localSheetId="14">{"Client Name or Project Name"}</definedName>
    <definedName name="ProjectName2">{"Client Name or Project Name"}</definedName>
    <definedName name="promote">#REF!</definedName>
    <definedName name="Property_Tax">#REF!</definedName>
    <definedName name="Property_Units">#REF!</definedName>
    <definedName name="Property_Value">#REF!</definedName>
    <definedName name="PropertyData">#REF!</definedName>
    <definedName name="PROTO">#REF!</definedName>
    <definedName name="PROTO1">#REF!</definedName>
    <definedName name="PROTO2" localSheetId="0" hidden="1">{#N/A,#N/A,FALSE,"단축1";#N/A,#N/A,FALSE,"단축2";#N/A,#N/A,FALSE,"단축3";#N/A,#N/A,FALSE,"장축";#N/A,#N/A,FALSE,"4WD"}</definedName>
    <definedName name="PROTO2" localSheetId="14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0" hidden="1">{#N/A,#N/A,FALSE,"단축1";#N/A,#N/A,FALSE,"단축2";#N/A,#N/A,FALSE,"단축3";#N/A,#N/A,FALSE,"장축";#N/A,#N/A,FALSE,"4WD"}</definedName>
    <definedName name="PROTO3" localSheetId="14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>#REF!</definedName>
    <definedName name="PURCHASE">#REF!</definedName>
    <definedName name="PURE" hidden="1">#REF!</definedName>
    <definedName name="PV_CB">#REF!</definedName>
    <definedName name="PV_NO_CB">#REF!</definedName>
    <definedName name="py">#REF!</definedName>
    <definedName name="PYA">#REF!</definedName>
    <definedName name="PYB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pyung">#REF!</definedName>
    <definedName name="Pyung_to_SF">#REF!</definedName>
    <definedName name="P행">#REF!</definedName>
    <definedName name="q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>#REF!</definedName>
    <definedName name="Q_실적2">#REF!</definedName>
    <definedName name="Q2000BUS">#REF!</definedName>
    <definedName name="qa" localSheetId="0" hidden="1">{#N/A,#N/A,FALSE,"Aging Summary";#N/A,#N/A,FALSE,"Ratio Analysis";#N/A,#N/A,FALSE,"Test 120 Day Accts";#N/A,#N/A,FALSE,"Tickmarks"}</definedName>
    <definedName name="qa" localSheetId="14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fwe" hidden="1">#REF!</definedName>
    <definedName name="QK">#REF!</definedName>
    <definedName name="qkrk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localSheetId="0" hidden="1">{#N/A,#N/A,FALSE,"Aging Summary";#N/A,#N/A,FALSE,"Ratio Analysis";#N/A,#N/A,FALSE,"Test 120 Day Accts";#N/A,#N/A,FALSE,"Tickmarks"}</definedName>
    <definedName name="qkrtnwls" localSheetId="14" hidden="1">{#N/A,#N/A,FALSE,"Aging Summary";#N/A,#N/A,FALSE,"Ratio Analysis";#N/A,#N/A,FALSE,"Test 120 Day Accts";#N/A,#N/A,FALSE,"Tickmarks"}</definedName>
    <definedName name="qkrtnwls" hidden="1">{#N/A,#N/A,FALSE,"Aging Summary";#N/A,#N/A,FALSE,"Ratio Analysis";#N/A,#N/A,FALSE,"Test 120 Day Accts";#N/A,#N/A,FALSE,"Tickmarks"}</definedName>
    <definedName name="QQ" localSheetId="0" hidden="1">{#N/A,#N/A,FALSE,"단축1";#N/A,#N/A,FALSE,"단축2";#N/A,#N/A,FALSE,"단축3";#N/A,#N/A,FALSE,"장축";#N/A,#N/A,FALSE,"4WD"}</definedName>
    <definedName name="QQ" localSheetId="14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" localSheetId="0" hidden="1">{"'買掛金'!$J$6"}</definedName>
    <definedName name="qqq" localSheetId="14" hidden="1">{"'買掛金'!$J$6"}</definedName>
    <definedName name="qqq" hidden="1">{"'買掛金'!$J$6"}</definedName>
    <definedName name="QQQAAASSS" localSheetId="0" hidden="1">{#N/A,#N/A,TRUE,"Y생산";#N/A,#N/A,TRUE,"Y판매";#N/A,#N/A,TRUE,"Y총물량";#N/A,#N/A,TRUE,"Y능력";#N/A,#N/A,TRUE,"YKD"}</definedName>
    <definedName name="QQQAAASSS" localSheetId="14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AAASSS_1" localSheetId="0" hidden="1">{#N/A,#N/A,TRUE,"Y생산";#N/A,#N/A,TRUE,"Y판매";#N/A,#N/A,TRUE,"Y총물량";#N/A,#N/A,TRUE,"Y능력";#N/A,#N/A,TRUE,"YKD"}</definedName>
    <definedName name="QQQAAASSS_1" localSheetId="14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localSheetId="0" hidden="1">{#N/A,#N/A,FALSE,"단축1";#N/A,#N/A,FALSE,"단축2";#N/A,#N/A,FALSE,"단축3";#N/A,#N/A,FALSE,"장축";#N/A,#N/A,FALSE,"4WD"}</definedName>
    <definedName name="QQQQ" localSheetId="14" hidden="1">{#N/A,#N/A,FALSE,"단축1";#N/A,#N/A,FALSE,"단축2";#N/A,#N/A,FALSE,"단축3";#N/A,#N/A,FALSE,"장축";#N/A,#N/A,FALSE,"4WD"}</definedName>
    <definedName name="QQQQ" hidden="1">{#N/A,#N/A,FALSE,"단축1";#N/A,#N/A,FALSE,"단축2";#N/A,#N/A,FALSE,"단축3";#N/A,#N/A,FALSE,"장축";#N/A,#N/A,FALSE,"4WD"}</definedName>
    <definedName name="qqqqq" hidden="1">#REF!</definedName>
    <definedName name="QQQQQQQ" localSheetId="0" hidden="1">{#N/A,#N/A,TRUE,"Y생산";#N/A,#N/A,TRUE,"Y판매";#N/A,#N/A,TRUE,"Y총물량";#N/A,#N/A,TRUE,"Y능력";#N/A,#N/A,TRUE,"YKD"}</definedName>
    <definedName name="QQQQQQQ" localSheetId="14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localSheetId="0" hidden="1">{#N/A,#N/A,TRUE,"Y생산";#N/A,#N/A,TRUE,"Y판매";#N/A,#N/A,TRUE,"Y총물량";#N/A,#N/A,TRUE,"Y능력";#N/A,#N/A,TRUE,"YKD"}</definedName>
    <definedName name="QQQQQQQ_1" localSheetId="14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>#REF!</definedName>
    <definedName name="qqqqqqqqqqqqqqqqqqq">#REF!</definedName>
    <definedName name="qqqqqqqqqqqqqqqqqqqqqqqqqqqqqqq">#REF!</definedName>
    <definedName name="qqqw" hidden="1">0</definedName>
    <definedName name="Quality">#REF!</definedName>
    <definedName name="Query1">#REF!</definedName>
    <definedName name="quit_button_Click">#N/A</definedName>
    <definedName name="QULIT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0" hidden="1">{#N/A,#N/A,FALSE,"Aging Summary";#N/A,#N/A,FALSE,"Ratio Analysis";#N/A,#N/A,FALSE,"Test 120 Day Accts";#N/A,#N/A,FALSE,"Tickmarks"}</definedName>
    <definedName name="qw" localSheetId="14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E">#REF!</definedName>
    <definedName name="QWERQ" hidden="1">0</definedName>
    <definedName name="qwqe" localSheetId="0" hidden="1">{#N/A,#N/A,TRUE,"Assumptions";#N/A,#N/A,TRUE,"Sources of Revenue";#N/A,#N/A,TRUE,"P&amp;L";#N/A,#N/A,TRUE,"Bal. Sheet";#N/A,#N/A,TRUE,"Rights Issue &amp; X Adjustment";#N/A,#N/A,TRUE,"Transaction Model"}</definedName>
    <definedName name="qwqe" localSheetId="14" hidden="1">{#N/A,#N/A,TRUE,"Assumptions";#N/A,#N/A,TRUE,"Sources of Revenue";#N/A,#N/A,TRUE,"P&amp;L";#N/A,#N/A,TRUE,"Bal. Sheet";#N/A,#N/A,TRUE,"Rights Issue &amp; X Adjustment";#N/A,#N/A,TRUE,"Transaction Model"}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>#REF!</definedName>
    <definedName name="Q행">#REF!</definedName>
    <definedName name="r_Accident_Data1">#REF!,#REF!,#REF!,#REF!,#REF!,#REF!,#REF!</definedName>
    <definedName name="r_Accident_Data2">#REF!,#REF!,#REF!,#REF!</definedName>
    <definedName name="r_at_Retirement_DC_Er_Contrib_Match_Cap">#REF!</definedName>
    <definedName name="r_Compensation_Mix">#REF!</definedName>
    <definedName name="r_Compensation_Mix_Data">#REF!</definedName>
    <definedName name="r_DC_Overallcap">#REF!</definedName>
    <definedName name="r_Inpatient_Data1">#REF!,#REF!,#REF!</definedName>
    <definedName name="r_Inpatient_Data2">#REF!,#REF!,#REF!,#REF!</definedName>
    <definedName name="r_Life_Data1">#REF!,#REF!,#REF!,#REF!</definedName>
    <definedName name="r_Life_Data2">#REF!,#REF!,#REF!,#REF!</definedName>
    <definedName name="r_Outpatient_Data">#REF!,#REF!,#REF!,#REF!,#REF!,#REF!,#REF!,#REF!,#REF!,#REF!,#REF!,#REF!</definedName>
    <definedName name="r_Outpatient_Data1">#REF!,#REF!,#REF!</definedName>
    <definedName name="r_Outpatient_Data2">#REF!,#REF!,#REF!,#REF!</definedName>
    <definedName name="r_Prof_Shar">#REF!</definedName>
    <definedName name="r_Profit_Sharing">#REF!</definedName>
    <definedName name="r_raise">#REF!</definedName>
    <definedName name="r_Sales_Inc">#REF!</definedName>
    <definedName name="r_Sales_Incentives1">#REF!</definedName>
    <definedName name="r_Sales_Incentives2">#REF!</definedName>
    <definedName name="r_Sales_Incentives3">#REF!</definedName>
    <definedName name="r_Sales_Incentives4">#REF!,#REF!,#REF!,#REF!,#REF!,#REF!</definedName>
    <definedName name="r_STI_SALSINCT_Data1">#REF!,#REF!,#REF!,#REF!,#REF!,#REF!,#REF!</definedName>
    <definedName name="r_v_Bon">#REF!</definedName>
    <definedName name="r_v_Bonus1">#REF!</definedName>
    <definedName name="r_v_Bonus2">#REF!</definedName>
    <definedName name="r_v_Bonus3">#REF!</definedName>
    <definedName name="r_v_Bonus4">#REF!,#REF!,#REF!,#REF!</definedName>
    <definedName name="radsdffsda" hidden="1">#REF!</definedName>
    <definedName name="range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>#REF!</definedName>
    <definedName name="rate_2">#REF!</definedName>
    <definedName name="rate_3">#REF!</definedName>
    <definedName name="rate_4">#REF!</definedName>
    <definedName name="rate_5">#REF!</definedName>
    <definedName name="rate_6">#REF!</definedName>
    <definedName name="RDGRGERTY">#REF!</definedName>
    <definedName name="realisé">#REF!</definedName>
    <definedName name="Rebate" localSheetId="0" hidden="1">{#N/A,#N/A,FALSE,"Aging Summary";#N/A,#N/A,FALSE,"Ratio Analysis";#N/A,#N/A,FALSE,"Test 120 Day Accts";#N/A,#N/A,FALSE,"Tickmarks"}</definedName>
    <definedName name="Rebate" localSheetId="14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CORD">#REF!</definedName>
    <definedName name="_xlnm.Recorder">#REF!</definedName>
    <definedName name="recs">#REF!</definedName>
    <definedName name="ref">#REF!</definedName>
    <definedName name="Refi">#REF!</definedName>
    <definedName name="refinance">#REF!</definedName>
    <definedName name="Refurbish_Begin">#REF!</definedName>
    <definedName name="Refurbish_End">#REF!</definedName>
    <definedName name="Refurbishment">#REF!</definedName>
    <definedName name="refx">#REF!</definedName>
    <definedName name="region">#REF!</definedName>
    <definedName name="Region_AT">#REF!</definedName>
    <definedName name="Region_BA">#REF!</definedName>
    <definedName name="Region_BE">#REF!</definedName>
    <definedName name="Region_BG">#REF!</definedName>
    <definedName name="Region_CH">#REF!</definedName>
    <definedName name="Region_CZ">#REF!</definedName>
    <definedName name="Region_DE">#REF!</definedName>
    <definedName name="Region_DK">#REF!</definedName>
    <definedName name="Region_EE">#REF!</definedName>
    <definedName name="Region_ES">#REF!</definedName>
    <definedName name="Region_FI">#REF!</definedName>
    <definedName name="Region_FR">#REF!</definedName>
    <definedName name="Region_HR">#REF!</definedName>
    <definedName name="Region_HU">#REF!</definedName>
    <definedName name="Region_IE">#REF!</definedName>
    <definedName name="Region_IS">#REF!</definedName>
    <definedName name="Region_IT">#REF!</definedName>
    <definedName name="Region_LT">#REF!</definedName>
    <definedName name="Region_LV">#REF!</definedName>
    <definedName name="Region_MK">#REF!</definedName>
    <definedName name="Region_NL">#REF!</definedName>
    <definedName name="Region_NO">#REF!</definedName>
    <definedName name="Region_PL">#REF!</definedName>
    <definedName name="Region_PT">#REF!</definedName>
    <definedName name="Region_RO">#REF!</definedName>
    <definedName name="Region_RU">#REF!</definedName>
    <definedName name="Region_SB">#REF!</definedName>
    <definedName name="Region_SE">#REF!</definedName>
    <definedName name="Region_SI">#REF!</definedName>
    <definedName name="Region_SK">#REF!</definedName>
    <definedName name="Region_TR">#REF!</definedName>
    <definedName name="Region_UA">#REF!</definedName>
    <definedName name="Region_UK">#REF!</definedName>
    <definedName name="remaining_mortgage_amount">#REF!</definedName>
    <definedName name="REMARK">#N/A</definedName>
    <definedName name="rent">#REF!</definedName>
    <definedName name="rent_raise">#REF!</definedName>
    <definedName name="rent_rebate">#REF!</definedName>
    <definedName name="rent_rebate_2nd">#REF!</definedName>
    <definedName name="rent_rebate_co">#REF!</definedName>
    <definedName name="rent_rebate_indiv">#REF!</definedName>
    <definedName name="rent_rebate_month_end">#REF!</definedName>
    <definedName name="rent_reduction">#REF!</definedName>
    <definedName name="Rental_Deposit">#REF!</definedName>
    <definedName name="Rental_Deposit_Unit">#REF!</definedName>
    <definedName name="Rentroll">#REF!</definedName>
    <definedName name="REP">#N/A</definedName>
    <definedName name="Replacement_Cost">#REF!</definedName>
    <definedName name="Replacement_Cost_Percent">#REF!</definedName>
    <definedName name="REPNORMAL">#N/A</definedName>
    <definedName name="reportPl">#N/A</definedName>
    <definedName name="Reset">#REF!</definedName>
    <definedName name="RE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>#REF!</definedName>
    <definedName name="resultatcum">#REF!</definedName>
    <definedName name="resultatsit1">#REF!</definedName>
    <definedName name="Ret_Plan">#REF!</definedName>
    <definedName name="Returns">#REF!</definedName>
    <definedName name="Returns2">#REF!</definedName>
    <definedName name="RevPer">#REF!</definedName>
    <definedName name="RevYN">#REF!</definedName>
    <definedName name="rewr" localSheetId="0" hidden="1">{#N/A,#N/A,FALSE,"이력서&amp;자기소개서"}</definedName>
    <definedName name="rewr" localSheetId="14" hidden="1">{#N/A,#N/A,FALSE,"이력서&amp;자기소개서"}</definedName>
    <definedName name="rewr" hidden="1">{#N/A,#N/A,FALSE,"이력서&amp;자기소개서"}</definedName>
    <definedName name="rewr_1" localSheetId="0" hidden="1">{#N/A,#N/A,FALSE,"이력서&amp;자기소개서"}</definedName>
    <definedName name="rewr_1" localSheetId="14" hidden="1">{#N/A,#N/A,FALSE,"이력서&amp;자기소개서"}</definedName>
    <definedName name="rewr_1" hidden="1">{#N/A,#N/A,FALSE,"이력서&amp;자기소개서"}</definedName>
    <definedName name="rewrs" localSheetId="0" hidden="1">{#N/A,#N/A,FALSE,"이력서&amp;자기소개서"}</definedName>
    <definedName name="rewrs" localSheetId="14" hidden="1">{#N/A,#N/A,FALSE,"이력서&amp;자기소개서"}</definedName>
    <definedName name="rewrs" hidden="1">{#N/A,#N/A,FALSE,"이력서&amp;자기소개서"}</definedName>
    <definedName name="RHD">#N/A</definedName>
    <definedName name="RI_M1">#REF!</definedName>
    <definedName name="RI_M2">#REF!</definedName>
    <definedName name="RI_P1">#REF!</definedName>
    <definedName name="RI_P10">#REF!</definedName>
    <definedName name="RI_P2">#REF!</definedName>
    <definedName name="RI_P3">#REF!</definedName>
    <definedName name="RI_P4">#REF!</definedName>
    <definedName name="RI_P5">#REF!</definedName>
    <definedName name="RI_P6">#REF!</definedName>
    <definedName name="RI_P7">#REF!</definedName>
    <definedName name="RI_P8">#REF!</definedName>
    <definedName name="RI_P9">#REF!</definedName>
    <definedName name="RIII_M1">#REF!</definedName>
    <definedName name="RIII_M2">#REF!</definedName>
    <definedName name="RIII_P1">#REF!</definedName>
    <definedName name="RIII_P10">#REF!</definedName>
    <definedName name="RIII_P2">#REF!</definedName>
    <definedName name="RIII_P3">#REF!</definedName>
    <definedName name="RIII_P4">#REF!</definedName>
    <definedName name="RIII_P5">#REF!</definedName>
    <definedName name="RIII_P6">#REF!</definedName>
    <definedName name="RIII_P7">#REF!</definedName>
    <definedName name="RIII_P8">#REF!</definedName>
    <definedName name="RIII_P9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13">BlankMacro1</definedName>
    <definedName name="RK" localSheetId="0">BlankMacro1</definedName>
    <definedName name="RK" localSheetId="14">BlankMacro1</definedName>
    <definedName name="RK" localSheetId="4">BlankMacro1</definedName>
    <definedName name="RK" localSheetId="5">BlankMacro1</definedName>
    <definedName name="RK" localSheetId="6">BlankMacro1</definedName>
    <definedName name="RK" localSheetId="7">BlankMacro1</definedName>
    <definedName name="RK" localSheetId="8">BlankMacro1</definedName>
    <definedName name="RK" localSheetId="9">BlankMacro1</definedName>
    <definedName name="RK" localSheetId="10">BlankMacro1</definedName>
    <definedName name="RK" localSheetId="11">BlankMacro1</definedName>
    <definedName name="RK" localSheetId="12">BlankMacro1</definedName>
    <definedName name="RK" localSheetId="1">BlankMacro1</definedName>
    <definedName name="RK">BlankMacro1</definedName>
    <definedName name="RKSK" hidden="1">#REF!</definedName>
    <definedName name="rkwk" localSheetId="0" hidden="1">{#N/A,#N/A,FALSE,"1.CRITERIA";#N/A,#N/A,FALSE,"2.IS";#N/A,#N/A,FALSE,"3.BS";#N/A,#N/A,FALSE,"4.PER PL";#N/A,#N/A,FALSE,"5.INVESTMENT";#N/A,#N/A,FALSE,"6.공문";#N/A,#N/A,FALSE,"7.netinvest"}</definedName>
    <definedName name="rkwk" localSheetId="14" hidden="1">{#N/A,#N/A,FALSE,"1.CRITERIA";#N/A,#N/A,FALSE,"2.IS";#N/A,#N/A,FALSE,"3.BS";#N/A,#N/A,FALSE,"4.PER PL";#N/A,#N/A,FALSE,"5.INVESTMENT";#N/A,#N/A,FALSE,"6.공문";#N/A,#N/A,FALSE,"7.netinvest"}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>#REF!</definedName>
    <definedName name="RNAO" localSheetId="0" hidden="1">{#N/A,#N/A,FALSE,"Aging Summary";#N/A,#N/A,FALSE,"Ratio Analysis";#N/A,#N/A,FALSE,"Test 120 Day Accts";#N/A,#N/A,FALSE,"Tickmarks"}</definedName>
    <definedName name="RNAO" localSheetId="14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nrnf" localSheetId="0" hidden="1">{"'호선별현황(방식)'!$K$22:$P$22","'호선별현황(방식)'!$K$22:$P$22"}</definedName>
    <definedName name="rnrnf" localSheetId="14" hidden="1">{"'호선별현황(방식)'!$K$22:$P$22","'호선별현황(방식)'!$K$22:$P$22"}</definedName>
    <definedName name="rnrnf" hidden="1">{"'호선별현황(방식)'!$K$22:$P$22","'호선별현황(방식)'!$K$22:$P$22"}</definedName>
    <definedName name="RNRNRNR" localSheetId="0" hidden="1">{#N/A,#N/A,FALSE,"95FW"}</definedName>
    <definedName name="RNRNRNR" localSheetId="14" hidden="1">{#N/A,#N/A,FALSE,"95FW"}</definedName>
    <definedName name="RNRNRNR" hidden="1">{#N/A,#N/A,FALSE,"95FW"}</definedName>
    <definedName name="ROB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localSheetId="0" hidden="1">{#N/A,#N/A,TRUE,"일정"}</definedName>
    <definedName name="ROOF" localSheetId="14" hidden="1">{#N/A,#N/A,TRUE,"일정"}</definedName>
    <definedName name="ROOF" hidden="1">{#N/A,#N/A,TRUE,"일정"}</definedName>
    <definedName name="ROOF투자명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localSheetId="0" hidden="1">{"AnnualRentRoll",#N/A,FALSE,"RentRoll"}</definedName>
    <definedName name="ropponngi" localSheetId="14" hidden="1">{"AnnualRentRoll",#N/A,FALSE,"RentRoll"}</definedName>
    <definedName name="ropponngi" hidden="1">{"AnnualRentRoll",#N/A,FALSE,"RentRoll"}</definedName>
    <definedName name="ropponngi_1" localSheetId="0" hidden="1">{"AnnualRentRoll",#N/A,FALSE,"RentRoll"}</definedName>
    <definedName name="ropponngi_1" localSheetId="14" hidden="1">{"AnnualRentRoll",#N/A,FALSE,"RentRoll"}</definedName>
    <definedName name="ropponngi_1" hidden="1">{"AnnualRentRoll",#N/A,FALSE,"RentRoll"}</definedName>
    <definedName name="ROW">#REF!</definedName>
    <definedName name="row_Bonus">#REF!</definedName>
    <definedName name="row_Compensation_Mix">#REF!</definedName>
    <definedName name="row_Cpy_Car_Data">#REF!,#REF!,#REF!,#REF!,#REF!,#REF!,#REF!,#REF!,#REF!</definedName>
    <definedName name="row_DB_Early_Retirement_Data">#REF!,#REF!</definedName>
    <definedName name="row_DC_mandatory_3_Data">#REF!,#REF!,#REF!,#REF!,#REF!,#REF!,#REF!</definedName>
    <definedName name="row_Loan_Car_Data">#REF!,#REF!,#REF!,#REF!,#REF!,#REF!,#REF!</definedName>
    <definedName name="row_Loan_HardSoft_Data">#REF!,#REF!,#REF!,#REF!,#REF!,#REF!,#REF!</definedName>
    <definedName name="row_Loan_Hse_Data">#REF!,#REF!,#REF!,#REF!,#REF!,#REF!,#REF!</definedName>
    <definedName name="row_Loan_Personal_Data">#REF!,#REF!,#REF!,#REF!,#REF!,#REF!,#REF!</definedName>
    <definedName name="row_Product_Services">#REF!,#REF!</definedName>
    <definedName name="row_Profit_Sharing">#REF!</definedName>
    <definedName name="row_Retirement_Type_1_Data1">#REF!,#REF!,#REF!,#REF!,#REF!,#REF!,#REF!,#REF!,#REF!,#REF!</definedName>
    <definedName name="row_Retirement_Type_1_Data2">#REF!,#REF!,#REF!,#REF!,#REF!,#REF!</definedName>
    <definedName name="row_Retirement_Type_2_Data1">#REF!,#REF!,#REF!,#REF!,#REF!,#REF!,#REF!,#REF!,#REF!</definedName>
    <definedName name="row_Retirement_Type_2_Data2">#REF!,#REF!,#REF!,#REF!,#REF!,#REF!</definedName>
    <definedName name="row_Retirement_Type_2_Data3">#REF!,#REF!</definedName>
    <definedName name="row_Retirement_Type_2_Data4">#REF!,#REF!</definedName>
    <definedName name="row_Sales_Incentives">#REF!</definedName>
    <definedName name="row_Share_Data">#REF!,#REF!,#REF!,#REF!,#REF! ,#REF! ,#REF!</definedName>
    <definedName name="row_Training_Edu_Data">#REF!,#REF!</definedName>
    <definedName name="row_Travel_Ins_Data">#REF!,#REF!</definedName>
    <definedName name="row_z_last">#REF!</definedName>
    <definedName name="RowTitleRegion1..G2">#REF!</definedName>
    <definedName name="RP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R" hidden="1">#REF!</definedName>
    <definedName name="R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>#REF!</definedName>
    <definedName name="rrrrrrrrrrrr">#REF!</definedName>
    <definedName name="rrrrrrrrrrrrrrrrrrrrrrrrrrrrrrrrrrrrrrrrrrrrrrrrrrrrrrrrrrrrrrrrrrrrrrrrrrrrrrrrrrrrrrrrrrrrrrr">#REF!</definedName>
    <definedName name="RT" hidden="1">#REF!</definedName>
    <definedName name="RT.RTDK">#REF!</definedName>
    <definedName name="RTCLSPRT">#REF!</definedName>
    <definedName name="rtclsprtdk">#REF!</definedName>
    <definedName name="rtyrty" localSheetId="0" hidden="1">{#N/A,#N/A,TRUE,"Assumptions";#N/A,#N/A,TRUE,"Sources of Revenue";#N/A,#N/A,TRUE,"P&amp;L";#N/A,#N/A,TRUE,"Bal. Sheet";#N/A,#N/A,TRUE,"Rights Issue &amp; X Adjustment";#N/A,#N/A,TRUE,"Transaction Model"}</definedName>
    <definedName name="rtyrty" localSheetId="14" hidden="1">{#N/A,#N/A,TRUE,"Assumptions";#N/A,#N/A,TRUE,"Sources of Revenue";#N/A,#N/A,TRUE,"P&amp;L";#N/A,#N/A,TRUE,"Bal. Sheet";#N/A,#N/A,TRUE,"Rights Issue &amp; X Adjustment";#N/A,#N/A,TRUE,"Transaction Model"}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localSheetId="0" hidden="1">{#N/A,#N/A,TRUE,"Assumptions";#N/A,#N/A,TRUE,"Sources of Revenue";#N/A,#N/A,TRUE,"P&amp;L";#N/A,#N/A,TRUE,"Bal. Sheet";#N/A,#N/A,TRUE,"Rights Issue &amp; X Adjustment";#N/A,#N/A,TRUE,"Transaction Model"}</definedName>
    <definedName name="rtyu" localSheetId="14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>#REF!</definedName>
    <definedName name="RY">#REF!</definedName>
    <definedName name="R행">#REF!</definedName>
    <definedName name="S">#REF!</definedName>
    <definedName name="s.v_reduction">#REF!</definedName>
    <definedName name="S_Adjust">#REF!</definedName>
    <definedName name="S_AJE_Tot">#REF!</definedName>
    <definedName name="S_CY_Beg_Data">#REF!</definedName>
    <definedName name="S_CY_End">#REF!</definedName>
    <definedName name="S_Diff_Amt">#REF!</definedName>
    <definedName name="S_Diff_Pct">#REF!</definedName>
    <definedName name="s_raise">#REF!</definedName>
    <definedName name="S_RJE_Tot">#REF!</definedName>
    <definedName name="S_S">#REF!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localSheetId="0" hidden="1">{"MonthlyRentRoll",#N/A,FALSE,"RentRoll"}</definedName>
    <definedName name="sadd" localSheetId="14" hidden="1">{"MonthlyRentRoll",#N/A,FALSE,"RentRoll"}</definedName>
    <definedName name="sadd" hidden="1">{"MonthlyRentRoll",#N/A,FALSE,"RentRoll"}</definedName>
    <definedName name="sadd_1" localSheetId="0" hidden="1">{"MonthlyRentRoll",#N/A,FALSE,"RentRoll"}</definedName>
    <definedName name="sadd_1" localSheetId="14" hidden="1">{"MonthlyRentRoll",#N/A,FALSE,"RentRoll"}</definedName>
    <definedName name="sadd_1" hidden="1">{"MonthlyRentRoll",#N/A,FALSE,"RentRoll"}</definedName>
    <definedName name="saddd" localSheetId="0" hidden="1">{"AnnualRentRoll",#N/A,FALSE,"RentRoll"}</definedName>
    <definedName name="saddd" localSheetId="14" hidden="1">{"AnnualRentRoll",#N/A,FALSE,"RentRoll"}</definedName>
    <definedName name="saddd" hidden="1">{"AnnualRentRoll",#N/A,FALSE,"RentRoll"}</definedName>
    <definedName name="saddd_1" localSheetId="0" hidden="1">{"AnnualRentRoll",#N/A,FALSE,"RentRoll"}</definedName>
    <definedName name="saddd_1" localSheetId="14" hidden="1">{"AnnualRentRoll",#N/A,FALSE,"RentRoll"}</definedName>
    <definedName name="saddd_1" hidden="1">{"AnnualRentRoll",#N/A,FALSE,"RentRoll"}</definedName>
    <definedName name="saddddd" localSheetId="0" hidden="1">{"AnnualRentRoll",#N/A,FALSE,"RentRoll"}</definedName>
    <definedName name="saddddd" localSheetId="14" hidden="1">{"AnnualRentRoll",#N/A,FALSE,"RentRoll"}</definedName>
    <definedName name="saddddd" hidden="1">{"AnnualRentRoll",#N/A,FALSE,"RentRoll"}</definedName>
    <definedName name="saddddd_1" localSheetId="0" hidden="1">{"AnnualRentRoll",#N/A,FALSE,"RentRoll"}</definedName>
    <definedName name="saddddd_1" localSheetId="14" hidden="1">{"AnnualRentRoll",#N/A,FALSE,"RentRoll"}</definedName>
    <definedName name="saddddd_1" hidden="1">{"AnnualRentRoll",#N/A,FALSE,"RentRoll"}</definedName>
    <definedName name="sadddddddd" localSheetId="0" hidden="1">{#N/A,#N/A,FALSE,"ExitStratigy"}</definedName>
    <definedName name="sadddddddd" localSheetId="14" hidden="1">{#N/A,#N/A,FALSE,"ExitStratigy"}</definedName>
    <definedName name="sadddddddd" hidden="1">{#N/A,#N/A,FALSE,"ExitStratigy"}</definedName>
    <definedName name="sadddddddd_1" localSheetId="0" hidden="1">{#N/A,#N/A,FALSE,"ExitStratigy"}</definedName>
    <definedName name="sadddddddd_1" localSheetId="14" hidden="1">{#N/A,#N/A,FALSE,"ExitStratigy"}</definedName>
    <definedName name="sadddddddd_1" hidden="1">{#N/A,#N/A,FALSE,"ExitStratigy"}</definedName>
    <definedName name="sadddddddddd" localSheetId="0" hidden="1">{#N/A,#N/A,FALSE,"LoanAssumptions"}</definedName>
    <definedName name="sadddddddddd" localSheetId="14" hidden="1">{#N/A,#N/A,FALSE,"LoanAssumptions"}</definedName>
    <definedName name="sadddddddddd" hidden="1">{#N/A,#N/A,FALSE,"LoanAssumptions"}</definedName>
    <definedName name="sadddddddddd_1" localSheetId="0" hidden="1">{#N/A,#N/A,FALSE,"LoanAssumptions"}</definedName>
    <definedName name="sadddddddddd_1" localSheetId="14" hidden="1">{#N/A,#N/A,FALSE,"LoanAssumptions"}</definedName>
    <definedName name="sadddddddddd_1" hidden="1">{#N/A,#N/A,FALSE,"LoanAssumptions"}</definedName>
    <definedName name="saddddddddddddd" localSheetId="0" hidden="1">{#N/A,#N/A,FALSE,"OperatingAssumptions"}</definedName>
    <definedName name="saddddddddddddd" localSheetId="14" hidden="1">{#N/A,#N/A,FALSE,"OperatingAssumptions"}</definedName>
    <definedName name="saddddddddddddd" hidden="1">{#N/A,#N/A,FALSE,"OperatingAssumptions"}</definedName>
    <definedName name="saddddddddddddd_1" localSheetId="0" hidden="1">{#N/A,#N/A,FALSE,"OperatingAssumptions"}</definedName>
    <definedName name="saddddddddddddd_1" localSheetId="14" hidden="1">{#N/A,#N/A,FALSE,"OperatingAssumptions"}</definedName>
    <definedName name="saddddddddddddd_1" hidden="1">{#N/A,#N/A,FALSE,"OperatingAssumptions"}</definedName>
    <definedName name="sadf" hidden="1">#REF!</definedName>
    <definedName name="SALES">#REF!</definedName>
    <definedName name="sales1">#REF!</definedName>
    <definedName name="Salesable_Area">#REF!</definedName>
    <definedName name="SAMPLE">#REF!</definedName>
    <definedName name="Sample1">#REF!</definedName>
    <definedName name="Samuel_Opt">#N/A</definedName>
    <definedName name="SAN">#N/A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hidden="1">#REF!</definedName>
    <definedName name="savenefile11111">#REF!</definedName>
    <definedName name="SaveNewFile">#REF!</definedName>
    <definedName name="savenewfile1">#REF!</definedName>
    <definedName name="sa부하" hidden="1">#REF!</definedName>
    <definedName name="SBC" hidden="1">#REF!</definedName>
    <definedName name="SC">#REF!</definedName>
    <definedName name="SC11월">#REF!</definedName>
    <definedName name="SC12월">#REF!</definedName>
    <definedName name="SC1월">#REF!</definedName>
    <definedName name="SC2월">#REF!</definedName>
    <definedName name="SC2월2">#REF!</definedName>
    <definedName name="SC3월">#REF!</definedName>
    <definedName name="SC4월">#REF!</definedName>
    <definedName name="SCF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>#REF!</definedName>
    <definedName name="scheda">#REF!:#REF!</definedName>
    <definedName name="SChonsei">#REF!</definedName>
    <definedName name="sck" localSheetId="0" hidden="1">{#N/A,#N/A,FALSE,"BS";#N/A,#N/A,FALSE,"PL";#N/A,#N/A,FALSE,"처분";#N/A,#N/A,FALSE,"현금";#N/A,#N/A,FALSE,"매출";#N/A,#N/A,FALSE,"원가";#N/A,#N/A,FALSE,"경영"}</definedName>
    <definedName name="sck" localSheetId="14" hidden="1">{#N/A,#N/A,FALSE,"BS";#N/A,#N/A,FALSE,"PL";#N/A,#N/A,FALSE,"처분";#N/A,#N/A,FALSE,"현금";#N/A,#N/A,FALSE,"매출";#N/A,#N/A,FALSE,"원가";#N/A,#N/A,FALSE,"경영"}</definedName>
    <definedName name="sck" hidden="1">{#N/A,#N/A,FALSE,"BS";#N/A,#N/A,FALSE,"PL";#N/A,#N/A,FALSE,"처분";#N/A,#N/A,FALSE,"현금";#N/A,#N/A,FALSE,"매출";#N/A,#N/A,FALSE,"원가";#N/A,#N/A,FALSE,"경영"}</definedName>
    <definedName name="Scoresheet">#REF!</definedName>
    <definedName name="sd">#REF!</definedName>
    <definedName name="sda">#REF!</definedName>
    <definedName name="sdad">#REF!</definedName>
    <definedName name="sdafdadfad" localSheetId="0" hidden="1">{#N/A,#N/A,FALSE,"Aging Summary";#N/A,#N/A,FALSE,"Ratio Analysis";#N/A,#N/A,FALSE,"Test 120 Day Accts";#N/A,#N/A,FALSE,"Tickmarks"}</definedName>
    <definedName name="sdafdadfad" localSheetId="14" hidden="1">{#N/A,#N/A,FALSE,"Aging Summary";#N/A,#N/A,FALSE,"Ratio Analysis";#N/A,#N/A,FALSE,"Test 120 Day Accts";#N/A,#N/A,FALSE,"Tickmarks"}</definedName>
    <definedName name="sdafdadfad" hidden="1">{#N/A,#N/A,FALSE,"Aging Summary";#N/A,#N/A,FALSE,"Ratio Analysis";#N/A,#N/A,FALSE,"Test 120 Day Accts";#N/A,#N/A,FALSE,"Tickmarks"}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localSheetId="0" hidden="1">{#N/A,#N/A,FALSE,"채산3501.XLS";#N/A,#N/A,FALSE,"신조수A.XLS";#N/A,#N/A,FALSE,"신조수b.XLS";#N/A,#N/A,FALSE,"채산3502.XLS";#N/A,#N/A,FALSE,"신조원리.XLS";#N/A,#N/A,FALSE,"신조감가.XLS"}</definedName>
    <definedName name="SDF" localSheetId="14" hidden="1">{#N/A,#N/A,FALSE,"채산3501.XLS";#N/A,#N/A,FALSE,"신조수A.XLS";#N/A,#N/A,FALSE,"신조수b.XLS";#N/A,#N/A,FALSE,"채산3502.XLS";#N/A,#N/A,FALSE,"신조원리.XLS";#N/A,#N/A,FALSE,"신조감가.XLS"}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localSheetId="0" hidden="1">{#N/A,#N/A,TRUE,"Assumptions";#N/A,#N/A,TRUE,"Sources of Revenue";#N/A,#N/A,TRUE,"P&amp;L";#N/A,#N/A,TRUE,"Bal. Sheet";#N/A,#N/A,TRUE,"Rights Issue &amp; X Adjustment";#N/A,#N/A,TRUE,"Transaction Model"}</definedName>
    <definedName name="sdfgdfg" localSheetId="14" hidden="1">{#N/A,#N/A,TRUE,"Assumptions";#N/A,#N/A,TRUE,"Sources of Revenue";#N/A,#N/A,TRUE,"P&amp;L";#N/A,#N/A,TRUE,"Bal. Sheet";#N/A,#N/A,TRUE,"Rights Issue &amp; X Adjustment";#N/A,#N/A,TRUE,"Transaction Model"}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localSheetId="0" hidden="1">{#N/A,#N/A,TRUE,"Assumptions";#N/A,#N/A,TRUE,"Sources of Revenue";#N/A,#N/A,TRUE,"P&amp;L";#N/A,#N/A,TRUE,"Bal. Sheet";#N/A,#N/A,TRUE,"Rights Issue &amp; X Adjustment";#N/A,#N/A,TRUE,"Transaction Model"}</definedName>
    <definedName name="sdfgsdfg" localSheetId="14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hidden="1">#REF!</definedName>
    <definedName name="sdfsf" hidden="1">#REF!</definedName>
    <definedName name="sdfteseagegwe" hidden="1">#REF!</definedName>
    <definedName name="SDGEART" hidden="1">#REF!</definedName>
    <definedName name="sdklfj" hidden="1">#REF!</definedName>
    <definedName name="sds" localSheetId="13">BlankMacro1</definedName>
    <definedName name="sds" localSheetId="0">BlankMacro1</definedName>
    <definedName name="sds" localSheetId="14">BlankMacro1</definedName>
    <definedName name="sds" localSheetId="4">BlankMacro1</definedName>
    <definedName name="sds" localSheetId="5">BlankMacro1</definedName>
    <definedName name="sds" localSheetId="6">BlankMacro1</definedName>
    <definedName name="sds" localSheetId="7">BlankMacro1</definedName>
    <definedName name="sds" localSheetId="8">BlankMacro1</definedName>
    <definedName name="sds" localSheetId="9">BlankMacro1</definedName>
    <definedName name="sds" localSheetId="10">BlankMacro1</definedName>
    <definedName name="sds" localSheetId="11">BlankMacro1</definedName>
    <definedName name="sds" localSheetId="12">BlankMacro1</definedName>
    <definedName name="sds" localSheetId="1">BlankMacro1</definedName>
    <definedName name="sds">BlankMacro1</definedName>
    <definedName name="sdsd" hidden="1">#REF!</definedName>
    <definedName name="sdsdsdsdsd">#REF!</definedName>
    <definedName name="sdss">#REF!</definedName>
    <definedName name="sdvrys" localSheetId="0" hidden="1">{#N/A,#N/A,TRUE,"Assumptions";#N/A,#N/A,TRUE,"Sources of Revenue";#N/A,#N/A,TRUE,"P&amp;L";#N/A,#N/A,TRUE,"Bal. Sheet";#N/A,#N/A,TRUE,"Rights Issue &amp; X Adjustment";#N/A,#N/A,TRUE,"Transaction Model"}</definedName>
    <definedName name="sdvrys" localSheetId="14" hidden="1">{#N/A,#N/A,TRUE,"Assumptions";#N/A,#N/A,TRUE,"Sources of Revenue";#N/A,#N/A,TRUE,"P&amp;L";#N/A,#N/A,TRUE,"Bal. Sheet";#N/A,#N/A,TRUE,"Rights Issue &amp; X Adjustment";#N/A,#N/A,TRUE,"Transaction Model"}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>#REF!</definedName>
    <definedName name="second_s">#REF!</definedName>
    <definedName name="SECT_120">#REF!</definedName>
    <definedName name="SECT_130">#REF!</definedName>
    <definedName name="SECT_140">#REF!</definedName>
    <definedName name="SECT_160">#REF!</definedName>
    <definedName name="SECT_170">#REF!</definedName>
    <definedName name="SECT_180">#REF!</definedName>
    <definedName name="SECT_190">#REF!</definedName>
    <definedName name="sectionNames">#REF!</definedName>
    <definedName name="Security_Deposit_Multiplier">#REF!</definedName>
    <definedName name="segvx" localSheetId="0" hidden="1">{"'買掛金'!$J$6"}</definedName>
    <definedName name="segvx" localSheetId="14" hidden="1">{"'買掛金'!$J$6"}</definedName>
    <definedName name="segvx" hidden="1">{"'買掛金'!$J$6"}</definedName>
    <definedName name="Sellers">#REF!</definedName>
    <definedName name="sencount" hidden="1">1</definedName>
    <definedName name="SENG0">#REF!</definedName>
    <definedName name="Sensistivity_BuyPrice">#REF!</definedName>
    <definedName name="Sensistivity_Exit_Price">#REF!</definedName>
    <definedName name="Sensistivity_Hold_Period">#REF!</definedName>
    <definedName name="Sensitivity_Borrow_Cost">#REF!</definedName>
    <definedName name="Sensitivity_Debt_Ratio">#REF!</definedName>
    <definedName name="Sensitivity_Exit">#REF!</definedName>
    <definedName name="Sensitivity_Term">#REF!</definedName>
    <definedName name="Service_Charge_Collection">#REF!</definedName>
    <definedName name="service_raise">#REF!</definedName>
    <definedName name="Set_1">#REF!</definedName>
    <definedName name="sf" hidden="1">#REF!</definedName>
    <definedName name="sfd" localSheetId="0" hidden="1">{#N/A,#N/A,FALSE,"95FW"}</definedName>
    <definedName name="sfd" localSheetId="14" hidden="1">{#N/A,#N/A,FALSE,"95FW"}</definedName>
    <definedName name="sfd" hidden="1">{#N/A,#N/A,FALSE,"95FW"}</definedName>
    <definedName name="SFD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>#REF!</definedName>
    <definedName name="Share_Plan">#REF!</definedName>
    <definedName name="sheet" localSheetId="0" hidden="1">{#N/A,#N/A,FALSE,"95FW"}</definedName>
    <definedName name="sheet" localSheetId="14" hidden="1">{#N/A,#N/A,FALSE,"95FW"}</definedName>
    <definedName name="sheet" hidden="1">{#N/A,#N/A,FALSE,"95FW"}</definedName>
    <definedName name="sheet1" localSheetId="0" hidden="1">{#N/A,#N/A,FALSE,"95FW"}</definedName>
    <definedName name="sheet1" localSheetId="14" hidden="1">{#N/A,#N/A,FALSE,"95FW"}</definedName>
    <definedName name="sheet1" hidden="1">{#N/A,#N/A,FALSE,"95FW"}</definedName>
    <definedName name="SHEET2" localSheetId="0" hidden="1">{#N/A,#N/A,FALSE,"단축1";#N/A,#N/A,FALSE,"단축2";#N/A,#N/A,FALSE,"단축3";#N/A,#N/A,FALSE,"장축";#N/A,#N/A,FALSE,"4WD"}</definedName>
    <definedName name="SHEET2" localSheetId="14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ip">#REF!</definedName>
    <definedName name="SHL_Interest">#REF!</definedName>
    <definedName name="SHL_Ratio">#REF!</definedName>
    <definedName name="SHL_Tax">#REF!</definedName>
    <definedName name="SHORTNAME">#N/A</definedName>
    <definedName name="Show">#REF!</definedName>
    <definedName name="SHR">#REF!</definedName>
    <definedName name="shtName" localSheetId="13">INDEX(wsNames, shtPos)</definedName>
    <definedName name="shtName" localSheetId="0">INDEX(wsNames, shtPos)</definedName>
    <definedName name="shtName" localSheetId="14">INDEX(wsNames, shtPos)</definedName>
    <definedName name="shtName" localSheetId="4">INDEX(wsNames, shtPos)</definedName>
    <definedName name="shtName" localSheetId="5">INDEX(wsNames, shtPos)</definedName>
    <definedName name="shtName" localSheetId="6">INDEX(wsNames, shtPos)</definedName>
    <definedName name="shtName" localSheetId="7">INDEX(wsNames, shtPos)</definedName>
    <definedName name="shtName" localSheetId="8">INDEX(wsNames, shtPos)</definedName>
    <definedName name="shtName" localSheetId="9">INDEX(wsNames, shtPos)</definedName>
    <definedName name="shtName" localSheetId="10">INDEX(wsNames, shtPos)</definedName>
    <definedName name="shtName" localSheetId="11">INDEX(wsNames, shtPos)</definedName>
    <definedName name="shtName" localSheetId="12">INDEX(wsNames, shtPos)</definedName>
    <definedName name="shtName" localSheetId="1">INDEX(wsNames, shtPos)</definedName>
    <definedName name="shtName">INDEX(wsNames, shtPos)</definedName>
    <definedName name="Sigma">#REF!+(#REF!-#REF!)</definedName>
    <definedName name="signage_revenue">#REF!</definedName>
    <definedName name="SINGPORE">#REF!</definedName>
    <definedName name="SIS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>#REF!</definedName>
    <definedName name="sj">#REF!</definedName>
    <definedName name="sjflkaejflkjglk">#REF!</definedName>
    <definedName name="skaaldud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>#REF!</definedName>
    <definedName name="Sm_per_Pyong">#REF!</definedName>
    <definedName name="smarket_eviction_cost">#REF!</definedName>
    <definedName name="smarket_key_money">#REF!</definedName>
    <definedName name="smarket_market_rent">#REF!</definedName>
    <definedName name="smarket_percent">#REF!</definedName>
    <definedName name="smarket_size">#REF!</definedName>
    <definedName name="SO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OU">#REF!</definedName>
    <definedName name="source">#REF!</definedName>
    <definedName name="SP4월">#REF!</definedName>
    <definedName name="spa">#REF!</definedName>
    <definedName name="spc_setup">#REF!</definedName>
    <definedName name="Special_Capital_Gain_Tax">#REF!</definedName>
    <definedName name="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>#REF!</definedName>
    <definedName name="SPR165C113TBH1B2RTSUS">#REF!</definedName>
    <definedName name="SPR188C103121TBH1B0RTSUS">#REF!</definedName>
    <definedName name="SPR188C116136TBH1B0RTSUS">#REF!</definedName>
    <definedName name="SPR188C127152TBH1B0RTSUS">#REF!</definedName>
    <definedName name="SPR188C95111TBH1B0RTSUS">#REF!</definedName>
    <definedName name="SPR190C3452RTSUS">#REF!</definedName>
    <definedName name="SPR190C5466RRSUS">#REF!</definedName>
    <definedName name="SPR190C5466RTSUS">#REF!</definedName>
    <definedName name="SPR193C127RTSUS">#REF!</definedName>
    <definedName name="SPR193C7798RTSUS">#REF!</definedName>
    <definedName name="SPR68127C113TBH1B2RTSUS">#REF!</definedName>
    <definedName name="SPT_FLUSSI">#REF!,#REF!</definedName>
    <definedName name="SPWS_WBID">"0D145571-4AA7-4C6E-B8EB-4DF0FED2B8BC"</definedName>
    <definedName name="SQF">#REF!</definedName>
    <definedName name="sqft">#REF!</definedName>
    <definedName name="sqmt">#REF!</definedName>
    <definedName name="SS">#REF!</definedName>
    <definedName name="SS_CAPEX" localSheetId="0">{"Client Name or Project Name"}</definedName>
    <definedName name="SS_CAPEX" localSheetId="14">{"Client Name or Project Name"}</definedName>
    <definedName name="SS_CAPEX">{"Client Name or Project Name"}</definedName>
    <definedName name="ssdsd">#REF!</definedName>
    <definedName name="SSRR">#REF!</definedName>
    <definedName name="sss" localSheetId="0" hidden="1">{#N/A,#N/A,FALSE,"95FW"}</definedName>
    <definedName name="sss" localSheetId="14" hidden="1">{#N/A,#N/A,FALSE,"95FW"}</definedName>
    <definedName name="sss" hidden="1">{#N/A,#N/A,FALSE,"95FW"}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>#REF!</definedName>
    <definedName name="sssssssssssssssssssssss">#REF!</definedName>
    <definedName name="ST_interest">#REF!</definedName>
    <definedName name="Stabilized_Vacancy">#REF!</definedName>
    <definedName name="stacking">#N/A</definedName>
    <definedName name="stamp">#REF!,#REF!</definedName>
    <definedName name="STAR">#REF!</definedName>
    <definedName name="STAR1">#REF!</definedName>
    <definedName name="start">#REF!</definedName>
    <definedName name="START2">#REF!</definedName>
    <definedName name="Stato_Patrimoniale">#REF!</definedName>
    <definedName name="stcode">#REF!</definedName>
    <definedName name="STE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>#REF!</definedName>
    <definedName name="step2">#REF!</definedName>
    <definedName name="STI_Language">#REF!</definedName>
    <definedName name="STJ">#REF!</definedName>
    <definedName name="Stock_List">#REF!</definedName>
    <definedName name="strloc">#REF!</definedName>
    <definedName name="STRU">#REF!</definedName>
    <definedName name="SU">#REF!</definedName>
    <definedName name="sum">#REF!</definedName>
    <definedName name="SUMMARY">#REF!</definedName>
    <definedName name="surt" hidden="1">#REF!</definedName>
    <definedName name="SurveyDate">#REF!</definedName>
    <definedName name="SurveyName">#REF!</definedName>
    <definedName name="swds" hidden="1">#REF!</definedName>
    <definedName name="SYNOFF">#REF!</definedName>
    <definedName name="SYNON">#REF!</definedName>
    <definedName name="SYSDATE">#N/A</definedName>
    <definedName name="s부하" hidden="1">#REF!</definedName>
    <definedName name="s조향" hidden="1">#REF!</definedName>
    <definedName name="S행">#REF!</definedName>
    <definedName name="t">#REF!</definedName>
    <definedName name="t_all">#REF!</definedName>
    <definedName name="T1_">#N/A</definedName>
    <definedName name="T200팀별투자비" localSheetId="0" hidden="1">{#N/A,#N/A,TRUE,"일정"}</definedName>
    <definedName name="T200팀별투자비" localSheetId="14" hidden="1">{#N/A,#N/A,TRUE,"일정"}</definedName>
    <definedName name="T200팀별투자비" hidden="1">{#N/A,#N/A,TRUE,"일정"}</definedName>
    <definedName name="ta" localSheetId="0" hidden="1">{#N/A,#N/A,FALSE,"Aging Summary";#N/A,#N/A,FALSE,"Ratio Analysis";#N/A,#N/A,FALSE,"Test 120 Day Accts";#N/A,#N/A,FALSE,"Tickmarks"}</definedName>
    <definedName name="ta" localSheetId="14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_BUTTON">#REF!</definedName>
    <definedName name="TABLE1">#REF!</definedName>
    <definedName name="Target">#REF!</definedName>
    <definedName name="TARWK">#REF!</definedName>
    <definedName name="tax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>#REF!</definedName>
    <definedName name="Tax_Base_below100">#REF!</definedName>
    <definedName name="Tax_Rate">#REF!</definedName>
    <definedName name="Tax_Rate1">#REF!</definedName>
    <definedName name="Tax_Rental_Above100">#REF!</definedName>
    <definedName name="Tax_Rental_below100">#REF!</definedName>
    <definedName name="Tax_Withhold_Capital_Gains">#REF!</definedName>
    <definedName name="Tax_Withhold_Dividends">#REF!</definedName>
    <definedName name="TB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c" localSheetId="0" hidden="1">{#N/A,#N/A,FALSE,"단축1";#N/A,#N/A,FALSE,"단축2";#N/A,#N/A,FALSE,"단축3";#N/A,#N/A,FALSE,"장축";#N/A,#N/A,FALSE,"4WD"}</definedName>
    <definedName name="tc" localSheetId="14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honsei">#REF!</definedName>
    <definedName name="tci" localSheetId="0" hidden="1">{#N/A,#N/A,FALSE,"단축1";#N/A,#N/A,FALSE,"단축2";#N/A,#N/A,FALSE,"단축3";#N/A,#N/A,FALSE,"장축";#N/A,#N/A,FALSE,"4WD"}</definedName>
    <definedName name="tci" localSheetId="14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n">#REF!</definedName>
    <definedName name="TDeposit">#REF!</definedName>
    <definedName name="TDS">#REF!</definedName>
    <definedName name="TEAM">#REF!</definedName>
    <definedName name="Tel">#REF!</definedName>
    <definedName name="temp">#REF!</definedName>
    <definedName name="Tenant">#REF!</definedName>
    <definedName name="TenantData">#REF!</definedName>
    <definedName name="tenmo">#REF!</definedName>
    <definedName name="Term">#REF!</definedName>
    <definedName name="TEST">#REF!</definedName>
    <definedName name="TEST_1">#REF!</definedName>
    <definedName name="TEST_2">#REF!</definedName>
    <definedName name="TEST_A">#N/A</definedName>
    <definedName name="TEST_A1">#REF!</definedName>
    <definedName name="TEST_A2">#REF!</definedName>
    <definedName name="TEST_A3">#REF!</definedName>
    <definedName name="TEST_B">#N/A</definedName>
    <definedName name="TEST_B1">#REF!</definedName>
    <definedName name="TEST_B2">#REF!</definedName>
    <definedName name="TEST_B3">#REF!</definedName>
    <definedName name="TEST_C">#N/A</definedName>
    <definedName name="TEST_C1">#REF!</definedName>
    <definedName name="TEST_C2">#REF!</definedName>
    <definedName name="TEST_C3">#REF!</definedName>
    <definedName name="TEST_D">#N/A</definedName>
    <definedName name="TEST_D1">#REF!</definedName>
    <definedName name="TEST_D2">#REF!</definedName>
    <definedName name="TEST_D3">#REF!</definedName>
    <definedName name="TEST_E">#N/A</definedName>
    <definedName name="TEST_E1">#REF!</definedName>
    <definedName name="TEST_E2">#REF!</definedName>
    <definedName name="TEST_E3">#REF!</definedName>
    <definedName name="TEST_F1">#REF!</definedName>
    <definedName name="TEST_F2">#REF!</definedName>
    <definedName name="TEST_F3">#REF!</definedName>
    <definedName name="TEST_G">#REF!</definedName>
    <definedName name="TEST_G1">#REF!</definedName>
    <definedName name="TEST_G2">#REF!</definedName>
    <definedName name="TEST_G3">#REF!</definedName>
    <definedName name="TEST_H1">#REF!</definedName>
    <definedName name="TEST_H2">#REF!</definedName>
    <definedName name="TEST_H3">#REF!</definedName>
    <definedName name="TEST_I1">#REF!</definedName>
    <definedName name="TEST_I2">#REF!</definedName>
    <definedName name="TEST_I3">#REF!</definedName>
    <definedName name="TEST_J1">#REF!</definedName>
    <definedName name="TEST_J2">#REF!</definedName>
    <definedName name="TEST_J3">#REF!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EST0">#REF!</definedName>
    <definedName name="TEST1">#REF!</definedName>
    <definedName name="TESTDTA_F4095">#REF!</definedName>
    <definedName name="TESTHKEY">#REF!</definedName>
    <definedName name="TESTKEYS">#REF!</definedName>
    <definedName name="TESTVKEY">#REF!</definedName>
    <definedName name="TEXT16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</definedName>
    <definedName name="THEME2" localSheetId="0" hidden="1">{#N/A,#N/A,FALSE,"96 3월물량표";#N/A,#N/A,FALSE,"96 4월물량표";#N/A,#N/A,FALSE,"96 5월물량표"}</definedName>
    <definedName name="THEME2" localSheetId="14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EMONTH">#REF!</definedName>
    <definedName name="This_Quarter">#REF!</definedName>
    <definedName name="ThisPeriod">#REF!</definedName>
    <definedName name="ThisYear">#REF!</definedName>
    <definedName name="thsdls" localSheetId="0" hidden="1">{#N/A,#N/A,FALSE,"Aging Summary";#N/A,#N/A,FALSE,"Ratio Analysis";#N/A,#N/A,FALSE,"Test 120 Day Accts";#N/A,#N/A,FALSE,"Tickmarks"}</definedName>
    <definedName name="thsdls" localSheetId="14" hidden="1">{#N/A,#N/A,FALSE,"Aging Summary";#N/A,#N/A,FALSE,"Ratio Analysis";#N/A,#N/A,FALSE,"Test 120 Day Accts";#N/A,#N/A,FALSE,"Tickmarks"}</definedName>
    <definedName name="thsdls" hidden="1">{#N/A,#N/A,FALSE,"Aging Summary";#N/A,#N/A,FALSE,"Ratio Analysis";#N/A,#N/A,FALSE,"Test 120 Day Accts";#N/A,#N/A,FALSE,"Tickmarks"}</definedName>
    <definedName name="thtty" localSheetId="0" hidden="1">{#N/A,#N/A,FALSE,"96 3월물량표";#N/A,#N/A,FALSE,"96 4월물량표";#N/A,#N/A,FALSE,"96 5월물량표"}</definedName>
    <definedName name="thtty" localSheetId="14" hidden="1">{#N/A,#N/A,FALSE,"96 3월물량표";#N/A,#N/A,FALSE,"96 4월물량표";#N/A,#N/A,FALSE,"96 5월물량표"}</definedName>
    <definedName name="thtty" hidden="1">{#N/A,#N/A,FALSE,"96 3월물량표";#N/A,#N/A,FALSE,"96 4월물량표";#N/A,#N/A,FALSE,"96 5월물량표"}</definedName>
    <definedName name="ti">#REF!</definedName>
    <definedName name="Time">#REF!</definedName>
    <definedName name="TIMESTAMP">#REF!</definedName>
    <definedName name="TIPS_Actual_Title">#REF!</definedName>
    <definedName name="TIPS_AGENCY_COFEE">#REF!</definedName>
    <definedName name="TIPS_AGENCY_EEFEE">#REF!</definedName>
    <definedName name="TIPS_ALLOW_RUNCOST">#REF!</definedName>
    <definedName name="TIPS_ALLOWANCE">#REF!</definedName>
    <definedName name="TIPS_ANN_BASE">#REF!</definedName>
    <definedName name="TIPS_ANN_EC_GIVEN">#REF!</definedName>
    <definedName name="TIPS_AREA_ALW">#REF!</definedName>
    <definedName name="TIPS_BENEFITPOLICY">#REF!</definedName>
    <definedName name="TIPS_Benefits_1">#REF!</definedName>
    <definedName name="TIPS_Benefits_2">#REF!</definedName>
    <definedName name="TIPS_BON_ACT">#REF!</definedName>
    <definedName name="TIPS_BON_ACT2">#REF!</definedName>
    <definedName name="TIPS_BON_ELIG">#REF!</definedName>
    <definedName name="TIPS_BON_TGT">#REF!</definedName>
    <definedName name="TIPS_BON_TGT2">#REF!</definedName>
    <definedName name="TIPS_BURN_ALW">#REF!</definedName>
    <definedName name="TIPS_CAR_ENGINE">#REF!</definedName>
    <definedName name="TIPS_CAR_MODEL">#REF!</definedName>
    <definedName name="TIPS_CAR_PLAN">#REF!</definedName>
    <definedName name="TIPS_CAR_PRK">#REF!</definedName>
    <definedName name="TIPS_CHILD_EDUC">#REF!</definedName>
    <definedName name="TIPS_Class_of_Lawyer">#REF!</definedName>
    <definedName name="TIPS_CLEAN_ALW">#REF!</definedName>
    <definedName name="TIPS_CLOTH_ALW">#REF!</definedName>
    <definedName name="TIPS_CLUB_BEN">#REF!</definedName>
    <definedName name="TIPS_Combined_MUPCS_Title">#REF!</definedName>
    <definedName name="TIPS_Country_Code">#REF!</definedName>
    <definedName name="TIPS_CURR_CODE">#REF!</definedName>
    <definedName name="TIPS_DBPOLICY">#REF!</definedName>
    <definedName name="TIPS_DCPOLICY">#REF!</definedName>
    <definedName name="TIPS_DEEMOT_ALW">#REF!</definedName>
    <definedName name="TIPS_DEEMOT_PRO">#REF!</definedName>
    <definedName name="TIPS_DRIVER_SAL">#REF!</definedName>
    <definedName name="TIPS_Education_Allw">#REF!</definedName>
    <definedName name="TIPS_Employee_ID">#REF!</definedName>
    <definedName name="TIPS_EPI_RATE">#REF!</definedName>
    <definedName name="TIPS_FAMILY_ALW">#REF!</definedName>
    <definedName name="TIPS_FBT_ITEMS">#REF!</definedName>
    <definedName name="TIPS_FEST_BON">#REF!</definedName>
    <definedName name="TIPS_Financial_Vol">#REF!</definedName>
    <definedName name="TIPS_FIXED_BON">#REF!</definedName>
    <definedName name="TIPS_FIXEMP_TEC">#REF!</definedName>
    <definedName name="TIPS_FLEX_ALW">#REF!</definedName>
    <definedName name="TIPS_FLEX_BEN">#REF!</definedName>
    <definedName name="TIPS_FUEL">#REF!</definedName>
    <definedName name="TIPS_Geog_Resp">#REF!</definedName>
    <definedName name="TIPS_GOVT_FUND">#REF!</definedName>
    <definedName name="TIPS_GRATUITY">#REF!</definedName>
    <definedName name="TIPS_Headcount">#REF!</definedName>
    <definedName name="TIPS_HEADORG_TYPE">#REF!</definedName>
    <definedName name="TIPS_HI_RATE">#REF!</definedName>
    <definedName name="TIPS_Highest_Qual">#REF!</definedName>
    <definedName name="TIPS_HLTH_PREM">#REF!</definedName>
    <definedName name="TIPS_HOUSE_ALW">#REF!</definedName>
    <definedName name="TIPS_HOUSE_RENTAL">#REF!</definedName>
    <definedName name="TIPS_INCENT_ACT">#REF!</definedName>
    <definedName name="TIPS_INCENT_ACT2">#REF!</definedName>
    <definedName name="TIPS_INCENT_ELIG">#REF!</definedName>
    <definedName name="TIPS_INCENT_TGT">#REF!</definedName>
    <definedName name="TIPS_INCENT_TGT2">#REF!</definedName>
    <definedName name="TIPS_Incumbent_Data">#REF!</definedName>
    <definedName name="TIPS_IND_TYPE_SALES">#REF!</definedName>
    <definedName name="TIPS_Industry_List">#REF!</definedName>
    <definedName name="TIPS_INSURANCE">#REF!</definedName>
    <definedName name="TIPS_Internal_BU">#REF!</definedName>
    <definedName name="TIPS_Intl_Assignment">#REF!</definedName>
    <definedName name="TIPS_JOB_ALW">#REF!</definedName>
    <definedName name="TIPS_Job_Code">#REF!</definedName>
    <definedName name="TIPS_Job_Family">#REF!</definedName>
    <definedName name="TIPS_Job_Grade">#REF!</definedName>
    <definedName name="TIPS_Job_Identifier_Other">#REF!</definedName>
    <definedName name="TIPS_Job_Level">#REF!</definedName>
    <definedName name="TIPS_KIWI_CONVAL">#REF!</definedName>
    <definedName name="TIPS_KIWI_FUND">#REF!</definedName>
    <definedName name="TIPS_KIWI_OTHER">#REF!</definedName>
    <definedName name="TIPS_KIWI_TEC">#REF!</definedName>
    <definedName name="TIPS_KR_Actual_Title">#REF!</definedName>
    <definedName name="TIPS_KR_Code_Title">#REF!</definedName>
    <definedName name="TIPS_Last_Salary_Review">#REF!</definedName>
    <definedName name="TIPS_LEASEPRICE">#REF!</definedName>
    <definedName name="TIPS_LEASEPRICE2">#REF!</definedName>
    <definedName name="TIPS_LEASEPRICEFBT">#REF!</definedName>
    <definedName name="TIPS_LEAVE_LOAD">#REF!</definedName>
    <definedName name="TIPS_Location">#REF!</definedName>
    <definedName name="TIPS_LocationPOST">#REF!</definedName>
    <definedName name="TIPS_LTI_ELIG">#REF!</definedName>
    <definedName name="TIPS_LTIACCVAL1">#REF!</definedName>
    <definedName name="TIPS_LTICASH1">#REF!</definedName>
    <definedName name="TIPS_LTICUR1">#REF!</definedName>
    <definedName name="TIPS_LTIDTEGR1">#REF!</definedName>
    <definedName name="TIPS_LTIFMV1">#REF!</definedName>
    <definedName name="TIPS_LTIFREQ1">#REF!</definedName>
    <definedName name="TIPS_LTIMAXAWRD1">#REF!</definedName>
    <definedName name="TIPS_LTIPERFMEA1">#REF!</definedName>
    <definedName name="TIPS_LTIPLNTYP1">#REF!</definedName>
    <definedName name="TIPS_LTIPRCGR1">#REF!</definedName>
    <definedName name="TIPS_LTISHARES1">#REF!</definedName>
    <definedName name="TIPS_LTISTRUCT1">#REF!</definedName>
    <definedName name="TIPS_LTITERM1">#REF!</definedName>
    <definedName name="TIPS_MAINTENANCE">#REF!</definedName>
    <definedName name="TIPS_MEAL_ALW">#REF!</definedName>
    <definedName name="TIPS_MED_ALW">#REF!</definedName>
    <definedName name="TIPS_MEDCARE_BEN">#REF!</definedName>
    <definedName name="TIPS_Mercer_PC">#REF!</definedName>
    <definedName name="TIPS_MSU_INSURE">#REF!</definedName>
    <definedName name="TIPS_MTH_BASE">#REF!</definedName>
    <definedName name="TIPS_MUPC">#REF!</definedName>
    <definedName name="TIPS_NFBT_ITEMS">#REF!</definedName>
    <definedName name="TIPS_NUM_MTH">#REF!</definedName>
    <definedName name="TIPS_NUM_MTH2">#REF!</definedName>
    <definedName name="TIPS_Org_Ownership">#REF!</definedName>
    <definedName name="TIPS_Org_Type">#REF!</definedName>
    <definedName name="TIPS_ORG_TYPE_incumbent">#REF!</definedName>
    <definedName name="TIPS_Org_Type1">#REF!</definedName>
    <definedName name="TIPS_OTH_ALW">#REF!</definedName>
    <definedName name="TIPS_OTH_BEN">#REF!</definedName>
    <definedName name="TIPS_OTHBON_ACT">#REF!</definedName>
    <definedName name="TIPS_OTHBON_ACT2">#REF!</definedName>
    <definedName name="TIPS_OTHBON_TGT">#REF!</definedName>
    <definedName name="TIPS_OTHBON_TGT2">#REF!</definedName>
    <definedName name="TIPS_Other_LocalPlus_Allw">#REF!</definedName>
    <definedName name="TIPS_OTHSUP_TEC">#REF!</definedName>
    <definedName name="TIPS_PAG_IBIG">#REF!</definedName>
    <definedName name="TIPS_PERSONALUSE">#REF!</definedName>
    <definedName name="TIPS_PHONE_ALW">#REF!</definedName>
    <definedName name="TIPS_POS_FOCUS">#REF!</definedName>
    <definedName name="TIPS_POS_REVTGT">#REF!</definedName>
    <definedName name="TIPS_PP_CTRY">#REF!</definedName>
    <definedName name="TIPS_PREVENT_HLTH">#REF!</definedName>
    <definedName name="TIPS_PRICE">#REF!</definedName>
    <definedName name="TIPS_PRICE2">#REF!</definedName>
    <definedName name="TIPS_Product">#REF!</definedName>
    <definedName name="TIPS_PURCHASEDISCOUNT">#REF!</definedName>
    <definedName name="TIPS_REPLACEMENTTERM">#REF!</definedName>
    <definedName name="TIPS_RET_BENVAL">#REF!</definedName>
    <definedName name="TIPS_RET_CONVAL">#REF!</definedName>
    <definedName name="TIPS_Retirement">#REF!</definedName>
    <definedName name="TIPS_Salary_Increase">#REF!</definedName>
    <definedName name="TIPS_SCOPE_ALW">#REF!</definedName>
    <definedName name="TIPS_Service">#REF!</definedName>
    <definedName name="TIPS_SHARE_ROLE">#REF!</definedName>
    <definedName name="TIPS_SHIFT12_ALW">#REF!</definedName>
    <definedName name="TIPS_SHIFT8_ALW">#REF!</definedName>
    <definedName name="TIPS_SITE_ALW">#REF!</definedName>
    <definedName name="TIPS_SITEOFF_ALW">#REF!</definedName>
    <definedName name="TIPS_SKILL_ALW">#REF!</definedName>
    <definedName name="TIPS_SKILL_SPEC">#REF!</definedName>
    <definedName name="TIPS_SLSMAN_ALW">#REF!</definedName>
    <definedName name="TIPS_SS_BEN">#REF!</definedName>
    <definedName name="TIPS_SS_RATE">#REF!</definedName>
    <definedName name="TIPS_STK_CTRY">#REF!</definedName>
    <definedName name="TIPS_STK_EXCH">#REF!</definedName>
    <definedName name="TIPS_STK_TICKER">#REF!</definedName>
    <definedName name="TIPS_Store_Type">#REF!</definedName>
    <definedName name="TIPS_SUPP_HFUND">#REF!</definedName>
    <definedName name="TIPS_TRANS_ALW">#REF!</definedName>
    <definedName name="TIPS_TRAVEL_ALW">#REF!</definedName>
    <definedName name="TIPS_Type_of_contract">#REF!</definedName>
    <definedName name="TIPS_Type_of_Empl">#REF!</definedName>
    <definedName name="TIPS_UNION_COFEE">#REF!</definedName>
    <definedName name="TIPS_UNION_EEFEE">#REF!</definedName>
    <definedName name="TIPS_VESTOPT1">#REF!</definedName>
    <definedName name="TIPS_VESTOTH1">#REF!</definedName>
    <definedName name="TIPS_VESTPER1">#REF!</definedName>
    <definedName name="TIPS_VESTTYP1">#REF!</definedName>
    <definedName name="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>#REF!</definedName>
    <definedName name="title_tranfer_timing">#REF!</definedName>
    <definedName name="title_transfer_month">#REF!</definedName>
    <definedName name="title_transfer_month_lookup">#REF!</definedName>
    <definedName name="T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>#REF!</definedName>
    <definedName name="to" localSheetId="0" hidden="1">{#N/A,#N/A,FALSE,"표지";#N/A,#N/A,FALSE,"전제";#N/A,#N/A,FALSE,"손익-자 (2)";#N/A,#N/A,FALSE,"손익-자";#N/A,#N/A,FALSE,"손익-마 (2)";#N/A,#N/A,FALSE,"손익-마";#N/A,#N/A,FALSE,"총손최종"}</definedName>
    <definedName name="to" localSheetId="14" hidden="1">{#N/A,#N/A,FALSE,"표지";#N/A,#N/A,FALSE,"전제";#N/A,#N/A,FALSE,"손익-자 (2)";#N/A,#N/A,FALSE,"손익-자";#N/A,#N/A,FALSE,"손익-마 (2)";#N/A,#N/A,FALSE,"손익-마";#N/A,#N/A,FALSE,"총손최종"}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hidden="1">#REF!</definedName>
    <definedName name="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>#REF!</definedName>
    <definedName name="Tot_Outstand_Check">#REF!</definedName>
    <definedName name="TOTAL" localSheetId="0" hidden="1">{#N/A,#N/A,TRUE,"일정"}</definedName>
    <definedName name="TOTAL" localSheetId="14" hidden="1">{#N/A,#N/A,TRUE,"일정"}</definedName>
    <definedName name="TOTAL" hidden="1">{#N/A,#N/A,TRUE,"일정"}</definedName>
    <definedName name="Total_Contracted_Gross_Area">#REF!</definedName>
    <definedName name="TOTAL1">#REF!</definedName>
    <definedName name="TOTAL2">#REF!</definedName>
    <definedName name="TOTALCARR">#N/A</definedName>
    <definedName name="TOTALDOC">#N/A</definedName>
    <definedName name="TOTALGOODS">#N/A</definedName>
    <definedName name="TotalPyung">#REF!</definedName>
    <definedName name="TOTALVAT">#N/A</definedName>
    <definedName name="totamt">#REF!</definedName>
    <definedName name="TOWN">#N/A</definedName>
    <definedName name="TP1t">#REF!</definedName>
    <definedName name="TP2t">#REF!</definedName>
    <definedName name="TP3t">#REF!</definedName>
    <definedName name="TP5t">#REF!</definedName>
    <definedName name="tr" hidden="1">#REF!</definedName>
    <definedName name="TRAD">#REF!</definedName>
    <definedName name="TrafficLY">OFFSET(#REF!,1,#REF!,12,1)</definedName>
    <definedName name="TrafficTY">OFFSET(#REF!,,#REF!,12,1)</definedName>
    <definedName name="Training">#REF!</definedName>
    <definedName name="TransNum">#REF!</definedName>
    <definedName name="TRent">#REF!</definedName>
    <definedName name="TrialBalance2">#REF!</definedName>
    <definedName name="TRIM">#REF!</definedName>
    <definedName name="TRK">#REF!</definedName>
    <definedName name="TRLY">OFFSET(#REF!,1,#REF!,12,1)</definedName>
    <definedName name="TRTY">OFFSET(#REF!,,#REF!,12,1)</definedName>
    <definedName name="Trust_Fee">#REF!</definedName>
    <definedName name="TT">#REF!</definedName>
    <definedName name="TT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>#REF!</definedName>
    <definedName name="TTTTTTT">#REF!</definedName>
    <definedName name="ttttttttt">#REF!</definedName>
    <definedName name="tttttttttttt">#REF!</definedName>
    <definedName name="ttttttttttttttttttttttttttttttttttttttttttttttttttttt">#REF!</definedName>
    <definedName name="ttxx">#REF!</definedName>
    <definedName name="ttxxxx">#REF!</definedName>
    <definedName name="ttxxxxx">#REF!</definedName>
    <definedName name="TV">#REF!</definedName>
    <definedName name="TVMETH1">#REF!</definedName>
    <definedName name="TVMETH2">#REF!</definedName>
    <definedName name="TVMETH3">#REF!</definedName>
    <definedName name="TVMETH4">#REF!</definedName>
    <definedName name="TVMETH5">#REF!</definedName>
    <definedName name="TWN">#REF!</definedName>
    <definedName name="TXH">#REF!</definedName>
    <definedName name="TXK">#REF!</definedName>
    <definedName name="txx">#REF!</definedName>
    <definedName name="TYPE">#REF!</definedName>
    <definedName name="tyuiiut" localSheetId="0" hidden="1">{#N/A,#N/A,TRUE,"Assumptions";#N/A,#N/A,TRUE,"Sources of Revenue";#N/A,#N/A,TRUE,"P&amp;L";#N/A,#N/A,TRUE,"Bal. Sheet";#N/A,#N/A,TRUE,"Rights Issue &amp; X Adjustment";#N/A,#N/A,TRUE,"Transaction Model"}</definedName>
    <definedName name="tyuiiut" localSheetId="14" hidden="1">{#N/A,#N/A,TRUE,"Assumptions";#N/A,#N/A,TRUE,"Sources of Revenue";#N/A,#N/A,TRUE,"P&amp;L";#N/A,#N/A,TRUE,"Bal. Sheet";#N/A,#N/A,TRUE,"Rights Issue &amp; X Adjustment";#N/A,#N/A,TRUE,"Transaction Model"}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0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14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0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14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>#REF!</definedName>
    <definedName name="T행">#REF!</definedName>
    <definedName name="U">#REF!</definedName>
    <definedName name="U_C11">#REF!</definedName>
    <definedName name="u100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localSheetId="0" hidden="1">{#N/A,#N/A,FALSE,"Aging Summary";#N/A,#N/A,FALSE,"Ratio Analysis";#N/A,#N/A,FALSE,"Test 120 Day Accts";#N/A,#N/A,FALSE,"Tickmarks"}</definedName>
    <definedName name="ua" localSheetId="14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ighkj" localSheetId="0" hidden="1">{#N/A,#N/A,TRUE,"Assumptions";#N/A,#N/A,TRUE,"Sources of Revenue";#N/A,#N/A,TRUE,"P&amp;L";#N/A,#N/A,TRUE,"Bal. Sheet";#N/A,#N/A,TRUE,"Rights Issue &amp; X Adjustment";#N/A,#N/A,TRUE,"Transaction Model"}</definedName>
    <definedName name="uighkj" localSheetId="14" hidden="1">{#N/A,#N/A,TRUE,"Assumptions";#N/A,#N/A,TRUE,"Sources of Revenue";#N/A,#N/A,TRUE,"P&amp;L";#N/A,#N/A,TRUE,"Bal. Sheet";#N/A,#N/A,TRUE,"Rights Issue &amp; X Adjustment";#N/A,#N/A,TRUE,"Transaction Model"}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localSheetId="0" hidden="1">{#N/A,#N/A,TRUE,"Assumptions";#N/A,#N/A,TRUE,"Sources of Revenue";#N/A,#N/A,TRUE,"P&amp;L";#N/A,#N/A,TRUE,"Bal. Sheet";#N/A,#N/A,TRUE,"Rights Issue &amp; X Adjustment";#N/A,#N/A,TRUE,"Transaction Model"}</definedName>
    <definedName name="uio" localSheetId="14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천원">#REF!</definedName>
    <definedName name="Units">#REF!</definedName>
    <definedName name="Untitled">#REF!</definedName>
    <definedName name="UP_KOPIE">#REF!</definedName>
    <definedName name="UPC">#REF!</definedName>
    <definedName name="update">#REF!</definedName>
    <definedName name="UploadFile">#REF!</definedName>
    <definedName name="uti">#N/A</definedName>
    <definedName name="UtileBilver_utileBilCEE">#REF!</definedName>
    <definedName name="uto">#N/A</definedName>
    <definedName name="UT검사">#REF!</definedName>
    <definedName name="uu">#REF!</definedName>
    <definedName name="UUU" hidden="1">#REF!</definedName>
    <definedName name="uuuuuu">#REF!</definedName>
    <definedName name="uuuuuuuuuuuuuuuuuuuuuuuuuuuuuuuuuuuuuuuuuuuuuuuuuuuuuuuuuuuuuuuuuuuuuuuuuuuuuuuuuuuuuuuuuuuuuuuuuuuuuu">#REF!</definedName>
    <definedName name="U행">#REF!</definedName>
    <definedName name="V">#REF!</definedName>
    <definedName name="variance">#REF!</definedName>
    <definedName name="vat_at_aquisition">#REF!</definedName>
    <definedName name="vatloan">#REF!</definedName>
    <definedName name="vbn" localSheetId="0" hidden="1">{#N/A,#N/A,TRUE,"Assumptions";#N/A,#N/A,TRUE,"Sources of Revenue";#N/A,#N/A,TRUE,"P&amp;L";#N/A,#N/A,TRUE,"Bal. Sheet";#N/A,#N/A,TRUE,"Rights Issue &amp; X Adjustment";#N/A,#N/A,TRUE,"Transaction Model"}</definedName>
    <definedName name="vbn" localSheetId="14" hidden="1">{#N/A,#N/A,TRUE,"Assumptions";#N/A,#N/A,TRUE,"Sources of Revenue";#N/A,#N/A,TRUE,"P&amp;L";#N/A,#N/A,TRUE,"Bal. Sheet";#N/A,#N/A,TRUE,"Rights Issue &amp; X Adjustment";#N/A,#N/A,TRUE,"Transaction Model"}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localSheetId="0" hidden="1">{"'買掛金'!$J$6"}</definedName>
    <definedName name="vds" localSheetId="14" hidden="1">{"'買掛金'!$J$6"}</definedName>
    <definedName name="vds" hidden="1">{"'買掛金'!$J$6"}</definedName>
    <definedName name="VDSAG" localSheetId="0" hidden="1">{#N/A,#N/A,TRUE,"일정"}</definedName>
    <definedName name="VDSAG" localSheetId="14" hidden="1">{#N/A,#N/A,TRUE,"일정"}</definedName>
    <definedName name="VDSAG" hidden="1">{#N/A,#N/A,TRUE,"일정"}</definedName>
    <definedName name="vfdf" localSheetId="0" hidden="1">{#N/A,#N/A,TRUE,"Assumptions";#N/A,#N/A,TRUE,"Sources of Revenue";#N/A,#N/A,TRUE,"P&amp;L";#N/A,#N/A,TRUE,"Bal. Sheet";#N/A,#N/A,TRUE,"Rights Issue &amp; X Adjustment";#N/A,#N/A,TRUE,"Transaction Model"}</definedName>
    <definedName name="vfdf" localSheetId="14" hidden="1">{#N/A,#N/A,TRUE,"Assumptions";#N/A,#N/A,TRUE,"Sources of Revenue";#N/A,#N/A,TRUE,"P&amp;L";#N/A,#N/A,TRUE,"Bal. Sheet";#N/A,#N/A,TRUE,"Rights Issue &amp; X Adjustment";#N/A,#N/A,TRUE,"Transaction Model"}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>#REF!</definedName>
    <definedName name="voc" hidden="1">#REF!</definedName>
    <definedName name="VOCDIDTLR2" hidden="1">#REF!</definedName>
    <definedName name="VSUMCL">#REF!</definedName>
    <definedName name="VT">#REF!</definedName>
    <definedName name="VV">#REF!</definedName>
    <definedName name="VVT">#REF!</definedName>
    <definedName name="vvv" localSheetId="0" hidden="1">{"'買掛金'!$J$6"}</definedName>
    <definedName name="vvv" localSheetId="14" hidden="1">{"'買掛金'!$J$6"}</definedName>
    <definedName name="vvv" hidden="1">{"'買掛金'!$J$6"}</definedName>
    <definedName name="vvvvv">#REF!</definedName>
    <definedName name="vvvvvvvvvvvvvv">#REF!</definedName>
    <definedName name="vxccx" localSheetId="0" hidden="1">{"'買掛金'!$J$6"}</definedName>
    <definedName name="vxccx" localSheetId="14" hidden="1">{"'買掛金'!$J$6"}</definedName>
    <definedName name="vxccx" hidden="1">{"'買掛金'!$J$6"}</definedName>
    <definedName name="V행">#REF!</definedName>
    <definedName name="w" localSheetId="0" hidden="1">{#N/A,#N/A,FALSE,"Aging Summary";#N/A,#N/A,FALSE,"Ratio Analysis";#N/A,#N/A,FALSE,"Test 120 Day Accts";#N/A,#N/A,FALSE,"Tickmarks"}</definedName>
    <definedName name="w" localSheetId="14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>#REF!</definedName>
    <definedName name="warrants1">#REF!</definedName>
    <definedName name="WBS" localSheetId="0" hidden="1">{#N/A,#N/A,FALSE,"Aging Summary";#N/A,#N/A,FALSE,"Ratio Analysis";#N/A,#N/A,FALSE,"Test 120 Day Accts";#N/A,#N/A,FALSE,"Tickmarks"}</definedName>
    <definedName name="WBS" localSheetId="14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localSheetId="0" hidden="1">{#N/A,#N/A,TRUE,"Y생산";#N/A,#N/A,TRUE,"Y판매";#N/A,#N/A,TRUE,"Y총물량";#N/A,#N/A,TRUE,"Y능력";#N/A,#N/A,TRUE,"YKD"}</definedName>
    <definedName name="WEARF" localSheetId="14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ARF_1" localSheetId="0" hidden="1">{#N/A,#N/A,TRUE,"Y생산";#N/A,#N/A,TRUE,"Y판매";#N/A,#N/A,TRUE,"Y총물량";#N/A,#N/A,TRUE,"Y능력";#N/A,#N/A,TRUE,"YKD"}</definedName>
    <definedName name="WEARF_1" localSheetId="14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localSheetId="0" hidden="1">{#N/A,#N/A,TRUE,"Assumptions";#N/A,#N/A,TRUE,"Sources of Revenue";#N/A,#N/A,TRUE,"P&amp;L";#N/A,#N/A,TRUE,"Bal. Sheet";#N/A,#N/A,TRUE,"Rights Issue &amp; X Adjustment";#N/A,#N/A,TRUE,"Transaction Model"}</definedName>
    <definedName name="wer" localSheetId="14" hidden="1">{#N/A,#N/A,TRUE,"Assumptions";#N/A,#N/A,TRUE,"Sources of Revenue";#N/A,#N/A,TRUE,"P&amp;L";#N/A,#N/A,TRUE,"Bal. Sheet";#N/A,#N/A,TRUE,"Rights Issue &amp; X Adjustment";#N/A,#N/A,TRUE,"Transaction Model"}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>#REF!</definedName>
    <definedName name="wetr" localSheetId="0" hidden="1">{#N/A,#N/A,TRUE,"Assumptions";#N/A,#N/A,TRUE,"Sources of Revenue";#N/A,#N/A,TRUE,"P&amp;L";#N/A,#N/A,TRUE,"Bal. Sheet";#N/A,#N/A,TRUE,"Rights Issue &amp; X Adjustment";#N/A,#N/A,TRUE,"Transaction Model"}</definedName>
    <definedName name="wetr" localSheetId="14" hidden="1">{#N/A,#N/A,TRUE,"Assumptions";#N/A,#N/A,TRUE,"Sources of Revenue";#N/A,#N/A,TRUE,"P&amp;L";#N/A,#N/A,TRUE,"Bal. Sheet";#N/A,#N/A,TRUE,"Rights Issue &amp; X Adjustment";#N/A,#N/A,TRUE,"Transaction Model"}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localSheetId="0" hidden="1">{#N/A,#N/A,TRUE,"Assumptions";#N/A,#N/A,TRUE,"Sources of Revenue";#N/A,#N/A,TRUE,"P&amp;L";#N/A,#N/A,TRUE,"Bal. Sheet";#N/A,#N/A,TRUE,"Rights Issue &amp; X Adjustment";#N/A,#N/A,TRUE,"Transaction Model"}</definedName>
    <definedName name="wetrwet" localSheetId="14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>#REF!</definedName>
    <definedName name="white_non_see_thru_solid_ctn_poplin">#REF!</definedName>
    <definedName name="wide_wale_cord">#REF!</definedName>
    <definedName name="widebs">#REF!</definedName>
    <definedName name="Winter" localSheetId="0" hidden="1">{#N/A,#N/A,FALSE,"95FW"}</definedName>
    <definedName name="Winter" localSheetId="14" hidden="1">{#N/A,#N/A,FALSE,"95FW"}</definedName>
    <definedName name="Winter" hidden="1">{#N/A,#N/A,FALSE,"95FW"}</definedName>
    <definedName name="wkd" localSheetId="0" hidden="1">{#N/A,#N/A,FALSE,"3가";#N/A,#N/A,FALSE,"3나";#N/A,#N/A,FALSE,"3다"}</definedName>
    <definedName name="wkd" localSheetId="14" hidden="1">{#N/A,#N/A,FALSE,"3가";#N/A,#N/A,FALSE,"3나";#N/A,#N/A,FALSE,"3다"}</definedName>
    <definedName name="wkd" hidden="1">{#N/A,#N/A,FALSE,"3가";#N/A,#N/A,FALSE,"3나";#N/A,#N/A,FALSE,"3다"}</definedName>
    <definedName name="wkgk" localSheetId="0" hidden="1">{#N/A,#N/A,FALSE,"BS";#N/A,#N/A,FALSE,"PL";#N/A,#N/A,FALSE,"처분";#N/A,#N/A,FALSE,"현금";#N/A,#N/A,FALSE,"매출";#N/A,#N/A,FALSE,"원가";#N/A,#N/A,FALSE,"경영"}</definedName>
    <definedName name="wkgk" localSheetId="14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ks">#REF!</definedName>
    <definedName name="wkworhgk" localSheetId="0" hidden="1">{#N/A,#N/A,TRUE,"Y생산";#N/A,#N/A,TRUE,"Y판매";#N/A,#N/A,TRUE,"Y총물량";#N/A,#N/A,TRUE,"Y능력";#N/A,#N/A,TRUE,"YKD"}</definedName>
    <definedName name="wkworhgk" localSheetId="14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localSheetId="14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>#REF!</definedName>
    <definedName name="Woori_Growth_rate">#REF!</definedName>
    <definedName name="WORK_COM">#N/A</definedName>
    <definedName name="WPL" localSheetId="0" hidden="1">{#N/A,#N/A,FALSE,"Aging Summary";#N/A,#N/A,FALSE,"Ratio Analysis";#N/A,#N/A,FALSE,"Test 120 Day Accts";#N/A,#N/A,FALSE,"Tickmarks"}</definedName>
    <definedName name="WPL" localSheetId="14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P투자사업개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0" hidden="1">{#N/A,#N/A,TRUE,"일정"}</definedName>
    <definedName name="wq" localSheetId="14" hidden="1">{#N/A,#N/A,TRUE,"일정"}</definedName>
    <definedName name="wq" hidden="1">{#N/A,#N/A,TRUE,"일정"}</definedName>
    <definedName name="wrn.345." localSheetId="0" hidden="1">{#N/A,#N/A,FALSE,"96 3월물량표";#N/A,#N/A,FALSE,"96 4월물량표";#N/A,#N/A,FALSE,"96 5월물량표"}</definedName>
    <definedName name="wrn.345." localSheetId="14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5._.fw._.진행현황." localSheetId="0" hidden="1">{#N/A,#N/A,FALSE,"95FW"}</definedName>
    <definedName name="wrn.95._.fw._.진행현황." localSheetId="14" hidden="1">{#N/A,#N/A,FALSE,"95FW"}</definedName>
    <definedName name="wrn.95._.fw._.진행현황." hidden="1">{#N/A,#N/A,FALSE,"95FW"}</definedName>
    <definedName name="wrn.97년._.9월._.임차현황." localSheetId="0" hidden="1">{#N/A,#N/A,FALSE,"동부"}</definedName>
    <definedName name="wrn.97년._.9월._.임차현황." localSheetId="14" hidden="1">{#N/A,#N/A,FALSE,"동부"}</definedName>
    <definedName name="wrn.97년._.9월._.임차현황." hidden="1">{#N/A,#N/A,FALSE,"동부"}</definedName>
    <definedName name="wrn.97년._.9월._.임차현황._1" localSheetId="0" hidden="1">{#N/A,#N/A,FALSE,"동부"}</definedName>
    <definedName name="wrn.97년._.9월._.임차현황._1" localSheetId="14" hidden="1">{#N/A,#N/A,FALSE,"동부"}</definedName>
    <definedName name="wrn.97년._.9월._.임차현황._1" hidden="1">{#N/A,#N/A,FALSE,"동부"}</definedName>
    <definedName name="WRN.AAA." localSheetId="0" hidden="1">{#N/A,#N/A,FALSE,"단축1";#N/A,#N/A,FALSE,"단축2";#N/A,#N/A,FALSE,"단축3";#N/A,#N/A,FALSE,"장축";#N/A,#N/A,FALSE,"4WD"}</definedName>
    <definedName name="WRN.AAA." localSheetId="14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CCEL._.PERF." localSheetId="0" hidden="1">{#N/A,#N/A,FALSE,"입력SHT"}</definedName>
    <definedName name="wrn.ACCEL._.PERF." localSheetId="14" hidden="1">{#N/A,#N/A,FALSE,"입력SHT"}</definedName>
    <definedName name="wrn.ACCEL._.PERF." hidden="1">{#N/A,#N/A,FALSE,"입력SHT"}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localSheetId="14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localSheetId="0" hidden="1">{#N/A,#N/A,FALSE,"PROG &amp; MARKET";#N/A,#N/A,FALSE,"SUMMARY";#N/A,#N/A,FALSE,"LANDSIDE -DETAIL";#N/A,#N/A,FALSE,"VESSEL"}</definedName>
    <definedName name="wrn.ALL." localSheetId="14" hidden="1">{#N/A,#N/A,FALSE,"PROG &amp; MARKET";#N/A,#N/A,FALSE,"SUMMARY";#N/A,#N/A,FALSE,"LANDSIDE -DETAIL";#N/A,#N/A,FALSE,"VESSEL"}</definedName>
    <definedName name="wrn.ALL." hidden="1">{#N/A,#N/A,FALSE,"PROG &amp; MARKET";#N/A,#N/A,FALSE,"SUMMARY";#N/A,#N/A,FALSE,"LANDSIDE -DETAIL";#N/A,#N/A,FALSE,"VESSEL"}</definedName>
    <definedName name="wrn.ALL._.METRICS." localSheetId="0" hidden="1">{#N/A,#N/A,TRUE,"contents";#N/A,#N/A,TRUE,"production";#N/A,#N/A,TRUE,"svcg";#N/A,#N/A,TRUE,"cent_offices";#N/A,#N/A,TRUE,"subs"}</definedName>
    <definedName name="wrn.ALL._.METRICS." localSheetId="14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Sheets." localSheetId="0" hidden="1">{#N/A,#N/A,TRUE,"Assumptions";#N/A,#N/A,TRUE,"Sources of Revenue";#N/A,#N/A,TRUE,"P&amp;L";#N/A,#N/A,TRUE,"Bal. Sheet";#N/A,#N/A,TRUE,"Rights Issue &amp; X Adjustment";#N/A,#N/A,TRUE,"Transaction Model"}</definedName>
    <definedName name="wrn.All._.Sheets." localSheetId="14" hidden="1">{#N/A,#N/A,TRUE,"Assumptions";#N/A,#N/A,TRUE,"Sources of Revenue";#N/A,#N/A,TRUE,"P&amp;L";#N/A,#N/A,TRUE,"Bal. Sheet";#N/A,#N/A,TRUE,"Rights Issue &amp; X Adjustment";#N/A,#N/A,TRUE,"Transaction Model"}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localSheetId="0" hidden="1">{#N/A,#N/A,FALSE,"PROG &amp; MARKET";#N/A,#N/A,FALSE,"SUMMARY";#N/A,#N/A,FALSE,"LANDSIDE -DETAIL";#N/A,#N/A,FALSE,"VESSEL"}</definedName>
    <definedName name="wrn.ALL._1" localSheetId="14" hidden="1">{#N/A,#N/A,FALSE,"PROG &amp; MARKET";#N/A,#N/A,FALSE,"SUMMARY";#N/A,#N/A,FALSE,"LANDSIDE -DETAIL";#N/A,#N/A,FALSE,"VESSEL"}</definedName>
    <definedName name="wrn.ALL._1" hidden="1">{#N/A,#N/A,FALSE,"PROG &amp; MARKET";#N/A,#N/A,FALSE,"SUMMARY";#N/A,#N/A,FALSE,"LANDSIDE -DETAIL";#N/A,#N/A,FALSE,"VESSEL"}</definedName>
    <definedName name="wrn.AnnualRentRoll" localSheetId="0" hidden="1">{"AnnualRentRoll",#N/A,FALSE,"RentRoll"}</definedName>
    <definedName name="wrn.AnnualRentRoll" localSheetId="14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localSheetId="14" hidden="1">{"AnnualRentRoll",#N/A,FALSE,"RentRoll"}</definedName>
    <definedName name="wrn.AnnualRentRoll." hidden="1">{"AnnualRentRoll",#N/A,FALSE,"RentRoll"}</definedName>
    <definedName name="wrn.AnnualRentRoll._1" localSheetId="0" hidden="1">{"AnnualRentRoll",#N/A,FALSE,"RentRoll"}</definedName>
    <definedName name="wrn.AnnualRentRoll._1" localSheetId="14" hidden="1">{"AnnualRentRoll",#N/A,FALSE,"RentRoll"}</definedName>
    <definedName name="wrn.AnnualRentRoll._1" hidden="1">{"AnnualRentRoll",#N/A,FALSE,"RentRoll"}</definedName>
    <definedName name="wrn.AnnualRentRoll_1" localSheetId="0" hidden="1">{"AnnualRentRoll",#N/A,FALSE,"RentRoll"}</definedName>
    <definedName name="wrn.AnnualRentRoll_1" localSheetId="14" hidden="1">{"AnnualRentRoll",#N/A,FALSE,"RentRoll"}</definedName>
    <definedName name="wrn.AnnualRentRoll_1" hidden="1">{"AnnualRentRoll",#N/A,FALSE,"RentRoll"}</definedName>
    <definedName name="wrn.balance._.franc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1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1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localSheetId="0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localSheetId="14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localSheetId="0" hidden="1">{#N/A,#N/A,FALSE,"단축1";#N/A,#N/A,FALSE,"단축2";#N/A,#N/A,FALSE,"단축3";#N/A,#N/A,FALSE,"장축";#N/A,#N/A,FALSE,"4WD"}</definedName>
    <definedName name="wrn.bbb." localSheetId="14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BL94TAXRETURN.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14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localSheetId="0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1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localSheetId="0" hidden="1">{"budget1",#N/A,FALSE,"BUDG.XLS";"budget2",#N/A,FALSE,"BUDG.XLS"}</definedName>
    <definedName name="wrn.budget." localSheetId="14" hidden="1">{"budget1",#N/A,FALSE,"BUDG.XLS";"budget2",#N/A,FALSE,"BUDG.XLS"}</definedName>
    <definedName name="wrn.budget." hidden="1">{"budget1",#N/A,FALSE,"BUDG.XLS";"budget2",#N/A,FALSE,"BUDG.XLS"}</definedName>
    <definedName name="wrn.budget._1" localSheetId="0" hidden="1">{"budget1",#N/A,FALSE,"BUDG.XLS";"budget2",#N/A,FALSE,"BUDG.XLS"}</definedName>
    <definedName name="wrn.budget._1" localSheetId="14" hidden="1">{"budget1",#N/A,FALSE,"BUDG.XLS";"budget2",#N/A,FALSE,"BUDG.XLS"}</definedName>
    <definedName name="wrn.budget._1" hidden="1">{"budget1",#N/A,FALSE,"BUDG.XLS";"budget2",#N/A,FALSE,"BUDG.XLS"}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1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1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0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1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0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1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14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0" hidden="1">{#N/A,#N/A,FALSE,"BS";#N/A,#N/A,FALSE,"PL";#N/A,#N/A,FALSE,"처분";#N/A,#N/A,FALSE,"현금";#N/A,#N/A,FALSE,"매출";#N/A,#N/A,FALSE,"원가";#N/A,#N/A,FALSE,"경영"}</definedName>
    <definedName name="wrn.COSA._.FS._.국문._1" localSheetId="14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0" hidden="1">{#N/A,#N/A,FALSE,"1.CRITERIA";#N/A,#N/A,FALSE,"2.IS";#N/A,#N/A,FALSE,"3.BS";#N/A,#N/A,FALSE,"4.PER PL";#N/A,#N/A,FALSE,"5.INVESTMENT";#N/A,#N/A,FALSE,"6.공문";#N/A,#N/A,FALSE,"7.netinvest"}</definedName>
    <definedName name="wrn.criteria.95p." localSheetId="14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4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localSheetId="0" hidden="1">{#N/A,#N/A,FALSE,"ExitStratigy"}</definedName>
    <definedName name="wrn.ExitAndSalesAssumptions." localSheetId="14" hidden="1">{#N/A,#N/A,FALSE,"ExitStratigy"}</definedName>
    <definedName name="wrn.ExitAndSalesAssumptions." hidden="1">{#N/A,#N/A,FALSE,"ExitStratigy"}</definedName>
    <definedName name="wrn.ExitAndSalesAssumptions._1" localSheetId="0" hidden="1">{#N/A,#N/A,FALSE,"ExitStratigy"}</definedName>
    <definedName name="wrn.ExitAndSalesAssumptions._1" localSheetId="14" hidden="1">{#N/A,#N/A,FALSE,"ExitStratigy"}</definedName>
    <definedName name="wrn.ExitAndSalesAssumptions._1" hidden="1">{#N/A,#N/A,FALSE,"ExitStratigy"}</definedName>
    <definedName name="wrn.FULL." localSheetId="0" hidden="1">{#N/A,#N/A,FALSE,"B"}</definedName>
    <definedName name="wrn.FULL." localSheetId="14" hidden="1">{#N/A,#N/A,FALSE,"B"}</definedName>
    <definedName name="wrn.FULL." hidden="1">{#N/A,#N/A,FALSE,"B"}</definedName>
    <definedName name="wrn.FULL._1" localSheetId="0" hidden="1">{#N/A,#N/A,FALSE,"B"}</definedName>
    <definedName name="wrn.FULL._1" localSheetId="14" hidden="1">{#N/A,#N/A,FALSE,"B"}</definedName>
    <definedName name="wrn.FULL._1" hidden="1">{#N/A,#N/A,FALSE,"B"}</definedName>
    <definedName name="wrn.HILTON._.GARDEN._.INN." localSheetId="0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localSheetId="1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0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1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1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1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0" hidden="1">{#N/A,#N/A,FALSE,"LoanAssumptions"}</definedName>
    <definedName name="wrn.LoanInformation." localSheetId="14" hidden="1">{#N/A,#N/A,FALSE,"LoanAssumptions"}</definedName>
    <definedName name="wrn.LoanInformation." hidden="1">{#N/A,#N/A,FALSE,"LoanAssumptions"}</definedName>
    <definedName name="wrn.LoanInformation._1" localSheetId="0" hidden="1">{#N/A,#N/A,FALSE,"LoanAssumptions"}</definedName>
    <definedName name="wrn.LoanInformation._1" localSheetId="14" hidden="1">{#N/A,#N/A,FALSE,"LoanAssumptions"}</definedName>
    <definedName name="wrn.LoanInformation._1" hidden="1">{#N/A,#N/A,FALSE,"LoanAssumptions"}</definedName>
    <definedName name="wrn.lodging." localSheetId="0" hidden="1">{"p",#N/A,FALSE,"Sheet1";"p 2",#N/A,FALSE,"Sheet1";"p 3",#N/A,FALSE,"Sheet1"}</definedName>
    <definedName name="wrn.lodging." localSheetId="14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localSheetId="0" hidden="1">{"p",#N/A,FALSE,"Sheet1";"p 2",#N/A,FALSE,"Sheet1";"p 3",#N/A,FALSE,"Sheet1"}</definedName>
    <definedName name="wrn.lodging._1" localSheetId="14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localSheetId="0" hidden="1">{"MonthlyRentRoll",#N/A,FALSE,"RentRoll"}</definedName>
    <definedName name="wrn.MonthlyRentRoll." localSheetId="14" hidden="1">{"MonthlyRentRoll",#N/A,FALSE,"RentRoll"}</definedName>
    <definedName name="wrn.MonthlyRentRoll." hidden="1">{"MonthlyRentRoll",#N/A,FALSE,"RentRoll"}</definedName>
    <definedName name="wrn.MonthlyRentRoll._1" localSheetId="0" hidden="1">{"MonthlyRentRoll",#N/A,FALSE,"RentRoll"}</definedName>
    <definedName name="wrn.MonthlyRentRoll._1" localSheetId="14" hidden="1">{"MonthlyRentRoll",#N/A,FALSE,"RentRoll"}</definedName>
    <definedName name="wrn.MonthlyRentRoll._1" hidden="1">{"MonthlyRentRoll",#N/A,FALSE,"RentRoll"}</definedName>
    <definedName name="wrn.no.1." localSheetId="0" hidden="1">{#N/A,#N/A,FALSE,"Const";#N/A,#N/A,FALSE,"P&amp;L";#N/A,#N/A,FALSE,"Sale"}</definedName>
    <definedName name="wrn.no.1." localSheetId="14" hidden="1">{#N/A,#N/A,FALSE,"Const";#N/A,#N/A,FALSE,"P&amp;L";#N/A,#N/A,FALSE,"Sale"}</definedName>
    <definedName name="wrn.no.1." hidden="1">{#N/A,#N/A,FALSE,"Const";#N/A,#N/A,FALSE,"P&amp;L";#N/A,#N/A,FALSE,"Sale"}</definedName>
    <definedName name="Wrn.nov29" localSheetId="0" hidden="1">{#N/A,#N/A,FALSE,"BALLY COSTS";#N/A,#N/A,FALSE,"FF&amp;E";#N/A,#N/A,FALSE,"FEES";#N/A,#N/A,FALSE,"CONTINGENCY";#N/A,#N/A,FALSE,"SOFT COSTS";#N/A,#N/A,FALSE,"DETAIL";#N/A,#N/A,FALSE,"sum12-3"}</definedName>
    <definedName name="Wrn.nov29" localSheetId="14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localSheetId="0" hidden="1">{#N/A,#N/A,FALSE,"BALLY COSTS";#N/A,#N/A,FALSE,"FF&amp;E";#N/A,#N/A,FALSE,"FEES";#N/A,#N/A,FALSE,"CONTINGENCY";#N/A,#N/A,FALSE,"SOFT COSTS";#N/A,#N/A,FALSE,"DETAIL";#N/A,#N/A,FALSE,"sum12-3"}</definedName>
    <definedName name="Wrn.nov29_1" localSheetId="14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localSheetId="0" hidden="1">{#N/A,#N/A,FALSE,"BALLY COSTS";#N/A,#N/A,FALSE,"FF&amp;E";#N/A,#N/A,FALSE,"FEES";#N/A,#N/A,FALSE,"CONTINGENCY";#N/A,#N/A,FALSE,"SOFT COSTS";#N/A,#N/A,FALSE,"DETAIL";#N/A,#N/A,FALSE,"sum12-3"}</definedName>
    <definedName name="wrn.NOV30." localSheetId="14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0" hidden="1">{#N/A,#N/A,FALSE,"BALLY COSTS";#N/A,#N/A,FALSE,"FF&amp;E";#N/A,#N/A,FALSE,"FEES";#N/A,#N/A,FALSE,"CONTINGENCY";#N/A,#N/A,FALSE,"SOFT COSTS";#N/A,#N/A,FALSE,"DETAIL";#N/A,#N/A,FALSE,"sum12-3"}</definedName>
    <definedName name="wrn.NOV30._1" localSheetId="14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1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1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localSheetId="0" hidden="1">{#N/A,#N/A,FALSE,"OperatingAssumptions"}</definedName>
    <definedName name="wrn.OperatingAssumtions." localSheetId="14" hidden="1">{#N/A,#N/A,FALSE,"OperatingAssumptions"}</definedName>
    <definedName name="wrn.OperatingAssumtions." hidden="1">{#N/A,#N/A,FALSE,"OperatingAssumptions"}</definedName>
    <definedName name="wrn.OperatingAssumtions._1" localSheetId="0" hidden="1">{#N/A,#N/A,FALSE,"OperatingAssumptions"}</definedName>
    <definedName name="wrn.OperatingAssumtions._1" localSheetId="14" hidden="1">{#N/A,#N/A,FALSE,"OperatingAssumptions"}</definedName>
    <definedName name="wrn.OperatingAssumtions._1" hidden="1">{#N/A,#N/A,FALSE,"OperatingAssumptions"}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1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1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0" hidden="1">{#N/A,#N/A,FALSE,"SUMMARY SHEET";#N/A,#N/A,FALSE,"VARIANCE REPORT";#N/A,#N/A,FALSE,"CAT1-16 SUMM";#N/A,#N/A,FALSE,"GCS";#N/A,#N/A,FALSE,"FF &amp; E";#N/A,#N/A,FALSE,"DESIGN COSTS"}</definedName>
    <definedName name="wrn.PRESENTATION." localSheetId="14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localSheetId="0" hidden="1">{#N/A,#N/A,FALSE,"SUMMARY SHEET";#N/A,#N/A,FALSE,"VARIANCE REPORT";#N/A,#N/A,FALSE,"CAT1-16 SUMM";#N/A,#N/A,FALSE,"GCS";#N/A,#N/A,FALSE,"FF &amp; E";#N/A,#N/A,FALSE,"DESIGN COSTS"}</definedName>
    <definedName name="wrn.PRESENTATION._1" localSheetId="14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localSheetId="0" hidden="1">{"page1",#N/A,FALSE,"Sheet1";"page2",#N/A,FALSE,"Sheet1"}</definedName>
    <definedName name="wrn.print." localSheetId="14" hidden="1">{"page1",#N/A,FALSE,"Sheet1";"page2",#N/A,FALSE,"Sheet1"}</definedName>
    <definedName name="wrn.print." hidden="1">{"page1",#N/A,FALSE,"Sheet1";"page2",#N/A,FALSE,"Sheet1"}</definedName>
    <definedName name="wrn.print._1" localSheetId="0" hidden="1">{"page1",#N/A,FALSE,"Sheet1";"page2",#N/A,FALSE,"Sheet1"}</definedName>
    <definedName name="wrn.print._1" localSheetId="14" hidden="1">{"page1",#N/A,FALSE,"Sheet1";"page2",#N/A,FALSE,"Sheet1"}</definedName>
    <definedName name="wrn.print._1" hidden="1">{"page1",#N/A,FALSE,"Sheet1";"page2",#N/A,FALSE,"Sheet1"}</definedName>
    <definedName name="wrn.PropertyInformation." localSheetId="0" hidden="1">{#N/A,#N/A,FALSE,"PropertyInfo"}</definedName>
    <definedName name="wrn.PropertyInformation." localSheetId="14" hidden="1">{#N/A,#N/A,FALSE,"PropertyInfo"}</definedName>
    <definedName name="wrn.PropertyInformation." hidden="1">{#N/A,#N/A,FALSE,"PropertyInfo"}</definedName>
    <definedName name="wrn.PropertyInformation._1" localSheetId="0" hidden="1">{#N/A,#N/A,FALSE,"PropertyInfo"}</definedName>
    <definedName name="wrn.PropertyInformation._1" localSheetId="14" hidden="1">{#N/A,#N/A,FALSE,"PropertyInfo"}</definedName>
    <definedName name="wrn.PropertyInformation._1" hidden="1">{#N/A,#N/A,FALSE,"PropertyInfo"}</definedName>
    <definedName name="wrn.REPORT._.ALL." localSheetId="0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localSheetId="1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0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1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1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1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1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1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4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0" hidden="1">{#N/A,#N/A,FALSE,"Summary"}</definedName>
    <definedName name="wrn.Summary." localSheetId="14" hidden="1">{#N/A,#N/A,FALSE,"Summary"}</definedName>
    <definedName name="wrn.Summary." hidden="1">{#N/A,#N/A,FALSE,"Summary"}</definedName>
    <definedName name="wrn.Summary._1" localSheetId="0" hidden="1">{#N/A,#N/A,FALSE,"Summary"}</definedName>
    <definedName name="wrn.Summary._1" localSheetId="14" hidden="1">{#N/A,#N/A,FALSE,"Summary"}</definedName>
    <definedName name="wrn.Summary._1" hidden="1">{#N/A,#N/A,FALSE,"Summary"}</definedName>
    <definedName name="wrn.TEST." localSheetId="0" hidden="1">{#N/A,#N/A,FALSE,"3가";#N/A,#N/A,FALSE,"3나";#N/A,#N/A,FALSE,"3다"}</definedName>
    <definedName name="wrn.TEST." localSheetId="14" hidden="1">{#N/A,#N/A,FALSE,"3가";#N/A,#N/A,FALSE,"3나";#N/A,#N/A,FALSE,"3다"}</definedName>
    <definedName name="wrn.TEST." hidden="1">{#N/A,#N/A,FALSE,"3가";#N/A,#N/A,FALSE,"3나";#N/A,#N/A,FALSE,"3다"}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0" hidden="1">{#N/A,#N/A,TRUE,"Y생산";#N/A,#N/A,TRUE,"Y판매";#N/A,#N/A,TRUE,"Y총물량";#N/A,#N/A,TRUE,"Y능력";#N/A,#N/A,TRUE,"YKD"}</definedName>
    <definedName name="wrn.Y차._.종합." localSheetId="14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0" hidden="1">{#N/A,#N/A,TRUE,"1호 과표세액";#N/A,#N/A,TRUE,"6호 첨부(익)";#N/A,#N/A,TRUE,"6-3호 퇴충";#N/A,#N/A,TRUE,"PL";#N/A,#N/A,TRUE,"BS";#N/A,#N/A,TRUE,"RE";#N/A,#N/A,TRUE,"표지"}</definedName>
    <definedName name="wrn.간단한세무조정계산서._1" localSheetId="14" hidden="1">{#N/A,#N/A,TRUE,"1호 과표세액";#N/A,#N/A,TRUE,"6호 첨부(익)";#N/A,#N/A,TRUE,"6-3호 퇴충";#N/A,#N/A,TRUE,"PL";#N/A,#N/A,TRUE,"BS";#N/A,#N/A,TRUE,"RE";#N/A,#N/A,TRUE,"표지"}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localSheetId="0" hidden="1">{#N/A,#N/A,TRUE,"대 차 대 조 표"}</definedName>
    <definedName name="wrn.대차._.대조표." localSheetId="14" hidden="1">{#N/A,#N/A,TRUE,"대 차 대 조 표"}</definedName>
    <definedName name="wrn.대차._.대조표." hidden="1">{#N/A,#N/A,TRUE,"대 차 대 조 표"}</definedName>
    <definedName name="wrn.대차._.대조표._1" localSheetId="0" hidden="1">{#N/A,#N/A,TRUE,"대 차 대 조 표"}</definedName>
    <definedName name="wrn.대차._.대조표._1" localSheetId="14" hidden="1">{#N/A,#N/A,TRUE,"대 차 대 조 표"}</definedName>
    <definedName name="wrn.대차._.대조표._1" hidden="1">{#N/A,#N/A,TRUE,"대 차 대 조 표"}</definedName>
    <definedName name="wrn.보고서." localSheetId="0" hidden="1">{#N/A,#N/A,FALSE,"Sheet1";#N/A,#N/A,FALSE,"기평9607"}</definedName>
    <definedName name="wrn.보고서." localSheetId="14" hidden="1">{#N/A,#N/A,FALSE,"Sheet1";#N/A,#N/A,FALSE,"기평9607"}</definedName>
    <definedName name="wrn.보고서." hidden="1">{#N/A,#N/A,FALSE,"Sheet1";#N/A,#N/A,FALSE,"기평9607"}</definedName>
    <definedName name="wrn.보고서._1" localSheetId="0" hidden="1">{#N/A,#N/A,FALSE,"Sheet1";#N/A,#N/A,FALSE,"기평9607"}</definedName>
    <definedName name="wrn.보고서._1" localSheetId="14" hidden="1">{#N/A,#N/A,FALSE,"Sheet1";#N/A,#N/A,FALSE,"기평9607"}</definedName>
    <definedName name="wrn.보고서._1" hidden="1">{#N/A,#N/A,FALSE,"Sheet1";#N/A,#N/A,FALSE,"기평9607"}</definedName>
    <definedName name="wrn.부하계획.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localSheetId="1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localSheetId="0" hidden="1">{#N/A,#N/A,FALSE,"SILO현황";#N/A,#N/A,FALSE,"타업체";#N/A,#N/A,FALSE,"생산능력"}</definedName>
    <definedName name="wrn.사업계획." localSheetId="14" hidden="1">{#N/A,#N/A,FALSE,"SILO현황";#N/A,#N/A,FALSE,"타업체";#N/A,#N/A,FALSE,"생산능력"}</definedName>
    <definedName name="wrn.사업계획." hidden="1">{#N/A,#N/A,FALSE,"SILO현황";#N/A,#N/A,FALSE,"타업체";#N/A,#N/A,FALSE,"생산능력"}</definedName>
    <definedName name="wrn.사업계획서." localSheetId="0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localSheetId="14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localSheetId="0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localSheetId="14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localSheetId="0" hidden="1">{#N/A,#N/A,FALSE,"품의서";#N/A,#N/A,FALSE,"전제";#N/A,#N/A,FALSE,"총손";#N/A,#N/A,FALSE,"손익"}</definedName>
    <definedName name="wrn.선사." localSheetId="14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4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localSheetId="0" hidden="1">{#N/A,#N/A,FALSE,"월추정감가상각비";#N/A,#N/A,FALSE,"main_prog"}</definedName>
    <definedName name="wrn.월추정." localSheetId="14" hidden="1">{#N/A,#N/A,FALSE,"월추정감가상각비";#N/A,#N/A,FALSE,"main_prog"}</definedName>
    <definedName name="wrn.월추정." hidden="1">{#N/A,#N/A,FALSE,"월추정감가상각비";#N/A,#N/A,FALSE,"main_prog"}</definedName>
    <definedName name="wrn.유형자산." localSheetId="0" hidden="1">{#N/A,#N/A,FALSE,"Sheet1"}</definedName>
    <definedName name="wrn.유형자산." localSheetId="14" hidden="1">{#N/A,#N/A,FALSE,"Sheet1"}</definedName>
    <definedName name="wrn.유형자산." hidden="1">{#N/A,#N/A,FALSE,"Sheet1"}</definedName>
    <definedName name="wrn.이력서._.자기소개서." localSheetId="0" hidden="1">{#N/A,#N/A,FALSE,"이력서&amp;자기소개서"}</definedName>
    <definedName name="wrn.이력서._.자기소개서." localSheetId="14" hidden="1">{#N/A,#N/A,FALSE,"이력서&amp;자기소개서"}</definedName>
    <definedName name="wrn.이력서._.자기소개서." hidden="1">{#N/A,#N/A,FALSE,"이력서&amp;자기소개서"}</definedName>
    <definedName name="wrn.이력서._.자기소개서._1" localSheetId="0" hidden="1">{#N/A,#N/A,FALSE,"이력서&amp;자기소개서"}</definedName>
    <definedName name="wrn.이력서._.자기소개서._1" localSheetId="14" hidden="1">{#N/A,#N/A,FALSE,"이력서&amp;자기소개서"}</definedName>
    <definedName name="wrn.이력서._.자기소개서._1" hidden="1">{#N/A,#N/A,FALSE,"이력서&amp;자기소개서"}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0" hidden="1">{#N/A,#N/A,FALSE,"BS";#N/A,#N/A,FALSE,"IS";#N/A,#N/A,FALSE,"결손금처리";#N/A,#N/A,FALSE,"cashflow"}</definedName>
    <definedName name="wrn.재무제표." localSheetId="14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4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localSheetId="0" hidden="1">{#N/A,#N/A,TRUE,"일정"}</definedName>
    <definedName name="wrn.주간._.보고." localSheetId="14" hidden="1">{#N/A,#N/A,TRUE,"일정"}</definedName>
    <definedName name="wrn.주간._.보고." hidden="1">{#N/A,#N/A,TRUE,"일정"}</definedName>
    <definedName name="wrn.중국.XLS.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localSheetId="14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localSheetId="14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0" hidden="1">{#N/A,#N/A,FALSE,"채권채무";#N/A,#N/A,FALSE,"control sheet"}</definedName>
    <definedName name="wrn.채권채무조회서." localSheetId="14" hidden="1">{#N/A,#N/A,FALSE,"채권채무";#N/A,#N/A,FALSE,"control sheet"}</definedName>
    <definedName name="wrn.채권채무조회서." hidden="1">{#N/A,#N/A,FALSE,"채권채무";#N/A,#N/A,FALSE,"control sheet"}</definedName>
    <definedName name="wrn.통신지." localSheetId="0" hidden="1">{#N/A,#N/A,FALSE,"기안지";#N/A,#N/A,FALSE,"통신지"}</definedName>
    <definedName name="wrn.통신지." localSheetId="14" hidden="1">{#N/A,#N/A,FALSE,"기안지";#N/A,#N/A,FALSE,"통신지"}</definedName>
    <definedName name="wrn.통신지." hidden="1">{#N/A,#N/A,FALSE,"기안지";#N/A,#N/A,FALSE,"통신지"}</definedName>
    <definedName name="wrn.포장단가." localSheetId="0" hidden="1">{#N/A,#N/A,FALSE,"포장단가"}</definedName>
    <definedName name="wrn.포장단가." localSheetId="14" hidden="1">{#N/A,#N/A,FALSE,"포장단가"}</definedName>
    <definedName name="wrn.포장단가." hidden="1">{#N/A,#N/A,FALSE,"포장단가"}</definedName>
    <definedName name="wrn.포항강판." localSheetId="0" hidden="1">{"현수",#N/A,FALSE,"월추정감가상각비"}</definedName>
    <definedName name="wrn.포항강판." localSheetId="14" hidden="1">{"현수",#N/A,FALSE,"월추정감가상각비"}</definedName>
    <definedName name="wrn.포항강판." hidden="1">{"현수",#N/A,FALSE,"월추정감가상각비"}</definedName>
    <definedName name="wrn.현대정공구매현황." localSheetId="0" hidden="1">{#N/A,#N/A,FALSE,"정공"}</definedName>
    <definedName name="wrn.현대정공구매현황." localSheetId="14" hidden="1">{#N/A,#N/A,FALSE,"정공"}</definedName>
    <definedName name="wrn.현대정공구매현황." hidden="1">{#N/A,#N/A,FALSE,"정공"}</definedName>
    <definedName name="wrn.회의0104.XLS." localSheetId="0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4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>#REF!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localSheetId="0" hidden="1">{"'호선별현황(방식)'!$K$22:$P$22","'호선별현황(방식)'!$K$22:$P$22"}</definedName>
    <definedName name="WWWWW" localSheetId="14" hidden="1">{"'호선별현황(방식)'!$K$22:$P$22","'호선별현황(방식)'!$K$22:$P$22"}</definedName>
    <definedName name="WWWWW" hidden="1">{"'호선별현황(방식)'!$K$22:$P$22","'호선별현황(방식)'!$K$22:$P$22"}</definedName>
    <definedName name="wwwwww" localSheetId="0" hidden="1">{"'호선별현황(방식)'!$K$22:$P$22","'호선별현황(방식)'!$K$22:$P$22"}</definedName>
    <definedName name="wwwwww" localSheetId="14" hidden="1">{"'호선별현황(방식)'!$K$22:$P$22","'호선별현황(방식)'!$K$22:$P$22"}</definedName>
    <definedName name="wwwwww" hidden="1">{"'호선별현황(방식)'!$K$22:$P$22","'호선별현황(방식)'!$K$22:$P$22"}</definedName>
    <definedName name="wwwwwwww">#REF!</definedName>
    <definedName name="wwwwwwwwwwwww">#REF!</definedName>
    <definedName name="wwwwwwwwwwwwwwwwww">#REF!</definedName>
    <definedName name="W행">#REF!</definedName>
    <definedName name="W행1">#N/A</definedName>
    <definedName name="x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>#REF!</definedName>
    <definedName name="XG액션">#REF!</definedName>
    <definedName name="XIII._당기순이익">#REF!</definedName>
    <definedName name="XL">#REF!</definedName>
    <definedName name="XOUT">#REF!</definedName>
    <definedName name="XREF_COLUMN_1" hidden="1">#REF!</definedName>
    <definedName name="XREF_COLUMN_10" hidden="1">#REF!</definedName>
    <definedName name="XREF_COLUMN_11" hidden="1">#REF!</definedName>
    <definedName name="XREF_COLUMN_110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7" hidden="1">#REF!</definedName>
    <definedName name="XREF_COLUMN_89" hidden="1">#REF!</definedName>
    <definedName name="XREF_COLUMN_9" hidden="1">#REF!</definedName>
    <definedName name="XREF_COLUMN_91" hidden="1">#REF!</definedName>
    <definedName name="XREF_COLUMN_93" hidden="1">#REF!</definedName>
    <definedName name="XREF_COLUMN_95" hidden="1">#REF!</definedName>
    <definedName name="XREF_COLUMN_97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1" hidden="1">#REF!</definedName>
    <definedName name="XRefCopy102" hidden="1">#REF!</definedName>
    <definedName name="XRefCopy103" hidden="1">#REF!</definedName>
    <definedName name="XRefCopy104" hidden="1">#REF!</definedName>
    <definedName name="XRefCopy10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5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3" hidden="1">#REF!</definedName>
    <definedName name="XRefCopy94" hidden="1">#REF!</definedName>
    <definedName name="XRefCopy95" hidden="1">#REF!</definedName>
    <definedName name="XRefCopy96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9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2" hidden="1">#REF!</definedName>
    <definedName name="XRefPaste18Row" hidden="1">#REF!</definedName>
    <definedName name="XRefPaste19" hidden="1">#REF!</definedName>
    <definedName name="XRefPaste192Row" hidden="1">#REF!</definedName>
    <definedName name="XRefPaste198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Row" hidden="1">#REF!</definedName>
    <definedName name="XRefPaste234Row" hidden="1">#REF!</definedName>
    <definedName name="XRefPaste235" hidden="1">#REF!</definedName>
    <definedName name="XRefPaste235Row" hidden="1">#REF!</definedName>
    <definedName name="XRefPaste237Row" hidden="1">#REF!</definedName>
    <definedName name="XRefPaste238Row" hidden="1">#REF!</definedName>
    <definedName name="XRefPaste239Row" hidden="1">#REF!</definedName>
    <definedName name="XRefPaste23Row" hidden="1">#REF!</definedName>
    <definedName name="XRefPaste24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4</definedName>
    <definedName name="xx">#REF!</definedName>
    <definedName name="xxx" hidden="1">#REF!</definedName>
    <definedName name="xxxxxxx">#REF!</definedName>
    <definedName name="xxxxxxxxxx">#REF!</definedName>
    <definedName name="xxxxxxxxxxxxx">#REF!</definedName>
    <definedName name="xxxxxxxxxxxxxxxxxxxxxxxxxxxxxxxxxxxxxxxxxxxxxxxxxxxxxxxxxxxxxxxxxxxxxxxx">#REF!</definedName>
    <definedName name="X행">#REF!</definedName>
    <definedName name="Y">#REF!</definedName>
    <definedName name="ya" localSheetId="0" hidden="1">{#N/A,#N/A,FALSE,"Aging Summary";#N/A,#N/A,FALSE,"Ratio Analysis";#N/A,#N/A,FALSE,"Test 120 Day Accts";#N/A,#N/A,FALSE,"Tickmarks"}</definedName>
    <definedName name="ya" localSheetId="14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ear">#REF!</definedName>
    <definedName name="Year_To_WesternStyle">#REF!</definedName>
    <definedName name="YEAREND">#REF!</definedName>
    <definedName name="YEARS">#REF!</definedName>
    <definedName name="YEN">#REF!</definedName>
    <definedName name="YEON">#REF!</definedName>
    <definedName name="yh" localSheetId="0" hidden="1">{#N/A,#N/A,FALSE,"Aging Summary";#N/A,#N/A,FALSE,"Ratio Analysis";#N/A,#N/A,FALSE,"Test 120 Day Accts";#N/A,#N/A,FALSE,"Tickmarks"}</definedName>
    <definedName name="yh" localSheetId="14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M">#REF!</definedName>
    <definedName name="YN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>#REF!</definedName>
    <definedName name="YTD1">#REF!</definedName>
    <definedName name="YTD2">#REF!</definedName>
    <definedName name="yuioyuoiio" localSheetId="0" hidden="1">{#N/A,#N/A,TRUE,"Assumptions";#N/A,#N/A,TRUE,"Sources of Revenue";#N/A,#N/A,TRUE,"P&amp;L";#N/A,#N/A,TRUE,"Bal. Sheet";#N/A,#N/A,TRUE,"Rights Issue &amp; X Adjustment";#N/A,#N/A,TRUE,"Transaction Model"}</definedName>
    <definedName name="yuioyuoiio" localSheetId="14" hidden="1">{#N/A,#N/A,TRUE,"Assumptions";#N/A,#N/A,TRUE,"Sources of Revenue";#N/A,#N/A,TRUE,"P&amp;L";#N/A,#N/A,TRUE,"Bal. Sheet";#N/A,#N/A,TRUE,"Rights Issue &amp; X Adjustment";#N/A,#N/A,TRUE,"Transaction Model"}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localSheetId="0" hidden="1">{#N/A,#N/A,TRUE,"Assumptions";#N/A,#N/A,TRUE,"Sources of Revenue";#N/A,#N/A,TRUE,"P&amp;L";#N/A,#N/A,TRUE,"Bal. Sheet";#N/A,#N/A,TRUE,"Rights Issue &amp; X Adjustment";#N/A,#N/A,TRUE,"Transaction Model"}</definedName>
    <definedName name="YUIY" localSheetId="14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>#REF!</definedName>
    <definedName name="yy">#REF!</definedName>
    <definedName name="YYY" localSheetId="0" hidden="1">{#N/A,#N/A,TRUE,"Y생산";#N/A,#N/A,TRUE,"Y판매";#N/A,#N/A,TRUE,"Y총물량";#N/A,#N/A,TRUE,"Y능력";#N/A,#N/A,TRUE,"YKD"}</definedName>
    <definedName name="YYY" localSheetId="14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yyyy">#REF!</definedName>
    <definedName name="YYYYYYYYY">#REF!</definedName>
    <definedName name="yyyyyyyyyy">#REF!</definedName>
    <definedName name="yyyyyyyyyyy">#REF!</definedName>
    <definedName name="yyyyyyyyyyyy">#REF!</definedName>
    <definedName name="yyyyyyyyyyyyyy">#REF!</definedName>
    <definedName name="yyyyyyyyyyyyyyy">#REF!</definedName>
    <definedName name="yyyyyyyyyyyyyyyy">#REF!</definedName>
    <definedName name="yyyyyyyyyyyyyyyyyy">#REF!</definedName>
    <definedName name="YYYYYYYYYYYYYYYYYYYYYYYYYYYYYYYYYYYYYYYYYYYYYYYYYYYYYYYYYYYYYYYYYYYYYYYYYYYYY">#REF!</definedName>
    <definedName name="Y부서">#REF!</definedName>
    <definedName name="Z">#REF!</definedName>
    <definedName name="Z_A5716FB3_058D_11D5_BFEC_0050BF418CB9_.wvu.FilterData" hidden="1">#REF!</definedName>
    <definedName name="Zace">#REF!</definedName>
    <definedName name="zcv" hidden="1">0</definedName>
    <definedName name="ZEI">#REF!</definedName>
    <definedName name="ZIP">#N/A</definedName>
    <definedName name="zsdf" localSheetId="0" hidden="1">{#N/A,#N/A,TRUE,"Assumptions";#N/A,#N/A,TRUE,"Sources of Revenue";#N/A,#N/A,TRUE,"P&amp;L";#N/A,#N/A,TRUE,"Bal. Sheet";#N/A,#N/A,TRUE,"Rights Issue &amp; X Adjustment";#N/A,#N/A,TRUE,"Transaction Model"}</definedName>
    <definedName name="zsdf" localSheetId="14" hidden="1">{#N/A,#N/A,TRUE,"Assumptions";#N/A,#N/A,TRUE,"Sources of Revenue";#N/A,#N/A,TRUE,"P&amp;L";#N/A,#N/A,TRUE,"Bal. Sheet";#N/A,#N/A,TRUE,"Rights Issue &amp; X Adjustment";#N/A,#N/A,TRUE,"Transaction Model"}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>#REF!</definedName>
    <definedName name="zzb" hidden="1">#REF!</definedName>
    <definedName name="ZZZ" localSheetId="0" hidden="1">{#N/A,#N/A,FALSE,"Aging Summary";#N/A,#N/A,FALSE,"Ratio Analysis";#N/A,#N/A,FALSE,"Test 120 Day Accts";#N/A,#N/A,FALSE,"Tickmarks"}</definedName>
    <definedName name="ZZZ" localSheetId="14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ZZZZ" hidden="1">#REF!</definedName>
    <definedName name="zzzzzzzz">#REF!</definedName>
    <definedName name="zzzzzzzzz">#REF!</definedName>
    <definedName name="zzzzzzzzzzzzzz">#REF!</definedName>
    <definedName name="Z횴LER">#REF!</definedName>
    <definedName name="Z횴LER간">#REF!</definedName>
    <definedName name="α">#REF!</definedName>
    <definedName name="β">#REF!</definedName>
    <definedName name="γ">#REF!</definedName>
    <definedName name="あああ" localSheetId="0" hidden="1">{"'買掛金'!$J$6"}</definedName>
    <definedName name="あああ" localSheetId="14" hidden="1">{"'買掛金'!$J$6"}</definedName>
    <definedName name="あああ" hidden="1">{"'買掛金'!$J$6"}</definedName>
    <definedName name="その他の投資" localSheetId="0" hidden="1">{"'買掛金'!$J$6"}</definedName>
    <definedName name="その他の投資" localSheetId="14" hidden="1">{"'買掛金'!$J$6"}</definedName>
    <definedName name="その他の投資" hidden="1">{"'買掛金'!$J$6"}</definedName>
    <definedName name="っっｂ" localSheetId="0" hidden="1">{"'買掛金'!$J$6"}</definedName>
    <definedName name="っっｂ" localSheetId="14" hidden="1">{"'買掛金'!$J$6"}</definedName>
    <definedName name="っっｂ" hidden="1">{"'買掛金'!$J$6"}</definedName>
    <definedName name="ﾃﾞｰﾀ１番目枠">#REF!,#REF!,#REF!</definedName>
    <definedName name="ﾃﾞｰﾀ２番目枠">#REF!,#REF!,#REF!</definedName>
    <definedName name="ﾃﾞｰﾀ３番目枠">#REF!,#REF!,#REF!</definedName>
    <definedName name="ﾃﾞｰﾀ４番目枠">#REF!,#REF!,#REF!</definedName>
    <definedName name="テスト" localSheetId="0" hidden="1">{"'買掛金'!$J$6"}</definedName>
    <definedName name="テスト" localSheetId="14" hidden="1">{"'買掛金'!$J$6"}</definedName>
    <definedName name="テスト" hidden="1">{"'買掛金'!$J$6"}</definedName>
    <definedName name="ז">#REF!</definedName>
    <definedName name="ח">#REF!</definedName>
    <definedName name="מדד_חודש_97__9">"a"</definedName>
    <definedName name="מקדם">#REF!</definedName>
    <definedName name="ㄱ">#REF!</definedName>
    <definedName name="ㄱㄱ">#REF!</definedName>
    <definedName name="ㄱㄱㄱ">#REF!</definedName>
    <definedName name="ㄱㄱㄳㅎ">#REF!</definedName>
    <definedName name="ㄱㄴㄷ" localSheetId="0" hidden="1">{#N/A,#N/A,FALSE,"BS";#N/A,#N/A,FALSE,"PL";#N/A,#N/A,FALSE,"처분";#N/A,#N/A,FALSE,"현금";#N/A,#N/A,FALSE,"매출";#N/A,#N/A,FALSE,"원가";#N/A,#N/A,FALSE,"경영"}</definedName>
    <definedName name="ㄱㄴㄷ" localSheetId="14" hidden="1">{#N/A,#N/A,FALSE,"BS";#N/A,#N/A,FALSE,"PL";#N/A,#N/A,FALSE,"처분";#N/A,#N/A,FALSE,"현금";#N/A,#N/A,FALSE,"매출";#N/A,#N/A,FALSE,"원가";#N/A,#N/A,FALSE,"경영"}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localSheetId="0" hidden="1">{#N/A,#N/A,TRUE,"일정"}</definedName>
    <definedName name="ㄱㄷㄱㄱ" localSheetId="14" hidden="1">{#N/A,#N/A,TRUE,"일정"}</definedName>
    <definedName name="ㄱㄷㄱㄱ" hidden="1">{#N/A,#N/A,TRUE,"일정"}</definedName>
    <definedName name="ㄱㅇ" localSheetId="0" hidden="1">{#N/A,#N/A,FALSE,"단축1";#N/A,#N/A,FALSE,"단축2";#N/A,#N/A,FALSE,"단축3";#N/A,#N/A,FALSE,"장축";#N/A,#N/A,FALSE,"4WD"}</definedName>
    <definedName name="ㄱㅇ" localSheetId="14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히망ㅎ" localSheetId="0" hidden="1">{#N/A,#N/A,FALSE,"1.CRITERIA";#N/A,#N/A,FALSE,"2.IS";#N/A,#N/A,FALSE,"3.BS";#N/A,#N/A,FALSE,"4.PER PL";#N/A,#N/A,FALSE,"5.INVESTMENT";#N/A,#N/A,FALSE,"6.공문";#N/A,#N/A,FALSE,"7.netinvest"}</definedName>
    <definedName name="ㄱ히망ㅎ" localSheetId="14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>#REF!</definedName>
    <definedName name="가1" localSheetId="0" hidden="1">{#N/A,#N/A,TRUE,"Y생산";#N/A,#N/A,TRUE,"Y판매";#N/A,#N/A,TRUE,"Y총물량";#N/A,#N/A,TRUE,"Y능력";#N/A,#N/A,TRUE,"YKD"}</definedName>
    <definedName name="가1" localSheetId="14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0층">#REF!</definedName>
    <definedName name="가11층">#REF!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층">#REF!</definedName>
    <definedName name="가가" localSheetId="0" hidden="1">{#N/A,#N/A,FALSE,"1.CRITERIA";#N/A,#N/A,FALSE,"2.IS";#N/A,#N/A,FALSE,"3.BS";#N/A,#N/A,FALSE,"4.PER PL";#N/A,#N/A,FALSE,"5.INVESTMENT";#N/A,#N/A,FALSE,"6.공문";#N/A,#N/A,FALSE,"7.netinvest"}</definedName>
    <definedName name="가가" localSheetId="14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>#REF!</definedName>
    <definedName name="가공비">#REF!</definedName>
    <definedName name="가나">#REF!</definedName>
    <definedName name="가나라" localSheetId="0" hidden="1">{#N/A,#N/A,FALSE,"1.CRITERIA";#N/A,#N/A,FALSE,"2.IS";#N/A,#N/A,FALSE,"3.BS";#N/A,#N/A,FALSE,"4.PER PL";#N/A,#N/A,FALSE,"5.INVESTMENT";#N/A,#N/A,FALSE,"6.공문";#N/A,#N/A,FALSE,"7.netinvest"}</definedName>
    <definedName name="가나라" localSheetId="14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0" hidden="1">{#N/A,#N/A,FALSE,"1.CRITERIA";#N/A,#N/A,FALSE,"2.IS";#N/A,#N/A,FALSE,"3.BS";#N/A,#N/A,FALSE,"4.PER PL";#N/A,#N/A,FALSE,"5.INVESTMENT";#N/A,#N/A,FALSE,"6.공문";#N/A,#N/A,FALSE,"7.netinvest"}</definedName>
    <definedName name="가다" localSheetId="14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localSheetId="0" hidden="1">{#N/A,#N/A,TRUE,"Y생산";#N/A,#N/A,TRUE,"Y판매";#N/A,#N/A,TRUE,"Y총물량";#N/A,#N/A,TRUE,"Y능력";#N/A,#N/A,TRUE,"YKD"}</definedName>
    <definedName name="가동" localSheetId="14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localSheetId="14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localSheetId="0" hidden="1">{#N/A,#N/A,FALSE,"1.CRITERIA";#N/A,#N/A,FALSE,"2.IS";#N/A,#N/A,FALSE,"3.BS";#N/A,#N/A,FALSE,"4.PER PL";#N/A,#N/A,FALSE,"5.INVESTMENT";#N/A,#N/A,FALSE,"6.공문";#N/A,#N/A,FALSE,"7.netinvest"}</definedName>
    <definedName name="가라" localSheetId="14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>#REF!</definedName>
    <definedName name="가스료">#REF!</definedName>
    <definedName name="가아" localSheetId="0" hidden="1">{#N/A,#N/A,FALSE,"1.CRITERIA";#N/A,#N/A,FALSE,"2.IS";#N/A,#N/A,FALSE,"3.BS";#N/A,#N/A,FALSE,"4.PER PL";#N/A,#N/A,FALSE,"5.INVESTMENT";#N/A,#N/A,FALSE,"6.공문";#N/A,#N/A,FALSE,"7.netinvest"}</definedName>
    <definedName name="가아" localSheetId="14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0" hidden="1">{#N/A,#N/A,FALSE,"1.CRITERIA";#N/A,#N/A,FALSE,"2.IS";#N/A,#N/A,FALSE,"3.BS";#N/A,#N/A,FALSE,"4.PER PL";#N/A,#N/A,FALSE,"5.INVESTMENT";#N/A,#N/A,FALSE,"6.공문";#N/A,#N/A,FALSE,"7.netinvest"}</definedName>
    <definedName name="가아노" localSheetId="14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0" hidden="1">{#N/A,#N/A,FALSE,"1.CRITERIA";#N/A,#N/A,FALSE,"2.IS";#N/A,#N/A,FALSE,"3.BS";#N/A,#N/A,FALSE,"4.PER PL";#N/A,#N/A,FALSE,"5.INVESTMENT";#N/A,#N/A,FALSE,"6.공문";#N/A,#N/A,FALSE,"7.netinvest"}</definedName>
    <definedName name="가아다" localSheetId="14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0" hidden="1">{#N/A,#N/A,FALSE,"1.CRITERIA";#N/A,#N/A,FALSE,"2.IS";#N/A,#N/A,FALSE,"3.BS";#N/A,#N/A,FALSE,"4.PER PL";#N/A,#N/A,FALSE,"5.INVESTMENT";#N/A,#N/A,FALSE,"6.공문";#N/A,#N/A,FALSE,"7.netinvest"}</definedName>
    <definedName name="가아차" localSheetId="14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0" hidden="1">{#N/A,#N/A,FALSE,"1.CRITERIA";#N/A,#N/A,FALSE,"2.IS";#N/A,#N/A,FALSE,"3.BS";#N/A,#N/A,FALSE,"4.PER PL";#N/A,#N/A,FALSE,"5.INVESTMENT";#N/A,#N/A,FALSE,"6.공문";#N/A,#N/A,FALSE,"7.netinvest"}</definedName>
    <definedName name="가오" localSheetId="14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0" hidden="1">{#N/A,#N/A,FALSE,"1.CRITERIA";#N/A,#N/A,FALSE,"2.IS";#N/A,#N/A,FALSE,"3.BS";#N/A,#N/A,FALSE,"4.PER PL";#N/A,#N/A,FALSE,"5.INVESTMENT";#N/A,#N/A,FALSE,"6.공문";#N/A,#N/A,FALSE,"7.netinvest"}</definedName>
    <definedName name="가오나" localSheetId="14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0" hidden="1">{#N/A,#N/A,FALSE,"1.CRITERIA";#N/A,#N/A,FALSE,"2.IS";#N/A,#N/A,FALSE,"3.BS";#N/A,#N/A,FALSE,"4.PER PL";#N/A,#N/A,FALSE,"5.INVESTMENT";#N/A,#N/A,FALSE,"6.공문";#N/A,#N/A,FALSE,"7.netinvest"}</definedName>
    <definedName name="가오아" localSheetId="14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localSheetId="0" hidden="1">{#N/A,#N/A,FALSE,"95FW"}</definedName>
    <definedName name="가을" localSheetId="14" hidden="1">{#N/A,#N/A,FALSE,"95FW"}</definedName>
    <definedName name="가을" hidden="1">{#N/A,#N/A,FALSE,"95FW"}</definedName>
    <definedName name="가전">#REF!</definedName>
    <definedName name="가족">#REF!</definedName>
    <definedName name="가중평균">#REF!</definedName>
    <definedName name="가지급금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localSheetId="0" hidden="1">{#N/A,#N/A,FALSE,"1.CRITERIA";#N/A,#N/A,FALSE,"2.IS";#N/A,#N/A,FALSE,"3.BS";#N/A,#N/A,FALSE,"4.PER PL";#N/A,#N/A,FALSE,"5.INVESTMENT";#N/A,#N/A,FALSE,"6.공문";#N/A,#N/A,FALSE,"7.netinvest"}</definedName>
    <definedName name="가카" localSheetId="14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0" hidden="1">{#N/A,#N/A,FALSE,"1.CRITERIA";#N/A,#N/A,FALSE,"2.IS";#N/A,#N/A,FALSE,"3.BS";#N/A,#N/A,FALSE,"4.PER PL";#N/A,#N/A,FALSE,"5.INVESTMENT";#N/A,#N/A,FALSE,"6.공문";#N/A,#N/A,FALSE,"7.netinvest"}</definedName>
    <definedName name="가타" localSheetId="14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>#REF!</definedName>
    <definedName name="간지목록">#REF!</definedName>
    <definedName name="갈" localSheetId="0" hidden="1">{#N/A,#N/A,FALSE,"1.CRITERIA";#N/A,#N/A,FALSE,"2.IS";#N/A,#N/A,FALSE,"3.BS";#N/A,#N/A,FALSE,"4.PER PL";#N/A,#N/A,FALSE,"5.INVESTMENT";#N/A,#N/A,FALSE,"6.공문";#N/A,#N/A,FALSE,"7.netinvest"}</definedName>
    <definedName name="갈" localSheetId="14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localSheetId="0" hidden="1">{#N/A,#N/A,FALSE,"Aging Summary";#N/A,#N/A,FALSE,"Ratio Analysis";#N/A,#N/A,FALSE,"Test 120 Day Accts";#N/A,#N/A,FALSE,"Tickmarks"}</definedName>
    <definedName name="감가overall" localSheetId="14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상각">#REF!</definedName>
    <definedName name="감가상각비">#REF!</definedName>
    <definedName name="감가상각비2" localSheetId="0" hidden="1">{#N/A,#N/A,FALSE,"Aging Summary";#N/A,#N/A,FALSE,"Ratio Analysis";#N/A,#N/A,FALSE,"Test 120 Day Accts";#N/A,#N/A,FALSE,"Tickmarks"}</definedName>
    <definedName name="감가상각비2" localSheetId="14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사" localSheetId="0" hidden="1">{#N/A,#N/A,FALSE,"채산3501.XLS";#N/A,#N/A,FALSE,"신조수A.XLS";#N/A,#N/A,FALSE,"신조수b.XLS";#N/A,#N/A,FALSE,"채산3502.XLS";#N/A,#N/A,FALSE,"신조원리.XLS";#N/A,#N/A,FALSE,"신조감가.XLS"}</definedName>
    <definedName name="감사" localSheetId="14" hidden="1">{#N/A,#N/A,FALSE,"채산3501.XLS";#N/A,#N/A,FALSE,"신조수A.XLS";#N/A,#N/A,FALSE,"신조수b.XLS";#N/A,#N/A,FALSE,"채산3502.XLS";#N/A,#N/A,FALSE,"신조원리.XLS";#N/A,#N/A,FALSE,"신조감가.XLS"}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>#REF!</definedName>
    <definedName name="감원검토2" localSheetId="13">BlankMacro1</definedName>
    <definedName name="감원검토2" localSheetId="0">BlankMacro1</definedName>
    <definedName name="감원검토2" localSheetId="14">BlankMacro1</definedName>
    <definedName name="감원검토2" localSheetId="4">BlankMacro1</definedName>
    <definedName name="감원검토2" localSheetId="5">BlankMacro1</definedName>
    <definedName name="감원검토2" localSheetId="6">BlankMacro1</definedName>
    <definedName name="감원검토2" localSheetId="7">BlankMacro1</definedName>
    <definedName name="감원검토2" localSheetId="8">BlankMacro1</definedName>
    <definedName name="감원검토2" localSheetId="9">BlankMacro1</definedName>
    <definedName name="감원검토2" localSheetId="10">BlankMacro1</definedName>
    <definedName name="감원검토2" localSheetId="11">BlankMacro1</definedName>
    <definedName name="감원검토2" localSheetId="12">BlankMacro1</definedName>
    <definedName name="감원검토2" localSheetId="1">BlankMacro1</definedName>
    <definedName name="감원검토2">BlankMacro1</definedName>
    <definedName name="갑측정산">#REF!</definedName>
    <definedName name="강">#REF!</definedName>
    <definedName name="강동곤">#REF!</definedName>
    <definedName name="강선희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>#REF!</definedName>
    <definedName name="강용" localSheetId="0" hidden="1">{"'Sheet1'!$A$1:$H$36"}</definedName>
    <definedName name="강용" localSheetId="14" hidden="1">{"'Sheet1'!$A$1:$H$36"}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localSheetId="0" hidden="1">{#N/A,#N/A,FALSE,"신규dep";#N/A,#N/A,FALSE,"신규dep-금형상각후";#N/A,#N/A,FALSE,"신규dep-연구비상각후";#N/A,#N/A,FALSE,"신규dep-기계,공구상각후"}</definedName>
    <definedName name="개발일정" localSheetId="14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>#REF!</definedName>
    <definedName name="개선1">#REF!</definedName>
    <definedName name="개선2">#REF!</definedName>
    <definedName name="개선내용" localSheetId="0" hidden="1">{#N/A,#N/A,TRUE,"Y생산";#N/A,#N/A,TRUE,"Y판매";#N/A,#N/A,TRUE,"Y총물량";#N/A,#N/A,TRUE,"Y능력";#N/A,#N/A,TRUE,"YKD"}</definedName>
    <definedName name="개선내용" localSheetId="14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내용_1" localSheetId="0" hidden="1">{#N/A,#N/A,TRUE,"Y생산";#N/A,#N/A,TRUE,"Y판매";#N/A,#N/A,TRUE,"Y총물량";#N/A,#N/A,TRUE,"Y능력";#N/A,#N/A,TRUE,"YKD"}</definedName>
    <definedName name="개선내용_1" localSheetId="14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localSheetId="14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localSheetId="0" hidden="1">{#N/A,#N/A,TRUE,"Y생산";#N/A,#N/A,TRUE,"Y판매";#N/A,#N/A,TRUE,"Y총물량";#N/A,#N/A,TRUE,"Y능력";#N/A,#N/A,TRUE,"YKD"}</definedName>
    <definedName name="개선실적_1" localSheetId="14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>#REF!</definedName>
    <definedName name="갱신임료수준">#REF!</definedName>
    <definedName name="갸">#REF!</definedName>
    <definedName name="거" localSheetId="0" hidden="1">{#N/A,#N/A,FALSE,"1.CRITERIA";#N/A,#N/A,FALSE,"2.IS";#N/A,#N/A,FALSE,"3.BS";#N/A,#N/A,FALSE,"4.PER PL";#N/A,#N/A,FALSE,"5.INVESTMENT";#N/A,#N/A,FALSE,"6.공문";#N/A,#N/A,FALSE,"7.netinvest"}</definedName>
    <definedName name="거" localSheetId="14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>#REF!</definedName>
    <definedName name="거이" localSheetId="0" hidden="1">{#N/A,#N/A,FALSE,"1.CRITERIA";#N/A,#N/A,FALSE,"2.IS";#N/A,#N/A,FALSE,"3.BS";#N/A,#N/A,FALSE,"4.PER PL";#N/A,#N/A,FALSE,"5.INVESTMENT";#N/A,#N/A,FALSE,"6.공문";#N/A,#N/A,FALSE,"7.netinvest"}</definedName>
    <definedName name="거이" localSheetId="14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>#REF!</definedName>
    <definedName name="건10">#REF!</definedName>
    <definedName name="건11">#REF!</definedName>
    <definedName name="건12">#REF!</definedName>
    <definedName name="건2">#REF!</definedName>
    <definedName name="건3">#REF!</definedName>
    <definedName name="건4">#REF!</definedName>
    <definedName name="건5">#REF!</definedName>
    <definedName name="건6">#REF!</definedName>
    <definedName name="건7">#REF!</definedName>
    <definedName name="건8">#REF!</definedName>
    <definedName name="건9">#REF!</definedName>
    <definedName name="건강10월">#REF!</definedName>
    <definedName name="건강11월">#REF!</definedName>
    <definedName name="건강12월">#REF!</definedName>
    <definedName name="건강3월">#REF!</definedName>
    <definedName name="건강4월">#REF!</definedName>
    <definedName name="건강5월">#REF!</definedName>
    <definedName name="건강6월">#REF!</definedName>
    <definedName name="건강7월">#REF!</definedName>
    <definedName name="건강8월">#REF!</definedName>
    <definedName name="건강9월">#REF!</definedName>
    <definedName name="건물">#REF!</definedName>
    <definedName name="건물2">#REF!</definedName>
    <definedName name="건설팀" localSheetId="0" hidden="1">{#N/A,#N/A,TRUE,"Y생산";#N/A,#N/A,TRUE,"Y판매";#N/A,#N/A,TRUE,"Y총물량";#N/A,#N/A,TRUE,"Y능력";#N/A,#N/A,TRUE,"YKD"}</definedName>
    <definedName name="건설팀" localSheetId="14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설팀_1" localSheetId="0" hidden="1">{#N/A,#N/A,TRUE,"Y생산";#N/A,#N/A,TRUE,"Y판매";#N/A,#N/A,TRUE,"Y총물량";#N/A,#N/A,TRUE,"Y능력";#N/A,#N/A,TRUE,"YKD"}</definedName>
    <definedName name="건설팀_1" localSheetId="14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localSheetId="0" hidden="1">{#N/A,#N/A,TRUE,"Y생산";#N/A,#N/A,TRUE,"Y판매";#N/A,#N/A,TRUE,"Y총물량";#N/A,#N/A,TRUE,"Y능력";#N/A,#N/A,TRUE,"YKD"}</definedName>
    <definedName name="건열" localSheetId="14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>#REF!</definedName>
    <definedName name="검사대기">#REF!</definedName>
    <definedName name="검사취소">#REF!</definedName>
    <definedName name="검증순서">#REF!</definedName>
    <definedName name="검토중Q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localSheetId="0" hidden="1">{#N/A,#N/A,FALSE,"단축1";#N/A,#N/A,FALSE,"단축2";#N/A,#N/A,FALSE,"단축3";#N/A,#N/A,FALSE,"장축";#N/A,#N/A,FALSE,"4WD"}</definedName>
    <definedName name="견적list3" localSheetId="14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결론">#REF!</definedName>
    <definedName name="결손금">#REF!</definedName>
    <definedName name="경로" localSheetId="0" hidden="1">{#N/A,#N/A,TRUE,"Y생산";#N/A,#N/A,TRUE,"Y판매";#N/A,#N/A,TRUE,"Y총물량";#N/A,#N/A,TRUE,"Y능력";#N/A,#N/A,TRUE,"YKD"}</definedName>
    <definedName name="경로" localSheetId="14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비">#REF!</definedName>
    <definedName name="경비.본">#REF!</definedName>
    <definedName name="경비1" hidden="1">#REF!</definedName>
    <definedName name="경비2" hidden="1">#REF!</definedName>
    <definedName name="경비출납">#REF!</definedName>
    <definedName name="경영계획">#REF!</definedName>
    <definedName name="경영전망" hidden="1">0</definedName>
    <definedName name="경쟁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localSheetId="14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>#REF!</definedName>
    <definedName name="계산" localSheetId="0" hidden="1">{#N/A,#N/A,FALSE,"1.CRITERIA";#N/A,#N/A,FALSE,"2.IS";#N/A,#N/A,FALSE,"3.BS";#N/A,#N/A,FALSE,"4.PER PL";#N/A,#N/A,FALSE,"5.INVESTMENT";#N/A,#N/A,FALSE,"6.공문";#N/A,#N/A,FALSE,"7.netinvest"}</definedName>
    <definedName name="계산" localSheetId="14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localSheetId="0" hidden="1">{#N/A,#N/A,FALSE,"BS";#N/A,#N/A,FALSE,"PL";#N/A,#N/A,FALSE,"처분";#N/A,#N/A,FALSE,"현금";#N/A,#N/A,FALSE,"매출";#N/A,#N/A,FALSE,"원가";#N/A,#N/A,FALSE,"경영"}</definedName>
    <definedName name="계산서" localSheetId="14" hidden="1">{#N/A,#N/A,FALSE,"BS";#N/A,#N/A,FALSE,"PL";#N/A,#N/A,FALSE,"처분";#N/A,#N/A,FALSE,"현금";#N/A,#N/A,FALSE,"매출";#N/A,#N/A,FALSE,"원가";#N/A,#N/A,FALSE,"경영"}</definedName>
    <definedName name="계산서" hidden="1">{#N/A,#N/A,FALSE,"BS";#N/A,#N/A,FALSE,"PL";#N/A,#N/A,FALSE,"처분";#N/A,#N/A,FALSE,"현금";#N/A,#N/A,FALSE,"매출";#N/A,#N/A,FALSE,"원가";#N/A,#N/A,FALSE,"경영"}</definedName>
    <definedName name="계상산">#REF!</definedName>
    <definedName name="계속" localSheetId="0" hidden="1">{#N/A,#N/A,FALSE,"1.CRITERIA";#N/A,#N/A,FALSE,"2.IS";#N/A,#N/A,FALSE,"3.BS";#N/A,#N/A,FALSE,"4.PER PL";#N/A,#N/A,FALSE,"5.INVESTMENT";#N/A,#N/A,FALSE,"6.공문";#N/A,#N/A,FALSE,"7.netinvest"}</definedName>
    <definedName name="계속" localSheetId="14" hidden="1">{#N/A,#N/A,FALSE,"1.CRITERIA";#N/A,#N/A,FALSE,"2.IS";#N/A,#N/A,FALSE,"3.BS";#N/A,#N/A,FALSE,"4.PER PL";#N/A,#N/A,FALSE,"5.INVESTMENT";#N/A,#N/A,FALSE,"6.공문";#N/A,#N/A,FALSE,"7.netinvest"}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>#REF!</definedName>
    <definedName name="계약91">#REF!</definedName>
    <definedName name="계전산">#REF!</definedName>
    <definedName name="계정과목">#REF!</definedName>
    <definedName name="계정과정행높이조절">#REF!,#REF!,#REF!,#REF!,#REF!,#REF!,#REF!,#REF!</definedName>
    <definedName name="계정종합표" localSheetId="0" hidden="1">{#N/A,#N/A,TRUE,"Y생산";#N/A,#N/A,TRUE,"Y판매";#N/A,#N/A,TRUE,"Y총물량";#N/A,#N/A,TRUE,"Y능력";#N/A,#N/A,TRUE,"YKD"}</definedName>
    <definedName name="계정종합표" localSheetId="14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좌">#REF!</definedName>
    <definedName name="계획">#REF!</definedName>
    <definedName name="계획2">#REF!</definedName>
    <definedName name="고">#REF!</definedName>
    <definedName name="고1">#REF!</definedName>
    <definedName name="고10">#REF!</definedName>
    <definedName name="고11">#REF!</definedName>
    <definedName name="고12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7">#REF!</definedName>
    <definedName name="고8">#REF!</definedName>
    <definedName name="고9">#REF!</definedName>
    <definedName name="고용10월">#REF!</definedName>
    <definedName name="고용11월">#REF!</definedName>
    <definedName name="고용12월">#REF!</definedName>
    <definedName name="고용3월">#REF!</definedName>
    <definedName name="고용4월">#REF!</definedName>
    <definedName name="고용5월">#REF!</definedName>
    <definedName name="고용6월">#REF!</definedName>
    <definedName name="고용7월">#REF!</definedName>
    <definedName name="고용8월">#REF!</definedName>
    <definedName name="고용9월">#REF!</definedName>
    <definedName name="고정비">#REF!</definedName>
    <definedName name="고처분">#REF!</definedName>
    <definedName name="골라인쇄">#REF!</definedName>
    <definedName name="공급가">OFFSET(#REF!,0,0,COUNTA(#REF!)-1)</definedName>
    <definedName name="공기">#REF!</definedName>
    <definedName name="공무4" localSheetId="0" hidden="1">{#N/A,#N/A,FALSE,"채산3501.XLS";#N/A,#N/A,FALSE,"신조수A.XLS";#N/A,#N/A,FALSE,"신조수b.XLS";#N/A,#N/A,FALSE,"채산3502.XLS";#N/A,#N/A,FALSE,"신조원리.XLS";#N/A,#N/A,FALSE,"신조감가.XLS"}</definedName>
    <definedName name="공무4" localSheetId="14" hidden="1">{#N/A,#N/A,FALSE,"채산3501.XLS";#N/A,#N/A,FALSE,"신조수A.XLS";#N/A,#N/A,FALSE,"신조수b.XLS";#N/A,#N/A,FALSE,"채산3502.XLS";#N/A,#N/A,FALSE,"신조원리.XLS";#N/A,#N/A,FALSE,"신조감가.XLS"}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0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14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hidden="1">#REF!</definedName>
    <definedName name="공수">#REF!</definedName>
    <definedName name="공식">#REF!</definedName>
    <definedName name="공실률">#REF!+(#REF!-#REF!)</definedName>
    <definedName name="공장별">#REF!</definedName>
    <definedName name="공정">#REF!</definedName>
    <definedName name="공조">#REF!</definedName>
    <definedName name="공종">#N/A</definedName>
    <definedName name="공종보기">#N/A</definedName>
    <definedName name="공종보기2">#N/A</definedName>
    <definedName name="공ㅌ오" localSheetId="0" hidden="1">{#N/A,#N/A,TRUE,"Y생산";#N/A,#N/A,TRUE,"Y판매";#N/A,#N/A,TRUE,"Y총물량";#N/A,#N/A,TRUE,"Y능력";#N/A,#N/A,TRUE,"YKD"}</definedName>
    <definedName name="공ㅌ오" localSheetId="14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공통2">#REF!</definedName>
    <definedName name="공통경비">#REF!</definedName>
    <definedName name="과목세목현황" localSheetId="0" hidden="1">{#N/A,#N/A,TRUE,"Y생산";#N/A,#N/A,TRUE,"Y판매";#N/A,#N/A,TRUE,"Y총물량";#N/A,#N/A,TRUE,"Y능력";#N/A,#N/A,TRUE,"YKD"}</definedName>
    <definedName name="과목세목현황" localSheetId="14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과별분배">#REF!</definedName>
    <definedName name="과운영" localSheetId="0" hidden="1">{"'호선별현황(방식)'!$K$22:$P$22","'호선별현황(방식)'!$K$22:$P$22"}</definedName>
    <definedName name="과운영" localSheetId="14" hidden="1">{"'호선별현황(방식)'!$K$22:$P$22","'호선별현황(방식)'!$K$22:$P$22"}</definedName>
    <definedName name="과운영" hidden="1">{"'호선별현황(방식)'!$K$22:$P$22","'호선별현황(방식)'!$K$22:$P$22"}</definedName>
    <definedName name="관리" hidden="1">#REF!</definedName>
    <definedName name="관리07년">#REF!</definedName>
    <definedName name="管理番号ﾘｽﾄ">#REF!</definedName>
    <definedName name="관리비">#REF!</definedName>
    <definedName name="관리선4월" localSheetId="0" hidden="1">{#N/A,#N/A,FALSE,"채산3501.XLS";#N/A,#N/A,FALSE,"신조수A.XLS";#N/A,#N/A,FALSE,"신조수b.XLS";#N/A,#N/A,FALSE,"채산3502.XLS";#N/A,#N/A,FALSE,"신조원리.XLS";#N/A,#N/A,FALSE,"신조감가.XLS"}</definedName>
    <definedName name="관리선4월" localSheetId="14" hidden="1">{#N/A,#N/A,FALSE,"채산3501.XLS";#N/A,#N/A,FALSE,"신조수A.XLS";#N/A,#N/A,FALSE,"신조수b.XLS";#N/A,#N/A,FALSE,"채산3502.XLS";#N/A,#N/A,FALSE,"신조원리.XLS";#N/A,#N/A,FALSE,"신조감가.XLS"}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localSheetId="0" hidden="1">{#N/A,#N/A,TRUE,"Y생산";#N/A,#N/A,TRUE,"Y판매";#N/A,#N/A,TRUE,"Y총물량";#N/A,#N/A,TRUE,"Y능력";#N/A,#N/A,TRUE,"YKD"}</definedName>
    <definedName name="관리지표2" localSheetId="14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세">#REF!</definedName>
    <definedName name="광">#REF!</definedName>
    <definedName name="광명정산">#REF!</definedName>
    <definedName name="광주9월1">#REF!</definedName>
    <definedName name="교체">#REF!</definedName>
    <definedName name="교체1">#REF!</definedName>
    <definedName name="교체2">#REF!</definedName>
    <definedName name="교체4">#REF!</definedName>
    <definedName name="교환2001견적">#REF!</definedName>
    <definedName name="교환비교">#REF!</definedName>
    <definedName name="굑ㅈ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>#REF!</definedName>
    <definedName name="구매보고">#REF!</definedName>
    <definedName name="구매부품TOT" localSheetId="0" hidden="1">{#N/A,#N/A,FALSE,"Aging Summary";#N/A,#N/A,FALSE,"Ratio Analysis";#N/A,#N/A,FALSE,"Test 120 Day Accts";#N/A,#N/A,FALSE,"Tickmarks"}</definedName>
    <definedName name="구매부품TOT" localSheetId="14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분">#REF!</definedName>
    <definedName name="구분1">#REF!</definedName>
    <definedName name="구분2">#REF!</definedName>
    <definedName name="구축물">#REF!</definedName>
    <definedName name="구축물2">#REF!</definedName>
    <definedName name="구축본부" localSheetId="0" hidden="1">{#N/A,#N/A,FALSE,"3가";#N/A,#N/A,FALSE,"3나";#N/A,#N/A,FALSE,"3다"}</definedName>
    <definedName name="구축본부" localSheetId="14" hidden="1">{#N/A,#N/A,FALSE,"3가";#N/A,#N/A,FALSE,"3나";#N/A,#N/A,FALSE,"3다"}</definedName>
    <definedName name="구축본부" hidden="1">{#N/A,#N/A,FALSE,"3가";#N/A,#N/A,FALSE,"3나";#N/A,#N/A,FALSE,"3다"}</definedName>
    <definedName name="구칠건가">#REF!</definedName>
    <definedName name="구칠금형">#REF!</definedName>
    <definedName name="구ㅏㅇ">#REF!</definedName>
    <definedName name="국_내_매_출">#REF!</definedName>
    <definedName name="국1">#REF!</definedName>
    <definedName name="국10">#REF!</definedName>
    <definedName name="국11">#REF!</definedName>
    <definedName name="국12">#REF!</definedName>
    <definedName name="국2">#REF!</definedName>
    <definedName name="국3">#REF!</definedName>
    <definedName name="국4">#REF!</definedName>
    <definedName name="국5">#REF!</definedName>
    <definedName name="국6">#REF!</definedName>
    <definedName name="국7">#REF!</definedName>
    <definedName name="국8">#REF!</definedName>
    <definedName name="국9">#REF!</definedName>
    <definedName name="국가">#REF!</definedName>
    <definedName name="국가명">#REF!</definedName>
    <definedName name="국내">#REF!</definedName>
    <definedName name="국내2">#REF!</definedName>
    <definedName name="국내abs">#REF!</definedName>
    <definedName name="국내판권합계">#REF!</definedName>
    <definedName name="국문2" localSheetId="0" hidden="1">{#N/A,#N/A,FALSE,"BS";#N/A,#N/A,FALSE,"PL";#N/A,#N/A,FALSE,"처분";#N/A,#N/A,FALSE,"현금";#N/A,#N/A,FALSE,"매출";#N/A,#N/A,FALSE,"원가";#N/A,#N/A,FALSE,"경영"}</definedName>
    <definedName name="국문2" localSheetId="14" hidden="1">{#N/A,#N/A,FALSE,"BS";#N/A,#N/A,FALSE,"PL";#N/A,#N/A,FALSE,"처분";#N/A,#N/A,FALSE,"현금";#N/A,#N/A,FALSE,"매출";#N/A,#N/A,FALSE,"원가";#N/A,#N/A,FALSE,"경영"}</definedName>
    <definedName name="국문2" hidden="1">{#N/A,#N/A,FALSE,"BS";#N/A,#N/A,FALSE,"PL";#N/A,#N/A,FALSE,"처분";#N/A,#N/A,FALSE,"현금";#N/A,#N/A,FALSE,"매출";#N/A,#N/A,FALSE,"원가";#N/A,#N/A,FALSE,"경영"}</definedName>
    <definedName name="국문3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>#REF!</definedName>
    <definedName name="국민11월">#REF!</definedName>
    <definedName name="국민12월">#REF!</definedName>
    <definedName name="국민3월">#REF!</definedName>
    <definedName name="국민4월">#REF!</definedName>
    <definedName name="국민5월">#REF!</definedName>
    <definedName name="국민6월">#REF!</definedName>
    <definedName name="국민7월">#REF!</definedName>
    <definedName name="국민8월">#REF!</definedName>
    <definedName name="국민9월">#REF!</definedName>
    <definedName name="국산화1" hidden="1">#REF!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>#REF!</definedName>
    <definedName name="군매출">#REF!</definedName>
    <definedName name="군바지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권">#N/A</definedName>
    <definedName name="권종원">#N/A</definedName>
    <definedName name="귀속">#REF!</definedName>
    <definedName name="귀속2">#REF!</definedName>
    <definedName name="규남이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>#REF!</definedName>
    <definedName name="그냥">#REF!</definedName>
    <definedName name="그대로">#REF!</definedName>
    <definedName name="그림선이">#REF!</definedName>
    <definedName name="그림참고">#REF!</definedName>
    <definedName name="그사람" localSheetId="0" hidden="1">{#N/A,#N/A,FALSE,"1.CRITERIA";#N/A,#N/A,FALSE,"2.IS";#N/A,#N/A,FALSE,"3.BS";#N/A,#N/A,FALSE,"4.PER PL";#N/A,#N/A,FALSE,"5.INVESTMENT";#N/A,#N/A,FALSE,"6.공문";#N/A,#N/A,FALSE,"7.netinvest"}</definedName>
    <definedName name="그사람" localSheetId="14" hidden="1">{#N/A,#N/A,FALSE,"1.CRITERIA";#N/A,#N/A,FALSE,"2.IS";#N/A,#N/A,FALSE,"3.BS";#N/A,#N/A,FALSE,"4.PER PL";#N/A,#N/A,FALSE,"5.INVESTMENT";#N/A,#N/A,FALSE,"6.공문";#N/A,#N/A,FALSE,"7.netinvest"}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>#REF!</definedName>
    <definedName name="근거2" localSheetId="0" hidden="1">{#N/A,#N/A,FALSE,"단축1";#N/A,#N/A,FALSE,"단축2";#N/A,#N/A,FALSE,"단축3";#N/A,#N/A,FALSE,"장축";#N/A,#N/A,FALSE,"4WD"}</definedName>
    <definedName name="근거2" localSheetId="14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표">#REF!</definedName>
    <definedName name="근본">#REF!</definedName>
    <definedName name="근태현황_98본사_중원_9월__List">#REF!</definedName>
    <definedName name="금리1">#REF!</definedName>
    <definedName name="금액">#N/A</definedName>
    <definedName name="금월" localSheetId="0" hidden="1">{#N/A,#N/A,TRUE,"Y생산";#N/A,#N/A,TRUE,"Y판매";#N/A,#N/A,TRUE,"Y총물량";#N/A,#N/A,TRUE,"Y능력";#N/A,#N/A,TRUE,"YKD"}</definedName>
    <definedName name="금월" localSheetId="14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월요금1" localSheetId="0">ROUND(사용량1-사용량1*(전월일수-#REF!+1)/전월일수,0)*사용요금11</definedName>
    <definedName name="금월요금1" localSheetId="14">ROUND(사용량1-사용량1*(전월일수-#REF!+1)/전월일수,0)*사용요금11</definedName>
    <definedName name="금월요금1">ROUND(사용량1-사용량1*(전월일수-#REF!+1)/전월일수,0)*사용요금11</definedName>
    <definedName name="금월요금2" localSheetId="0">ROUND(사용량2-사용량2*(전월일수-#REF!+1)/전월일수,0)*사용요금21</definedName>
    <definedName name="금월요금2" localSheetId="14">ROUND(사용량2-사용량2*(전월일수-#REF!+1)/전월일수,0)*사용요금21</definedName>
    <definedName name="금월요금2">ROUND(사용량2-사용량2*(전월일수-#REF!+1)/전월일수,0)*사용요금21</definedName>
    <definedName name="금월요금3">#N/A</definedName>
    <definedName name="금융기관">#REF!</definedName>
    <definedName name="금형" localSheetId="0" hidden="1">{#N/A,#N/A,FALSE,"단축1";#N/A,#N/A,FALSE,"단축2";#N/A,#N/A,FALSE,"단축3";#N/A,#N/A,FALSE,"장축";#N/A,#N/A,FALSE,"4WD"}</definedName>
    <definedName name="금형" localSheetId="14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localSheetId="14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>#REF!</definedName>
    <definedName name="금호기획량">#REF!</definedName>
    <definedName name="금호요척량">#REF!</definedName>
    <definedName name="금호원불">#REF!</definedName>
    <definedName name="금호정품입고">#REF!</definedName>
    <definedName name="금호취불">#REF!</definedName>
    <definedName name="급1">#REF!</definedName>
    <definedName name="급10">#REF!</definedName>
    <definedName name="급11">#REF!</definedName>
    <definedName name="급12">#REF!</definedName>
    <definedName name="급2">#REF!</definedName>
    <definedName name="급3">#REF!</definedName>
    <definedName name="급4">#REF!</definedName>
    <definedName name="급5">#REF!</definedName>
    <definedName name="급6">#REF!</definedName>
    <definedName name="급7">#REF!</definedName>
    <definedName name="급8">#REF!</definedName>
    <definedName name="급9">#REF!</definedName>
    <definedName name="급료.본">#REF!</definedName>
    <definedName name="급여" hidden="1">#REF!</definedName>
    <definedName name="급여10월">#REF!</definedName>
    <definedName name="급여11월">#REF!</definedName>
    <definedName name="급여12월">#REF!</definedName>
    <definedName name="급여2">#REF!</definedName>
    <definedName name="급여3월">#REF!</definedName>
    <definedName name="급여4월">#REF!</definedName>
    <definedName name="급여5월">#REF!</definedName>
    <definedName name="급여6월">#REF!</definedName>
    <definedName name="급여7월">#REF!</definedName>
    <definedName name="급여8월">#REF!</definedName>
    <definedName name="급여9월">#REF!</definedName>
    <definedName name="기" localSheetId="0" hidden="1">{#N/A,#N/A,FALSE,"1.CRITERIA";#N/A,#N/A,FALSE,"2.IS";#N/A,#N/A,FALSE,"3.BS";#N/A,#N/A,FALSE,"4.PER PL";#N/A,#N/A,FALSE,"5.INVESTMENT";#N/A,#N/A,FALSE,"6.공문";#N/A,#N/A,FALSE,"7.netinvest"}</definedName>
    <definedName name="기" localSheetId="14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>#REF!</definedName>
    <definedName name="기10">#REF!</definedName>
    <definedName name="기11">#REF!</definedName>
    <definedName name="기12">#REF!</definedName>
    <definedName name="기2">#REF!</definedName>
    <definedName name="기3">#REF!</definedName>
    <definedName name="기4">#REF!</definedName>
    <definedName name="기5">#REF!</definedName>
    <definedName name="기6">#REF!</definedName>
    <definedName name="기7">#REF!</definedName>
    <definedName name="기8">#REF!</definedName>
    <definedName name="기9">#REF!</definedName>
    <definedName name="기간">OFFSET(#REF!,0,0,COUNTA(#REF!)-1)</definedName>
    <definedName name="기계" hidden="1">#REF!</definedName>
    <definedName name="기계업무3">#REF!</definedName>
    <definedName name="기계장치" hidden="1">#N/A</definedName>
    <definedName name="기계장치2">#REF!</definedName>
    <definedName name="기구조직">#REF!</definedName>
    <definedName name="기구조직도">#REF!</definedName>
    <definedName name="기남이가보냄">#REF!</definedName>
    <definedName name="기말">#REF!</definedName>
    <definedName name="기본요금1" localSheetId="0">VLOOKUP(#REF!,요금,2)</definedName>
    <definedName name="기본요금1" localSheetId="14">VLOOKUP(#REF!,요금,2)</definedName>
    <definedName name="기본요금1">VLOOKUP(#REF!,요금,2)</definedName>
    <definedName name="기본요금2" localSheetId="0">VLOOKUP(#REF!,요금,2)</definedName>
    <definedName name="기본요금2" localSheetId="14">VLOOKUP(#REF!,요금,2)</definedName>
    <definedName name="기본요금2">VLOOKUP(#REF!,요금,2)</definedName>
    <definedName name="기본운영계획1" localSheetId="0" hidden="1">{#N/A,#N/A,FALSE,"채산3501.XLS";#N/A,#N/A,FALSE,"신조수A.XLS";#N/A,#N/A,FALSE,"신조수b.XLS";#N/A,#N/A,FALSE,"채산3502.XLS";#N/A,#N/A,FALSE,"신조원리.XLS";#N/A,#N/A,FALSE,"신조감가.XLS"}</definedName>
    <definedName name="기본운영계획1" localSheetId="14" hidden="1">{#N/A,#N/A,FALSE,"채산3501.XLS";#N/A,#N/A,FALSE,"신조수A.XLS";#N/A,#N/A,FALSE,"신조수b.XLS";#N/A,#N/A,FALSE,"채산3502.XLS";#N/A,#N/A,FALSE,"신조원리.XLS";#N/A,#N/A,FALSE,"신조감가.XLS"}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>#REF!</definedName>
    <definedName name="기술개발">#REF!</definedName>
    <definedName name="기술관리부" localSheetId="0" hidden="1">{"'호선별현황(방식)'!$K$22:$P$22","'호선별현황(방식)'!$K$22:$P$22"}</definedName>
    <definedName name="기술관리부" localSheetId="14" hidden="1">{"'호선별현황(방식)'!$K$22:$P$22","'호선별현황(방식)'!$K$22:$P$22"}</definedName>
    <definedName name="기술관리부" hidden="1">{"'호선별현황(방식)'!$K$22:$P$22","'호선별현황(방식)'!$K$22:$P$22"}</definedName>
    <definedName name="기아" localSheetId="0" hidden="1">{#N/A,#N/A,FALSE,"1.CRITERIA";#N/A,#N/A,FALSE,"2.IS";#N/A,#N/A,FALSE,"3.BS";#N/A,#N/A,FALSE,"4.PER PL";#N/A,#N/A,FALSE,"5.INVESTMENT";#N/A,#N/A,FALSE,"6.공문";#N/A,#N/A,FALSE,"7.netinvest"}</definedName>
    <definedName name="기아" localSheetId="14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0" hidden="1">{#N/A,#N/A,FALSE,"1.CRITERIA";#N/A,#N/A,FALSE,"2.IS";#N/A,#N/A,FALSE,"3.BS";#N/A,#N/A,FALSE,"4.PER PL";#N/A,#N/A,FALSE,"5.INVESTMENT";#N/A,#N/A,FALSE,"6.공문";#N/A,#N/A,FALSE,"7.netinvest"}</definedName>
    <definedName name="기아차" localSheetId="14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>#REF!</definedName>
    <definedName name="기안1">#REF!</definedName>
    <definedName name="기안2">#REF!</definedName>
    <definedName name="기안3">#REF!</definedName>
    <definedName name="기안갑">#REF!</definedName>
    <definedName name="기안갑1">#N/A</definedName>
    <definedName name="기안용지">#REF!</definedName>
    <definedName name="기안용지2">#REF!</definedName>
    <definedName name="기안을">#REF!</definedName>
    <definedName name="기안을1">#N/A</definedName>
    <definedName name="기어2" localSheetId="0" hidden="1">{#N/A,#N/A,FALSE,"단축1";#N/A,#N/A,FALSE,"단축2";#N/A,#N/A,FALSE,"단축3";#N/A,#N/A,FALSE,"장축";#N/A,#N/A,FALSE,"4WD"}</definedName>
    <definedName name="기어2" localSheetId="14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업자유_5103">#REF!</definedName>
    <definedName name="기존_대출">#REF!</definedName>
    <definedName name="기존_보증금">#REF!</definedName>
    <definedName name="기준">#REF!</definedName>
    <definedName name="기준보증금률">#REF!</definedName>
    <definedName name="기준분석" localSheetId="0" hidden="1">{"'호선별현황(방식)'!$K$22:$P$22","'호선별현황(방식)'!$K$22:$P$22"}</definedName>
    <definedName name="기준분석" localSheetId="14" hidden="1">{"'호선별현황(방식)'!$K$22:$P$22","'호선별현황(방식)'!$K$22:$P$22"}</definedName>
    <definedName name="기준분석" hidden="1">{"'호선별현황(방식)'!$K$22:$P$22","'호선별현황(방식)'!$K$22:$P$22"}</definedName>
    <definedName name="기준표">#REF!</definedName>
    <definedName name="기타10월">#REF!</definedName>
    <definedName name="기타11월">#REF!</definedName>
    <definedName name="기타12월">#REF!</definedName>
    <definedName name="기타3월">#REF!</definedName>
    <definedName name="기타4월">#REF!</definedName>
    <definedName name="기타5월">#REF!</definedName>
    <definedName name="기타6월">#REF!</definedName>
    <definedName name="기타7월">#REF!</definedName>
    <definedName name="기타8월">#REF!</definedName>
    <definedName name="기타9월">#REF!</definedName>
    <definedName name="기타부채">#REF!</definedName>
    <definedName name="기타합계">#REF!</definedName>
    <definedName name="기표현황">#REF!</definedName>
    <definedName name="기획1">#REF!</definedName>
    <definedName name="기획2">#REF!</definedName>
    <definedName name="기획량">#REF!,#REF!,#REF!,#REF!,#REF!,#REF!,#REF!,#REF!,#REF!,#REF!,#REF!,#REF!,#REF!,#REF!,#REF!</definedName>
    <definedName name="기획료합계">#REF!</definedName>
    <definedName name="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0" hidden="1">{#N/A,#N/A,FALSE,"Aging Summary";#N/A,#N/A,FALSE,"Ratio Analysis";#N/A,#N/A,FALSE,"Test 120 Day Accts";#N/A,#N/A,FALSE,"Tickmarks"}</definedName>
    <definedName name="김" localSheetId="14" hidden="1">{#N/A,#N/A,FALSE,"Aging Summary";#N/A,#N/A,FALSE,"Ratio Analysis";#N/A,#N/A,FALSE,"Test 120 Day Accts";#N/A,#N/A,FALSE,"Tickmarks"}</definedName>
    <definedName name="김" hidden="1">{#N/A,#N/A,FALSE,"Aging Summary";#N/A,#N/A,FALSE,"Ratio Analysis";#N/A,#N/A,FALSE,"Test 120 Day Accts";#N/A,#N/A,FALSE,"Tickmarks"}</definedName>
    <definedName name="김두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>#REF!</definedName>
    <definedName name="ㄳㄱ" localSheetId="0" hidden="1">{#N/A,#N/A,FALSE,"Aging Summary";#N/A,#N/A,FALSE,"Ratio Analysis";#N/A,#N/A,FALSE,"Test 120 Day Accts";#N/A,#N/A,FALSE,"Tickmarks"}</definedName>
    <definedName name="ㄳㄱ" localSheetId="14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ㄴ">#REF!</definedName>
    <definedName name="ㄴ2">#REF!</definedName>
    <definedName name="ㄴㄴ">#REF!</definedName>
    <definedName name="ㄴㄴㄴ">#REF!</definedName>
    <definedName name="ㄴㄴㄴ_1" localSheetId="0" hidden="1">{#N/A,#N/A,TRUE,"대 차 대 조 표"}</definedName>
    <definedName name="ㄴㄴㄴ_1" localSheetId="14" hidden="1">{#N/A,#N/A,TRUE,"대 차 대 조 표"}</definedName>
    <definedName name="ㄴㄴㄴ_1" hidden="1">{#N/A,#N/A,TRUE,"대 차 대 조 표"}</definedName>
    <definedName name="ㄴㄴㄴㄴ" localSheetId="0" hidden="1">{#N/A,#N/A,FALSE,"단축1";#N/A,#N/A,FALSE,"단축2";#N/A,#N/A,FALSE,"단축3";#N/A,#N/A,FALSE,"장축";#N/A,#N/A,FALSE,"4WD"}</definedName>
    <definedName name="ㄴㄴㄴㄴ" localSheetId="14" hidden="1">{#N/A,#N/A,FALSE,"단축1";#N/A,#N/A,FALSE,"단축2";#N/A,#N/A,FALSE,"단축3";#N/A,#N/A,FALSE,"장축";#N/A,#N/A,FALSE,"4WD"}</definedName>
    <definedName name="ㄴㄴㄴㄴ" hidden="1">{#N/A,#N/A,FALSE,"단축1";#N/A,#N/A,FALSE,"단축2";#N/A,#N/A,FALSE,"단축3";#N/A,#N/A,FALSE,"장축";#N/A,#N/A,FALSE,"4WD"}</definedName>
    <definedName name="ㄴㄹ" localSheetId="0">ROUND(사용량2*(ㅂㅈ-#REF!+1)/ㅂㅈ,0)*사용</definedName>
    <definedName name="ㄴㄹ" localSheetId="14">ROUND(사용량2*(ㅂㅈ-#REF!+1)/ㅂㅈ,0)*사용</definedName>
    <definedName name="ㄴㄹ">ROUND(사용량2*(ㅂㅈ-#REF!+1)/ㅂㅈ,0)*사용</definedName>
    <definedName name="ㄴㄹㅇ" localSheetId="0" hidden="1">{#N/A,#N/A,FALSE,"Aging Summary";#N/A,#N/A,FALSE,"Ratio Analysis";#N/A,#N/A,FALSE,"Test 120 Day Accts";#N/A,#N/A,FALSE,"Tickmarks"}</definedName>
    <definedName name="ㄴㄹㅇ" localSheetId="14" hidden="1">{#N/A,#N/A,FALSE,"Aging Summary";#N/A,#N/A,FALSE,"Ratio Analysis";#N/A,#N/A,FALSE,"Test 120 Day Accts";#N/A,#N/A,FALSE,"Tickmarks"}</definedName>
    <definedName name="ㄴㄹㅇ" hidden="1">{#N/A,#N/A,FALSE,"Aging Summary";#N/A,#N/A,FALSE,"Ratio Analysis";#N/A,#N/A,FALSE,"Test 120 Day Accts";#N/A,#N/A,FALSE,"Tickmarks"}</definedName>
    <definedName name="ㄴㄹㅇㄹㅇㄴ" localSheetId="0" hidden="1">{#N/A,#N/A,FALSE,"Aging Summary";#N/A,#N/A,FALSE,"Ratio Analysis";#N/A,#N/A,FALSE,"Test 120 Day Accts";#N/A,#N/A,FALSE,"Tickmarks"}</definedName>
    <definedName name="ㄴㄹㅇㄹㅇㄴ" localSheetId="14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>#REF!</definedName>
    <definedName name="ㄴㅁㅁㄴ" localSheetId="0" hidden="1">{#N/A,#N/A,FALSE,"표지";#N/A,#N/A,FALSE,"전제";#N/A,#N/A,FALSE,"손익-자 (2)";#N/A,#N/A,FALSE,"손익-자";#N/A,#N/A,FALSE,"손익-마 (2)";#N/A,#N/A,FALSE,"손익-마";#N/A,#N/A,FALSE,"총손최종"}</definedName>
    <definedName name="ㄴㅁㅁㄴ" localSheetId="14" hidden="1">{#N/A,#N/A,FALSE,"표지";#N/A,#N/A,FALSE,"전제";#N/A,#N/A,FALSE,"손익-자 (2)";#N/A,#N/A,FALSE,"손익-자";#N/A,#N/A,FALSE,"손익-마 (2)";#N/A,#N/A,FALSE,"손익-마";#N/A,#N/A,FALSE,"총손최종"}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0" hidden="1">{#N/A,#N/A,TRUE,"Y생산";#N/A,#N/A,TRUE,"Y판매";#N/A,#N/A,TRUE,"Y총물량";#N/A,#N/A,TRUE,"Y능력";#N/A,#N/A,TRUE,"YKD"}</definedName>
    <definedName name="ㄴㅇ" localSheetId="14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_1" localSheetId="0" hidden="1">{#N/A,#N/A,TRUE,"Y생산";#N/A,#N/A,TRUE,"Y판매";#N/A,#N/A,TRUE,"Y총물량";#N/A,#N/A,TRUE,"Y능력";#N/A,#N/A,TRUE,"YKD"}</definedName>
    <definedName name="ㄴㅇ_1" localSheetId="14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>#REF!</definedName>
    <definedName name="ㄴㅇㄴㅇ">#REF!</definedName>
    <definedName name="ㄴㅇㄴㅇㄴ">#REF!</definedName>
    <definedName name="ㄴㅇㄴㅇㄴㅇㄴ">#REF!</definedName>
    <definedName name="ㄴㅇㄴㅇㄴㅇㄴㅇ">#REF!</definedName>
    <definedName name="ㄴㅇㄴㅇㄴㅇㄴㅇㄴ">#REF!</definedName>
    <definedName name="ㄴㅇㄴㅇㄴㅇㄴㅇㄴㅇ">#REF!</definedName>
    <definedName name="ㄴㅇㄴㅇㄴㅇㄴㅇㄴㅇㄴㅇ">#REF!</definedName>
    <definedName name="ㄴㅇㄴㅊㄷ">#REF!</definedName>
    <definedName name="ㄴㅇㄹ" localSheetId="0" hidden="1">{#N/A,#N/A,FALSE,"3가";#N/A,#N/A,FALSE,"3나";#N/A,#N/A,FALSE,"3다"}</definedName>
    <definedName name="ㄴㅇㄹ" localSheetId="14" hidden="1">{#N/A,#N/A,FALSE,"3가";#N/A,#N/A,FALSE,"3나";#N/A,#N/A,FALSE,"3다"}</definedName>
    <definedName name="ㄴㅇㄹ" hidden="1">{#N/A,#N/A,FALSE,"3가";#N/A,#N/A,FALSE,"3나";#N/A,#N/A,FALSE,"3다"}</definedName>
    <definedName name="ㄴㅇㄹㄴㅇㄹ" localSheetId="0" hidden="1">{#N/A,#N/A,TRUE,"Y생산";#N/A,#N/A,TRUE,"Y판매";#N/A,#N/A,TRUE,"Y총물량";#N/A,#N/A,TRUE,"Y능력";#N/A,#N/A,TRUE,"YKD"}</definedName>
    <definedName name="ㄴㅇㄹㄴㅇㄹ" localSheetId="14" hidden="1">{#N/A,#N/A,TRUE,"Y생산";#N/A,#N/A,TRUE,"Y판매";#N/A,#N/A,TRUE,"Y총물량";#N/A,#N/A,TRUE,"Y능력";#N/A,#N/A,TRUE,"YKD"}</definedName>
    <definedName name="ㄴㅇㄹㄴㅇㄹ" hidden="1">{#N/A,#N/A,TRUE,"Y생산";#N/A,#N/A,TRUE,"Y판매";#N/A,#N/A,TRUE,"Y총물량";#N/A,#N/A,TRUE,"Y능력";#N/A,#N/A,TRUE,"YKD"}</definedName>
    <definedName name="ㄴㅇㄹㄴㅇㄹ_1" localSheetId="0" hidden="1">{#N/A,#N/A,TRUE,"Y생산";#N/A,#N/A,TRUE,"Y판매";#N/A,#N/A,TRUE,"Y총물량";#N/A,#N/A,TRUE,"Y능력";#N/A,#N/A,TRUE,"YKD"}</definedName>
    <definedName name="ㄴㅇㄹㄴㅇㄹ_1" localSheetId="14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localSheetId="0" hidden="1">{#N/A,#N/A,TRUE,"Y생산";#N/A,#N/A,TRUE,"Y판매";#N/A,#N/A,TRUE,"Y총물량";#N/A,#N/A,TRUE,"Y능력";#N/A,#N/A,TRUE,"YKD"}</definedName>
    <definedName name="ㄴㅇㄹㄴㅇㄹㄴㅇㄹ" localSheetId="14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localSheetId="0" hidden="1">{#N/A,#N/A,TRUE,"Y생산";#N/A,#N/A,TRUE,"Y판매";#N/A,#N/A,TRUE,"Y총물량";#N/A,#N/A,TRUE,"Y능력";#N/A,#N/A,TRUE,"YKD"}</definedName>
    <definedName name="ㄴㅇㄹㄴㅇㄹㄴㅇㄹ_1" localSheetId="14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localSheetId="0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localSheetId="14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>#REF!</definedName>
    <definedName name="ㄴㅇㅇㄴㅇㄴㅇㄴㅇㄴ">#REF!</definedName>
    <definedName name="ㄴㅈㅈㅈㅈ">#REF!</definedName>
    <definedName name="나">#REF!</definedName>
    <definedName name="나나" localSheetId="0" hidden="1">{#N/A,#N/A,FALSE,"표지";#N/A,#N/A,FALSE,"전제";#N/A,#N/A,FALSE,"손익-자 (2)";#N/A,#N/A,FALSE,"손익-자";#N/A,#N/A,FALSE,"손익-마 (2)";#N/A,#N/A,FALSE,"손익-마";#N/A,#N/A,FALSE,"총손최종"}</definedName>
    <definedName name="나나" localSheetId="14" hidden="1">{#N/A,#N/A,FALSE,"표지";#N/A,#N/A,FALSE,"전제";#N/A,#N/A,FALSE,"손익-자 (2)";#N/A,#N/A,FALSE,"손익-자";#N/A,#N/A,FALSE,"손익-마 (2)";#N/A,#N/A,FALSE,"손익-마";#N/A,#N/A,FALSE,"총손최종"}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localSheetId="0" hidden="1">{#N/A,#N/A,FALSE,"1.CRITERIA";#N/A,#N/A,FALSE,"2.IS";#N/A,#N/A,FALSE,"3.BS";#N/A,#N/A,FALSE,"4.PER PL";#N/A,#N/A,FALSE,"5.INVESTMENT";#N/A,#N/A,FALSE,"6.공문";#N/A,#N/A,FALSE,"7.netinvest"}</definedName>
    <definedName name="나다라" localSheetId="14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>#REF!</definedName>
    <definedName name="나영이">#REF!</definedName>
    <definedName name="낙_관">#REF!</definedName>
    <definedName name="날짜">#REF!</definedName>
    <definedName name="날짜2">#REF!</definedName>
    <definedName name="남미영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>#REF!</definedName>
    <definedName name="남양">#REF!</definedName>
    <definedName name="남채">#REF!</definedName>
    <definedName name="납품보고">#REF!</definedName>
    <definedName name="내" localSheetId="0" hidden="1">{#N/A,#N/A,FALSE,"1.CRITERIA";#N/A,#N/A,FALSE,"2.IS";#N/A,#N/A,FALSE,"3.BS";#N/A,#N/A,FALSE,"4.PER PL";#N/A,#N/A,FALSE,"5.INVESTMENT";#N/A,#N/A,FALSE,"6.공문";#N/A,#N/A,FALSE,"7.netinvest"}</definedName>
    <definedName name="내" localSheetId="14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localSheetId="0" hidden="1">{#N/A,#N/A,TRUE,"Y생산";#N/A,#N/A,TRUE,"Y판매";#N/A,#N/A,TRUE,"Y총물량";#N/A,#N/A,TRUE,"Y능력";#N/A,#N/A,TRUE,"YKD"}</definedName>
    <definedName name="내영.." localSheetId="14" hidden="1">{#N/A,#N/A,TRUE,"Y생산";#N/A,#N/A,TRUE,"Y판매";#N/A,#N/A,TRUE,"Y총물량";#N/A,#N/A,TRUE,"Y능력";#N/A,#N/A,TRUE,"YKD"}</definedName>
    <definedName name="내영.." hidden="1">{#N/A,#N/A,TRUE,"Y생산";#N/A,#N/A,TRUE,"Y판매";#N/A,#N/A,TRUE,"Y총물량";#N/A,#N/A,TRUE,"Y능력";#N/A,#N/A,TRUE,"YKD"}</definedName>
    <definedName name="내영.._1" localSheetId="0" hidden="1">{#N/A,#N/A,TRUE,"Y생산";#N/A,#N/A,TRUE,"Y판매";#N/A,#N/A,TRUE,"Y총물량";#N/A,#N/A,TRUE,"Y능력";#N/A,#N/A,TRUE,"YKD"}</definedName>
    <definedName name="내영.._1" localSheetId="14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localSheetId="0" hidden="1">{#N/A,#N/A,TRUE,"Y생산";#N/A,#N/A,TRUE,"Y판매";#N/A,#N/A,TRUE,"Y총물량";#N/A,#N/A,TRUE,"Y능력";#N/A,#N/A,TRUE,"YKD"}</definedName>
    <definedName name="내용" localSheetId="14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localSheetId="0" hidden="1">{#N/A,#N/A,TRUE,"Y생산";#N/A,#N/A,TRUE,"Y판매";#N/A,#N/A,TRUE,"Y총물량";#N/A,#N/A,TRUE,"Y능력";#N/A,#N/A,TRUE,"YKD"}</definedName>
    <definedName name="내용_1" localSheetId="14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>#REF!</definedName>
    <definedName name="내용연수">#REF!</definedName>
    <definedName name="내용연수2">#REF!</definedName>
    <definedName name="너" localSheetId="0" hidden="1">{#N/A,#N/A,FALSE,"1.CRITERIA";#N/A,#N/A,FALSE,"2.IS";#N/A,#N/A,FALSE,"3.BS";#N/A,#N/A,FALSE,"4.PER PL";#N/A,#N/A,FALSE,"5.INVESTMENT";#N/A,#N/A,FALSE,"6.공문";#N/A,#N/A,FALSE,"7.netinvest"}</definedName>
    <definedName name="너" localSheetId="14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localSheetId="0" hidden="1">{#N/A,#N/A,FALSE,"1.CRITERIA";#N/A,#N/A,FALSE,"2.IS";#N/A,#N/A,FALSE,"3.BS";#N/A,#N/A,FALSE,"4.PER PL";#N/A,#N/A,FALSE,"5.INVESTMENT";#N/A,#N/A,FALSE,"6.공문";#N/A,#N/A,FALSE,"7.netinvest"}</definedName>
    <definedName name="녀" localSheetId="14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>#REF!</definedName>
    <definedName name="년도">#REF!</definedName>
    <definedName name="년도__실적추정은_건설이자_미포">#REF!</definedName>
    <definedName name="년도별예산추정" localSheetId="13">BlankMacro1</definedName>
    <definedName name="년도별예산추정" localSheetId="0">BlankMacro1</definedName>
    <definedName name="년도별예산추정" localSheetId="14">BlankMacro1</definedName>
    <definedName name="년도별예산추정" localSheetId="4">BlankMacro1</definedName>
    <definedName name="년도별예산추정" localSheetId="5">BlankMacro1</definedName>
    <definedName name="년도별예산추정" localSheetId="6">BlankMacro1</definedName>
    <definedName name="년도별예산추정" localSheetId="7">BlankMacro1</definedName>
    <definedName name="년도별예산추정" localSheetId="8">BlankMacro1</definedName>
    <definedName name="년도별예산추정" localSheetId="9">BlankMacro1</definedName>
    <definedName name="년도별예산추정" localSheetId="10">BlankMacro1</definedName>
    <definedName name="년도별예산추정" localSheetId="11">BlankMacro1</definedName>
    <definedName name="년도별예산추정" localSheetId="12">BlankMacro1</definedName>
    <definedName name="년도별예산추정" localSheetId="1">BlankMacro1</definedName>
    <definedName name="년도별예산추정">BlankMacro1</definedName>
    <definedName name="년도실적추정">#REF!</definedName>
    <definedName name="노" localSheetId="0" hidden="1">{#N/A,#N/A,FALSE,"1.CRITERIA";#N/A,#N/A,FALSE,"2.IS";#N/A,#N/A,FALSE,"3.BS";#N/A,#N/A,FALSE,"4.PER PL";#N/A,#N/A,FALSE,"5.INVESTMENT";#N/A,#N/A,FALSE,"6.공문";#N/A,#N/A,FALSE,"7.netinvest"}</definedName>
    <definedName name="노" localSheetId="14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>#REF!</definedName>
    <definedName name="누계" localSheetId="0" hidden="1">{#N/A,#N/A,FALSE,"채산3501.XLS";#N/A,#N/A,FALSE,"신조수A.XLS";#N/A,#N/A,FALSE,"신조수b.XLS";#N/A,#N/A,FALSE,"채산3502.XLS";#N/A,#N/A,FALSE,"신조원리.XLS";#N/A,#N/A,FALSE,"신조감가.XLS"}</definedName>
    <definedName name="누계" localSheetId="14" hidden="1">{#N/A,#N/A,FALSE,"채산3501.XLS";#N/A,#N/A,FALSE,"신조수A.XLS";#N/A,#N/A,FALSE,"신조수b.XLS";#N/A,#N/A,FALSE,"채산3502.XLS";#N/A,#N/A,FALSE,"신조원리.XLS";#N/A,#N/A,FALSE,"신조감가.XLS"}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localSheetId="0" hidden="1">{#N/A,#N/A,TRUE,"Y생산";#N/A,#N/A,TRUE,"Y판매";#N/A,#N/A,TRUE,"Y총물량";#N/A,#N/A,TRUE,"Y능력";#N/A,#N/A,TRUE,"YKD"}</definedName>
    <definedName name="닝잉" localSheetId="14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닣" hidden="1">#REF!</definedName>
    <definedName name="ㄷ">#REF!</definedName>
    <definedName name="ㄷ22">#REF!</definedName>
    <definedName name="ㄷ24">#REF!</definedName>
    <definedName name="ㄷㄳ" localSheetId="0" hidden="1">{#N/A,#N/A,FALSE,"단축1";#N/A,#N/A,FALSE,"단축2";#N/A,#N/A,FALSE,"단축3";#N/A,#N/A,FALSE,"장축";#N/A,#N/A,FALSE,"4WD"}</definedName>
    <definedName name="ㄷㄳ" localSheetId="14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ㄴㄷ">#REF!</definedName>
    <definedName name="ㄷㄷ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localSheetId="1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>#REF!</definedName>
    <definedName name="ㄷㄷㄷㄷeeee">#REF!</definedName>
    <definedName name="ㄷㄷㄷㄷㄷㄷ">#REF!</definedName>
    <definedName name="ㄷㅂㅈㄷ" hidden="1">#REF!</definedName>
    <definedName name="ㄷㅇ">#REF!</definedName>
    <definedName name="ㄷㅇ_1" localSheetId="0" hidden="1">{#N/A,#N/A,TRUE,"Y생산";#N/A,#N/A,TRUE,"Y판매";#N/A,#N/A,TRUE,"Y총물량";#N/A,#N/A,TRUE,"Y능력";#N/A,#N/A,TRUE,"YKD"}</definedName>
    <definedName name="ㄷㅇ_1" localSheetId="14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ㅇ" hidden="1">#REF!</definedName>
    <definedName name="ㄷ야ㅗㅔㅐㄹㅈ대ㅈㄷㅈㄷㄱ" hidden="1">#REF!</definedName>
    <definedName name="ㄷㅈ" hidden="1">#REF!</definedName>
    <definedName name="ㄷㅈㄹ" localSheetId="0" hidden="1">{#N/A,#N/A,FALSE,"BS";#N/A,#N/A,FALSE,"PL";#N/A,#N/A,FALSE,"처분";#N/A,#N/A,FALSE,"현금";#N/A,#N/A,FALSE,"매출";#N/A,#N/A,FALSE,"원가";#N/A,#N/A,FALSE,"경영"}</definedName>
    <definedName name="ㄷㅈㄹ" localSheetId="14" hidden="1">{#N/A,#N/A,FALSE,"BS";#N/A,#N/A,FALSE,"PL";#N/A,#N/A,FALSE,"처분";#N/A,#N/A,FALSE,"현금";#N/A,#N/A,FALSE,"매출";#N/A,#N/A,FALSE,"원가";#N/A,#N/A,FALSE,"경영"}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localSheetId="0" hidden="1">{#N/A,#N/A,FALSE,"Aging Summary";#N/A,#N/A,FALSE,"Ratio Analysis";#N/A,#N/A,FALSE,"Test 120 Day Accts";#N/A,#N/A,FALSE,"Tickmarks"}</definedName>
    <definedName name="ㄷㅎㄹㄴㄹㅇㅎㅇㅁㄴㅁㅎ" localSheetId="14" hidden="1">{#N/A,#N/A,FALSE,"Aging Summary";#N/A,#N/A,FALSE,"Ratio Analysis";#N/A,#N/A,FALSE,"Test 120 Day Accts";#N/A,#N/A,FALSE,"Tickmarks"}</definedName>
    <definedName name="ㄷㅎㄹㄴㄹㅇㅎㅇㅁㄴㅁㅎ" hidden="1">{#N/A,#N/A,FALSE,"Aging Summary";#N/A,#N/A,FALSE,"Ratio Analysis";#N/A,#N/A,FALSE,"Test 120 Day Accts";#N/A,#N/A,FALSE,"Tickmarks"}</definedName>
    <definedName name="다">#REF!</definedName>
    <definedName name="다른" hidden="1">#REF!</definedName>
    <definedName name="다바" localSheetId="0" hidden="1">{#N/A,#N/A,FALSE,"1.CRITERIA";#N/A,#N/A,FALSE,"2.IS";#N/A,#N/A,FALSE,"3.BS";#N/A,#N/A,FALSE,"4.PER PL";#N/A,#N/A,FALSE,"5.INVESTMENT";#N/A,#N/A,FALSE,"6.공문";#N/A,#N/A,FALSE,"7.netinvest"}</definedName>
    <definedName name="다바" localSheetId="14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>#REF!</definedName>
    <definedName name="단가">#REF!</definedName>
    <definedName name="단가1">#REF!</definedName>
    <definedName name="단가2">#REF!</definedName>
    <definedName name="단가기준" localSheetId="0" hidden="1">{#N/A,#N/A,TRUE,"Y생산";#N/A,#N/A,TRUE,"Y판매";#N/A,#N/A,TRUE,"Y총물량";#N/A,#N/A,TRUE,"Y능력";#N/A,#N/A,TRUE,"YKD"}</definedName>
    <definedName name="단가기준" localSheetId="14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기준_1" localSheetId="0" hidden="1">{#N/A,#N/A,TRUE,"Y생산";#N/A,#N/A,TRUE,"Y판매";#N/A,#N/A,TRUE,"Y총물량";#N/A,#N/A,TRUE,"Y능력";#N/A,#N/A,TRUE,"YKD"}</definedName>
    <definedName name="단가기준_1" localSheetId="14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>#REF!</definedName>
    <definedName name="단기" localSheetId="0" hidden="1">{#N/A,#N/A,TRUE,"Y생산";#N/A,#N/A,TRUE,"Y판매";#N/A,#N/A,TRUE,"Y총물량";#N/A,#N/A,TRUE,"Y능력";#N/A,#N/A,TRUE,"YKD"}</definedName>
    <definedName name="단기" localSheetId="14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localSheetId="0" hidden="1">{#N/A,#N/A,TRUE,"Y생산";#N/A,#N/A,TRUE,"Y판매";#N/A,#N/A,TRUE,"Y총물량";#N/A,#N/A,TRUE,"Y능력";#N/A,#N/A,TRUE,"YKD"}</definedName>
    <definedName name="단기_1" localSheetId="14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>#REF!</definedName>
    <definedName name="단기차입금" localSheetId="0" hidden="1">{#N/A,#N/A,FALSE,"Aging Summary";#N/A,#N/A,FALSE,"Ratio Analysis";#N/A,#N/A,FALSE,"Test 120 Day Accts";#N/A,#N/A,FALSE,"Tickmarks"}</definedName>
    <definedName name="단기차입금" localSheetId="14" hidden="1">{#N/A,#N/A,FALSE,"Aging Summary";#N/A,#N/A,FALSE,"Ratio Analysis";#N/A,#N/A,FALSE,"Test 120 Day Accts";#N/A,#N/A,FALSE,"Tickmarks"}</definedName>
    <definedName name="단기차입금" hidden="1">{#N/A,#N/A,FALSE,"Aging Summary";#N/A,#N/A,FALSE,"Ratio Analysis";#N/A,#N/A,FALSE,"Test 120 Day Accts";#N/A,#N/A,FALSE,"Tickmarks"}</definedName>
    <definedName name="短期借入金" localSheetId="0" hidden="1">{"'買掛金'!$J$6"}</definedName>
    <definedName name="短期借入金" localSheetId="14" hidden="1">{"'買掛金'!$J$6"}</definedName>
    <definedName name="短期借入金" hidden="1">{"'買掛金'!$J$6"}</definedName>
    <definedName name="단순">#REF!</definedName>
    <definedName name="단순라인업">#REF!</definedName>
    <definedName name="단순트럭">#REF!</definedName>
    <definedName name="단위">#REF!</definedName>
    <definedName name="單位_百萬원">#REF!</definedName>
    <definedName name="단위조정_백만">#REF!</definedName>
    <definedName name="單位阡원_阡￥">#REF!</definedName>
    <definedName name="단조편성표" localSheetId="0" hidden="1">{#N/A,#N/A,FALSE,"단축1";#N/A,#N/A,FALSE,"단축2";#N/A,#N/A,FALSE,"단축3";#N/A,#N/A,FALSE,"장축";#N/A,#N/A,FALSE,"4WD"}</definedName>
    <definedName name="단조편성표" localSheetId="14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단충">#REF!</definedName>
    <definedName name="달러환율">#REF!</definedName>
    <definedName name="달력">#REF!</definedName>
    <definedName name="달력1">#REF!</definedName>
    <definedName name="담보">#REF!</definedName>
    <definedName name="당" localSheetId="0" hidden="1">{#N/A,#N/A,FALSE,"BS";#N/A,#N/A,FALSE,"PL";#N/A,#N/A,FALSE,"처분";#N/A,#N/A,FALSE,"현금";#N/A,#N/A,FALSE,"매출";#N/A,#N/A,FALSE,"원가";#N/A,#N/A,FALSE,"경영"}</definedName>
    <definedName name="당" localSheetId="14" hidden="1">{#N/A,#N/A,FALSE,"BS";#N/A,#N/A,FALSE,"PL";#N/A,#N/A,FALSE,"처분";#N/A,#N/A,FALSE,"현금";#N/A,#N/A,FALSE,"매출";#N/A,#N/A,FALSE,"원가";#N/A,#N/A,FALSE,"경영"}</definedName>
    <definedName name="당" hidden="1">{#N/A,#N/A,FALSE,"BS";#N/A,#N/A,FALSE,"PL";#N/A,#N/A,FALSE,"처분";#N/A,#N/A,FALSE,"현금";#N/A,#N/A,FALSE,"매출";#N/A,#N/A,FALSE,"원가";#N/A,#N/A,FALSE,"경영"}</definedName>
    <definedName name="당기순이익">#REF!</definedName>
    <definedName name="당좌예금_5102">#REF!</definedName>
    <definedName name="당초계획" hidden="1">#REF!</definedName>
    <definedName name="대">#REF!</definedName>
    <definedName name="대구" localSheetId="0" hidden="1">{#N/A,#N/A,TRUE,"대 차 대 조 표"}</definedName>
    <definedName name="대구" localSheetId="14" hidden="1">{#N/A,#N/A,TRUE,"대 차 대 조 표"}</definedName>
    <definedName name="대구" hidden="1">{#N/A,#N/A,TRUE,"대 차 대 조 표"}</definedName>
    <definedName name="대구_1" localSheetId="0" hidden="1">{#N/A,#N/A,TRUE,"대 차 대 조 표"}</definedName>
    <definedName name="대구_1" localSheetId="14" hidden="1">{#N/A,#N/A,TRUE,"대 차 대 조 표"}</definedName>
    <definedName name="대구_1" hidden="1">{#N/A,#N/A,TRUE,"대 차 대 조 표"}</definedName>
    <definedName name="대방총괄" localSheetId="0" hidden="1">{#N/A,#N/A,FALSE,"단축1";#N/A,#N/A,FALSE,"단축2";#N/A,#N/A,FALSE,"단축3";#N/A,#N/A,FALSE,"장축";#N/A,#N/A,FALSE,"4WD"}</definedName>
    <definedName name="대방총괄" localSheetId="14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본합계">#REF!</definedName>
    <definedName name="대손">#REF!</definedName>
    <definedName name="대우르망LPG">#REF!</definedName>
    <definedName name="대우프린스18LPG">#REF!</definedName>
    <definedName name="대우프린스20LPG">#REF!</definedName>
    <definedName name="대조립부" localSheetId="0" hidden="1">{"'호선별현황(방식)'!$K$22:$P$22","'호선별현황(방식)'!$K$22:$P$22"}</definedName>
    <definedName name="대조립부" localSheetId="14" hidden="1">{"'호선별현황(방식)'!$K$22:$P$22","'호선별현황(방식)'!$K$22:$P$22"}</definedName>
    <definedName name="대조립부" hidden="1">{"'호선별현황(방식)'!$K$22:$P$22","'호선별현황(방식)'!$K$22:$P$22"}</definedName>
    <definedName name="대주건">#N/A</definedName>
    <definedName name="대차">#REF!</definedName>
    <definedName name="대차123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>#REF!</definedName>
    <definedName name="대포">#REF!</definedName>
    <definedName name="대표자명_성명">#REF!</definedName>
    <definedName name="대한민국" localSheetId="0" hidden="1">{#N/A,#N/A,FALSE,"채산3501.XLS";#N/A,#N/A,FALSE,"신조수A.XLS";#N/A,#N/A,FALSE,"신조수b.XLS";#N/A,#N/A,FALSE,"채산3502.XLS";#N/A,#N/A,FALSE,"신조원리.XLS";#N/A,#N/A,FALSE,"신조감가.XLS"}</definedName>
    <definedName name="대한민국" localSheetId="14" hidden="1">{#N/A,#N/A,FALSE,"채산3501.XLS";#N/A,#N/A,FALSE,"신조수A.XLS";#N/A,#N/A,FALSE,"신조수b.XLS";#N/A,#N/A,FALSE,"채산3502.XLS";#N/A,#N/A,FALSE,"신조원리.XLS";#N/A,#N/A,FALSE,"신조감가.XLS"}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>#REF!</definedName>
    <definedName name="대흥" localSheetId="0" hidden="1">{#N/A,#N/A,TRUE,"대 차 대 조 표"}</definedName>
    <definedName name="대흥" localSheetId="14" hidden="1">{#N/A,#N/A,TRUE,"대 차 대 조 표"}</definedName>
    <definedName name="대흥" hidden="1">{#N/A,#N/A,TRUE,"대 차 대 조 표"}</definedName>
    <definedName name="대흥_1" localSheetId="0" hidden="1">{#N/A,#N/A,TRUE,"대 차 대 조 표"}</definedName>
    <definedName name="대흥_1" localSheetId="14" hidden="1">{#N/A,#N/A,TRUE,"대 차 대 조 표"}</definedName>
    <definedName name="대흥_1" hidden="1">{#N/A,#N/A,TRUE,"대 차 대 조 표"}</definedName>
    <definedName name="댜댜" hidden="1">#N/A</definedName>
    <definedName name="데이터확인">#REF!</definedName>
    <definedName name="도" localSheetId="0" hidden="1">{#N/A,#N/A,FALSE,"1.CRITERIA";#N/A,#N/A,FALSE,"2.IS";#N/A,#N/A,FALSE,"3.BS";#N/A,#N/A,FALSE,"4.PER PL";#N/A,#N/A,FALSE,"5.INVESTMENT";#N/A,#N/A,FALSE,"6.공문";#N/A,#N/A,FALSE,"7.netinvest"}</definedName>
    <definedName name="도" localSheetId="14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localSheetId="0" hidden="1">{"'호선별현황(방식)'!$K$22:$P$22","'호선별현황(방식)'!$K$22:$P$22"}</definedName>
    <definedName name="도장부" localSheetId="14" hidden="1">{"'호선별현황(방식)'!$K$22:$P$22","'호선별현황(방식)'!$K$22:$P$22"}</definedName>
    <definedName name="도장부" hidden="1">{"'호선별현황(방식)'!$K$22:$P$22","'호선별현황(방식)'!$K$22:$P$22"}</definedName>
    <definedName name="돋">#REF!</definedName>
    <definedName name="돌아버려" localSheetId="0" hidden="1">{"'Sheet1'!$A$1:$H$36"}</definedName>
    <definedName name="돌아버려" localSheetId="14" hidden="1">{"'Sheet1'!$A$1:$H$36"}</definedName>
    <definedName name="돌아버려" hidden="1">{"'Sheet1'!$A$1:$H$36"}</definedName>
    <definedName name="동남">#REF!</definedName>
    <definedName name="동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localSheetId="14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#REF!</definedName>
    <definedName name="동수">#REF!</definedName>
    <definedName name="동시녹음합계">#REF!</definedName>
    <definedName name="돠" localSheetId="0" hidden="1">{#N/A,#N/A,FALSE,"1.CRITERIA";#N/A,#N/A,FALSE,"2.IS";#N/A,#N/A,FALSE,"3.BS";#N/A,#N/A,FALSE,"4.PER PL";#N/A,#N/A,FALSE,"5.INVESTMENT";#N/A,#N/A,FALSE,"6.공문";#N/A,#N/A,FALSE,"7.netinvest"}</definedName>
    <definedName name="돠" localSheetId="14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localSheetId="0" hidden="1">{#N/A,#N/A,TRUE,"대 차 대 조 표"}</definedName>
    <definedName name="돼지" localSheetId="14" hidden="1">{#N/A,#N/A,TRUE,"대 차 대 조 표"}</definedName>
    <definedName name="돼지" hidden="1">{#N/A,#N/A,TRUE,"대 차 대 조 표"}</definedName>
    <definedName name="돼지_1" localSheetId="0" hidden="1">{#N/A,#N/A,TRUE,"대 차 대 조 표"}</definedName>
    <definedName name="돼지_1" localSheetId="14" hidden="1">{#N/A,#N/A,TRUE,"대 차 대 조 표"}</definedName>
    <definedName name="돼지_1" hidden="1">{#N/A,#N/A,TRUE,"대 차 대 조 표"}</definedName>
    <definedName name="둘">#REF!</definedName>
    <definedName name="드라마명">#REF!</definedName>
    <definedName name="등록">#REF!</definedName>
    <definedName name="등록2">#REF!</definedName>
    <definedName name="디" localSheetId="0" hidden="1">{#N/A,#N/A,FALSE,"1.CRITERIA";#N/A,#N/A,FALSE,"2.IS";#N/A,#N/A,FALSE,"3.BS";#N/A,#N/A,FALSE,"4.PER PL";#N/A,#N/A,FALSE,"5.INVESTMENT";#N/A,#N/A,FALSE,"6.공문";#N/A,#N/A,FALSE,"7.netinvest"}</definedName>
    <definedName name="디" localSheetId="14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localSheetId="0" hidden="1">{#N/A,#N/A,FALSE,"단축1";#N/A,#N/A,FALSE,"단축2";#N/A,#N/A,FALSE,"단축3";#N/A,#N/A,FALSE,"장축";#N/A,#N/A,FALSE,"4WD"}</definedName>
    <definedName name="디젤1" localSheetId="14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또왜이래" localSheetId="0" hidden="1">{"'Sheet1'!$A$1:$H$36"}</definedName>
    <definedName name="또왜이래" localSheetId="14" hidden="1">{"'Sheet1'!$A$1:$H$36"}</definedName>
    <definedName name="또왜이래" hidden="1">{"'Sheet1'!$A$1:$H$36"}</definedName>
    <definedName name="ㄹ" localSheetId="0" hidden="1">{#N/A,#N/A,FALSE,"95FW"}</definedName>
    <definedName name="ㄹ" localSheetId="14" hidden="1">{#N/A,#N/A,FALSE,"95FW"}</definedName>
    <definedName name="ㄹ" hidden="1">{#N/A,#N/A,FALSE,"95FW"}</definedName>
    <definedName name="ㄹ277">#REF!</definedName>
    <definedName name="ㄹㄴㅇ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localSheetId="0" hidden="1">{#N/A,#N/A,TRUE,"대 차 대 조 표"}</definedName>
    <definedName name="ㄹㄹㄷㄹ" localSheetId="14" hidden="1">{#N/A,#N/A,TRUE,"대 차 대 조 표"}</definedName>
    <definedName name="ㄹㄹㄷㄹ" hidden="1">{#N/A,#N/A,TRUE,"대 차 대 조 표"}</definedName>
    <definedName name="ㄹㄹㄷㄹ_1" localSheetId="0" hidden="1">{#N/A,#N/A,TRUE,"대 차 대 조 표"}</definedName>
    <definedName name="ㄹㄹㄷㄹ_1" localSheetId="14" hidden="1">{#N/A,#N/A,TRUE,"대 차 대 조 표"}</definedName>
    <definedName name="ㄹㄹㄷㄹ_1" hidden="1">{#N/A,#N/A,TRUE,"대 차 대 조 표"}</definedName>
    <definedName name="ㄹㄹㄹ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>#REF!</definedName>
    <definedName name="ㄹㄹㄹㄹㄹ" localSheetId="0" hidden="1">{#N/A,#N/A,FALSE,"BS";#N/A,#N/A,FALSE,"PL";#N/A,#N/A,FALSE,"처분";#N/A,#N/A,FALSE,"현금";#N/A,#N/A,FALSE,"매출";#N/A,#N/A,FALSE,"원가";#N/A,#N/A,FALSE,"경영"}</definedName>
    <definedName name="ㄹㄹㄹㄹㄹ" localSheetId="14" hidden="1">{#N/A,#N/A,FALSE,"BS";#N/A,#N/A,FALSE,"PL";#N/A,#N/A,FALSE,"처분";#N/A,#N/A,FALSE,"현금";#N/A,#N/A,FALSE,"매출";#N/A,#N/A,FALSE,"원가";#N/A,#N/A,FALSE,"경영"}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>#REF!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localSheetId="0" hidden="1">{#N/A,#N/A,TRUE,"Y생산";#N/A,#N/A,TRUE,"Y판매";#N/A,#N/A,TRUE,"Y총물량";#N/A,#N/A,TRUE,"Y능력";#N/A,#N/A,TRUE,"YKD"}</definedName>
    <definedName name="ㄹㅇ" localSheetId="14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ㅁ">#REF!</definedName>
    <definedName name="ㄹㅇㄹㅇㄴㄻ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localSheetId="0" hidden="1">{#N/A,#N/A,TRUE,"Y생산";#N/A,#N/A,TRUE,"Y판매";#N/A,#N/A,TRUE,"Y총물량";#N/A,#N/A,TRUE,"Y능력";#N/A,#N/A,TRUE,"YKD"}</definedName>
    <definedName name="ㄹ히" localSheetId="14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>#REF!</definedName>
    <definedName name="라아아" localSheetId="0" hidden="1">{#N/A,#N/A,FALSE,"1.CRITERIA";#N/A,#N/A,FALSE,"2.IS";#N/A,#N/A,FALSE,"3.BS";#N/A,#N/A,FALSE,"4.PER PL";#N/A,#N/A,FALSE,"5.INVESTMENT";#N/A,#N/A,FALSE,"6.공문";#N/A,#N/A,FALSE,"7.netinvest"}</definedName>
    <definedName name="라아아" localSheetId="14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localSheetId="0" hidden="1">{#N/A,#N/A,FALSE,"1.CRITERIA";#N/A,#N/A,FALSE,"2.IS";#N/A,#N/A,FALSE,"3.BS";#N/A,#N/A,FALSE,"4.PER PL";#N/A,#N/A,FALSE,"5.INVESTMENT";#N/A,#N/A,FALSE,"6.공문";#N/A,#N/A,FALSE,"7.netinvest"}</definedName>
    <definedName name="랴" localSheetId="14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>#REF!</definedName>
    <definedName name="러ㅏ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>OFFSET(#REF!,0,0,COUNTA(#REF!)-1,1)</definedName>
    <definedName name="로" localSheetId="0" hidden="1">{#N/A,#N/A,FALSE,"1.CRITERIA";#N/A,#N/A,FALSE,"2.IS";#N/A,#N/A,FALSE,"3.BS";#N/A,#N/A,FALSE,"4.PER PL";#N/A,#N/A,FALSE,"5.INVESTMENT";#N/A,#N/A,FALSE,"6.공문";#N/A,#N/A,FALSE,"7.netinvest"}</definedName>
    <definedName name="로" localSheetId="14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localSheetId="0" hidden="1">{#N/A,#N/A,FALSE,"1.CRITERIA";#N/A,#N/A,FALSE,"2.IS";#N/A,#N/A,FALSE,"3.BS";#N/A,#N/A,FALSE,"4.PER PL";#N/A,#N/A,FALSE,"5.INVESTMENT";#N/A,#N/A,FALSE,"6.공문";#N/A,#N/A,FALSE,"7.netinvest"}</definedName>
    <definedName name="류" localSheetId="14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裏書譲渡手形" localSheetId="0" hidden="1">{"'買掛金'!$J$6"}</definedName>
    <definedName name="裏書譲渡手形" localSheetId="14" hidden="1">{"'買掛金'!$J$6"}</definedName>
    <definedName name="裏書譲渡手形" hidden="1">{"'買掛金'!$J$6"}</definedName>
    <definedName name="린다앤영">#REF!</definedName>
    <definedName name="ㄺ" localSheetId="0" hidden="1">{#N/A,#N/A,FALSE,"Aging Summary";#N/A,#N/A,FALSE,"Ratio Analysis";#N/A,#N/A,FALSE,"Test 120 Day Accts";#N/A,#N/A,FALSE,"Tickmarks"}</definedName>
    <definedName name="ㄺ" localSheetId="14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localSheetId="0" hidden="1">{#N/A,#N/A,FALSE,"Aging Summary";#N/A,#N/A,FALSE,"Ratio Analysis";#N/A,#N/A,FALSE,"Test 120 Day Accts";#N/A,#N/A,FALSE,"Tickmarks"}</definedName>
    <definedName name="ㄻㄴㄻㅇㄹㅇㅁㄹ" localSheetId="14" hidden="1">{#N/A,#N/A,FALSE,"Aging Summary";#N/A,#N/A,FALSE,"Ratio Analysis";#N/A,#N/A,FALSE,"Test 120 Day Accts";#N/A,#N/A,FALSE,"Tickmarks"}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localSheetId="0" hidden="1">{#N/A,#N/A,TRUE,"Y생산";#N/A,#N/A,TRUE,"Y판매";#N/A,#N/A,TRUE,"Y총물량";#N/A,#N/A,TRUE,"Y능력";#N/A,#N/A,TRUE,"YKD"}</definedName>
    <definedName name="ㅁ" localSheetId="14" hidden="1">{#N/A,#N/A,TRUE,"Y생산";#N/A,#N/A,TRUE,"Y판매";#N/A,#N/A,TRUE,"Y총물량";#N/A,#N/A,TRUE,"Y능력";#N/A,#N/A,TRUE,"YKD"}</definedName>
    <definedName name="ㅁ" hidden="1">{#N/A,#N/A,TRUE,"Y생산";#N/A,#N/A,TRUE,"Y판매";#N/A,#N/A,TRUE,"Y총물량";#N/A,#N/A,TRUE,"Y능력";#N/A,#N/A,TRUE,"YKD"}</definedName>
    <definedName name="ㅁ1">#REF!</definedName>
    <definedName name="ㅁ130">#REF!</definedName>
    <definedName name="ㅁ1430">#REF!</definedName>
    <definedName name="ㅁ169">#REF!</definedName>
    <definedName name="ㅁ2">#REF!</definedName>
    <definedName name="ㅁ35">#REF!</definedName>
    <definedName name="ㅁㄴ" localSheetId="0" hidden="1">{#N/A,#N/A,TRUE,"매출진척-1";#N/A,#N/A,TRUE,"매출진척-2";#N/A,#N/A,TRUE,"제품실적";#N/A,#N/A,TRUE,"RAC";#N/A,#N/A,TRUE,"PAC ";#N/A,#N/A,TRUE,"재고현황";#N/A,#N/A,TRUE,"공지사항"}</definedName>
    <definedName name="ㅁㄴ" localSheetId="14" hidden="1">{#N/A,#N/A,TRUE,"매출진척-1";#N/A,#N/A,TRUE,"매출진척-2";#N/A,#N/A,TRUE,"제품실적";#N/A,#N/A,TRUE,"RAC";#N/A,#N/A,TRUE,"PAC ";#N/A,#N/A,TRUE,"재고현황";#N/A,#N/A,TRUE,"공지사항"}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localSheetId="0" hidden="1">{#N/A,#N/A,FALSE,"95FW"}</definedName>
    <definedName name="ㅁㄴㅁㄴㅁ" localSheetId="14" hidden="1">{#N/A,#N/A,FALSE,"95FW"}</definedName>
    <definedName name="ㅁㄴㅁㄴㅁ" hidden="1">{#N/A,#N/A,FALSE,"95FW"}</definedName>
    <definedName name="ㅁㄴㅇ" localSheetId="0" hidden="1">{#N/A,#N/A,FALSE,"단축1";#N/A,#N/A,FALSE,"단축2";#N/A,#N/A,FALSE,"단축3";#N/A,#N/A,FALSE,"장축";#N/A,#N/A,FALSE,"4WD"}</definedName>
    <definedName name="ㅁㄴㅇ" localSheetId="14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>#REF!</definedName>
    <definedName name="ㅁㄴㅇㅁㄴㅇ" localSheetId="0" hidden="1">{#N/A,#N/A,TRUE,"Y생산";#N/A,#N/A,TRUE,"Y판매";#N/A,#N/A,TRUE,"Y총물량";#N/A,#N/A,TRUE,"Y능력";#N/A,#N/A,TRUE,"YKD"}</definedName>
    <definedName name="ㅁㄴㅇㅁㄴㅇ" localSheetId="14" hidden="1">{#N/A,#N/A,TRUE,"Y생산";#N/A,#N/A,TRUE,"Y판매";#N/A,#N/A,TRUE,"Y총물량";#N/A,#N/A,TRUE,"Y능력";#N/A,#N/A,TRUE,"YKD"}</definedName>
    <definedName name="ㅁㄴㅇㅁㄴㅇ" hidden="1">{#N/A,#N/A,TRUE,"Y생산";#N/A,#N/A,TRUE,"Y판매";#N/A,#N/A,TRUE,"Y총물량";#N/A,#N/A,TRUE,"Y능력";#N/A,#N/A,TRUE,"YKD"}</definedName>
    <definedName name="ㅁㄴㅇㅁㄴㅇ_1" localSheetId="0" hidden="1">{#N/A,#N/A,TRUE,"Y생산";#N/A,#N/A,TRUE,"Y판매";#N/A,#N/A,TRUE,"Y총물량";#N/A,#N/A,TRUE,"Y능력";#N/A,#N/A,TRUE,"YKD"}</definedName>
    <definedName name="ㅁㄴㅇㅁㄴㅇ_1" localSheetId="14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localSheetId="0" hidden="1">{#N/A,#N/A,TRUE,"Y생산";#N/A,#N/A,TRUE,"Y판매";#N/A,#N/A,TRUE,"Y총물량";#N/A,#N/A,TRUE,"Y능력";#N/A,#N/A,TRUE,"YKD"}</definedName>
    <definedName name="ㅁㄴㅇㅁㄴㅇㅁ" localSheetId="14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localSheetId="0" hidden="1">{#N/A,#N/A,TRUE,"Y생산";#N/A,#N/A,TRUE,"Y판매";#N/A,#N/A,TRUE,"Y총물량";#N/A,#N/A,TRUE,"Y능력";#N/A,#N/A,TRUE,"YKD"}</definedName>
    <definedName name="ㅁㄴㅇㅁㄴㅇㅁ_1" localSheetId="14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>#REF!</definedName>
    <definedName name="ㅁㄴㅇㅈㄷ">#REF!</definedName>
    <definedName name="ㅁ나ㅣ어리마ㅗㅇ호미오히ㅏ몬이호" localSheetId="0" hidden="1">{#N/A,#N/A,FALSE,"Aging Summary";#N/A,#N/A,FALSE,"Ratio Analysis";#N/A,#N/A,FALSE,"Test 120 Day Accts";#N/A,#N/A,FALSE,"Tickmarks"}</definedName>
    <definedName name="ㅁ나ㅣ어리마ㅗㅇ호미오히ㅏ몬이호" localSheetId="14" hidden="1">{#N/A,#N/A,FALSE,"Aging Summary";#N/A,#N/A,FALSE,"Ratio Analysis";#N/A,#N/A,FALSE,"Test 120 Day Accts";#N/A,#N/A,FALSE,"Tickmarks"}</definedName>
    <definedName name="ㅁ나ㅣ어리마ㅗㅇ호미오히ㅏ몬이호" hidden="1">{#N/A,#N/A,FALSE,"Aging Summary";#N/A,#N/A,FALSE,"Ratio Analysis";#N/A,#N/A,FALSE,"Test 120 Day Accts";#N/A,#N/A,FALSE,"Tickmarks"}</definedName>
    <definedName name="ㅁㄷ" hidden="1">#REF!</definedName>
    <definedName name="ㅁㄹ" localSheetId="0">VLOOKUP(#REF!,요금,2)</definedName>
    <definedName name="ㅁㄹ" localSheetId="14">VLOOKUP(#REF!,요금,2)</definedName>
    <definedName name="ㅁㄹ">VLOOKUP(#REF!,요금,2)</definedName>
    <definedName name="ㅁㄹㄹㄹㄹ">VLOOKUP(#REF!,#REF!,2)</definedName>
    <definedName name="ㅁㄹㅇㅁㄴㅇㄹ">#N/A</definedName>
    <definedName name="ㅁㄹㅇㅁㄴㅇㄻㄴㅇㄹ">#N/A</definedName>
    <definedName name="ㅁㅁ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>#REF!</definedName>
    <definedName name="ㅁㅁㅁ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>#REF!</definedName>
    <definedName name="ㅁㅁㅁㅁ" localSheetId="0" hidden="1">{#N/A,#N/A,FALSE,"Aging Summary";#N/A,#N/A,FALSE,"Ratio Analysis";#N/A,#N/A,FALSE,"Test 120 Day Accts";#N/A,#N/A,FALSE,"Tickmarks"}</definedName>
    <definedName name="ㅁㅁㅁㅁ" localSheetId="14" hidden="1">{#N/A,#N/A,FALSE,"Aging Summary";#N/A,#N/A,FALSE,"Ratio Analysis";#N/A,#N/A,FALSE,"Test 120 Day Accts";#N/A,#N/A,FALSE,"Tickmarks"}</definedName>
    <definedName name="ㅁㅁㅁㅁ" hidden="1">{#N/A,#N/A,FALSE,"Aging Summary";#N/A,#N/A,FALSE,"Ratio Analysis";#N/A,#N/A,FALSE,"Test 120 Day Accts";#N/A,#N/A,FALSE,"Tickmarks"}</definedName>
    <definedName name="ㅁㅁㅁㅁㅁ">#REF!</definedName>
    <definedName name="ㅁㅁㅁㅁㅁㅁ">#REF!</definedName>
    <definedName name="ㅁㅁㅁㅁㅁㅁㅁ">#REF!</definedName>
    <definedName name="ㅁㅁㅁㅁㅁㅁㅁㅁㅁㅁ" localSheetId="0" hidden="1">{#N/A,#N/A,FALSE,"단축1";#N/A,#N/A,FALSE,"단축2";#N/A,#N/A,FALSE,"단축3";#N/A,#N/A,FALSE,"장축";#N/A,#N/A,FALSE,"4WD"}</definedName>
    <definedName name="ㅁㅁㅁㅁㅁㅁㅁㅁㅁㅁ" localSheetId="14" hidden="1">{#N/A,#N/A,FALSE,"단축1";#N/A,#N/A,FALSE,"단축2";#N/A,#N/A,FALSE,"단축3";#N/A,#N/A,FALSE,"장축";#N/A,#N/A,FALSE,"4WD"}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>#REF!</definedName>
    <definedName name="ㅁㅇ" localSheetId="0" hidden="1">{#N/A,#N/A,FALSE,"BS";#N/A,#N/A,FALSE,"PL";#N/A,#N/A,FALSE,"처분";#N/A,#N/A,FALSE,"현금";#N/A,#N/A,FALSE,"매출";#N/A,#N/A,FALSE,"원가";#N/A,#N/A,FALSE,"경영"}</definedName>
    <definedName name="ㅁㅇ" localSheetId="14" hidden="1">{#N/A,#N/A,FALSE,"BS";#N/A,#N/A,FALSE,"PL";#N/A,#N/A,FALSE,"처분";#N/A,#N/A,FALSE,"현금";#N/A,#N/A,FALSE,"매출";#N/A,#N/A,FALSE,"원가";#N/A,#N/A,FALSE,"경영"}</definedName>
    <definedName name="ㅁㅇ" hidden="1">{#N/A,#N/A,FALSE,"BS";#N/A,#N/A,FALSE,"PL";#N/A,#N/A,FALSE,"처분";#N/A,#N/A,FALSE,"현금";#N/A,#N/A,FALSE,"매출";#N/A,#N/A,FALSE,"원가";#N/A,#N/A,FALSE,"경영"}</definedName>
    <definedName name="ㅁㅇㄴ">#REF!</definedName>
    <definedName name="ㅁㅇㄴㄴ" localSheetId="0" hidden="1">{#N/A,#N/A,FALSE,"BS";#N/A,#N/A,FALSE,"PL";#N/A,#N/A,FALSE,"처분";#N/A,#N/A,FALSE,"현금";#N/A,#N/A,FALSE,"매출";#N/A,#N/A,FALSE,"원가";#N/A,#N/A,FALSE,"경영"}</definedName>
    <definedName name="ㅁㅇㄴㄴ" localSheetId="14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localSheetId="0" hidden="1">{#N/A,#N/A,FALSE,"BS";#N/A,#N/A,FALSE,"PL";#N/A,#N/A,FALSE,"처분";#N/A,#N/A,FALSE,"현금";#N/A,#N/A,FALSE,"매출";#N/A,#N/A,FALSE,"원가";#N/A,#N/A,FALSE,"경영"}</definedName>
    <definedName name="ㅁㅇㄴㅁㄴㅇ" localSheetId="14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localSheetId="0" hidden="1">{#N/A,#N/A,FALSE,"Aging Summary";#N/A,#N/A,FALSE,"Ratio Analysis";#N/A,#N/A,FALSE,"Test 120 Day Accts";#N/A,#N/A,FALSE,"Tickmarks"}</definedName>
    <definedName name="ㅁㅇㄹ" localSheetId="14" hidden="1">{#N/A,#N/A,FALSE,"Aging Summary";#N/A,#N/A,FALSE,"Ratio Analysis";#N/A,#N/A,FALSE,"Test 120 Day Accts";#N/A,#N/A,FALSE,"Tickmarks"}</definedName>
    <definedName name="ㅁㅇㄹ" hidden="1">{#N/A,#N/A,FALSE,"Aging Summary";#N/A,#N/A,FALSE,"Ratio Analysis";#N/A,#N/A,FALSE,"Test 120 Day Accts";#N/A,#N/A,FALSE,"Tickmarks"}</definedName>
    <definedName name="ㅁㅇㅁㅇㅁㄴㅇㅁㄴㅇㅁㄴ" localSheetId="0" hidden="1">{#N/A,#N/A,FALSE,"95FW"}</definedName>
    <definedName name="ㅁㅇㅁㅇㅁㄴㅇㅁㄴㅇㅁㄴ" localSheetId="14" hidden="1">{#N/A,#N/A,FALSE,"95FW"}</definedName>
    <definedName name="ㅁㅇㅁㅇㅁㄴㅇㅁㄴㅇㅁㄴ" hidden="1">{#N/A,#N/A,FALSE,"95FW"}</definedName>
    <definedName name="ㅁ어">#REF!</definedName>
    <definedName name="마">#REF!</definedName>
    <definedName name="마마" localSheetId="0" hidden="1">{#N/A,#N/A,FALSE,"1.CRITERIA";#N/A,#N/A,FALSE,"2.IS";#N/A,#N/A,FALSE,"3.BS";#N/A,#N/A,FALSE,"4.PER PL";#N/A,#N/A,FALSE,"5.INVESTMENT";#N/A,#N/A,FALSE,"6.공문";#N/A,#N/A,FALSE,"7.netinvest"}</definedName>
    <definedName name="마마" localSheetId="14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0" hidden="1">{#N/A,#N/A,FALSE,"1.CRITERIA";#N/A,#N/A,FALSE,"2.IS";#N/A,#N/A,FALSE,"3.BS";#N/A,#N/A,FALSE,"4.PER PL";#N/A,#N/A,FALSE,"5.INVESTMENT";#N/A,#N/A,FALSE,"6.공문";#N/A,#N/A,FALSE,"7.netinvest"}</definedName>
    <definedName name="마마오" localSheetId="14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0" hidden="1">{#N/A,#N/A,FALSE,"1.CRITERIA";#N/A,#N/A,FALSE,"2.IS";#N/A,#N/A,FALSE,"3.BS";#N/A,#N/A,FALSE,"4.PER PL";#N/A,#N/A,FALSE,"5.INVESTMENT";#N/A,#N/A,FALSE,"6.공문";#N/A,#N/A,FALSE,"7.netinvest"}</definedName>
    <definedName name="마마이" localSheetId="14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0" hidden="1">{#N/A,#N/A,FALSE,"1.CRITERIA";#N/A,#N/A,FALSE,"2.IS";#N/A,#N/A,FALSE,"3.BS";#N/A,#N/A,FALSE,"4.PER PL";#N/A,#N/A,FALSE,"5.INVESTMENT";#N/A,#N/A,FALSE,"6.공문";#N/A,#N/A,FALSE,"7.netinvest"}</definedName>
    <definedName name="마아" localSheetId="14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>#REF!</definedName>
    <definedName name="만기보장수익율">#REF!</definedName>
    <definedName name="만약">#REF!</definedName>
    <definedName name="매" localSheetId="0" hidden="1">{#N/A,#N/A,FALSE,"1.CRITERIA";#N/A,#N/A,FALSE,"2.IS";#N/A,#N/A,FALSE,"3.BS";#N/A,#N/A,FALSE,"4.PER PL";#N/A,#N/A,FALSE,"5.INVESTMENT";#N/A,#N/A,FALSE,"6.공문";#N/A,#N/A,FALSE,"7.netinvest"}</definedName>
    <definedName name="매" localSheetId="14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>#REF!</definedName>
    <definedName name="매10">#REF!</definedName>
    <definedName name="매11">#REF!</definedName>
    <definedName name="매12">#REF!</definedName>
    <definedName name="매2">#REF!</definedName>
    <definedName name="매3">#REF!</definedName>
    <definedName name="매4">#REF!</definedName>
    <definedName name="매5">#REF!</definedName>
    <definedName name="매6">#REF!</definedName>
    <definedName name="매7">#REF!</definedName>
    <definedName name="매8">#REF!</definedName>
    <definedName name="매9">#REF!</definedName>
    <definedName name="買掛金" localSheetId="0" hidden="1">{"'買掛金'!$J$6"}</definedName>
    <definedName name="買掛金" localSheetId="14" hidden="1">{"'買掛金'!$J$6"}</definedName>
    <definedName name="買掛金" hidden="1">{"'買掛金'!$J$6"}</definedName>
    <definedName name="매수">#REF!</definedName>
    <definedName name="매수2">#REF!</definedName>
    <definedName name="매입채무">#REF!</definedName>
    <definedName name="매축액2" localSheetId="0" hidden="1">{#N/A,#N/A,FALSE,"1.CRITERIA";#N/A,#N/A,FALSE,"2.IS";#N/A,#N/A,FALSE,"3.BS";#N/A,#N/A,FALSE,"4.PER PL";#N/A,#N/A,FALSE,"5.INVESTMENT";#N/A,#N/A,FALSE,"6.공문";#N/A,#N/A,FALSE,"7.netinvest"}</definedName>
    <definedName name="매축액2" localSheetId="14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.본">#REF!</definedName>
    <definedName name="매출10월">#REF!</definedName>
    <definedName name="매출11월">#REF!</definedName>
    <definedName name="매출12월">#REF!</definedName>
    <definedName name="매출3월">#REF!</definedName>
    <definedName name="매출4월">#REF!</definedName>
    <definedName name="매출5월">#REF!</definedName>
    <definedName name="매출6월">#REF!</definedName>
    <definedName name="매출7월">#REF!</definedName>
    <definedName name="매출8월">#REF!</definedName>
    <definedName name="매출9월">#REF!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1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#REF!</definedName>
    <definedName name="매출금">#REF!</definedName>
    <definedName name="매출액" hidden="1">#REF!</definedName>
    <definedName name="매출액2" localSheetId="0" hidden="1">{#N/A,#N/A,FALSE,"1.CRITERIA";#N/A,#N/A,FALSE,"2.IS";#N/A,#N/A,FALSE,"3.BS";#N/A,#N/A,FALSE,"4.PER PL";#N/A,#N/A,FALSE,"5.INVESTMENT";#N/A,#N/A,FALSE,"6.공문";#N/A,#N/A,FALSE,"7.netinvest"}</definedName>
    <definedName name="매출액2" localSheetId="14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0" hidden="1">{#N/A,#N/A,FALSE,"Aging Summary";#N/A,#N/A,FALSE,"Ratio Analysis";#N/A,#N/A,FALSE,"Test 120 Day Accts";#N/A,#N/A,FALSE,"Tickmarks"}</definedName>
    <definedName name="매출원가" localSheetId="14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채권">#REF!</definedName>
    <definedName name="머머" localSheetId="0" hidden="1">{#N/A,#N/A,FALSE,"1.CRITERIA";#N/A,#N/A,FALSE,"2.IS";#N/A,#N/A,FALSE,"3.BS";#N/A,#N/A,FALSE,"4.PER PL";#N/A,#N/A,FALSE,"5.INVESTMENT";#N/A,#N/A,FALSE,"6.공문";#N/A,#N/A,FALSE,"7.netinvest"}</definedName>
    <definedName name="머머" localSheetId="14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>#REF!</definedName>
    <definedName name="멍청이">#REF!</definedName>
    <definedName name="메뉴연결">#REF!</definedName>
    <definedName name="메뉴연결시작">#REF!</definedName>
    <definedName name="메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hidden="1">#REF!</definedName>
    <definedName name="며며" localSheetId="0" hidden="1">{#N/A,#N/A,FALSE,"1.CRITERIA";#N/A,#N/A,FALSE,"2.IS";#N/A,#N/A,FALSE,"3.BS";#N/A,#N/A,FALSE,"4.PER PL";#N/A,#N/A,FALSE,"5.INVESTMENT";#N/A,#N/A,FALSE,"6.공문";#N/A,#N/A,FALSE,"7.netinvest"}</definedName>
    <definedName name="며며" localSheetId="14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>#REF!</definedName>
    <definedName name="면적표">#REF!</definedName>
    <definedName name="명세" localSheetId="0" hidden="1">{#N/A,#N/A,FALSE,"Aging Summary";#N/A,#N/A,FALSE,"Ratio Analysis";#N/A,#N/A,FALSE,"Test 120 Day Accts";#N/A,#N/A,FALSE,"Tickmarks"}</definedName>
    <definedName name="명세" localSheetId="14" hidden="1">{#N/A,#N/A,FALSE,"Aging Summary";#N/A,#N/A,FALSE,"Ratio Analysis";#N/A,#N/A,FALSE,"Test 120 Day Accts";#N/A,#N/A,FALSE,"Tickmarks"}</definedName>
    <definedName name="명세" hidden="1">{#N/A,#N/A,FALSE,"Aging Summary";#N/A,#N/A,FALSE,"Ratio Analysis";#N/A,#N/A,FALSE,"Test 120 Day Accts";#N/A,#N/A,FALSE,"Tickmarks"}</definedName>
    <definedName name="모">#REF!</definedName>
    <definedName name="모델명">#REF!</definedName>
    <definedName name="모리" localSheetId="0" hidden="1">{#N/A,#N/A,FALSE,"1.CRITERIA";#N/A,#N/A,FALSE,"2.IS";#N/A,#N/A,FALSE,"3.BS";#N/A,#N/A,FALSE,"4.PER PL";#N/A,#N/A,FALSE,"5.INVESTMENT";#N/A,#N/A,FALSE,"6.공문";#N/A,#N/A,FALSE,"7.netinvest"}</definedName>
    <definedName name="모리" localSheetId="14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0" hidden="1">{#N/A,#N/A,FALSE,"1.CRITERIA";#N/A,#N/A,FALSE,"2.IS";#N/A,#N/A,FALSE,"3.BS";#N/A,#N/A,FALSE,"4.PER PL";#N/A,#N/A,FALSE,"5.INVESTMENT";#N/A,#N/A,FALSE,"6.공문";#N/A,#N/A,FALSE,"7.netinvest"}</definedName>
    <definedName name="모모" localSheetId="14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>#REF!</definedName>
    <definedName name="목차1">#REF!</definedName>
    <definedName name="목차2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4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>#REF!</definedName>
    <definedName name="목차4">#REF!</definedName>
    <definedName name="목표">#N/A</definedName>
    <definedName name="몰라" hidden="1">#REF!</definedName>
    <definedName name="뫌" localSheetId="0" hidden="1">{#N/A,#N/A,FALSE,"1.CRITERIA";#N/A,#N/A,FALSE,"2.IS";#N/A,#N/A,FALSE,"3.BS";#N/A,#N/A,FALSE,"4.PER PL";#N/A,#N/A,FALSE,"5.INVESTMENT";#N/A,#N/A,FALSE,"6.공문";#N/A,#N/A,FALSE,"7.netinvest"}</definedName>
    <definedName name="뫌" localSheetId="14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hidden="1">#REF!</definedName>
    <definedName name="무무" localSheetId="0" hidden="1">{#N/A,#N/A,FALSE,"1.CRITERIA";#N/A,#N/A,FALSE,"2.IS";#N/A,#N/A,FALSE,"3.BS";#N/A,#N/A,FALSE,"4.PER PL";#N/A,#N/A,FALSE,"5.INVESTMENT";#N/A,#N/A,FALSE,"6.공문";#N/A,#N/A,FALSE,"7.netinvest"}</definedName>
    <definedName name="무무" localSheetId="14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localSheetId="0" hidden="1">{#N/A,#N/A,FALSE,"Aging Summary";#N/A,#N/A,FALSE,"Ratio Analysis";#N/A,#N/A,FALSE,"Test 120 Day Accts";#N/A,#N/A,FALSE,"Tickmarks"}</definedName>
    <definedName name="무형자산" localSheetId="14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기수" localSheetId="0" hidden="1">{"'호선별현황(방식)'!$K$22:$P$22","'호선별현황(방식)'!$K$22:$P$22"}</definedName>
    <definedName name="문기수" localSheetId="14" hidden="1">{"'호선별현황(방식)'!$K$22:$P$22","'호선별현황(방식)'!$K$22:$P$22"}</definedName>
    <definedName name="문기수" hidden="1">{"'호선별현황(방식)'!$K$22:$P$22","'호선별현황(방식)'!$K$22:$P$22"}</definedName>
    <definedName name="문제3" localSheetId="0" hidden="1">{#N/A,#N/A,FALSE,"단축1";#N/A,#N/A,FALSE,"단축2";#N/A,#N/A,FALSE,"단축3";#N/A,#N/A,FALSE,"장축";#N/A,#N/A,FALSE,"4WD"}</definedName>
    <definedName name="문제3" localSheetId="14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>#REF!</definedName>
    <definedName name="물랴자" localSheetId="0" hidden="1">{#N/A,#N/A,TRUE,"Y생산";#N/A,#N/A,TRUE,"Y판매";#N/A,#N/A,TRUE,"Y총물량";#N/A,#N/A,TRUE,"Y능력";#N/A,#N/A,TRUE,"YKD"}</definedName>
    <definedName name="물랴자" localSheetId="14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랴자_1" localSheetId="0" hidden="1">{#N/A,#N/A,TRUE,"Y생산";#N/A,#N/A,TRUE,"Y판매";#N/A,#N/A,TRUE,"Y총물량";#N/A,#N/A,TRUE,"Y능력";#N/A,#N/A,TRUE,"YKD"}</definedName>
    <definedName name="물랴자_1" localSheetId="14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localSheetId="14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localSheetId="0" hidden="1">{#N/A,#N/A,TRUE,"Y생산";#N/A,#N/A,TRUE,"Y판매";#N/A,#N/A,TRUE,"Y총물량";#N/A,#N/A,TRUE,"Y능력";#N/A,#N/A,TRUE,"YKD"}</definedName>
    <definedName name="물량수_1" localSheetId="14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localSheetId="0" hidden="1">{#N/A,#N/A,TRUE,"Y생산";#N/A,#N/A,TRUE,"Y판매";#N/A,#N/A,TRUE,"Y총물량";#N/A,#N/A,TRUE,"Y능력";#N/A,#N/A,TRUE,"YKD"}</definedName>
    <definedName name="물량수전ㅇ" localSheetId="14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localSheetId="14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localSheetId="0" hidden="1">{#N/A,#N/A,TRUE,"Y생산";#N/A,#N/A,TRUE,"Y판매";#N/A,#N/A,TRUE,"Y총물량";#N/A,#N/A,TRUE,"Y능력";#N/A,#N/A,TRUE,"YKD"}</definedName>
    <definedName name="물량수정_1" localSheetId="14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localSheetId="14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localSheetId="0" hidden="1">{#N/A,#N/A,TRUE,"Y생산";#N/A,#N/A,TRUE,"Y판매";#N/A,#N/A,TRUE,"Y총물량";#N/A,#N/A,TRUE,"Y능력";#N/A,#N/A,TRUE,"YKD"}</definedName>
    <definedName name="물량수정1_1" localSheetId="14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localSheetId="14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localSheetId="0" hidden="1">{#N/A,#N/A,TRUE,"Y생산";#N/A,#N/A,TRUE,"Y판매";#N/A,#N/A,TRUE,"Y총물량";#N/A,#N/A,TRUE,"Y능력";#N/A,#N/A,TRUE,"YKD"}</definedName>
    <definedName name="물량수정2_1" localSheetId="14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localSheetId="1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localSheetId="0" hidden="1">{#N/A,#N/A,TRUE,"Y생산";#N/A,#N/A,TRUE,"Y판매";#N/A,#N/A,TRUE,"Y총물량";#N/A,#N/A,TRUE,"Y능력";#N/A,#N/A,TRUE,"YKD"}</definedName>
    <definedName name="물량정_1" localSheetId="14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localSheetId="14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localSheetId="0" hidden="1">{#N/A,#N/A,TRUE,"Y생산";#N/A,#N/A,TRUE,"Y판매";#N/A,#N/A,TRUE,"Y총물량";#N/A,#N/A,TRUE,"Y능력";#N/A,#N/A,TRUE,"YKD"}</definedName>
    <definedName name="물량조정_1" localSheetId="14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localSheetId="0" hidden="1">{#N/A,#N/A,TRUE,"Y생산";#N/A,#N/A,TRUE,"Y판매";#N/A,#N/A,TRUE,"Y총물량";#N/A,#N/A,TRUE,"Y능력";#N/A,#N/A,TRUE,"YKD"}</definedName>
    <definedName name="물수" localSheetId="14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localSheetId="0" hidden="1">{#N/A,#N/A,TRUE,"Y생산";#N/A,#N/A,TRUE,"Y판매";#N/A,#N/A,TRUE,"Y총물량";#N/A,#N/A,TRUE,"Y능력";#N/A,#N/A,TRUE,"YKD"}</definedName>
    <definedName name="물수_1" localSheetId="14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localSheetId="0" hidden="1">{#N/A,#N/A,FALSE,"95FW"}</definedName>
    <definedName name="뭐야.." localSheetId="14" hidden="1">{#N/A,#N/A,FALSE,"95FW"}</definedName>
    <definedName name="뭐야.." hidden="1">{#N/A,#N/A,FALSE,"95FW"}</definedName>
    <definedName name="뭐지" localSheetId="0" hidden="1">{#N/A,#N/A,FALSE,"95FW"}</definedName>
    <definedName name="뭐지" localSheetId="14" hidden="1">{#N/A,#N/A,FALSE,"95FW"}</definedName>
    <definedName name="뭐지" hidden="1">{#N/A,#N/A,FALSE,"95FW"}</definedName>
    <definedName name="뮤뮤" localSheetId="0" hidden="1">{#N/A,#N/A,FALSE,"1.CRITERIA";#N/A,#N/A,FALSE,"2.IS";#N/A,#N/A,FALSE,"3.BS";#N/A,#N/A,FALSE,"4.PER PL";#N/A,#N/A,FALSE,"5.INVESTMENT";#N/A,#N/A,FALSE,"6.공문";#N/A,#N/A,FALSE,"7.netinvest"}</definedName>
    <definedName name="뮤뮤" localSheetId="14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localSheetId="0" hidden="1">{#N/A,#N/A,TRUE,"Y생산";#N/A,#N/A,TRUE,"Y판매";#N/A,#N/A,TRUE,"Y총물량";#N/A,#N/A,TRUE,"Y능력";#N/A,#N/A,TRUE,"YKD"}</definedName>
    <definedName name="뮬소" localSheetId="14" hidden="1">{#N/A,#N/A,TRUE,"Y생산";#N/A,#N/A,TRUE,"Y판매";#N/A,#N/A,TRUE,"Y총물량";#N/A,#N/A,TRUE,"Y능력";#N/A,#N/A,TRUE,"YKD"}</definedName>
    <definedName name="뮬소" hidden="1">{#N/A,#N/A,TRUE,"Y생산";#N/A,#N/A,TRUE,"Y판매";#N/A,#N/A,TRUE,"Y총물량";#N/A,#N/A,TRUE,"Y능력";#N/A,#N/A,TRUE,"YKD"}</definedName>
    <definedName name="뮬소_1" localSheetId="0" hidden="1">{#N/A,#N/A,TRUE,"Y생산";#N/A,#N/A,TRUE,"Y판매";#N/A,#N/A,TRUE,"Y총물량";#N/A,#N/A,TRUE,"Y능력";#N/A,#N/A,TRUE,"YKD"}</definedName>
    <definedName name="뮬소_1" localSheetId="14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localSheetId="0" hidden="1">{#N/A,#N/A,TRUE,"일정"}</definedName>
    <definedName name="므" localSheetId="14" hidden="1">{#N/A,#N/A,TRUE,"일정"}</definedName>
    <definedName name="므" hidden="1">{#N/A,#N/A,TRUE,"일정"}</definedName>
    <definedName name="미" localSheetId="0" hidden="1">{#N/A,#N/A,TRUE,"일정"}</definedName>
    <definedName name="미" localSheetId="14" hidden="1">{#N/A,#N/A,TRUE,"일정"}</definedName>
    <definedName name="미" hidden="1">{#N/A,#N/A,TRUE,"일정"}</definedName>
    <definedName name="미라" localSheetId="0" hidden="1">{#N/A,#N/A,FALSE,"1.CRITERIA";#N/A,#N/A,FALSE,"2.IS";#N/A,#N/A,FALSE,"3.BS";#N/A,#N/A,FALSE,"4.PER PL";#N/A,#N/A,FALSE,"5.INVESTMENT";#N/A,#N/A,FALSE,"6.공문";#N/A,#N/A,FALSE,"7.netinvest"}</definedName>
    <definedName name="미라" localSheetId="14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0" hidden="1">{#N/A,#N/A,FALSE,"1.CRITERIA";#N/A,#N/A,FALSE,"2.IS";#N/A,#N/A,FALSE,"3.BS";#N/A,#N/A,FALSE,"4.PER PL";#N/A,#N/A,FALSE,"5.INVESTMENT";#N/A,#N/A,FALSE,"6.공문";#N/A,#N/A,FALSE,"7.netinvest"}</definedName>
    <definedName name="미로" localSheetId="14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0" hidden="1">{#N/A,#N/A,FALSE,"1.CRITERIA";#N/A,#N/A,FALSE,"2.IS";#N/A,#N/A,FALSE,"3.BS";#N/A,#N/A,FALSE,"4.PER PL";#N/A,#N/A,FALSE,"5.INVESTMENT";#N/A,#N/A,FALSE,"6.공문";#N/A,#N/A,FALSE,"7.netinvest"}</definedName>
    <definedName name="미로어" localSheetId="14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0" hidden="1">{#N/A,#N/A,FALSE,"1.CRITERIA";#N/A,#N/A,FALSE,"2.IS";#N/A,#N/A,FALSE,"3.BS";#N/A,#N/A,FALSE,"4.PER PL";#N/A,#N/A,FALSE,"5.INVESTMENT";#N/A,#N/A,FALSE,"6.공문";#N/A,#N/A,FALSE,"7.netinvest"}</definedName>
    <definedName name="미료" localSheetId="14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0" hidden="1">{#N/A,#N/A,FALSE,"1.CRITERIA";#N/A,#N/A,FALSE,"2.IS";#N/A,#N/A,FALSE,"3.BS";#N/A,#N/A,FALSE,"4.PER PL";#N/A,#N/A,FALSE,"5.INVESTMENT";#N/A,#N/A,FALSE,"6.공문";#N/A,#N/A,FALSE,"7.netinvest"}</definedName>
    <definedName name="미미" localSheetId="14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localSheetId="0" hidden="1">{#N/A,#N/A,FALSE,"표지";#N/A,#N/A,FALSE,"전제";#N/A,#N/A,FALSE,"손익-자 (2)";#N/A,#N/A,FALSE,"손익-자";#N/A,#N/A,FALSE,"손익-마 (2)";#N/A,#N/A,FALSE,"손익-마";#N/A,#N/A,FALSE,"총손최종"}</definedName>
    <definedName name="미미2" localSheetId="14" hidden="1">{#N/A,#N/A,FALSE,"표지";#N/A,#N/A,FALSE,"전제";#N/A,#N/A,FALSE,"손익-자 (2)";#N/A,#N/A,FALSE,"손익-자";#N/A,#N/A,FALSE,"손익-마 (2)";#N/A,#N/A,FALSE,"손익-마";#N/A,#N/A,FALSE,"총손최종"}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localSheetId="0" hidden="1">{"'買掛金'!$J$6"}</definedName>
    <definedName name="未払" localSheetId="14" hidden="1">{"'買掛金'!$J$6"}</definedName>
    <definedName name="未払" hidden="1">{"'買掛金'!$J$6"}</definedName>
    <definedName name="未払金" localSheetId="0" hidden="1">{"'買掛金'!$J$6"}</definedName>
    <definedName name="未払金" localSheetId="14" hidden="1">{"'買掛金'!$J$6"}</definedName>
    <definedName name="未払金" hidden="1">{"'買掛金'!$J$6"}</definedName>
    <definedName name="미수금" localSheetId="0" hidden="1">{#N/A,#N/A,FALSE,"Aging Summary";#N/A,#N/A,FALSE,"Ratio Analysis";#N/A,#N/A,FALSE,"Test 120 Day Accts";#N/A,#N/A,FALSE,"Tickmarks"}</definedName>
    <definedName name="미수금" localSheetId="14" hidden="1">{#N/A,#N/A,FALSE,"Aging Summary";#N/A,#N/A,FALSE,"Ratio Analysis";#N/A,#N/A,FALSE,"Test 120 Day Accts";#N/A,#N/A,FALSE,"Tickmarks"}</definedName>
    <definedName name="미수금" hidden="1">{#N/A,#N/A,FALSE,"Aging Summary";#N/A,#N/A,FALSE,"Ratio Analysis";#N/A,#N/A,FALSE,"Test 120 Day Accts";#N/A,#N/A,FALSE,"Tickmarks"}</definedName>
    <definedName name="미수금2" hidden="1">#REF!</definedName>
    <definedName name="미수수익">#REF!</definedName>
    <definedName name="미술합계">#REF!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>#REF!</definedName>
    <definedName name="미적용401">#REF!,#REF!,#REF!,#REF!,#REF!,#REF!,#REF!,#REF!,#REF!,#REF!</definedName>
    <definedName name="미지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hidden="1">#REF!</definedName>
    <definedName name="미지급금">#REF!</definedName>
    <definedName name="미지급비용">#REF!</definedName>
    <definedName name="미착자산">#N/A</definedName>
    <definedName name="미치겠네" localSheetId="0" hidden="1">{"'Sheet1'!$A$1:$H$36"}</definedName>
    <definedName name="미치겠네" localSheetId="14" hidden="1">{"'Sheet1'!$A$1:$H$36"}</definedName>
    <definedName name="미치겠네" hidden="1">{"'Sheet1'!$A$1:$H$36"}</definedName>
    <definedName name="미치겠당">#REF!</definedName>
    <definedName name="미화" localSheetId="0" hidden="1">{#N/A,#N/A,FALSE,"이력서&amp;자기소개서"}</definedName>
    <definedName name="미화" localSheetId="14" hidden="1">{#N/A,#N/A,FALSE,"이력서&amp;자기소개서"}</definedName>
    <definedName name="미화" hidden="1">{#N/A,#N/A,FALSE,"이력서&amp;자기소개서"}</definedName>
    <definedName name="미화_1" localSheetId="0" hidden="1">{#N/A,#N/A,FALSE,"이력서&amp;자기소개서"}</definedName>
    <definedName name="미화_1" localSheetId="14" hidden="1">{#N/A,#N/A,FALSE,"이력서&amp;자기소개서"}</definedName>
    <definedName name="미화_1" hidden="1">{#N/A,#N/A,FALSE,"이력서&amp;자기소개서"}</definedName>
    <definedName name="미화2" localSheetId="0" hidden="1">{#N/A,#N/A,FALSE,"이력서&amp;자기소개서"}</definedName>
    <definedName name="미화2" localSheetId="14" hidden="1">{#N/A,#N/A,FALSE,"이력서&amp;자기소개서"}</definedName>
    <definedName name="미화2" hidden="1">{#N/A,#N/A,FALSE,"이력서&amp;자기소개서"}</definedName>
    <definedName name="미화2_1" localSheetId="0" hidden="1">{#N/A,#N/A,FALSE,"이력서&amp;자기소개서"}</definedName>
    <definedName name="미화2_1" localSheetId="14" hidden="1">{#N/A,#N/A,FALSE,"이력서&amp;자기소개서"}</definedName>
    <definedName name="미화2_1" hidden="1">{#N/A,#N/A,FALSE,"이력서&amp;자기소개서"}</definedName>
    <definedName name="민감도" hidden="1">#REF!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>#REF!</definedName>
    <definedName name="ㅂ" localSheetId="0" hidden="1">{#N/A,#N/A,TRUE,"Y생산";#N/A,#N/A,TRUE,"Y판매";#N/A,#N/A,TRUE,"Y총물량";#N/A,#N/A,TRUE,"Y능력";#N/A,#N/A,TRUE,"YKD"}</definedName>
    <definedName name="ㅂ" localSheetId="14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1" localSheetId="0" hidden="1">{#N/A,#N/A,FALSE,"95FW"}</definedName>
    <definedName name="ㅂ1" localSheetId="14" hidden="1">{#N/A,#N/A,FALSE,"95FW"}</definedName>
    <definedName name="ㅂ1" hidden="1">{#N/A,#N/A,FALSE,"95FW"}</definedName>
    <definedName name="ㅂㄴ">#N/A</definedName>
    <definedName name="ㅂㄷ" localSheetId="0" hidden="1">{#N/A,#N/A,FALSE,"BS";#N/A,#N/A,FALSE,"PL";#N/A,#N/A,FALSE,"처분";#N/A,#N/A,FALSE,"현금";#N/A,#N/A,FALSE,"매출";#N/A,#N/A,FALSE,"원가";#N/A,#N/A,FALSE,"경영"}</definedName>
    <definedName name="ㅂㄷ" localSheetId="14" hidden="1">{#N/A,#N/A,FALSE,"BS";#N/A,#N/A,FALSE,"PL";#N/A,#N/A,FALSE,"처분";#N/A,#N/A,FALSE,"현금";#N/A,#N/A,FALSE,"매출";#N/A,#N/A,FALSE,"원가";#N/A,#N/A,FALSE,"경영"}</definedName>
    <definedName name="ㅂㄷ" hidden="1">{#N/A,#N/A,FALSE,"BS";#N/A,#N/A,FALSE,"PL";#N/A,#N/A,FALSE,"처분";#N/A,#N/A,FALSE,"현금";#N/A,#N/A,FALSE,"매출";#N/A,#N/A,FALSE,"원가";#N/A,#N/A,FALSE,"경영"}</definedName>
    <definedName name="ㅂㄷㄱ" localSheetId="0" hidden="1">{#N/A,#N/A,FALSE,"Aging Summary";#N/A,#N/A,FALSE,"Ratio Analysis";#N/A,#N/A,FALSE,"Test 120 Day Accts";#N/A,#N/A,FALSE,"Tickmarks"}</definedName>
    <definedName name="ㅂㄷㄱ" localSheetId="14" hidden="1">{#N/A,#N/A,FALSE,"Aging Summary";#N/A,#N/A,FALSE,"Ratio Analysis";#N/A,#N/A,FALSE,"Test 120 Day Accts";#N/A,#N/A,FALSE,"Tickmarks"}</definedName>
    <definedName name="ㅂㄷㄱ" hidden="1">{#N/A,#N/A,FALSE,"Aging Summary";#N/A,#N/A,FALSE,"Ratio Analysis";#N/A,#N/A,FALSE,"Test 120 Day Accts";#N/A,#N/A,FALSE,"Tickmarks"}</definedName>
    <definedName name="ㅂㄷㄷㄱ" localSheetId="0" hidden="1">{#N/A,#N/A,FALSE,"Aging Summary";#N/A,#N/A,FALSE,"Ratio Analysis";#N/A,#N/A,FALSE,"Test 120 Day Accts";#N/A,#N/A,FALSE,"Tickmarks"}</definedName>
    <definedName name="ㅂㄷㄷㄱ" localSheetId="14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>#REF!</definedName>
    <definedName name="ㅂㅂ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0" hidden="1">{#N/A,#N/A,FALSE,"Aging Summary";#N/A,#N/A,FALSE,"Ratio Analysis";#N/A,#N/A,FALSE,"Test 120 Day Accts";#N/A,#N/A,FALSE,"Tickmarks"}</definedName>
    <definedName name="ㅂㅂㅂ" localSheetId="14" hidden="1">{#N/A,#N/A,FALSE,"Aging Summary";#N/A,#N/A,FALSE,"Ratio Analysis";#N/A,#N/A,FALSE,"Test 120 Day Accts";#N/A,#N/A,FALSE,"Tickmarks"}</definedName>
    <definedName name="ㅂㅂㅂ" hidden="1">{#N/A,#N/A,FALSE,"Aging Summary";#N/A,#N/A,FALSE,"Ratio Analysis";#N/A,#N/A,FALSE,"Test 120 Day Accts";#N/A,#N/A,FALSE,"Tickmarks"}</definedName>
    <definedName name="ㅂㅂㅂㅂ" localSheetId="0" hidden="1">{#N/A,#N/A,FALSE,"채산3501.XLS";#N/A,#N/A,FALSE,"신조수A.XLS";#N/A,#N/A,FALSE,"신조수b.XLS";#N/A,#N/A,FALSE,"채산3502.XLS";#N/A,#N/A,FALSE,"신조원리.XLS";#N/A,#N/A,FALSE,"신조감가.XLS"}</definedName>
    <definedName name="ㅂㅂㅂㅂ" localSheetId="14" hidden="1">{#N/A,#N/A,FALSE,"채산3501.XLS";#N/A,#N/A,FALSE,"신조수A.XLS";#N/A,#N/A,FALSE,"신조수b.XLS";#N/A,#N/A,FALSE,"채산3502.XLS";#N/A,#N/A,FALSE,"신조원리.XLS";#N/A,#N/A,FALSE,"신조감가.XLS"}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>#REF!</definedName>
    <definedName name="ㅂㅈ">#N/A</definedName>
    <definedName name="ㅂㅈㄱㄷㅈ" localSheetId="0" hidden="1">{#N/A,#N/A,FALSE,"Aging Summary";#N/A,#N/A,FALSE,"Ratio Analysis";#N/A,#N/A,FALSE,"Test 120 Day Accts";#N/A,#N/A,FALSE,"Tickmarks"}</definedName>
    <definedName name="ㅂㅈㄱㄷㅈ" localSheetId="14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ㄷ" localSheetId="0" hidden="1">{#N/A,#N/A,FALSE,"Aging Summary";#N/A,#N/A,FALSE,"Ratio Analysis";#N/A,#N/A,FALSE,"Test 120 Day Accts";#N/A,#N/A,FALSE,"Tickmarks"}</definedName>
    <definedName name="ㅂㅈㄷ" localSheetId="14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>#REF!</definedName>
    <definedName name="ㅂㅋ" hidden="1">#REF!</definedName>
    <definedName name="바">#REF!</definedName>
    <definedName name="바가" localSheetId="0" hidden="1">{#N/A,#N/A,FALSE,"1.CRITERIA";#N/A,#N/A,FALSE,"2.IS";#N/A,#N/A,FALSE,"3.BS";#N/A,#N/A,FALSE,"4.PER PL";#N/A,#N/A,FALSE,"5.INVESTMENT";#N/A,#N/A,FALSE,"6.공문";#N/A,#N/A,FALSE,"7.netinvest"}</definedName>
    <definedName name="바가" localSheetId="14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0" hidden="1">{#N/A,#N/A,FALSE,"1.CRITERIA";#N/A,#N/A,FALSE,"2.IS";#N/A,#N/A,FALSE,"3.BS";#N/A,#N/A,FALSE,"4.PER PL";#N/A,#N/A,FALSE,"5.INVESTMENT";#N/A,#N/A,FALSE,"6.공문";#N/A,#N/A,FALSE,"7.netinvest"}</definedName>
    <definedName name="바나" localSheetId="14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0" hidden="1">{#N/A,#N/A,FALSE,"1.CRITERIA";#N/A,#N/A,FALSE,"2.IS";#N/A,#N/A,FALSE,"3.BS";#N/A,#N/A,FALSE,"4.PER PL";#N/A,#N/A,FALSE,"5.INVESTMENT";#N/A,#N/A,FALSE,"6.공문";#N/A,#N/A,FALSE,"7.netinvest"}</definedName>
    <definedName name="바다올" localSheetId="14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localSheetId="0" hidden="1">{#N/A,#N/A,FALSE,"1.CRITERIA";#N/A,#N/A,FALSE,"2.IS";#N/A,#N/A,FALSE,"3.BS";#N/A,#N/A,FALSE,"4.PER PL";#N/A,#N/A,FALSE,"5.INVESTMENT";#N/A,#N/A,FALSE,"6.공문";#N/A,#N/A,FALSE,"7.netinvest"}</definedName>
    <definedName name="바라" localSheetId="14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0" hidden="1">{#N/A,#N/A,FALSE,"1.CRITERIA";#N/A,#N/A,FALSE,"2.IS";#N/A,#N/A,FALSE,"3.BS";#N/A,#N/A,FALSE,"4.PER PL";#N/A,#N/A,FALSE,"5.INVESTMENT";#N/A,#N/A,FALSE,"6.공문";#N/A,#N/A,FALSE,"7.netinvest"}</definedName>
    <definedName name="바라오" localSheetId="14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localSheetId="0" hidden="1">{#N/A,#N/A,FALSE,"1.CRITERIA";#N/A,#N/A,FALSE,"2.IS";#N/A,#N/A,FALSE,"3.BS";#N/A,#N/A,FALSE,"4.PER PL";#N/A,#N/A,FALSE,"5.INVESTMENT";#N/A,#N/A,FALSE,"6.공문";#N/A,#N/A,FALSE,"7.netinvest"}</definedName>
    <definedName name="바로" localSheetId="14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0" hidden="1">{#N/A,#N/A,FALSE,"1.CRITERIA";#N/A,#N/A,FALSE,"2.IS";#N/A,#N/A,FALSE,"3.BS";#N/A,#N/A,FALSE,"4.PER PL";#N/A,#N/A,FALSE,"5.INVESTMENT";#N/A,#N/A,FALSE,"6.공문";#N/A,#N/A,FALSE,"7.netinvest"}</definedName>
    <definedName name="바바" localSheetId="14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0" hidden="1">{#N/A,#N/A,TRUE,"Y생산";#N/A,#N/A,TRUE,"Y판매";#N/A,#N/A,TRUE,"Y총물량";#N/A,#N/A,TRUE,"Y능력";#N/A,#N/A,TRUE,"YKD"}</definedName>
    <definedName name="바바라" localSheetId="14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라_1" localSheetId="0" hidden="1">{#N/A,#N/A,TRUE,"Y생산";#N/A,#N/A,TRUE,"Y판매";#N/A,#N/A,TRUE,"Y총물량";#N/A,#N/A,TRUE,"Y능력";#N/A,#N/A,TRUE,"YKD"}</definedName>
    <definedName name="바바라_1" localSheetId="14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localSheetId="0" hidden="1">{#N/A,#N/A,FALSE,"단축1";#N/A,#N/A,FALSE,"단축2";#N/A,#N/A,FALSE,"단축3";#N/A,#N/A,FALSE,"장축";#N/A,#N/A,FALSE,"4WD"}</definedName>
    <definedName name="바바바" localSheetId="14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바보">#REF!</definedName>
    <definedName name="바아" localSheetId="0" hidden="1">{#N/A,#N/A,FALSE,"1.CRITERIA";#N/A,#N/A,FALSE,"2.IS";#N/A,#N/A,FALSE,"3.BS";#N/A,#N/A,FALSE,"4.PER PL";#N/A,#N/A,FALSE,"5.INVESTMENT";#N/A,#N/A,FALSE,"6.공문";#N/A,#N/A,FALSE,"7.netinvest"}</definedName>
    <definedName name="바아" localSheetId="14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0" hidden="1">{#N/A,#N/A,FALSE,"1.CRITERIA";#N/A,#N/A,FALSE,"2.IS";#N/A,#N/A,FALSE,"3.BS";#N/A,#N/A,FALSE,"4.PER PL";#N/A,#N/A,FALSE,"5.INVESTMENT";#N/A,#N/A,FALSE,"6.공문";#N/A,#N/A,FALSE,"7.netinvest"}</definedName>
    <definedName name="바아가" localSheetId="14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0" hidden="1">{#N/A,#N/A,FALSE,"1.CRITERIA";#N/A,#N/A,FALSE,"2.IS";#N/A,#N/A,FALSE,"3.BS";#N/A,#N/A,FALSE,"4.PER PL";#N/A,#N/A,FALSE,"5.INVESTMENT";#N/A,#N/A,FALSE,"6.공문";#N/A,#N/A,FALSE,"7.netinvest"}</definedName>
    <definedName name="바아가오" localSheetId="14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0" hidden="1">{#N/A,#N/A,FALSE,"1.CRITERIA";#N/A,#N/A,FALSE,"2.IS";#N/A,#N/A,FALSE,"3.BS";#N/A,#N/A,FALSE,"4.PER PL";#N/A,#N/A,FALSE,"5.INVESTMENT";#N/A,#N/A,FALSE,"6.공문";#N/A,#N/A,FALSE,"7.netinvest"}</definedName>
    <definedName name="바아고" localSheetId="14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0" hidden="1">{#N/A,#N/A,FALSE,"1.CRITERIA";#N/A,#N/A,FALSE,"2.IS";#N/A,#N/A,FALSE,"3.BS";#N/A,#N/A,FALSE,"4.PER PL";#N/A,#N/A,FALSE,"5.INVESTMENT";#N/A,#N/A,FALSE,"6.공문";#N/A,#N/A,FALSE,"7.netinvest"}</definedName>
    <definedName name="바이" localSheetId="14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0" hidden="1">{#N/A,#N/A,FALSE,"1.CRITERIA";#N/A,#N/A,FALSE,"2.IS";#N/A,#N/A,FALSE,"3.BS";#N/A,#N/A,FALSE,"4.PER PL";#N/A,#N/A,FALSE,"5.INVESTMENT";#N/A,#N/A,FALSE,"6.공문";#N/A,#N/A,FALSE,"7.netinvest"}</definedName>
    <definedName name="박" localSheetId="14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1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>#REF!</definedName>
    <definedName name="박정" localSheetId="0" hidden="1">{#N/A,#N/A,TRUE,"일정"}</definedName>
    <definedName name="박정" localSheetId="14" hidden="1">{#N/A,#N/A,TRUE,"일정"}</definedName>
    <definedName name="박정" hidden="1">{#N/A,#N/A,TRUE,"일정"}</definedName>
    <definedName name="박준철">#REF!</definedName>
    <definedName name="박준철1">#REF!</definedName>
    <definedName name="반영" localSheetId="0" hidden="1">{#N/A,#N/A,TRUE,"일정"}</definedName>
    <definedName name="반영" localSheetId="14" hidden="1">{#N/A,#N/A,TRUE,"일정"}</definedName>
    <definedName name="반영" hidden="1">{#N/A,#N/A,TRUE,"일정"}</definedName>
    <definedName name="받을어음">#REF!</definedName>
    <definedName name="발">#REF!</definedName>
    <definedName name="방송사">#REF!</definedName>
    <definedName name="방영요일">#REF!</definedName>
    <definedName name="배" localSheetId="0" hidden="1">{#N/A,#N/A,FALSE,"1.CRITERIA";#N/A,#N/A,FALSE,"2.IS";#N/A,#N/A,FALSE,"3.BS";#N/A,#N/A,FALSE,"4.PER PL";#N/A,#N/A,FALSE,"5.INVESTMENT";#N/A,#N/A,FALSE,"6.공문";#N/A,#N/A,FALSE,"7.netinvest"}</definedName>
    <definedName name="배" localSheetId="14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#REF!</definedName>
    <definedName name="배부기준">#REF!</definedName>
    <definedName name="배부액">#REF!</definedName>
    <definedName name="배부율">#REF!</definedName>
    <definedName name="배우자">#REF!</definedName>
    <definedName name="배우자2">#REF!</definedName>
    <definedName name="백">IF(INT(RIGHT(#REF!,3)/100)=0,"",CHOOSE(INT(RIGHT(#REF!,3)/100),"일","이","삼","사","오","육","칠","팔","구")&amp;"백")</definedName>
    <definedName name="백나영">#REF!</definedName>
    <definedName name="백만">IF(INT(RIGHT(#REF!,7)/1000000)=0,"",CHOOSE(INT(RIGHT(#REF!,7)/1000000),"일","이","삼","사","오","육","칠","팔","구")&amp;"백")</definedName>
    <definedName name="백만원">#REF!</definedName>
    <definedName name="백백만원">#REF!</definedName>
    <definedName name="버버" localSheetId="0" hidden="1">{#N/A,#N/A,FALSE,"1.CRITERIA";#N/A,#N/A,FALSE,"2.IS";#N/A,#N/A,FALSE,"3.BS";#N/A,#N/A,FALSE,"4.PER PL";#N/A,#N/A,FALSE,"5.INVESTMENT";#N/A,#N/A,FALSE,"6.공문";#N/A,#N/A,FALSE,"7.netinvest"}</definedName>
    <definedName name="버버" localSheetId="14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>#REF!</definedName>
    <definedName name="범위1">#REF!</definedName>
    <definedName name="범위액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>#REF!</definedName>
    <definedName name="법인구분">#REF!</definedName>
    <definedName name="법인구분코드">#REF!</definedName>
    <definedName name="법인등록번호">#REF!</definedName>
    <definedName name="법인명_상호명">#REF!</definedName>
    <definedName name="법인세">#REF!</definedName>
    <definedName name="법인세비용" localSheetId="0" hidden="1">{#N/A,#N/A,FALSE,"BS";#N/A,#N/A,FALSE,"PL";#N/A,#N/A,FALSE,"처분";#N/A,#N/A,FALSE,"현금";#N/A,#N/A,FALSE,"매출";#N/A,#N/A,FALSE,"원가";#N/A,#N/A,FALSE,"경영"}</definedName>
    <definedName name="법인세비용" localSheetId="14" hidden="1">{#N/A,#N/A,FALSE,"BS";#N/A,#N/A,FALSE,"PL";#N/A,#N/A,FALSE,"처분";#N/A,#N/A,FALSE,"현금";#N/A,#N/A,FALSE,"매출";#N/A,#N/A,FALSE,"원가";#N/A,#N/A,FALSE,"경영"}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1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localSheetId="0" hidden="1">{#N/A,#N/A,FALSE,"1.CRITERIA";#N/A,#N/A,FALSE,"2.IS";#N/A,#N/A,FALSE,"3.BS";#N/A,#N/A,FALSE,"4.PER PL";#N/A,#N/A,FALSE,"5.INVESTMENT";#N/A,#N/A,FALSE,"6.공문";#N/A,#N/A,FALSE,"7.netinvest"}</definedName>
    <definedName name="베" localSheetId="14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>#REF!</definedName>
    <definedName name="변경내역" localSheetId="0" hidden="1">{#N/A,#N/A,FALSE,"3가";#N/A,#N/A,FALSE,"3나";#N/A,#N/A,FALSE,"3다"}</definedName>
    <definedName name="변경내역" localSheetId="14" hidden="1">{#N/A,#N/A,FALSE,"3가";#N/A,#N/A,FALSE,"3나";#N/A,#N/A,FALSE,"3다"}</definedName>
    <definedName name="변경내역" hidden="1">{#N/A,#N/A,FALSE,"3가";#N/A,#N/A,FALSE,"3나";#N/A,#N/A,FALSE,"3다"}</definedName>
    <definedName name="변동">#REF!</definedName>
    <definedName name="변동비">#REF!</definedName>
    <definedName name="변동비인쇄영역">#REF!</definedName>
    <definedName name="변동연">#REF!</definedName>
    <definedName name="변동연료비">#REF!</definedName>
    <definedName name="변동율기준표">#REF!</definedName>
    <definedName name="변동제">#REF!</definedName>
    <definedName name="변동판">#REF!</definedName>
    <definedName name="변파유닛" localSheetId="0" hidden="1">{#N/A,#N/A,FALSE,"3가";#N/A,#N/A,FALSE,"3나";#N/A,#N/A,FALSE,"3다"}</definedName>
    <definedName name="변파유닛" localSheetId="14" hidden="1">{#N/A,#N/A,FALSE,"3가";#N/A,#N/A,FALSE,"3나";#N/A,#N/A,FALSE,"3다"}</definedName>
    <definedName name="변파유닛" hidden="1">{#N/A,#N/A,FALSE,"3가";#N/A,#N/A,FALSE,"3나";#N/A,#N/A,FALSE,"3다"}</definedName>
    <definedName name="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>#REF!</definedName>
    <definedName name="별도합산세">#REF!</definedName>
    <definedName name="별도합산세율">#REF!</definedName>
    <definedName name="별정시급">#REF!</definedName>
    <definedName name="별지66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hidden="1">#REF!</definedName>
    <definedName name="보" localSheetId="0" hidden="1">{#N/A,#N/A,FALSE,"3가";#N/A,#N/A,FALSE,"3나";#N/A,#N/A,FALSE,"3다"}</definedName>
    <definedName name="보" localSheetId="14" hidden="1">{#N/A,#N/A,FALSE,"3가";#N/A,#N/A,FALSE,"3나";#N/A,#N/A,FALSE,"3다"}</definedName>
    <definedName name="보" hidden="1">{#N/A,#N/A,FALSE,"3가";#N/A,#N/A,FALSE,"3나";#N/A,#N/A,FALSE,"3다"}</definedName>
    <definedName name="보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>#REF!</definedName>
    <definedName name="보관1">#REF!</definedName>
    <definedName name="보관2">#REF!</definedName>
    <definedName name="보너스">#REF!</definedName>
    <definedName name="보라차" localSheetId="0" hidden="1">{#N/A,#N/A,FALSE,"1.CRITERIA";#N/A,#N/A,FALSE,"2.IS";#N/A,#N/A,FALSE,"3.BS";#N/A,#N/A,FALSE,"4.PER PL";#N/A,#N/A,FALSE,"5.INVESTMENT";#N/A,#N/A,FALSE,"6.공문";#N/A,#N/A,FALSE,"7.netinvest"}</definedName>
    <definedName name="보라차" localSheetId="14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>#REF!</definedName>
    <definedName name="보봅" localSheetId="0" hidden="1">{#N/A,#N/A,FALSE,"Aging Summary";#N/A,#N/A,FALSE,"Ratio Analysis";#N/A,#N/A,FALSE,"Test 120 Day Accts";#N/A,#N/A,FALSE,"Tickmarks"}</definedName>
    <definedName name="보봅" localSheetId="14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수사진">#REF!</definedName>
    <definedName name="보아리" localSheetId="0" hidden="1">{#N/A,#N/A,FALSE,"1.CRITERIA";#N/A,#N/A,FALSE,"2.IS";#N/A,#N/A,FALSE,"3.BS";#N/A,#N/A,FALSE,"4.PER PL";#N/A,#N/A,FALSE,"5.INVESTMENT";#N/A,#N/A,FALSE,"6.공문";#N/A,#N/A,FALSE,"7.netinvest"}</definedName>
    <definedName name="보아리" localSheetId="14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localSheetId="0" hidden="1">{#N/A,#N/A,FALSE,"1.CRITERIA";#N/A,#N/A,FALSE,"2.IS";#N/A,#N/A,FALSE,"3.BS";#N/A,#N/A,FALSE,"4.PER PL";#N/A,#N/A,FALSE,"5.INVESTMENT";#N/A,#N/A,FALSE,"6.공문";#N/A,#N/A,FALSE,"7.netinvest"}</definedName>
    <definedName name="보이" localSheetId="14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0" hidden="1">{#N/A,#N/A,FALSE,"1.CRITERIA";#N/A,#N/A,FALSE,"2.IS";#N/A,#N/A,FALSE,"3.BS";#N/A,#N/A,FALSE,"4.PER PL";#N/A,#N/A,FALSE,"5.INVESTMENT";#N/A,#N/A,FALSE,"6.공문";#N/A,#N/A,FALSE,"7.netinvest"}</definedName>
    <definedName name="보이아" localSheetId="14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>#REF!</definedName>
    <definedName name="보증금환급률">#REF!</definedName>
    <definedName name="보증기관">#REF!</definedName>
    <definedName name="보충" hidden="1">#REF!</definedName>
    <definedName name="보험">#REF!</definedName>
    <definedName name="보험2">#REF!</definedName>
    <definedName name="보험료" localSheetId="0" hidden="1">{#N/A,#N/A,FALSE,"Aging Summary";#N/A,#N/A,FALSE,"Ratio Analysis";#N/A,#N/A,FALSE,"Test 120 Day Accts";#N/A,#N/A,FALSE,"Tickmarks"}</definedName>
    <definedName name="보험료" localSheetId="14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보험료합계">#REF!</definedName>
    <definedName name="보험예산대비실적분석자료" localSheetId="0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localSheetId="14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>#REF!</definedName>
    <definedName name="복리후생비집계">#REF!</definedName>
    <definedName name="복사대상">#REF!</definedName>
    <definedName name="본사손익">#REF!</definedName>
    <definedName name="볼" localSheetId="0" hidden="1">{#N/A,#N/A,FALSE,"1.CRITERIA";#N/A,#N/A,FALSE,"2.IS";#N/A,#N/A,FALSE,"3.BS";#N/A,#N/A,FALSE,"4.PER PL";#N/A,#N/A,FALSE,"5.INVESTMENT";#N/A,#N/A,FALSE,"6.공문";#N/A,#N/A,FALSE,"7.netinvest"}</definedName>
    <definedName name="볼" localSheetId="14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localSheetId="0" hidden="1">{#N/A,#N/A,FALSE,"95FW"}</definedName>
    <definedName name="봄" localSheetId="14" hidden="1">{#N/A,#N/A,FALSE,"95FW"}</definedName>
    <definedName name="봄" hidden="1">{#N/A,#N/A,FALSE,"95FW"}</definedName>
    <definedName name="봉석">#REF!</definedName>
    <definedName name="봐" localSheetId="0" hidden="1">{#N/A,#N/A,FALSE,"1.CRITERIA";#N/A,#N/A,FALSE,"2.IS";#N/A,#N/A,FALSE,"3.BS";#N/A,#N/A,FALSE,"4.PER PL";#N/A,#N/A,FALSE,"5.INVESTMENT";#N/A,#N/A,FALSE,"6.공문";#N/A,#N/A,FALSE,"7.netinvest"}</definedName>
    <definedName name="봐" localSheetId="14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>#REF!</definedName>
    <definedName name="부가세">1.1</definedName>
    <definedName name="부가세검토1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>#REF!</definedName>
    <definedName name="부녀">#REF!</definedName>
    <definedName name="부녀2">#REF!</definedName>
    <definedName name="부도어음">#REF!</definedName>
    <definedName name="부동산투자신탁6호">#REF!</definedName>
    <definedName name="부서">#REF!</definedName>
    <definedName name="부서코드다">#REF!</definedName>
    <definedName name="부속" hidden="1">#REF!</definedName>
    <definedName name="부양">#REF!</definedName>
    <definedName name="부양2">#REF!</definedName>
    <definedName name="부양가족">#REF!</definedName>
    <definedName name="부양가족2">#REF!</definedName>
    <definedName name="부채자본">#REF!</definedName>
    <definedName name="부천변경내역서">#REF!</definedName>
    <definedName name="부하s" hidden="1">#REF!</definedName>
    <definedName name="부하sa" hidden="1">#REF!</definedName>
    <definedName name="북부">#REF!</definedName>
    <definedName name="북채">#REF!</definedName>
    <definedName name="분" localSheetId="0" hidden="1">{#N/A,#N/A,FALSE,"단축1";#N/A,#N/A,FALSE,"단축2";#N/A,#N/A,FALSE,"단축3";#N/A,#N/A,FALSE,"장축";#N/A,#N/A,FALSE,"4WD"}</definedName>
    <definedName name="분" localSheetId="14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개및수수료계상">#REF!</definedName>
    <definedName name="분기별" localSheetId="0" hidden="1">{#N/A,#N/A,TRUE,"Y생산";#N/A,#N/A,TRUE,"Y판매";#N/A,#N/A,TRUE,"Y총물량";#N/A,#N/A,TRUE,"Y능력";#N/A,#N/A,TRUE,"YKD"}</definedName>
    <definedName name="분기별" localSheetId="14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별_1" localSheetId="0" hidden="1">{#N/A,#N/A,TRUE,"Y생산";#N/A,#N/A,TRUE,"Y판매";#N/A,#N/A,TRUE,"Y총물량";#N/A,#N/A,TRUE,"Y능력";#N/A,#N/A,TRUE,"YKD"}</definedName>
    <definedName name="분기별_1" localSheetId="14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>#REF!</definedName>
    <definedName name="분리과세세율">#REF!</definedName>
    <definedName name="분리과세액">#REF!</definedName>
    <definedName name="분석" localSheetId="0" hidden="1">{"'호선별현황(방식)'!$K$22:$P$22","'호선별현황(방식)'!$K$22:$P$22"}</definedName>
    <definedName name="분석" localSheetId="14" hidden="1">{"'호선별현황(방식)'!$K$22:$P$22","'호선별현황(방식)'!$K$22:$P$22"}</definedName>
    <definedName name="분석" hidden="1">{"'호선별현황(방식)'!$K$22:$P$22","'호선별현황(방식)'!$K$22:$P$22"}</definedName>
    <definedName name="분석2002" localSheetId="0" hidden="1">{"'호선별현황(방식)'!$K$22:$P$22","'호선별현황(방식)'!$K$22:$P$22"}</definedName>
    <definedName name="분석2002" localSheetId="14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localSheetId="0" hidden="1">{"'호선별현황(방식)'!$K$22:$P$22","'호선별현황(방식)'!$K$22:$P$22"}</definedName>
    <definedName name="분석용" localSheetId="14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>#REF!</definedName>
    <definedName name="분양원가명세서" localSheetId="0" hidden="1">{#N/A,#N/A,FALSE,"BS";#N/A,#N/A,FALSE,"PL";#N/A,#N/A,FALSE,"처분";#N/A,#N/A,FALSE,"현금";#N/A,#N/A,FALSE,"매출";#N/A,#N/A,FALSE,"원가";#N/A,#N/A,FALSE,"경영"}</definedName>
    <definedName name="분양원가명세서" localSheetId="14" hidden="1">{#N/A,#N/A,FALSE,"BS";#N/A,#N/A,FALSE,"PL";#N/A,#N/A,FALSE,"처분";#N/A,#N/A,FALSE,"현금";#N/A,#N/A,FALSE,"매출";#N/A,#N/A,FALSE,"원가";#N/A,#N/A,FALSE,"경영"}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localSheetId="0" hidden="1">{#N/A,#N/A,FALSE,"BS";#N/A,#N/A,FALSE,"PL";#N/A,#N/A,FALSE,"처분";#N/A,#N/A,FALSE,"현금";#N/A,#N/A,FALSE,"매출";#N/A,#N/A,FALSE,"원가";#N/A,#N/A,FALSE,"경영"}</definedName>
    <definedName name="분양원가명세서1" localSheetId="14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>#REF!</definedName>
    <definedName name="불량">#REF!</definedName>
    <definedName name="불합격">#REF!</definedName>
    <definedName name="브레이크">#REF!</definedName>
    <definedName name="비" localSheetId="0" hidden="1">{#N/A,#N/A,FALSE,"1.CRITERIA";#N/A,#N/A,FALSE,"2.IS";#N/A,#N/A,FALSE,"3.BS";#N/A,#N/A,FALSE,"4.PER PL";#N/A,#N/A,FALSE,"5.INVESTMENT";#N/A,#N/A,FALSE,"6.공문";#N/A,#N/A,FALSE,"7.netinvest"}</definedName>
    <definedName name="비" localSheetId="14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>#REF!</definedName>
    <definedName name="비과세">#REF!</definedName>
    <definedName name="비과세2">#REF!</definedName>
    <definedName name="비교">#REF!</definedName>
    <definedName name="비교A">#REF!</definedName>
    <definedName name="비교분">#REF!</definedName>
    <definedName name="비교표2" hidden="1">#REF!</definedName>
    <definedName name="비상장주식" hidden="1">#N/A</definedName>
    <definedName name="비용거래">#REF!</definedName>
    <definedName name="비용배분">#REF!</definedName>
    <definedName name="비품">#REF!</definedName>
    <definedName name="비품상각">#REF!</definedName>
    <definedName name="비호선율" localSheetId="0" hidden="1">{"'호선별현황(방식)'!$K$22:$P$22","'호선별현황(방식)'!$K$22:$P$22"}</definedName>
    <definedName name="비호선율" localSheetId="14" hidden="1">{"'호선별현황(방식)'!$K$22:$P$22","'호선별현황(방식)'!$K$22:$P$22"}</definedName>
    <definedName name="비호선율" hidden="1">{"'호선별현황(방식)'!$K$22:$P$22","'호선별현황(방식)'!$K$22:$P$22"}</definedName>
    <definedName name="빌딩명">#REF!</definedName>
    <definedName name="빌딩이름">#REF!</definedName>
    <definedName name="빙수" localSheetId="0" hidden="1">{#N/A,#N/A,FALSE,"1.CRITERIA";#N/A,#N/A,FALSE,"2.IS";#N/A,#N/A,FALSE,"3.BS";#N/A,#N/A,FALSE,"4.PER PL";#N/A,#N/A,FALSE,"5.INVESTMENT";#N/A,#N/A,FALSE,"6.공문";#N/A,#N/A,FALSE,"7.netinvest"}</definedName>
    <definedName name="빙수" localSheetId="14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localSheetId="0" hidden="1">{"'호선별현황(방식)'!$K$22:$P$22","'호선별현황(방식)'!$K$22:$P$22"}</definedName>
    <definedName name="빨리행" localSheetId="14" hidden="1">{"'호선별현황(방식)'!$K$22:$P$22","'호선별현황(방식)'!$K$22:$P$22"}</definedName>
    <definedName name="빨리행" hidden="1">{"'호선별현황(방식)'!$K$22:$P$22","'호선별현황(방식)'!$K$22:$P$22"}</definedName>
    <definedName name="ㅅ" localSheetId="0" hidden="1">{#N/A,#N/A,TRUE,"Y생산";#N/A,#N/A,TRUE,"Y판매";#N/A,#N/A,TRUE,"Y총물량";#N/A,#N/A,TRUE,"Y능력";#N/A,#N/A,TRUE,"YKD"}</definedName>
    <definedName name="ㅅ" localSheetId="14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7ㅓㅛㅗㅓ로ㅓ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localSheetId="0" hidden="1">{#N/A,#N/A,TRUE,"일정"}</definedName>
    <definedName name="ㅅㄹ녀ㅛㅅ누ㅛㅅㄴ구ㅛㅅㄱ누" localSheetId="14" hidden="1">{#N/A,#N/A,TRUE,"일정"}</definedName>
    <definedName name="ㅅㄹ녀ㅛㅅ누ㅛㅅㄴ구ㅛㅅㄱ누" hidden="1">{#N/A,#N/A,TRUE,"일정"}</definedName>
    <definedName name="ㅅㅅ">#REF!</definedName>
    <definedName name="ㅅㅅㅅ" localSheetId="0" hidden="1">{#N/A,#N/A,TRUE,"일정"}</definedName>
    <definedName name="ㅅㅅㅅ" localSheetId="14" hidden="1">{#N/A,#N/A,TRUE,"일정"}</definedName>
    <definedName name="ㅅㅅㅅ" hidden="1">{#N/A,#N/A,TRUE,"일정"}</definedName>
    <definedName name="사">#REF!</definedName>
    <definedName name="사1">#REF!</definedName>
    <definedName name="사10">#REF!</definedName>
    <definedName name="사11">#REF!</definedName>
    <definedName name="사12">#REF!</definedName>
    <definedName name="사2">#REF!</definedName>
    <definedName name="사3">#REF!</definedName>
    <definedName name="사4">#REF!</definedName>
    <definedName name="사5">#REF!</definedName>
    <definedName name="사6">#REF!</definedName>
    <definedName name="사7">#REF!</definedName>
    <definedName name="사8">#REF!</definedName>
    <definedName name="사9">#REF!</definedName>
    <definedName name="사고뭉치" localSheetId="0" hidden="1">{#N/A,#N/A,FALSE,"96 3월물량표";#N/A,#N/A,FALSE,"96 4월물량표";#N/A,#N/A,FALSE,"96 5월물량표"}</definedName>
    <definedName name="사고뭉치" localSheetId="14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람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localSheetId="0" hidden="1">{"'Sheet1'!$A$1:$H$36"}</definedName>
    <definedName name="사랑" localSheetId="14" hidden="1">{"'Sheet1'!$A$1:$H$36"}</definedName>
    <definedName name="사랑" hidden="1">{"'Sheet1'!$A$1:$H$36"}</definedName>
    <definedName name="사랑_1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>#REF!</definedName>
    <definedName name="사업" localSheetId="0" hidden="1">{#N/A,#N/A,FALSE,"SILO현황";#N/A,#N/A,FALSE,"타업체";#N/A,#N/A,FALSE,"생산능력"}</definedName>
    <definedName name="사업" localSheetId="14" hidden="1">{#N/A,#N/A,FALSE,"SILO현황";#N/A,#N/A,FALSE,"타업체";#N/A,#N/A,FALSE,"생산능력"}</definedName>
    <definedName name="사업" hidden="1">{#N/A,#N/A,FALSE,"SILO현황";#N/A,#N/A,FALSE,"타업체";#N/A,#N/A,FALSE,"생산능력"}</definedName>
    <definedName name="사업10월">#REF!</definedName>
    <definedName name="사업11월">#REF!</definedName>
    <definedName name="사업12월">#REF!</definedName>
    <definedName name="사업3월">#REF!</definedName>
    <definedName name="사업4월">#REF!</definedName>
    <definedName name="사업5월">#REF!</definedName>
    <definedName name="사업6월">#REF!</definedName>
    <definedName name="사업7월">#REF!</definedName>
    <definedName name="사업8월">#REF!</definedName>
    <definedName name="사업9월">#REF!</definedName>
    <definedName name="사업별">#REF!</definedName>
    <definedName name="사업부양식2" hidden="1">#REF!</definedName>
    <definedName name="사업자등록번호">#REF!</definedName>
    <definedName name="사업투자">#REF!</definedName>
    <definedName name="사업투자1">#REF!</definedName>
    <definedName name="사용">#N/A</definedName>
    <definedName name="사용량">#REF!</definedName>
    <definedName name="사용량1">#REF!</definedName>
    <definedName name="사용량2">#REF!</definedName>
    <definedName name="사용료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>#REF!</definedName>
    <definedName name="사원미지급" localSheetId="0" hidden="1">{#N/A,#N/A,FALSE,"1.CRITERIA";#N/A,#N/A,FALSE,"2.IS";#N/A,#N/A,FALSE,"3.BS";#N/A,#N/A,FALSE,"4.PER PL";#N/A,#N/A,FALSE,"5.INVESTMENT";#N/A,#N/A,FALSE,"6.공문";#N/A,#N/A,FALSE,"7.netinvest"}</definedName>
    <definedName name="사원미지급" localSheetId="14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>#REF!</definedName>
    <definedName name="사월일">#REF!</definedName>
    <definedName name="사이버">#REF!</definedName>
    <definedName name="사진" localSheetId="0" hidden="1">{#N/A,#N/A,FALSE,"단축1";#N/A,#N/A,FALSE,"단축2";#N/A,#N/A,FALSE,"단축3";#N/A,#N/A,FALSE,"장축";#N/A,#N/A,FALSE,"4WD"}</definedName>
    <definedName name="사진" localSheetId="14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0" hidden="1">{#N/A,#N/A,FALSE,"단축1";#N/A,#N/A,FALSE,"단축2";#N/A,#N/A,FALSE,"단축3";#N/A,#N/A,FALSE,"장축";#N/A,#N/A,FALSE,"4WD"}</definedName>
    <definedName name="사진1" localSheetId="14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>#REF!</definedName>
    <definedName name="산1">#REF!</definedName>
    <definedName name="산10">#REF!</definedName>
    <definedName name="산11">#REF!</definedName>
    <definedName name="산12">#REF!</definedName>
    <definedName name="산2">#REF!</definedName>
    <definedName name="산3">#REF!</definedName>
    <definedName name="산4">#REF!</definedName>
    <definedName name="산5">#REF!</definedName>
    <definedName name="산6">#REF!</definedName>
    <definedName name="산7">#REF!</definedName>
    <definedName name="산8">#REF!</definedName>
    <definedName name="산9">#REF!</definedName>
    <definedName name="산재">#REF!</definedName>
    <definedName name="산재10월">#REF!</definedName>
    <definedName name="산재11월">#REF!</definedName>
    <definedName name="산재12월">#REF!</definedName>
    <definedName name="산재3월">#REF!</definedName>
    <definedName name="산재4월">#REF!</definedName>
    <definedName name="산재5월">#REF!</definedName>
    <definedName name="산재6월">#REF!</definedName>
    <definedName name="산재7월">#REF!</definedName>
    <definedName name="산재8월">#REF!</definedName>
    <definedName name="산재9월">#REF!</definedName>
    <definedName name="삼">#REF!</definedName>
    <definedName name="삼성" localSheetId="0" hidden="1">{#N/A,#N/A,FALSE,"정공"}</definedName>
    <definedName name="삼성" localSheetId="14" hidden="1">{#N/A,#N/A,FALSE,"정공"}</definedName>
    <definedName name="삼성" hidden="1">{#N/A,#N/A,FALSE,"정공"}</definedName>
    <definedName name="삼호중" localSheetId="0" hidden="1">{"'호선별현황(방식)'!$K$22:$P$22","'호선별현황(방식)'!$K$22:$P$22"}</definedName>
    <definedName name="삼호중" localSheetId="14" hidden="1">{"'호선별현황(방식)'!$K$22:$P$22","'호선별현황(방식)'!$K$22:$P$22"}</definedName>
    <definedName name="삼호중" hidden="1">{"'호선별현황(방식)'!$K$22:$P$22","'호선별현황(방식)'!$K$22:$P$22"}</definedName>
    <definedName name="상가매매0115">#REF!</definedName>
    <definedName name="상가임대0115">#REF!</definedName>
    <definedName name="상각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>#REF!</definedName>
    <definedName name="상농">OFFSET(#REF!,0,0,COUNTA(#REF!)-1,1)</definedName>
    <definedName name="상농2">OFFSET(#REF!,0,0,COUNTA(#REF!)-1,1)</definedName>
    <definedName name="상비1">#REF!</definedName>
    <definedName name="상비2">#REF!</definedName>
    <definedName name="상설월별시트2" localSheetId="0" hidden="1">{#N/A,#N/A,FALSE,"95FW"}</definedName>
    <definedName name="상설월별시트2" localSheetId="14" hidden="1">{#N/A,#N/A,FALSE,"95FW"}</definedName>
    <definedName name="상설월별시트2" hidden="1">{#N/A,#N/A,FALSE,"95FW"}</definedName>
    <definedName name="상여">#REF!</definedName>
    <definedName name="상여2">#REF!</definedName>
    <definedName name="상여율">#REF!</definedName>
    <definedName name="상품" hidden="1">#REF!</definedName>
    <definedName name="상품1월">#REF!</definedName>
    <definedName name="상품시화">#REF!</definedName>
    <definedName name="새" localSheetId="0" hidden="1">{#N/A,#N/A,FALSE,"Aging Summary";#N/A,#N/A,FALSE,"Ratio Analysis";#N/A,#N/A,FALSE,"Test 120 Day Accts";#N/A,#N/A,FALSE,"Tickmarks"}</definedName>
    <definedName name="새" localSheetId="14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로부분">#REF!</definedName>
    <definedName name="새이름" localSheetId="0" hidden="1">{"'호선별현황(방식)'!$K$22:$P$22","'호선별현황(방식)'!$K$22:$P$22"}</definedName>
    <definedName name="새이름" localSheetId="14" hidden="1">{"'호선별현황(방식)'!$K$22:$P$22","'호선별현황(방식)'!$K$22:$P$22"}</definedName>
    <definedName name="새이름" hidden="1">{"'호선별현황(방식)'!$K$22:$P$22","'호선별현황(방식)'!$K$22:$P$22"}</definedName>
    <definedName name="새천년" localSheetId="0" hidden="1">{#N/A,#N/A,TRUE,"Y생산";#N/A,#N/A,TRUE,"Y판매";#N/A,#N/A,TRUE,"Y총물량";#N/A,#N/A,TRUE,"Y능력";#N/A,#N/A,TRUE,"YKD"}</definedName>
    <definedName name="새천년" localSheetId="14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색상현황" hidden="1">#REF!</definedName>
    <definedName name="색인">#REF!</definedName>
    <definedName name="생">#REF!</definedName>
    <definedName name="생산">#REF!</definedName>
    <definedName name="생산TON" localSheetId="0" hidden="1">{#N/A,#N/A,TRUE,"Y생산";#N/A,#N/A,TRUE,"Y판매";#N/A,#N/A,TRUE,"Y총물량";#N/A,#N/A,TRUE,"Y능력";#N/A,#N/A,TRUE,"YKD"}</definedName>
    <definedName name="생산TON" localSheetId="14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관리팀절감세부계획">#REF!</definedName>
    <definedName name="생산능력">#REF!</definedName>
    <definedName name="생산시급">#REF!</definedName>
    <definedName name="생산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hidden="1">#REF!</definedName>
    <definedName name="생산준비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localSheetId="0" hidden="1">{#N/A,#N/A,TRUE,"Y생산";#N/A,#N/A,TRUE,"Y판매";#N/A,#N/A,TRUE,"Y총물량";#N/A,#N/A,TRUE,"Y능력";#N/A,#N/A,TRUE,"YKD"}</definedName>
    <definedName name="생산특장2" localSheetId="14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0" hidden="1">{#N/A,#N/A,TRUE,"Y생산";#N/A,#N/A,TRUE,"Y판매";#N/A,#N/A,TRUE,"Y총물량";#N/A,#N/A,TRUE,"Y능력";#N/A,#N/A,TRUE,"YKD"}</definedName>
    <definedName name="생산합격" localSheetId="14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>#REF!</definedName>
    <definedName name="생산현황집계표">#REF!</definedName>
    <definedName name="생산현황집계표1">#REF!</definedName>
    <definedName name="생산현황집계표ELLE">#REF!</definedName>
    <definedName name="생산현황집계표RENO">#REF!</definedName>
    <definedName name="생산현황집계표SIS">#REF!</definedName>
    <definedName name="샤시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hidden="1">#REF!</definedName>
    <definedName name="서식파일명">#REF!</definedName>
    <definedName name="서식파일목록">#REF!</definedName>
    <definedName name="서영태" localSheetId="0" hidden="1">{#N/A,#N/A,TRUE,"Y생산";#N/A,#N/A,TRUE,"Y판매";#N/A,#N/A,TRUE,"Y총물량";#N/A,#N/A,TRUE,"Y능력";#N/A,#N/A,TRUE,"YKD"}</definedName>
    <definedName name="서영태" localSheetId="14" hidden="1">{#N/A,#N/A,TRUE,"Y생산";#N/A,#N/A,TRUE,"Y판매";#N/A,#N/A,TRUE,"Y총물량";#N/A,#N/A,TRUE,"Y능력";#N/A,#N/A,TRUE,"YKD"}</definedName>
    <definedName name="서영태" hidden="1">{#N/A,#N/A,TRUE,"Y생산";#N/A,#N/A,TRUE,"Y판매";#N/A,#N/A,TRUE,"Y총물량";#N/A,#N/A,TRUE,"Y능력";#N/A,#N/A,TRUE,"YKD"}</definedName>
    <definedName name="서영태_1" localSheetId="0" hidden="1">{#N/A,#N/A,TRUE,"Y생산";#N/A,#N/A,TRUE,"Y판매";#N/A,#N/A,TRUE,"Y총물량";#N/A,#N/A,TRUE,"Y능력";#N/A,#N/A,TRUE,"YKD"}</definedName>
    <definedName name="서영태_1" localSheetId="14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localSheetId="0" hidden="1">{#N/A,#N/A,FALSE,"1.CRITERIA";#N/A,#N/A,FALSE,"2.IS";#N/A,#N/A,FALSE,"3.BS";#N/A,#N/A,FALSE,"4.PER PL";#N/A,#N/A,FALSE,"5.INVESTMENT";#N/A,#N/A,FALSE,"6.공문";#N/A,#N/A,FALSE,"7.netinvest"}</definedName>
    <definedName name="서이" localSheetId="14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localSheetId="0" hidden="1">{#N/A,#N/A,TRUE,"대 차 대 조 표"}</definedName>
    <definedName name="서초" localSheetId="14" hidden="1">{#N/A,#N/A,TRUE,"대 차 대 조 표"}</definedName>
    <definedName name="서초" hidden="1">{#N/A,#N/A,TRUE,"대 차 대 조 표"}</definedName>
    <definedName name="서초_1" localSheetId="0" hidden="1">{#N/A,#N/A,TRUE,"대 차 대 조 표"}</definedName>
    <definedName name="서초_1" localSheetId="14" hidden="1">{#N/A,#N/A,TRUE,"대 차 대 조 표"}</definedName>
    <definedName name="서초_1" hidden="1">{#N/A,#N/A,TRUE,"대 차 대 조 표"}</definedName>
    <definedName name="서초2" localSheetId="0" hidden="1">{#N/A,#N/A,TRUE,"대 차 대 조 표"}</definedName>
    <definedName name="서초2" localSheetId="14" hidden="1">{#N/A,#N/A,TRUE,"대 차 대 조 표"}</definedName>
    <definedName name="서초2" hidden="1">{#N/A,#N/A,TRUE,"대 차 대 조 표"}</definedName>
    <definedName name="서초2_1" localSheetId="0" hidden="1">{#N/A,#N/A,TRUE,"대 차 대 조 표"}</definedName>
    <definedName name="서초2_1" localSheetId="14" hidden="1">{#N/A,#N/A,TRUE,"대 차 대 조 표"}</definedName>
    <definedName name="서초2_1" hidden="1">{#N/A,#N/A,TRUE,"대 차 대 조 표"}</definedName>
    <definedName name="서초해동" localSheetId="0" hidden="1">{#N/A,#N/A,TRUE,"대 차 대 조 표"}</definedName>
    <definedName name="서초해동" localSheetId="14" hidden="1">{#N/A,#N/A,TRUE,"대 차 대 조 표"}</definedName>
    <definedName name="서초해동" hidden="1">{#N/A,#N/A,TRUE,"대 차 대 조 표"}</definedName>
    <definedName name="서초해동_1" localSheetId="0" hidden="1">{#N/A,#N/A,TRUE,"대 차 대 조 표"}</definedName>
    <definedName name="서초해동_1" localSheetId="14" hidden="1">{#N/A,#N/A,TRUE,"대 차 대 조 표"}</definedName>
    <definedName name="서초해동_1" hidden="1">{#N/A,#N/A,TRUE,"대 차 대 조 표"}</definedName>
    <definedName name="선급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>#REF!</definedName>
    <definedName name="선급법인세9">#REF!</definedName>
    <definedName name="선급비용">#REF!</definedName>
    <definedName name="선급이자" localSheetId="0" hidden="1">{"'Sheet1'!$A$1:$H$36"}</definedName>
    <definedName name="선급이자" localSheetId="14" hidden="1">{"'Sheet1'!$A$1:$H$36"}</definedName>
    <definedName name="선급이자" hidden="1">{"'Sheet1'!$A$1:$H$36"}</definedName>
    <definedName name="선급조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>#REF!</definedName>
    <definedName name="선체설계" localSheetId="0" hidden="1">{"'호선별현황(방식)'!$K$22:$P$22","'호선별현황(방식)'!$K$22:$P$22"}</definedName>
    <definedName name="선체설계" localSheetId="14" hidden="1">{"'호선별현황(방식)'!$K$22:$P$22","'호선별현황(방식)'!$K$22:$P$22"}</definedName>
    <definedName name="선체설계" hidden="1">{"'호선별현황(방식)'!$K$22:$P$22","'호선별현황(방식)'!$K$22:$P$22"}</definedName>
    <definedName name="선택">#REF!</definedName>
    <definedName name="선행시작팀">#REF!</definedName>
    <definedName name="설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localSheetId="0" hidden="1">{#N/A,#N/A,FALSE,"단축1";#N/A,#N/A,FALSE,"단축2";#N/A,#N/A,FALSE,"단축3";#N/A,#N/A,FALSE,"장축";#N/A,#N/A,FALSE,"4WD"}</definedName>
    <definedName name="성능시험2" localSheetId="14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명">#REF!</definedName>
    <definedName name="성명2">#REF!</definedName>
    <definedName name="省市">#REF!</definedName>
    <definedName name="세금">#REF!</definedName>
    <definedName name="세금1">#REF!</definedName>
    <definedName name="세금유형">#REF!</definedName>
    <definedName name="세금종류">#REF!</definedName>
    <definedName name="세대">#REF!</definedName>
    <definedName name="세무서">#REF!</definedName>
    <definedName name="세무서표">#REF!</definedName>
    <definedName name="세무조정모든양식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>#REF!</definedName>
    <definedName name="세부그림">#REF!</definedName>
    <definedName name="세부내역">#REF!</definedName>
    <definedName name="세부생산계획" localSheetId="0" hidden="1">{#N/A,#N/A,TRUE,"Y생산";#N/A,#N/A,TRUE,"Y판매";#N/A,#N/A,TRUE,"Y총물량";#N/A,#N/A,TRUE,"Y능력";#N/A,#N/A,TRUE,"YKD"}</definedName>
    <definedName name="세부생산계획" localSheetId="14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0" hidden="1">{#N/A,#N/A,FALSE,"단축1";#N/A,#N/A,FALSE,"단축2";#N/A,#N/A,FALSE,"단축3";#N/A,#N/A,FALSE,"장축";#N/A,#N/A,FALSE,"4WD"}</definedName>
    <definedName name="세부일정" localSheetId="14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localSheetId="14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>#REF!</definedName>
    <definedName name="세율">#REF!</definedName>
    <definedName name="세일">#N/A</definedName>
    <definedName name="셀리카" hidden="1">#REF!</definedName>
    <definedName name="소갑">#REF!</definedName>
    <definedName name="소급">#REF!</definedName>
    <definedName name="소나타">#REF!</definedName>
    <definedName name="소득" hidden="1">#REF!</definedName>
    <definedName name="소득2">#REF!</definedName>
    <definedName name="소득구분3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>#REF!</definedName>
    <definedName name="소득세">#REF!</definedName>
    <definedName name="소득종류">#REF!</definedName>
    <definedName name="소솟">#REF!</definedName>
    <definedName name="소유자분_보증금">#REF!</definedName>
    <definedName name="소재검토">#REF!</definedName>
    <definedName name="소형4" hidden="1">#REF!</definedName>
    <definedName name="소형발인" hidden="1">#REF!</definedName>
    <definedName name="소화주철장판" localSheetId="0" hidden="1">{#N/A,#N/A,FALSE,"단축1";#N/A,#N/A,FALSE,"단축2";#N/A,#N/A,FALSE,"단축3";#N/A,#N/A,FALSE,"장축";#N/A,#N/A,FALSE,"4WD"}</definedName>
    <definedName name="소화주철장판" localSheetId="14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0" hidden="1">{#N/A,#N/A,FALSE,"1.CRITERIA";#N/A,#N/A,FALSE,"2.IS";#N/A,#N/A,FALSE,"3.BS";#N/A,#N/A,FALSE,"4.PER PL";#N/A,#N/A,FALSE,"5.INVESTMENT";#N/A,#N/A,FALSE,"6.공문";#N/A,#N/A,FALSE,"7.netinvest"}</definedName>
    <definedName name="손실" localSheetId="14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hidden="1">#REF!</definedName>
    <definedName name="손익계산서조정_04_12" localSheetId="0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14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localSheetId="0" hidden="1">{#N/A,#N/A,TRUE,"대 차 대 조 표"}</definedName>
    <definedName name="솔" localSheetId="14" hidden="1">{#N/A,#N/A,TRUE,"대 차 대 조 표"}</definedName>
    <definedName name="솔" hidden="1">{#N/A,#N/A,TRUE,"대 차 대 조 표"}</definedName>
    <definedName name="솔_1" localSheetId="0" hidden="1">{#N/A,#N/A,TRUE,"대 차 대 조 표"}</definedName>
    <definedName name="솔_1" localSheetId="14" hidden="1">{#N/A,#N/A,TRUE,"대 차 대 조 표"}</definedName>
    <definedName name="솔_1" hidden="1">{#N/A,#N/A,TRUE,"대 차 대 조 표"}</definedName>
    <definedName name="송" localSheetId="0" hidden="1">{#N/A,#N/A,TRUE,"Y생산";#N/A,#N/A,TRUE,"Y판매";#N/A,#N/A,TRUE,"Y총물량";#N/A,#N/A,TRUE,"Y능력";#N/A,#N/A,TRUE,"YKD"}</definedName>
    <definedName name="송" localSheetId="14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localSheetId="14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>#REF!</definedName>
    <definedName name="수광비실적" hidden="1">#REF!</definedName>
    <definedName name="수금">#REF!</definedName>
    <definedName name="수금분석">#REF!</definedName>
    <definedName name="수급추이" localSheetId="0" hidden="1">{"'7-2지역별'!$A$1:$R$44"}</definedName>
    <definedName name="수급추이" localSheetId="14" hidden="1">{"'7-2지역별'!$A$1:$R$44"}</definedName>
    <definedName name="수급추이" hidden="1">{"'7-2지역별'!$A$1:$R$44"}</definedName>
    <definedName name="수도" hidden="1">#REF!</definedName>
    <definedName name="수불">#REF!</definedName>
    <definedName name="수선비세부" hidden="1">#REF!</definedName>
    <definedName name="수수" localSheetId="0" hidden="1">{#N/A,#N/A,FALSE,"95FW"}</definedName>
    <definedName name="수수" localSheetId="14" hidden="1">{#N/A,#N/A,FALSE,"95FW"}</definedName>
    <definedName name="수수" hidden="1">{#N/A,#N/A,FALSE,"95FW"}</definedName>
    <definedName name="수수료계상">#REF!</definedName>
    <definedName name="수수료정산" localSheetId="0" hidden="1">{#N/A,#N/A,FALSE,"95FW"}</definedName>
    <definedName name="수수료정산" localSheetId="14" hidden="1">{#N/A,#N/A,FALSE,"95FW"}</definedName>
    <definedName name="수수료정산" hidden="1">{#N/A,#N/A,FALSE,"95FW"}</definedName>
    <definedName name="수익·비용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localSheetId="0" hidden="1">{#N/A,#N/A,FALSE,"단축1";#N/A,#N/A,FALSE,"단축2";#N/A,#N/A,FALSE,"단축3";#N/A,#N/A,FALSE,"장축";#N/A,#N/A,FALSE,"4WD"}</definedName>
    <definedName name="수익4속" localSheetId="14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입3" localSheetId="0" hidden="1">{"'7-2지역별'!$A$1:$R$44"}</definedName>
    <definedName name="수입3" localSheetId="14" hidden="1">{"'7-2지역별'!$A$1:$R$44"}</definedName>
    <definedName name="수입3" hidden="1">{"'7-2지역별'!$A$1:$R$44"}</definedName>
    <definedName name="수입보증금">#REF!</definedName>
    <definedName name="수정2" localSheetId="0" hidden="1">{#N/A,#N/A,FALSE,"신규dep";#N/A,#N/A,FALSE,"신규dep-금형상각후";#N/A,#N/A,FALSE,"신규dep-연구비상각후";#N/A,#N/A,FALSE,"신규dep-기계,공구상각후"}</definedName>
    <definedName name="수정2" localSheetId="14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localSheetId="0" hidden="1">{#N/A,#N/A,TRUE,"Y생산";#N/A,#N/A,TRUE,"Y판매";#N/A,#N/A,TRUE,"Y총물량";#N/A,#N/A,TRUE,"Y능력";#N/A,#N/A,TRUE,"YKD"}</definedName>
    <definedName name="수정물량" localSheetId="14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물량_1" localSheetId="0" hidden="1">{#N/A,#N/A,TRUE,"Y생산";#N/A,#N/A,TRUE,"Y판매";#N/A,#N/A,TRUE,"Y총물량";#N/A,#N/A,TRUE,"Y능력";#N/A,#N/A,TRUE,"YKD"}</definedName>
    <definedName name="수정물량_1" localSheetId="14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hidden="1">#REF!</definedName>
    <definedName name="수정사항1" localSheetId="0" hidden="1">{#N/A,#N/A,FALSE,"BS";#N/A,#N/A,FALSE,"PL";#N/A,#N/A,FALSE,"처분";#N/A,#N/A,FALSE,"현금";#N/A,#N/A,FALSE,"매출";#N/A,#N/A,FALSE,"원가";#N/A,#N/A,FALSE,"경영"}</definedName>
    <definedName name="수정사항1" localSheetId="14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주" localSheetId="0" hidden="1">{#N/A,#N/A,FALSE,"기안지";#N/A,#N/A,FALSE,"통신지"}</definedName>
    <definedName name="수주" localSheetId="14" hidden="1">{#N/A,#N/A,FALSE,"기안지";#N/A,#N/A,FALSE,"통신지"}</definedName>
    <definedName name="수주" hidden="1">{#N/A,#N/A,FALSE,"기안지";#N/A,#N/A,FALSE,"통신지"}</definedName>
    <definedName name="수출">#REF!</definedName>
    <definedName name="수출2">#REF!</definedName>
    <definedName name="수출순위" localSheetId="0" hidden="1">{"'7-2지역별'!$A$1:$R$44"}</definedName>
    <definedName name="수출순위" localSheetId="14" hidden="1">{"'7-2지역별'!$A$1:$R$44"}</definedName>
    <definedName name="수출순위" hidden="1">{"'7-2지역별'!$A$1:$R$44"}</definedName>
    <definedName name="수퍼살롱LPG">#REF!</definedName>
    <definedName name="순서" localSheetId="0" hidden="1">{#N/A,#N/A,FALSE,"1.CRITERIA";#N/A,#N/A,FALSE,"2.IS";#N/A,#N/A,FALSE,"3.BS";#N/A,#N/A,FALSE,"4.PER PL";#N/A,#N/A,FALSE,"5.INVESTMENT";#N/A,#N/A,FALSE,"6.공문";#N/A,#N/A,FALSE,"7.netinvest"}</definedName>
    <definedName name="순서" localSheetId="14" hidden="1">{#N/A,#N/A,FALSE,"1.CRITERIA";#N/A,#N/A,FALSE,"2.IS";#N/A,#N/A,FALSE,"3.BS";#N/A,#N/A,FALSE,"4.PER PL";#N/A,#N/A,FALSE,"5.INVESTMENT";#N/A,#N/A,FALSE,"6.공문";#N/A,#N/A,FALSE,"7.netinvest"}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>#REF!</definedName>
    <definedName name="슬래그">#REF!</definedName>
    <definedName name="슬래그파우더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>#REF!</definedName>
    <definedName name="승용2">#REF!</definedName>
    <definedName name="시">#REF!</definedName>
    <definedName name="시간" localSheetId="0" hidden="1">{#N/A,#N/A,TRUE,"Y생산";#N/A,#N/A,TRUE,"Y판매";#N/A,#N/A,TRUE,"Y총물량";#N/A,#N/A,TRUE,"Y능력";#N/A,#N/A,TRUE,"YKD"}</definedName>
    <definedName name="시간" localSheetId="14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급">#REF!</definedName>
    <definedName name="시나리오">#REF!</definedName>
    <definedName name="시느">#REF!</definedName>
    <definedName name="시럽680">#REF!</definedName>
    <definedName name="시매출">#REF!</definedName>
    <definedName name="시산">#REF!</definedName>
    <definedName name="시설투자">#N/A</definedName>
    <definedName name="시이자">#REF!</definedName>
    <definedName name="시인원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대2">#REF!</definedName>
    <definedName name="신AT종합" localSheetId="0" hidden="1">{#N/A,#N/A,FALSE,"단축1";#N/A,#N/A,FALSE,"단축2";#N/A,#N/A,FALSE,"단축3";#N/A,#N/A,FALSE,"장축";#N/A,#N/A,FALSE,"4WD"}</definedName>
    <definedName name="신AT종합" localSheetId="14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고구분">#REF!</definedName>
    <definedName name="신고구분목록">#REF!</definedName>
    <definedName name="신규_대출">#REF!</definedName>
    <definedName name="신사번">#REF!</definedName>
    <definedName name="신상">#REF!</definedName>
    <definedName name="신설통계" localSheetId="0" hidden="1">{#N/A,#N/A,FALSE,"3가";#N/A,#N/A,FALSE,"3나";#N/A,#N/A,FALSE,"3다"}</definedName>
    <definedName name="신설통계" localSheetId="14" hidden="1">{#N/A,#N/A,FALSE,"3가";#N/A,#N/A,FALSE,"3나";#N/A,#N/A,FALSE,"3다"}</definedName>
    <definedName name="신설통계" hidden="1">{#N/A,#N/A,FALSE,"3가";#N/A,#N/A,FALSE,"3나";#N/A,#N/A,FALSE,"3다"}</definedName>
    <definedName name="신세대종합" localSheetId="0" hidden="1">{#N/A,#N/A,FALSE,"단축1";#N/A,#N/A,FALSE,"단축2";#N/A,#N/A,FALSE,"단축3";#N/A,#N/A,FALSE,"장축";#N/A,#N/A,FALSE,"4WD"}</definedName>
    <definedName name="신세대종합" localSheetId="14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>#REF!</definedName>
    <definedName name="신한은행_1" localSheetId="0" hidden="1">{#N/A,#N/A,FALSE,"Aging Summary";#N/A,#N/A,FALSE,"Ratio Analysis";#N/A,#N/A,FALSE,"Test 120 Day Accts";#N/A,#N/A,FALSE,"Tickmarks"}</definedName>
    <definedName name="신한은행_1" localSheetId="14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0" hidden="1">{#N/A,#N/A,FALSE,"Aging Summary";#N/A,#N/A,FALSE,"Ratio Analysis";#N/A,#N/A,FALSE,"Test 120 Day Accts";#N/A,#N/A,FALSE,"Tickmarks"}</definedName>
    <definedName name="신한은행_2" localSheetId="14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localSheetId="0" hidden="1">{"'호선별현황(방식)'!$K$22:$P$22","'호선별현황(방식)'!$K$22:$P$22"}</definedName>
    <definedName name="신효성" localSheetId="14" hidden="1">{"'호선별현황(방식)'!$K$22:$P$22","'호선별현황(방식)'!$K$22:$P$22"}</definedName>
    <definedName name="신효성" hidden="1">{"'호선별현황(방식)'!$K$22:$P$22","'호선별현황(방식)'!$K$22:$P$22"}</definedName>
    <definedName name="실수요">#REF!</definedName>
    <definedName name="실시" localSheetId="0" hidden="1">{#N/A,#N/A,FALSE,"단축1";#N/A,#N/A,FALSE,"단축2";#N/A,#N/A,FALSE,"단축3";#N/A,#N/A,FALSE,"장축";#N/A,#N/A,FALSE,"4WD"}</definedName>
    <definedName name="실시" localSheetId="14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>#REF!</definedName>
    <definedName name="실적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>#REF!</definedName>
    <definedName name="실제급여" localSheetId="0" hidden="1">{#N/A,#N/A,TRUE,"대 차 대 조 표"}</definedName>
    <definedName name="실제급여" localSheetId="14" hidden="1">{#N/A,#N/A,TRUE,"대 차 대 조 표"}</definedName>
    <definedName name="실제급여" hidden="1">{#N/A,#N/A,TRUE,"대 차 대 조 표"}</definedName>
    <definedName name="실제급여_1" localSheetId="0" hidden="1">{#N/A,#N/A,TRUE,"대 차 대 조 표"}</definedName>
    <definedName name="실제급여_1" localSheetId="14" hidden="1">{#N/A,#N/A,TRUE,"대 차 대 조 표"}</definedName>
    <definedName name="실제급여_1" hidden="1">{#N/A,#N/A,TRUE,"대 차 대 조 표"}</definedName>
    <definedName name="실제매출전체">#REF!</definedName>
    <definedName name="실제수익회당">#REF!</definedName>
    <definedName name="실초출">#REF!</definedName>
    <definedName name="실행">#N/A</definedName>
    <definedName name="심양신세게">#REF!</definedName>
    <definedName name="십">IF(INT(RIGHT(#REF!,2)/10)=0,"",CHOOSE(INT(RIGHT(#REF!,2)/10),"일","이","삼","사","오","육","칠","팔","구")&amp;"십")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>#REF!</definedName>
    <definedName name="씨엔에이치" localSheetId="0" hidden="1">{#N/A,#N/A,TRUE,"대 차 대 조 표"}</definedName>
    <definedName name="씨엔에이치" localSheetId="14" hidden="1">{#N/A,#N/A,TRUE,"대 차 대 조 표"}</definedName>
    <definedName name="씨엔에이치" hidden="1">{#N/A,#N/A,TRUE,"대 차 대 조 표"}</definedName>
    <definedName name="씨엔에이치_1" localSheetId="0" hidden="1">{#N/A,#N/A,TRUE,"대 차 대 조 표"}</definedName>
    <definedName name="씨엔에이치_1" localSheetId="14" hidden="1">{#N/A,#N/A,TRUE,"대 차 대 조 표"}</definedName>
    <definedName name="씨엔에이치_1" hidden="1">{#N/A,#N/A,TRUE,"대 차 대 조 표"}</definedName>
    <definedName name="씨티">#REF!</definedName>
    <definedName name="ㅇ" localSheetId="0" hidden="1">{#N/A,#N/A,FALSE,"Aging Summary";#N/A,#N/A,FALSE,"Ratio Analysis";#N/A,#N/A,FALSE,"Test 120 Day Accts";#N/A,#N/A,FALSE,"Tickmarks"}</definedName>
    <definedName name="ㅇ" localSheetId="14" hidden="1">{#N/A,#N/A,FALSE,"Aging Summary";#N/A,#N/A,FALSE,"Ratio Analysis";#N/A,#N/A,FALSE,"Test 120 Day Accts";#N/A,#N/A,FALSE,"Tickmarks"}</definedName>
    <definedName name="ㅇ" hidden="1">{#N/A,#N/A,FALSE,"Aging Summary";#N/A,#N/A,FALSE,"Ratio Analysis";#N/A,#N/A,FALSE,"Test 120 Day Accts";#N/A,#N/A,FALSE,"Tickmarks"}</definedName>
    <definedName name="ㅇ0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>#REF!</definedName>
    <definedName name="ㅇㄴㄻㄴㅇㄹ" localSheetId="0" hidden="1">{#N/A,#N/A,TRUE,"Y생산";#N/A,#N/A,TRUE,"Y판매";#N/A,#N/A,TRUE,"Y총물량";#N/A,#N/A,TRUE,"Y능력";#N/A,#N/A,TRUE,"YKD"}</definedName>
    <definedName name="ㅇㄴㄻㄴㅇㄹ" localSheetId="14" hidden="1">{#N/A,#N/A,TRUE,"Y생산";#N/A,#N/A,TRUE,"Y판매";#N/A,#N/A,TRUE,"Y총물량";#N/A,#N/A,TRUE,"Y능력";#N/A,#N/A,TRUE,"YKD"}</definedName>
    <definedName name="ㅇㄴㄻㄴㅇㄹ" hidden="1">{#N/A,#N/A,TRUE,"Y생산";#N/A,#N/A,TRUE,"Y판매";#N/A,#N/A,TRUE,"Y총물량";#N/A,#N/A,TRUE,"Y능력";#N/A,#N/A,TRUE,"YKD"}</definedName>
    <definedName name="ㅇㄴㄻㄴㅇㄹ_1" localSheetId="0" hidden="1">{#N/A,#N/A,TRUE,"Y생산";#N/A,#N/A,TRUE,"Y판매";#N/A,#N/A,TRUE,"Y총물량";#N/A,#N/A,TRUE,"Y능력";#N/A,#N/A,TRUE,"YKD"}</definedName>
    <definedName name="ㅇㄴㄻㄴㅇㄹ_1" localSheetId="14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localSheetId="0" hidden="1">{#N/A,#N/A,TRUE,"Y생산";#N/A,#N/A,TRUE,"Y판매";#N/A,#N/A,TRUE,"Y총물량";#N/A,#N/A,TRUE,"Y능력";#N/A,#N/A,TRUE,"YKD"}</definedName>
    <definedName name="ㅇㄴㅇㄹㄴㅇ" localSheetId="14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localSheetId="0" hidden="1">{#N/A,#N/A,TRUE,"Y생산";#N/A,#N/A,TRUE,"Y판매";#N/A,#N/A,TRUE,"Y총물량";#N/A,#N/A,TRUE,"Y능력";#N/A,#N/A,TRUE,"YKD"}</definedName>
    <definedName name="ㅇㄴㅇㄹㄴㅇ_1" localSheetId="14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localSheetId="0" hidden="1">{#N/A,#N/A,FALSE,"BS";#N/A,#N/A,FALSE,"PL";#N/A,#N/A,FALSE,"처분";#N/A,#N/A,FALSE,"현금";#N/A,#N/A,FALSE,"매출";#N/A,#N/A,FALSE,"원가";#N/A,#N/A,FALSE,"경영"}</definedName>
    <definedName name="ㅇ니라먼" localSheetId="14" hidden="1">{#N/A,#N/A,FALSE,"BS";#N/A,#N/A,FALSE,"PL";#N/A,#N/A,FALSE,"처분";#N/A,#N/A,FALSE,"현금";#N/A,#N/A,FALSE,"매출";#N/A,#N/A,FALSE,"원가";#N/A,#N/A,FALSE,"경영"}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localSheetId="0" hidden="1">{#N/A,#N/A,FALSE,"Aging Summary";#N/A,#N/A,FALSE,"Ratio Analysis";#N/A,#N/A,FALSE,"Test 120 Day Accts";#N/A,#N/A,FALSE,"Tickmarks"}</definedName>
    <definedName name="ㅇㄷㄴ" localSheetId="14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ㄹ" localSheetId="0" hidden="1">{#N/A,#N/A,FALSE,"BS";#N/A,#N/A,FALSE,"PL";#N/A,#N/A,FALSE,"처분";#N/A,#N/A,FALSE,"현금";#N/A,#N/A,FALSE,"매출";#N/A,#N/A,FALSE,"원가";#N/A,#N/A,FALSE,"경영"}</definedName>
    <definedName name="ㅇㄹ" localSheetId="14" hidden="1">{#N/A,#N/A,FALSE,"BS";#N/A,#N/A,FALSE,"PL";#N/A,#N/A,FALSE,"처분";#N/A,#N/A,FALSE,"현금";#N/A,#N/A,FALSE,"매출";#N/A,#N/A,FALSE,"원가";#N/A,#N/A,FALSE,"경영"}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hidden="1">#REF!</definedName>
    <definedName name="ㅇㄹㄴㅇㄹ" localSheetId="0" hidden="1">{#N/A,#N/A,TRUE,"Y생산";#N/A,#N/A,TRUE,"Y판매";#N/A,#N/A,TRUE,"Y총물량";#N/A,#N/A,TRUE,"Y능력";#N/A,#N/A,TRUE,"YKD"}</definedName>
    <definedName name="ㅇㄹㄴㅇㄹ" localSheetId="14" hidden="1">{#N/A,#N/A,TRUE,"Y생산";#N/A,#N/A,TRUE,"Y판매";#N/A,#N/A,TRUE,"Y총물량";#N/A,#N/A,TRUE,"Y능력";#N/A,#N/A,TRUE,"YKD"}</definedName>
    <definedName name="ㅇㄹㄴㅇㄹ" hidden="1">{#N/A,#N/A,TRUE,"Y생산";#N/A,#N/A,TRUE,"Y판매";#N/A,#N/A,TRUE,"Y총물량";#N/A,#N/A,TRUE,"Y능력";#N/A,#N/A,TRUE,"YKD"}</definedName>
    <definedName name="ㅇㄹㄴㅇㄹ_1" localSheetId="0" hidden="1">{#N/A,#N/A,TRUE,"Y생산";#N/A,#N/A,TRUE,"Y판매";#N/A,#N/A,TRUE,"Y총물량";#N/A,#N/A,TRUE,"Y능력";#N/A,#N/A,TRUE,"YKD"}</definedName>
    <definedName name="ㅇㄹㄴㅇㄹ_1" localSheetId="14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localSheetId="0" hidden="1">{#N/A,#N/A,FALSE,"Aging Summary";#N/A,#N/A,FALSE,"Ratio Analysis";#N/A,#N/A,FALSE,"Test 120 Day Accts";#N/A,#N/A,FALSE,"Tickmarks"}</definedName>
    <definedName name="ㅇㄹㅀㅎ" localSheetId="14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ㅇ" localSheetId="0" hidden="1">{#N/A,#N/A,FALSE,"3가";#N/A,#N/A,FALSE,"3나";#N/A,#N/A,FALSE,"3다"}</definedName>
    <definedName name="ㅇㄹㅇ" localSheetId="14" hidden="1">{#N/A,#N/A,FALSE,"3가";#N/A,#N/A,FALSE,"3나";#N/A,#N/A,FALSE,"3다"}</definedName>
    <definedName name="ㅇㄹㅇ" hidden="1">{#N/A,#N/A,FALSE,"3가";#N/A,#N/A,FALSE,"3나";#N/A,#N/A,FALSE,"3다"}</definedName>
    <definedName name="ㅇㄹㅇㄴ" localSheetId="0" hidden="1">{#N/A,#N/A,FALSE,"3가";#N/A,#N/A,FALSE,"3나";#N/A,#N/A,FALSE,"3다"}</definedName>
    <definedName name="ㅇㄹㅇㄴ" localSheetId="14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0" hidden="1">{#N/A,#N/A,TRUE,"Y생산";#N/A,#N/A,TRUE,"Y판매";#N/A,#N/A,TRUE,"Y총물량";#N/A,#N/A,TRUE,"Y능력";#N/A,#N/A,TRUE,"YKD"}</definedName>
    <definedName name="ㅇㄹㅇㄴㄹ" localSheetId="14" hidden="1">{#N/A,#N/A,TRUE,"Y생산";#N/A,#N/A,TRUE,"Y판매";#N/A,#N/A,TRUE,"Y총물량";#N/A,#N/A,TRUE,"Y능력";#N/A,#N/A,TRUE,"YKD"}</definedName>
    <definedName name="ㅇㄹㅇㄴㄹ" hidden="1">{#N/A,#N/A,TRUE,"Y생산";#N/A,#N/A,TRUE,"Y판매";#N/A,#N/A,TRUE,"Y총물량";#N/A,#N/A,TRUE,"Y능력";#N/A,#N/A,TRUE,"YKD"}</definedName>
    <definedName name="ㅇㄹㅇㄴㄹ_1" localSheetId="0" hidden="1">{#N/A,#N/A,TRUE,"Y생산";#N/A,#N/A,TRUE,"Y판매";#N/A,#N/A,TRUE,"Y총물량";#N/A,#N/A,TRUE,"Y능력";#N/A,#N/A,TRUE,"YKD"}</definedName>
    <definedName name="ㅇㄹㅇㄴㄹ_1" localSheetId="14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>#REF!</definedName>
    <definedName name="ㅇㄹㅇㄹ_1" localSheetId="0" hidden="1">{#N/A,#N/A,TRUE,"Y생산";#N/A,#N/A,TRUE,"Y판매";#N/A,#N/A,TRUE,"Y총물량";#N/A,#N/A,TRUE,"Y능력";#N/A,#N/A,TRUE,"YKD"}</definedName>
    <definedName name="ㅇㄹㅇㄹ_1" localSheetId="14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ㄹㅇㄹㅇㄹㅇㄹㅇㄹㅇㄹ" localSheetId="0" hidden="1">{#N/A,#N/A,FALSE,"이력서&amp;자기소개서"}</definedName>
    <definedName name="ㅇㄹㅇㄹㅇㄹㅇㄹㅇㄹㅇㄹㅇㄹㅇㄹ" localSheetId="14" hidden="1">{#N/A,#N/A,FALSE,"이력서&amp;자기소개서"}</definedName>
    <definedName name="ㅇㄹㅇㄹㅇㄹㅇㄹㅇㄹㅇㄹㅇㄹㅇㄹ" hidden="1">{#N/A,#N/A,FALSE,"이력서&amp;자기소개서"}</definedName>
    <definedName name="ㅇㄹㅇㅁㄴㅁ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>#REF!</definedName>
    <definedName name="ㅇㄻㅇ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localSheetId="0" hidden="1">{#N/A,#N/A,FALSE,"Aging Summary";#N/A,#N/A,FALSE,"Ratio Analysis";#N/A,#N/A,FALSE,"Test 120 Day Accts";#N/A,#N/A,FALSE,"Tickmarks"}</definedName>
    <definedName name="ㅇㄻㅇㄹ" localSheetId="14" hidden="1">{#N/A,#N/A,FALSE,"Aging Summary";#N/A,#N/A,FALSE,"Ratio Analysis";#N/A,#N/A,FALSE,"Test 120 Day Accts";#N/A,#N/A,FALSE,"Tickmarks"}</definedName>
    <definedName name="ㅇㄻㅇㄹ" hidden="1">{#N/A,#N/A,FALSE,"Aging Summary";#N/A,#N/A,FALSE,"Ratio Analysis";#N/A,#N/A,FALSE,"Test 120 Day Accts";#N/A,#N/A,FALSE,"Tickmarks"}</definedName>
    <definedName name="ㅇㅀㄴㅇ" localSheetId="0" hidden="1">{#N/A,#N/A,FALSE,"채산3501.XLS";#N/A,#N/A,FALSE,"신조수A.XLS";#N/A,#N/A,FALSE,"신조수b.XLS";#N/A,#N/A,FALSE,"채산3502.XLS";#N/A,#N/A,FALSE,"신조원리.XLS";#N/A,#N/A,FALSE,"신조감가.XLS"}</definedName>
    <definedName name="ㅇㅀㄴㅇ" localSheetId="14" hidden="1">{#N/A,#N/A,FALSE,"채산3501.XLS";#N/A,#N/A,FALSE,"신조수A.XLS";#N/A,#N/A,FALSE,"신조수b.XLS";#N/A,#N/A,FALSE,"채산3502.XLS";#N/A,#N/A,FALSE,"신조원리.XLS";#N/A,#N/A,FALSE,"신조감가.XLS"}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localSheetId="0" hidden="1">{#N/A,#N/A,FALSE,"3가";#N/A,#N/A,FALSE,"3나";#N/A,#N/A,FALSE,"3다"}</definedName>
    <definedName name="ㅇㅀㅇㅁㄹ" localSheetId="14" hidden="1">{#N/A,#N/A,FALSE,"3가";#N/A,#N/A,FALSE,"3나";#N/A,#N/A,FALSE,"3다"}</definedName>
    <definedName name="ㅇㅀㅇㅁㄹ" hidden="1">{#N/A,#N/A,FALSE,"3가";#N/A,#N/A,FALSE,"3나";#N/A,#N/A,FALSE,"3다"}</definedName>
    <definedName name="ㅇㅁㄻ" localSheetId="0" hidden="1">{#N/A,#N/A,FALSE,"Aging Summary";#N/A,#N/A,FALSE,"Ratio Analysis";#N/A,#N/A,FALSE,"Test 120 Day Accts";#N/A,#N/A,FALSE,"Tickmarks"}</definedName>
    <definedName name="ㅇㅁㄻ" localSheetId="14" hidden="1">{#N/A,#N/A,FALSE,"Aging Summary";#N/A,#N/A,FALSE,"Ratio Analysis";#N/A,#N/A,FALSE,"Test 120 Day Accts";#N/A,#N/A,FALSE,"Tickmarks"}</definedName>
    <definedName name="ㅇㅁㄻ" hidden="1">{#N/A,#N/A,FALSE,"Aging Summary";#N/A,#N/A,FALSE,"Ratio Analysis";#N/A,#N/A,FALSE,"Test 120 Day Accts";#N/A,#N/A,FALSE,"Tickmarks"}</definedName>
    <definedName name="ㅇㅁㄻㅇㄴㄹㅇㅁ" localSheetId="0" hidden="1">{#N/A,#N/A,FALSE,"Aging Summary";#N/A,#N/A,FALSE,"Ratio Analysis";#N/A,#N/A,FALSE,"Test 120 Day Accts";#N/A,#N/A,FALSE,"Tickmarks"}</definedName>
    <definedName name="ㅇㅁㄻㅇㄴㄹㅇㅁ" localSheetId="14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localSheetId="0" hidden="1">{#N/A,#N/A,FALSE,"Aging Summary";#N/A,#N/A,FALSE,"Ratio Analysis";#N/A,#N/A,FALSE,"Test 120 Day Accts";#N/A,#N/A,FALSE,"Tickmarks"}</definedName>
    <definedName name="ㅇㅁㄻㅇㄹ" localSheetId="14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>#REF!</definedName>
    <definedName name="ㅇㅇ">#REF!</definedName>
    <definedName name="ㅇㅇ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13">BlankMacro1</definedName>
    <definedName name="ㅇㅇㄴ" localSheetId="0">BlankMacro1</definedName>
    <definedName name="ㅇㅇㄴ" localSheetId="14">BlankMacro1</definedName>
    <definedName name="ㅇㅇㄴ" localSheetId="4">BlankMacro1</definedName>
    <definedName name="ㅇㅇㄴ" localSheetId="5">BlankMacro1</definedName>
    <definedName name="ㅇㅇㄴ" localSheetId="6">BlankMacro1</definedName>
    <definedName name="ㅇㅇㄴ" localSheetId="7">BlankMacro1</definedName>
    <definedName name="ㅇㅇㄴ" localSheetId="8">BlankMacro1</definedName>
    <definedName name="ㅇㅇㄴ" localSheetId="9">BlankMacro1</definedName>
    <definedName name="ㅇㅇㄴ" localSheetId="10">BlankMacro1</definedName>
    <definedName name="ㅇㅇㄴ" localSheetId="11">BlankMacro1</definedName>
    <definedName name="ㅇㅇㄴ" localSheetId="12">BlankMacro1</definedName>
    <definedName name="ㅇㅇㄴ" localSheetId="1">BlankMacro1</definedName>
    <definedName name="ㅇㅇㄴ">BlankMacro1</definedName>
    <definedName name="ㅇㅇㄴㄴㄴㄴ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4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>#REF!</definedName>
    <definedName name="ㅇㅇㅇ">#REF!</definedName>
    <definedName name="ㅇㅇㅇㅇ">#REF!</definedName>
    <definedName name="ㅇㅇㅇㅇ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localSheetId="0" hidden="1">{#N/A,#N/A,TRUE,"대 차 대 조 표"}</definedName>
    <definedName name="ㅇㅇㅇㅇㅇ_1" localSheetId="14" hidden="1">{#N/A,#N/A,TRUE,"대 차 대 조 표"}</definedName>
    <definedName name="ㅇㅇㅇㅇㅇ_1" hidden="1">{#N/A,#N/A,TRUE,"대 차 대 조 표"}</definedName>
    <definedName name="ㅇㅇㅇㅇㅇㅇ">#REF!</definedName>
    <definedName name="ㅇㅇㅇㅇㅇㅇㅇㅇ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localSheetId="14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localSheetId="0" hidden="1">{#N/A,#N/A,TRUE,"Y생산";#N/A,#N/A,TRUE,"Y판매";#N/A,#N/A,TRUE,"Y총물량";#N/A,#N/A,TRUE,"Y능력";#N/A,#N/A,TRUE,"YKD"}</definedName>
    <definedName name="ㅇㅇㅇㅇㅇㅇㅇㅇㅇㅇㅇ" localSheetId="14" hidden="1">{#N/A,#N/A,TRUE,"Y생산";#N/A,#N/A,TRUE,"Y판매";#N/A,#N/A,TRUE,"Y총물량";#N/A,#N/A,TRUE,"Y능력";#N/A,#N/A,TRUE,"YKD"}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localSheetId="0" hidden="1">{#N/A,#N/A,TRUE,"Y생산";#N/A,#N/A,TRUE,"Y판매";#N/A,#N/A,TRUE,"Y총물량";#N/A,#N/A,TRUE,"Y능력";#N/A,#N/A,TRUE,"YKD"}</definedName>
    <definedName name="ㅇㅇㅇㅇㅇㅇㅇㅇㅇㅇㅇ_1" localSheetId="14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>#REF!</definedName>
    <definedName name="ㅇㅇㅇㅇㅇㅇㅇㅇㅇㅇㅇㅇㅇㅇ">#REF!</definedName>
    <definedName name="ㅇㅇㅇㅇㅇㅇㅇㅇㅇㅇㅇㅇㅇㅇㅇㅇㅇㅇㅇ">#REF!</definedName>
    <definedName name="ㅇㅈ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localSheetId="0" hidden="1">{#N/A,#N/A,FALSE,"단축1";#N/A,#N/A,FALSE,"단축2";#N/A,#N/A,FALSE,"단축3";#N/A,#N/A,FALSE,"장축";#N/A,#N/A,FALSE,"4WD"}</definedName>
    <definedName name="ㅇㅎ" localSheetId="14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호">#REF!</definedName>
    <definedName name="아">#REF!</definedName>
    <definedName name="아름">#REF!</definedName>
    <definedName name="아메리카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localSheetId="0" hidden="1">{#N/A,#N/A,FALSE,"1.CRITERIA";#N/A,#N/A,FALSE,"2.IS";#N/A,#N/A,FALSE,"3.BS";#N/A,#N/A,FALSE,"4.PER PL";#N/A,#N/A,FALSE,"5.INVESTMENT";#N/A,#N/A,FALSE,"6.공문";#N/A,#N/A,FALSE,"7.netinvest"}</definedName>
    <definedName name="아아아" localSheetId="14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localSheetId="0" hidden="1">{#N/A,#N/A,FALSE,"1.CRITERIA";#N/A,#N/A,FALSE,"2.IS";#N/A,#N/A,FALSE,"3.BS";#N/A,#N/A,FALSE,"4.PER PL";#N/A,#N/A,FALSE,"5.INVESTMENT";#N/A,#N/A,FALSE,"6.공문";#N/A,#N/A,FALSE,"7.netinvest"}</definedName>
    <definedName name="아이" localSheetId="14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>OFFSET(#REF!,0,0,COUNTA(#REF!)-1)</definedName>
    <definedName name="아프">#REF!</definedName>
    <definedName name="아ㅏㅏ" hidden="1">#REF!</definedName>
    <definedName name="안">#REF!</definedName>
    <definedName name="안건종합">#REF!</definedName>
    <definedName name="안녕하세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localSheetId="0" hidden="1">{#N/A,#N/A,FALSE,"채산3501.XLS";#N/A,#N/A,FALSE,"신조수A.XLS";#N/A,#N/A,FALSE,"신조수b.XLS";#N/A,#N/A,FALSE,"채산3502.XLS";#N/A,#N/A,FALSE,"신조원리.XLS";#N/A,#N/A,FALSE,"신조감가.XLS"}</definedName>
    <definedName name="안우준" localSheetId="14" hidden="1">{#N/A,#N/A,FALSE,"채산3501.XLS";#N/A,#N/A,FALSE,"신조수A.XLS";#N/A,#N/A,FALSE,"신조수b.XLS";#N/A,#N/A,FALSE,"채산3502.XLS";#N/A,#N/A,FALSE,"신조원리.XLS";#N/A,#N/A,FALSE,"신조감가.XLS"}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>#REF!</definedName>
    <definedName name="안진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>#REF!</definedName>
    <definedName name="알제리">#REF!</definedName>
    <definedName name="암류허가신청">#N/A</definedName>
    <definedName name="암사" localSheetId="0" hidden="1">{#N/A,#N/A,TRUE,"대 차 대 조 표"}</definedName>
    <definedName name="암사" localSheetId="14" hidden="1">{#N/A,#N/A,TRUE,"대 차 대 조 표"}</definedName>
    <definedName name="암사" hidden="1">{#N/A,#N/A,TRUE,"대 차 대 조 표"}</definedName>
    <definedName name="암사_1" localSheetId="0" hidden="1">{#N/A,#N/A,TRUE,"대 차 대 조 표"}</definedName>
    <definedName name="암사_1" localSheetId="14" hidden="1">{#N/A,#N/A,TRUE,"대 차 대 조 표"}</definedName>
    <definedName name="암사_1" hidden="1">{#N/A,#N/A,TRUE,"대 차 대 조 표"}</definedName>
    <definedName name="앙" localSheetId="0" hidden="1">{#N/A,#N/A,FALSE,"BS";#N/A,#N/A,FALSE,"PL";#N/A,#N/A,FALSE,"처분";#N/A,#N/A,FALSE,"현금";#N/A,#N/A,FALSE,"매출";#N/A,#N/A,FALSE,"원가";#N/A,#N/A,FALSE,"경영"}</definedName>
    <definedName name="앙" localSheetId="14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_1" localSheetId="0" hidden="1">{#N/A,#N/A,FALSE,"BS";#N/A,#N/A,FALSE,"PL";#N/A,#N/A,FALSE,"처분";#N/A,#N/A,FALSE,"현금";#N/A,#N/A,FALSE,"매출";#N/A,#N/A,FALSE,"원가";#N/A,#N/A,FALSE,"경영"}</definedName>
    <definedName name="앙_1" localSheetId="14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>#REF!</definedName>
    <definedName name="야간연장">#REF!</definedName>
    <definedName name="야간휴일">#REF!</definedName>
    <definedName name="양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>#REF!</definedName>
    <definedName name="양승화">#REF!</definedName>
    <definedName name="어떡해" localSheetId="0" hidden="1">{"'Sheet1'!$A$1:$H$36"}</definedName>
    <definedName name="어떡해" localSheetId="14" hidden="1">{"'Sheet1'!$A$1:$H$36"}</definedName>
    <definedName name="어떡해" hidden="1">{"'Sheet1'!$A$1:$H$36"}</definedName>
    <definedName name="어떻하지" hidden="1">#REF!</definedName>
    <definedName name="어떻화라고" localSheetId="0" hidden="1">{"'호선별현황(방식)'!$K$22:$P$22","'호선별현황(방식)'!$K$22:$P$22"}</definedName>
    <definedName name="어떻화라고" localSheetId="14" hidden="1">{"'호선별현황(방식)'!$K$22:$P$22","'호선별현황(방식)'!$K$22:$P$22"}</definedName>
    <definedName name="어떻화라고" hidden="1">{"'호선별현황(방식)'!$K$22:$P$22","'호선별현황(방식)'!$K$22:$P$22"}</definedName>
    <definedName name="어어" localSheetId="0" hidden="1">{#N/A,#N/A,FALSE,"1.CRITERIA";#N/A,#N/A,FALSE,"2.IS";#N/A,#N/A,FALSE,"3.BS";#N/A,#N/A,FALSE,"4.PER PL";#N/A,#N/A,FALSE,"5.INVESTMENT";#N/A,#N/A,FALSE,"6.공문";#N/A,#N/A,FALSE,"7.netinvest"}</definedName>
    <definedName name="어어" localSheetId="14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>#REF!</definedName>
    <definedName name="어음수금율_150">#REF!</definedName>
    <definedName name="어음수금율_180">#REF!</definedName>
    <definedName name="어음수금율_30">#REF!</definedName>
    <definedName name="어음수금율_60">#REF!</definedName>
    <definedName name="어음수금율_90">#REF!</definedName>
    <definedName name="어쩌구">#REF!</definedName>
    <definedName name="어쩌라고">#REF!</definedName>
    <definedName name="어ㅏ얼ㅇㄹ">#REF!</definedName>
    <definedName name="억">IF(INT(RIGHT(#REF!,9)/100000000)=0,"",CHOOSE(INT(RIGHT(#REF!,9)/100000000),"일","이","삼","사","오","육","칠","팔","구")&amp;"억")</definedName>
    <definedName name="업무">#REF!</definedName>
    <definedName name="업무_1" localSheetId="0" hidden="1">{#N/A,#N/A,TRUE,"대 차 대 조 표"}</definedName>
    <definedName name="업무_1" localSheetId="14" hidden="1">{#N/A,#N/A,TRUE,"대 차 대 조 표"}</definedName>
    <definedName name="업무_1" hidden="1">{#N/A,#N/A,TRUE,"대 차 대 조 표"}</definedName>
    <definedName name="업무2">#REF!</definedName>
    <definedName name="업무계획" localSheetId="0" hidden="1">{"'호선별현황(방식)'!$K$22:$P$22","'호선별현황(방식)'!$K$22:$P$22"}</definedName>
    <definedName name="업무계획" localSheetId="14" hidden="1">{"'호선별현황(방식)'!$K$22:$P$22","'호선별현황(방식)'!$K$22:$P$22"}</definedName>
    <definedName name="업무계획" hidden="1">{"'호선별현황(방식)'!$K$22:$P$22","'호선별현황(방식)'!$K$22:$P$22"}</definedName>
    <definedName name="업무계획표" localSheetId="0" hidden="1">{#N/A,#N/A,TRUE,"대 차 대 조 표"}</definedName>
    <definedName name="업무계획표" localSheetId="14" hidden="1">{#N/A,#N/A,TRUE,"대 차 대 조 표"}</definedName>
    <definedName name="업무계획표" hidden="1">{#N/A,#N/A,TRUE,"대 차 대 조 표"}</definedName>
    <definedName name="업무계획표_1" localSheetId="0" hidden="1">{#N/A,#N/A,TRUE,"대 차 대 조 표"}</definedName>
    <definedName name="업무계획표_1" localSheetId="14" hidden="1">{#N/A,#N/A,TRUE,"대 차 대 조 표"}</definedName>
    <definedName name="업무계획표_1" hidden="1">{#N/A,#N/A,TRUE,"대 차 대 조 표"}</definedName>
    <definedName name="업무계획표01" localSheetId="0" hidden="1">{#N/A,#N/A,TRUE,"대 차 대 조 표"}</definedName>
    <definedName name="업무계획표01" localSheetId="14" hidden="1">{#N/A,#N/A,TRUE,"대 차 대 조 표"}</definedName>
    <definedName name="업무계획표01" hidden="1">{#N/A,#N/A,TRUE,"대 차 대 조 표"}</definedName>
    <definedName name="업무계획표01_1" localSheetId="0" hidden="1">{#N/A,#N/A,TRUE,"대 차 대 조 표"}</definedName>
    <definedName name="업무계획표01_1" localSheetId="14" hidden="1">{#N/A,#N/A,TRUE,"대 차 대 조 표"}</definedName>
    <definedName name="업무계획표01_1" hidden="1">{#N/A,#N/A,TRUE,"대 차 대 조 표"}</definedName>
    <definedName name="업무시행">#REF!</definedName>
    <definedName name="업무실적1">#REF!</definedName>
    <definedName name="업무연락안양식_209_List">#REF!</definedName>
    <definedName name="업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>#REF!</definedName>
    <definedName name="엉댜ㄷㅈ1">#N/A</definedName>
    <definedName name="에너지비용산출근거" localSheetId="13">BlankMacro1</definedName>
    <definedName name="에너지비용산출근거" localSheetId="0">BlankMacro1</definedName>
    <definedName name="에너지비용산출근거" localSheetId="14">BlankMacro1</definedName>
    <definedName name="에너지비용산출근거" localSheetId="4">BlankMacro1</definedName>
    <definedName name="에너지비용산출근거" localSheetId="5">BlankMacro1</definedName>
    <definedName name="에너지비용산출근거" localSheetId="6">BlankMacro1</definedName>
    <definedName name="에너지비용산출근거" localSheetId="7">BlankMacro1</definedName>
    <definedName name="에너지비용산출근거" localSheetId="8">BlankMacro1</definedName>
    <definedName name="에너지비용산출근거" localSheetId="9">BlankMacro1</definedName>
    <definedName name="에너지비용산출근거" localSheetId="10">BlankMacro1</definedName>
    <definedName name="에너지비용산출근거" localSheetId="11">BlankMacro1</definedName>
    <definedName name="에너지비용산출근거" localSheetId="12">BlankMacro1</definedName>
    <definedName name="에너지비용산출근거" localSheetId="1">BlankMacro1</definedName>
    <definedName name="에너지비용산출근거">BlankMacro1</definedName>
    <definedName name="에누리.본">#REF!</definedName>
    <definedName name="에스페로16LPG">#REF!</definedName>
    <definedName name="에이" localSheetId="0" hidden="1">{#N/A,#N/A,TRUE,"Y생산";#N/A,#N/A,TRUE,"Y판매";#N/A,#N/A,TRUE,"Y총물량";#N/A,#N/A,TRUE,"Y능력";#N/A,#N/A,TRUE,"YKD"}</definedName>
    <definedName name="에이" localSheetId="14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엘지">OFFSET(#REF!,0,0,COUNTA(#REF!)-1,1)</definedName>
    <definedName name="여유분">#REF!</definedName>
    <definedName name="여이" localSheetId="0" hidden="1">{#N/A,#N/A,FALSE,"1.CRITERIA";#N/A,#N/A,FALSE,"2.IS";#N/A,#N/A,FALSE,"3.BS";#N/A,#N/A,FALSE,"4.PER PL";#N/A,#N/A,FALSE,"5.INVESTMENT";#N/A,#N/A,FALSE,"6.공문";#N/A,#N/A,FALSE,"7.netinvest"}</definedName>
    <definedName name="여이" localSheetId="14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 localSheetId="0">IF(#REF!="저압",0,ROUND(IF(#REF!&gt;0.95,0.05,#REF!-0.9)*'11월'!기본요금1*MAX(피크치1,#REF!,#REF!*0.3),0))</definedName>
    <definedName name="역률요금1" localSheetId="14">IF(#REF!="저압",0,ROUND(IF(#REF!&gt;0.95,0.05,#REF!-0.9)*'12월'!기본요금1*MAX(피크치1,#REF!,#REF!*0.3),0))</definedName>
    <definedName name="역률요금1">IF(#REF!="저압",0,ROUND(IF(#REF!&gt;0.95,0.05,#REF!-0.9)*기본요금1*MAX(피크치1,#REF!,#REF!*0.3),0))</definedName>
    <definedName name="역삼동각지">#REF!</definedName>
    <definedName name="역삼빵">#REF!</definedName>
    <definedName name="역삼정산">#REF!</definedName>
    <definedName name="연">#REF!</definedName>
    <definedName name="연구" localSheetId="0" hidden="1">{#N/A,#N/A,FALSE,"3가";#N/A,#N/A,FALSE,"3나";#N/A,#N/A,FALSE,"3다"}</definedName>
    <definedName name="연구" localSheetId="14" hidden="1">{#N/A,#N/A,FALSE,"3가";#N/A,#N/A,FALSE,"3나";#N/A,#N/A,FALSE,"3다"}</definedName>
    <definedName name="연구" hidden="1">{#N/A,#N/A,FALSE,"3가";#N/A,#N/A,FALSE,"3나";#N/A,#N/A,FALSE,"3다"}</definedName>
    <definedName name="연구개발비">#REF!</definedName>
    <definedName name="연구비">#REF!</definedName>
    <definedName name="연면적_GFA">#REF!</definedName>
    <definedName name="연봉">#REF!</definedName>
    <definedName name="연봉1">#REF!</definedName>
    <definedName name="연봉2">#REF!</definedName>
    <definedName name="연봉3">#REF!</definedName>
    <definedName name="연습">#REF!</definedName>
    <definedName name="연월차">#REF!</definedName>
    <definedName name="연율">#REF!</definedName>
    <definedName name="연장">#REF!</definedName>
    <definedName name="연장추가">#REF!</definedName>
    <definedName name="연제판">#REF!</definedName>
    <definedName name="연직고">#REF!</definedName>
    <definedName name="연직변">#REF!</definedName>
    <definedName name="열세항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localSheetId="0" hidden="1">{#N/A,#N/A,FALSE,"단축1";#N/A,#N/A,FALSE,"단축2";#N/A,#N/A,FALSE,"단축3";#N/A,#N/A,FALSE,"장축";#N/A,#N/A,FALSE,"4WD"}</definedName>
    <definedName name="열처리" localSheetId="14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">#REF!</definedName>
    <definedName name="영비">#REF!</definedName>
    <definedName name="영수">#REF!</definedName>
    <definedName name="영업" hidden="1">#REF!</definedName>
    <definedName name="영업권" localSheetId="0" hidden="1">{#N/A,#N/A,FALSE,"BS";#N/A,#N/A,FALSE,"PL";#N/A,#N/A,FALSE,"처분";#N/A,#N/A,FALSE,"현금";#N/A,#N/A,FALSE,"매출";#N/A,#N/A,FALSE,"원가";#N/A,#N/A,FALSE,"경영"}</definedName>
    <definedName name="영업권" localSheetId="14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0" hidden="1">{#N/A,#N/A,FALSE,"BS";#N/A,#N/A,FALSE,"PL";#N/A,#N/A,FALSE,"처분";#N/A,#N/A,FALSE,"현금";#N/A,#N/A,FALSE,"매출";#N/A,#N/A,FALSE,"원가";#N/A,#N/A,FALSE,"경영"}</definedName>
    <definedName name="영업권1" localSheetId="14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localSheetId="0" hidden="1">{#N/A,#N/A,FALSE,"표지";#N/A,#N/A,FALSE,"전제";#N/A,#N/A,FALSE,"손익-자 (2)";#N/A,#N/A,FALSE,"손익-자";#N/A,#N/A,FALSE,"손익-마 (2)";#N/A,#N/A,FALSE,"손익-마";#N/A,#N/A,FALSE,"총손최종"}</definedName>
    <definedName name="영업본" localSheetId="14" hidden="1">{#N/A,#N/A,FALSE,"표지";#N/A,#N/A,FALSE,"전제";#N/A,#N/A,FALSE,"손익-자 (2)";#N/A,#N/A,FALSE,"손익-자";#N/A,#N/A,FALSE,"손익-마 (2)";#N/A,#N/A,FALSE,"손익-마";#N/A,#N/A,FALSE,"총손최종"}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>#REF!</definedName>
    <definedName name="영업수" localSheetId="0" hidden="1">{#N/A,#N/A,FALSE,"1.CRITERIA";#N/A,#N/A,FALSE,"2.IS";#N/A,#N/A,FALSE,"3.BS";#N/A,#N/A,FALSE,"4.PER PL";#N/A,#N/A,FALSE,"5.INVESTMENT";#N/A,#N/A,FALSE,"6.공문";#N/A,#N/A,FALSE,"7.netinvest"}</definedName>
    <definedName name="영업수" localSheetId="14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0" hidden="1">{#N/A,#N/A,FALSE,"1.CRITERIA";#N/A,#N/A,FALSE,"2.IS";#N/A,#N/A,FALSE,"3.BS";#N/A,#N/A,FALSE,"4.PER PL";#N/A,#N/A,FALSE,"5.INVESTMENT";#N/A,#N/A,FALSE,"6.공문";#N/A,#N/A,FALSE,"7.netinvest"}</definedName>
    <definedName name="영업수익" localSheetId="14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localSheetId="0" hidden="1">{#N/A,#N/A,FALSE,"Aging Summary";#N/A,#N/A,FALSE,"Ratio Analysis";#N/A,#N/A,FALSE,"Test 120 Day Accts";#N/A,#N/A,FALSE,"Tickmarks"}</definedName>
    <definedName name="영업외비용" localSheetId="14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수익" localSheetId="0" hidden="1">{#N/A,#N/A,FALSE,"1.CRITERIA";#N/A,#N/A,FALSE,"2.IS";#N/A,#N/A,FALSE,"3.BS";#N/A,#N/A,FALSE,"4.PER PL";#N/A,#N/A,FALSE,"5.INVESTMENT";#N/A,#N/A,FALSE,"6.공문";#N/A,#N/A,FALSE,"7.netinvest"}</definedName>
    <definedName name="영업외수익" localSheetId="14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>#REF!</definedName>
    <definedName name="영역1">#REF!</definedName>
    <definedName name="영외수">#REF!</definedName>
    <definedName name="예">#REF!</definedName>
    <definedName name="預り保証金" localSheetId="0" hidden="1">{"'買掛金'!$J$6"}</definedName>
    <definedName name="預り保証金" localSheetId="14" hidden="1">{"'買掛金'!$J$6"}</definedName>
    <definedName name="預り保証金" hidden="1">{"'買掛金'!$J$6"}</definedName>
    <definedName name="예금" localSheetId="0" hidden="1">{#N/A,#N/A,FALSE,"1.CRITERIA";#N/A,#N/A,FALSE,"2.IS";#N/A,#N/A,FALSE,"3.BS";#N/A,#N/A,FALSE,"4.PER PL";#N/A,#N/A,FALSE,"5.INVESTMENT";#N/A,#N/A,FALSE,"6.공문";#N/A,#N/A,FALSE,"7.netinvest"}</definedName>
    <definedName name="예금" localSheetId="14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>#REF!</definedName>
    <definedName name="예비비합계">#REF!</definedName>
    <definedName name="예산" localSheetId="0" hidden="1">{#N/A,#N/A,FALSE,"단축1";#N/A,#N/A,FALSE,"단축2";#N/A,#N/A,FALSE,"단축3";#N/A,#N/A,FALSE,"장축";#N/A,#N/A,FALSE,"4WD"}</definedName>
    <definedName name="예산" localSheetId="14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1기_시작년도">#REF!</definedName>
    <definedName name="예산1기_시작월일">#REF!</definedName>
    <definedName name="예산1기_종료월일">#REF!</definedName>
    <definedName name="예산2기_시작년도">#REF!</definedName>
    <definedName name="예산2기_시작월일">#REF!</definedName>
    <definedName name="예산2기_종료월일">#REF!</definedName>
    <definedName name="예산기수1">#REF!</definedName>
    <definedName name="예산기수2">#REF!</definedName>
    <definedName name="예산총괄시트설ONLY">#REF!</definedName>
    <definedName name="예상매출전체">#REF!</definedName>
    <definedName name="예상매출회당">#REF!</definedName>
    <definedName name="예상실적">#REF!</definedName>
    <definedName name="예수금">#REF!</definedName>
    <definedName name="예정량1">#REF!</definedName>
    <definedName name="예정량2">#REF!</definedName>
    <definedName name="예정일1">#REF!</definedName>
    <definedName name="예정일2">#REF!</definedName>
    <definedName name="오">#REF!</definedName>
    <definedName name="오늘" localSheetId="0" hidden="1">{#N/A,#N/A,TRUE,"Y생산";#N/A,#N/A,TRUE,"Y판매";#N/A,#N/A,TRUE,"Y총물량";#N/A,#N/A,TRUE,"Y능력";#N/A,#N/A,TRUE,"YKD"}</definedName>
    <definedName name="오늘" localSheetId="14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릉">#REF!</definedName>
    <definedName name="오성협" localSheetId="0" hidden="1">{#N/A,#N/A,TRUE,"Y생산";#N/A,#N/A,TRUE,"Y판매";#N/A,#N/A,TRUE,"Y총물량";#N/A,#N/A,TRUE,"Y능력";#N/A,#N/A,TRUE,"YKD"}</definedName>
    <definedName name="오성협" localSheetId="14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케이" localSheetId="0" hidden="1">{#N/A,#N/A,FALSE,"단축1";#N/A,#N/A,FALSE,"단축2";#N/A,#N/A,FALSE,"단축3";#N/A,#N/A,FALSE,"장축";#N/A,#N/A,FALSE,"4WD"}</definedName>
    <definedName name="오케이" localSheetId="14" hidden="1">{#N/A,#N/A,FALSE,"단축1";#N/A,#N/A,FALSE,"단축2";#N/A,#N/A,FALSE,"단축3";#N/A,#N/A,FALSE,"장축";#N/A,#N/A,FALSE,"4WD"}</definedName>
    <definedName name="오케이" hidden="1">{#N/A,#N/A,FALSE,"단축1";#N/A,#N/A,FALSE,"단축2";#N/A,#N/A,FALSE,"단축3";#N/A,#N/A,FALSE,"장축";#N/A,#N/A,FALSE,"4WD"}</definedName>
    <definedName name="오ㅑ">#REF!</definedName>
    <definedName name="옹홍ㅇㄹㅇㅇ">#REF!</definedName>
    <definedName name="완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>#REF!</definedName>
    <definedName name="왈왈">#REF!</definedName>
    <definedName name="왜이러냐" localSheetId="0" hidden="1">{"'Sheet1'!$A$1:$H$36"}</definedName>
    <definedName name="왜이러냐" localSheetId="14" hidden="1">{"'Sheet1'!$A$1:$H$36"}</definedName>
    <definedName name="왜이러냐" hidden="1">{"'Sheet1'!$A$1:$H$36"}</definedName>
    <definedName name="외국인급여">#REF!</definedName>
    <definedName name="외상" localSheetId="0" hidden="1">{#N/A,#N/A,FALSE,"Aging Summary";#N/A,#N/A,FALSE,"Ratio Analysis";#N/A,#N/A,FALSE,"Test 120 Day Accts";#N/A,#N/A,FALSE,"Tickmarks"}</definedName>
    <definedName name="외상" localSheetId="14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상매입">#REF!</definedName>
    <definedName name="외상매입금">#REF!</definedName>
    <definedName name="외상매출금">#REF!</definedName>
    <definedName name="외예금" localSheetId="0" hidden="1">{#N/A,#N/A,FALSE,"1.CRITERIA";#N/A,#N/A,FALSE,"2.IS";#N/A,#N/A,FALSE,"3.BS";#N/A,#N/A,FALSE,"4.PER PL";#N/A,#N/A,FALSE,"5.INVESTMENT";#N/A,#N/A,FALSE,"6.공문";#N/A,#N/A,FALSE,"7.netinvest"}</definedName>
    <definedName name="외예금" localSheetId="14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hidden="1">#REF!</definedName>
    <definedName name="외주">#N/A</definedName>
    <definedName name="외주계획" localSheetId="0" hidden="1">{#N/A,#N/A,TRUE,"Y생산";#N/A,#N/A,TRUE,"Y판매";#N/A,#N/A,TRUE,"Y총물량";#N/A,#N/A,TRUE,"Y능력";#N/A,#N/A,TRUE,"YKD"}</definedName>
    <definedName name="외주계획" localSheetId="14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단가">#REF!</definedName>
    <definedName name="외주인상">#REF!</definedName>
    <definedName name="외화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localSheetId="0" hidden="1">{#N/A,#N/A,FALSE,"Aging Summary";#N/A,#N/A,FALSE,"Ratio Analysis";#N/A,#N/A,FALSE,"Test 120 Day Accts";#N/A,#N/A,FALSE,"Tickmarks"}</definedName>
    <definedName name="외화외상" localSheetId="14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0" hidden="1">{#N/A,#N/A,FALSE,"Aging Summary";#N/A,#N/A,FALSE,"Ratio Analysis";#N/A,#N/A,FALSE,"Test 120 Day Accts";#N/A,#N/A,FALSE,"Tickmarks"}</definedName>
    <definedName name="외화외상매입금" localSheetId="14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>#REF!</definedName>
    <definedName name="외화환산" localSheetId="0" hidden="1">{#N/A,#N/A,FALSE,"Aging Summary";#N/A,#N/A,FALSE,"Ratio Analysis";#N/A,#N/A,FALSE,"Test 120 Day Accts";#N/A,#N/A,FALSE,"Tickmarks"}</definedName>
    <definedName name="외화환산" localSheetId="14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환산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localSheetId="0" hidden="1">{#N/A,#N/A,FALSE,"1.CRITERIA";#N/A,#N/A,FALSE,"2.IS";#N/A,#N/A,FALSE,"3.BS";#N/A,#N/A,FALSE,"4.PER PL";#N/A,#N/A,FALSE,"5.INVESTMENT";#N/A,#N/A,FALSE,"6.공문";#N/A,#N/A,FALSE,"7.netinvest"}</definedName>
    <definedName name="요" localSheetId="14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>#REF!</definedName>
    <definedName name="요약1" localSheetId="0" hidden="1">{"'호선별현황(방식)'!$K$22:$P$22","'호선별현황(방식)'!$K$22:$P$22"}</definedName>
    <definedName name="요약1" localSheetId="14" hidden="1">{"'호선별현황(방식)'!$K$22:$P$22","'호선별현황(방식)'!$K$22:$P$22"}</definedName>
    <definedName name="요약1" hidden="1">{"'호선별현황(방식)'!$K$22:$P$22","'호선별현황(방식)'!$K$22:$P$22"}</definedName>
    <definedName name="요율표">#REF!</definedName>
    <definedName name="요인별2" hidden="1">#REF!</definedName>
    <definedName name="요일">#REF!</definedName>
    <definedName name="요척량">#REF!,#REF!,#REF!,#REF!,#REF!,#REF!,#REF!,#REF!,#REF!,#REF!,#REF!,#REF!,#REF!,#REF!,#REF!</definedName>
    <definedName name="용도차" localSheetId="0" hidden="1">{#N/A,#N/A,FALSE,"단축1";#N/A,#N/A,FALSE,"단축2";#N/A,#N/A,FALSE,"단축3";#N/A,#N/A,FALSE,"장축";#N/A,#N/A,FALSE,"4WD"}</definedName>
    <definedName name="용도차" localSheetId="14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>#REF!</definedName>
    <definedName name="용품" localSheetId="0" hidden="1">{#N/A,#N/A,FALSE,"95FW"}</definedName>
    <definedName name="용품" localSheetId="14" hidden="1">{#N/A,#N/A,FALSE,"95FW"}</definedName>
    <definedName name="용품" hidden="1">{#N/A,#N/A,FALSE,"95FW"}</definedName>
    <definedName name="용품스케쥴" localSheetId="0" hidden="1">{#N/A,#N/A,FALSE,"95FW"}</definedName>
    <definedName name="용품스케쥴" localSheetId="14" hidden="1">{#N/A,#N/A,FALSE,"95FW"}</definedName>
    <definedName name="용품스케쥴" hidden="1">{#N/A,#N/A,FALSE,"95FW"}</definedName>
    <definedName name="우라" localSheetId="0" hidden="1">{"'Sheet1'!$A$1:$D$15"}</definedName>
    <definedName name="우라" localSheetId="14" hidden="1">{"'Sheet1'!$A$1:$D$15"}</definedName>
    <definedName name="우라" hidden="1">{"'Sheet1'!$A$1:$D$15"}</definedName>
    <definedName name="우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localSheetId="0" hidden="1">{#N/A,#N/A,TRUE,"Y생산";#N/A,#N/A,TRUE,"Y판매";#N/A,#N/A,TRUE,"Y총물량";#N/A,#N/A,TRUE,"Y능력";#N/A,#N/A,TRUE,"YKD"}</definedName>
    <definedName name="우리나라" localSheetId="14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별은">#REF!</definedName>
    <definedName name="우오수공" localSheetId="0" hidden="1">{#N/A,#N/A,FALSE,"기안지";#N/A,#N/A,FALSE,"통신지"}</definedName>
    <definedName name="우오수공" localSheetId="14" hidden="1">{#N/A,#N/A,FALSE,"기안지";#N/A,#N/A,FALSE,"통신지"}</definedName>
    <definedName name="우오수공" hidden="1">{#N/A,#N/A,FALSE,"기안지";#N/A,#N/A,FALSE,"통신지"}</definedName>
    <definedName name="우진기타불량">#REF!</definedName>
    <definedName name="우진기획">#REF!</definedName>
    <definedName name="우진기획량">#REF!</definedName>
    <definedName name="우진요척량">#REF!</definedName>
    <definedName name="우진원불">#REF!</definedName>
    <definedName name="우진정품입고">#REF!</definedName>
    <definedName name="우진취불">#REF!</definedName>
    <definedName name="운반비">#REF!</definedName>
    <definedName name="운송">#REF!</definedName>
    <definedName name="운송ㅁ">#REF!</definedName>
    <definedName name="운송명세">#REF!</definedName>
    <definedName name="운영계획" localSheetId="0" hidden="1">{#N/A,#N/A,FALSE,"SILO현황";#N/A,#N/A,FALSE,"타업체";#N/A,#N/A,FALSE,"생산능력"}</definedName>
    <definedName name="운영계획" localSheetId="14" hidden="1">{#N/A,#N/A,FALSE,"SILO현황";#N/A,#N/A,FALSE,"타업체";#N/A,#N/A,FALSE,"생산능력"}</definedName>
    <definedName name="운영계획" hidden="1">{#N/A,#N/A,FALSE,"SILO현황";#N/A,#N/A,FALSE,"타업체";#N/A,#N/A,FALSE,"생산능력"}</definedName>
    <definedName name="운영비">20690</definedName>
    <definedName name="운영팀2" localSheetId="0" hidden="1">{#N/A,#N/A,TRUE,"Y생산";#N/A,#N/A,TRUE,"Y판매";#N/A,#N/A,TRUE,"Y총물량";#N/A,#N/A,TRUE,"Y능력";#N/A,#N/A,TRUE,"YKD"}</definedName>
    <definedName name="운영팀2" localSheetId="14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localSheetId="0" hidden="1">{#N/A,#N/A,TRUE,"Y생산";#N/A,#N/A,TRUE,"Y판매";#N/A,#N/A,TRUE,"Y총물량";#N/A,#N/A,TRUE,"Y능력";#N/A,#N/A,TRUE,"YKD"}</definedName>
    <definedName name="운영팀2_1" localSheetId="14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localSheetId="0" hidden="1">{#N/A,#N/A,TRUE,"Y생산";#N/A,#N/A,TRUE,"Y판매";#N/A,#N/A,TRUE,"Y총물량";#N/A,#N/A,TRUE,"Y능력";#N/A,#N/A,TRUE,"YKD"}</definedName>
    <definedName name="원" localSheetId="14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localSheetId="0" hidden="1">{#N/A,#N/A,FALSE,"1.CRITERIA";#N/A,#N/A,FALSE,"2.IS";#N/A,#N/A,FALSE,"3.BS";#N/A,#N/A,FALSE,"4.PER PL";#N/A,#N/A,FALSE,"5.INVESTMENT";#N/A,#N/A,FALSE,"6.공문";#N/A,#N/A,FALSE,"7.netinvest"}</definedName>
    <definedName name="원가" localSheetId="14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>#REF!</definedName>
    <definedName name="원가분석" localSheetId="0" hidden="1">{#N/A,#N/A,FALSE,"1.CRITERIA";#N/A,#N/A,FALSE,"2.IS";#N/A,#N/A,FALSE,"3.BS";#N/A,#N/A,FALSE,"4.PER PL";#N/A,#N/A,FALSE,"5.INVESTMENT";#N/A,#N/A,FALSE,"6.공문";#N/A,#N/A,FALSE,"7.netinvest"}</definedName>
    <definedName name="원가분석" localSheetId="14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localSheetId="0" hidden="1">{#N/A,#N/A,TRUE,"Y생산";#N/A,#N/A,TRUE,"Y판매";#N/A,#N/A,TRUE,"Y총물량";#N/A,#N/A,TRUE,"Y능력";#N/A,#N/A,TRUE,"YKD"}</definedName>
    <definedName name="원단" localSheetId="14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단위">#REF!</definedName>
    <definedName name="원본">#REF!</definedName>
    <definedName name="원본2" hidden="1">#REF!</definedName>
    <definedName name="원우">OFFSET(#REF!,0,0,COUNTA(#REF!)-1,1)</definedName>
    <definedName name="원재료장성">#REF!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>#REF!</definedName>
    <definedName name="월례" localSheetId="0" hidden="1">{"'호선별현황(방식)'!$K$22:$P$22","'호선별현황(방식)'!$K$22:$P$22"}</definedName>
    <definedName name="월례" localSheetId="14" hidden="1">{"'호선별현황(방식)'!$K$22:$P$22","'호선별현황(방식)'!$K$22:$P$22"}</definedName>
    <definedName name="월례" hidden="1">{"'호선별현황(방식)'!$K$22:$P$22","'호선별현황(방식)'!$K$22:$P$22"}</definedName>
    <definedName name="월말" localSheetId="0" hidden="1">{#N/A,#N/A,FALSE,"1.CRITERIA";#N/A,#N/A,FALSE,"2.IS";#N/A,#N/A,FALSE,"3.BS";#N/A,#N/A,FALSE,"4.PER PL";#N/A,#N/A,FALSE,"5.INVESTMENT";#N/A,#N/A,FALSE,"6.공문";#N/A,#N/A,FALSE,"7.netinvest"}</definedName>
    <definedName name="월말" localSheetId="14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0" hidden="1">{#N/A,#N/A,FALSE,"1.CRITERIA";#N/A,#N/A,FALSE,"2.IS";#N/A,#N/A,FALSE,"3.BS";#N/A,#N/A,FALSE,"4.PER PL";#N/A,#N/A,FALSE,"5.INVESTMENT";#N/A,#N/A,FALSE,"6.공문";#N/A,#N/A,FALSE,"7.netinvest"}</definedName>
    <definedName name="월별" localSheetId="14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>#REF!</definedName>
    <definedName name="월별보전비">#REF!</definedName>
    <definedName name="월별분배">#REF!</definedName>
    <definedName name="월별영업">#REF!</definedName>
    <definedName name="월별영업비용" localSheetId="0" hidden="1">{#N/A,#N/A,FALSE,"1.CRITERIA";#N/A,#N/A,FALSE,"2.IS";#N/A,#N/A,FALSE,"3.BS";#N/A,#N/A,FALSE,"4.PER PL";#N/A,#N/A,FALSE,"5.INVESTMENT";#N/A,#N/A,FALSE,"6.공문";#N/A,#N/A,FALSE,"7.netinvest"}</definedName>
    <definedName name="월별영업비용" localSheetId="14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localSheetId="0" hidden="1">{#N/A,#N/A,FALSE,"95FW"}</definedName>
    <definedName name="월별출고계획" localSheetId="14" hidden="1">{#N/A,#N/A,FALSE,"95FW"}</definedName>
    <definedName name="월별출고계획" hidden="1">{#N/A,#N/A,FALSE,"95FW"}</definedName>
    <definedName name="월시간">#REF!</definedName>
    <definedName name="위치">#REF!</definedName>
    <definedName name="유가" localSheetId="0" hidden="1">{#N/A,#N/A,FALSE,"BS";#N/A,#N/A,FALSE,"PL";#N/A,#N/A,FALSE,"처분";#N/A,#N/A,FALSE,"현금";#N/A,#N/A,FALSE,"매출";#N/A,#N/A,FALSE,"원가";#N/A,#N/A,FALSE,"경영"}</definedName>
    <definedName name="유가" localSheetId="14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0" hidden="1">{#N/A,#N/A,FALSE,"Aging Summary";#N/A,#N/A,FALSE,"Ratio Analysis";#N/A,#N/A,FALSE,"Test 120 Day Accts";#N/A,#N/A,FALSE,"Tickmarks"}</definedName>
    <definedName name="유가증권" localSheetId="14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test" localSheetId="0" hidden="1">{#N/A,#N/A,FALSE,"Aging Summary";#N/A,#N/A,FALSE,"Ratio Analysis";#N/A,#N/A,FALSE,"Test 120 Day Accts";#N/A,#N/A,FALSE,"Tickmarks"}</definedName>
    <definedName name="유가증권평가test" localSheetId="14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localSheetId="0" hidden="1">{#N/A,#N/A,FALSE,"3가";#N/A,#N/A,FALSE,"3나";#N/A,#N/A,FALSE,"3다"}</definedName>
    <definedName name="유니트" localSheetId="14" hidden="1">{#N/A,#N/A,FALSE,"3가";#N/A,#N/A,FALSE,"3나";#N/A,#N/A,FALSE,"3다"}</definedName>
    <definedName name="유니트" hidden="1">{#N/A,#N/A,FALSE,"3가";#N/A,#N/A,FALSE,"3나";#N/A,#N/A,FALSE,"3다"}</definedName>
    <definedName name="유동성사채">#REF!</definedName>
    <definedName name="유동성장기부채">#REF!</definedName>
    <definedName name="유럽">#REF!</definedName>
    <definedName name="유로환율">#REF!</definedName>
    <definedName name="유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localSheetId="0" hidden="1">{#N/A,#N/A,FALSE,"1.CRITERIA";#N/A,#N/A,FALSE,"2.IS";#N/A,#N/A,FALSE,"3.BS";#N/A,#N/A,FALSE,"4.PER PL";#N/A,#N/A,FALSE,"5.INVESTMENT";#N/A,#N/A,FALSE,"6.공문";#N/A,#N/A,FALSE,"7.netinvest"}</definedName>
    <definedName name="유이" localSheetId="14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>#REF!</definedName>
    <definedName name="유통">#REF!</definedName>
    <definedName name="유형근" hidden="1">"AS2DocumentEdit"</definedName>
    <definedName name="유형자산">#REF!</definedName>
    <definedName name="유형자산tot" localSheetId="0" hidden="1">{#N/A,#N/A,FALSE,"Aging Summary";#N/A,#N/A,FALSE,"Ratio Analysis";#N/A,#N/A,FALSE,"Test 120 Day Accts";#N/A,#N/A,FALSE,"Tickmarks"}</definedName>
    <definedName name="유형자산tot" localSheetId="14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>#REF!</definedName>
    <definedName name="윤" hidden="1">#REF!</definedName>
    <definedName name="윤ㅁ" hidden="1">#N/A</definedName>
    <definedName name="윤종현윤종현">#REF!</definedName>
    <definedName name="은행_data">#REF!</definedName>
    <definedName name="은행명">#REF!</definedName>
    <definedName name="음악합계">#REF!</definedName>
    <definedName name="의결권" hidden="1">#REF!</definedName>
    <definedName name="의뢰">#REF!</definedName>
    <definedName name="의류">#REF!</definedName>
    <definedName name="의장">#REF!</definedName>
    <definedName name="이">#REF!</definedName>
    <definedName name="이고수">#N/A</definedName>
    <definedName name="이동" localSheetId="0" hidden="1">{#N/A,#N/A,FALSE,"채산3501.XLS";#N/A,#N/A,FALSE,"신조수A.XLS";#N/A,#N/A,FALSE,"신조수b.XLS";#N/A,#N/A,FALSE,"채산3502.XLS";#N/A,#N/A,FALSE,"신조원리.XLS";#N/A,#N/A,FALSE,"신조감가.XLS"}</definedName>
    <definedName name="이동" localSheetId="14" hidden="1">{#N/A,#N/A,FALSE,"채산3501.XLS";#N/A,#N/A,FALSE,"신조수A.XLS";#N/A,#N/A,FALSE,"신조수b.XLS";#N/A,#N/A,FALSE,"채산3502.XLS";#N/A,#N/A,FALSE,"신조원리.XLS";#N/A,#N/A,FALSE,"신조감가.XLS"}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>#REF!</definedName>
    <definedName name="이론량2">#REF!</definedName>
    <definedName name="이론초출">#REF!</definedName>
    <definedName name="이름" localSheetId="0" hidden="1">{#N/A,#N/A,TRUE,"Y생산";#N/A,#N/A,TRUE,"Y판매";#N/A,#N/A,TRUE,"Y총물량";#N/A,#N/A,TRUE,"Y능력";#N/A,#N/A,TRUE,"YKD"}</definedName>
    <definedName name="이름" localSheetId="14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2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localSheetId="0" hidden="1">{#N/A,#N/A,FALSE,"95FW"}</definedName>
    <definedName name="이름모야" localSheetId="14" hidden="1">{#N/A,#N/A,FALSE,"95FW"}</definedName>
    <definedName name="이름모야" hidden="1">{#N/A,#N/A,FALSE,"95FW"}</definedName>
    <definedName name="이름이">#REF!</definedName>
    <definedName name="이름충돌\" localSheetId="0" hidden="1">{#N/A,#N/A,TRUE,"Y생산";#N/A,#N/A,TRUE,"Y판매";#N/A,#N/A,TRUE,"Y총물량";#N/A,#N/A,TRUE,"Y능력";#N/A,#N/A,TRUE,"YKD"}</definedName>
    <definedName name="이름충돌\" localSheetId="14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매출">#REF!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>#REF!</definedName>
    <definedName name="이승훈" hidden="1">#N/A</definedName>
    <definedName name="이연자산">#REF!</definedName>
    <definedName name="이이" localSheetId="0" hidden="1">{#N/A,#N/A,TRUE,"Y생산";#N/A,#N/A,TRUE,"Y판매";#N/A,#N/A,TRUE,"Y총물량";#N/A,#N/A,TRUE,"Y능력";#N/A,#N/A,TRUE,"YKD"}</definedName>
    <definedName name="이이" localSheetId="14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_1" localSheetId="0" hidden="1">{#N/A,#N/A,TRUE,"Y생산";#N/A,#N/A,TRUE,"Y판매";#N/A,#N/A,TRUE,"Y총물량";#N/A,#N/A,TRUE,"Y능력";#N/A,#N/A,TRUE,"YKD"}</definedName>
    <definedName name="이이_1" localSheetId="14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>#REF!</definedName>
    <definedName name="이이자">#REF!</definedName>
    <definedName name="이익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>#REF!</definedName>
    <definedName name="이인원">#REF!</definedName>
    <definedName name="이자비용">#REF!</definedName>
    <definedName name="이종화">#REF!</definedName>
    <definedName name="이천일년">#REF!</definedName>
    <definedName name="이철호" localSheetId="0" hidden="1">{#N/A,#N/A,FALSE,"Aging Summary";#N/A,#N/A,FALSE,"Ratio Analysis";#N/A,#N/A,FALSE,"Test 120 Day Accts";#N/A,#N/A,FALSE,"Tickmarks"}</definedName>
    <definedName name="이철호" localSheetId="14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이호">#REF!</definedName>
    <definedName name="이화감가">#REF!</definedName>
    <definedName name="이화매출">#REF!</definedName>
    <definedName name="이화인원">#REF!</definedName>
    <definedName name="익산">#REF!</definedName>
    <definedName name="익월업무계획">#REF!</definedName>
    <definedName name="인감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>#REF!</definedName>
    <definedName name="인건비현황" localSheetId="0" hidden="1">{#N/A,#N/A,FALSE,"BS";#N/A,#N/A,FALSE,"PL";#N/A,#N/A,FALSE,"처분";#N/A,#N/A,FALSE,"현금";#N/A,#N/A,FALSE,"매출";#N/A,#N/A,FALSE,"원가";#N/A,#N/A,FALSE,"경영"}</definedName>
    <definedName name="인건비현황" localSheetId="14" hidden="1">{#N/A,#N/A,FALSE,"BS";#N/A,#N/A,FALSE,"PL";#N/A,#N/A,FALSE,"처분";#N/A,#N/A,FALSE,"현금";#N/A,#N/A,FALSE,"매출";#N/A,#N/A,FALSE,"원가";#N/A,#N/A,FALSE,"경영"}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13">BlankMacro1</definedName>
    <definedName name="인사" localSheetId="0">BlankMacro1</definedName>
    <definedName name="인사" localSheetId="14">BlankMacro1</definedName>
    <definedName name="인사" localSheetId="4">BlankMacro1</definedName>
    <definedName name="인사" localSheetId="5">BlankMacro1</definedName>
    <definedName name="인사" localSheetId="6">BlankMacro1</definedName>
    <definedName name="인사" localSheetId="7">BlankMacro1</definedName>
    <definedName name="인사" localSheetId="8">BlankMacro1</definedName>
    <definedName name="인사" localSheetId="9">BlankMacro1</definedName>
    <definedName name="인사" localSheetId="10">BlankMacro1</definedName>
    <definedName name="인사" localSheetId="11">BlankMacro1</definedName>
    <definedName name="인사" localSheetId="12">BlankMacro1</definedName>
    <definedName name="인사" localSheetId="1">BlankMacro1</definedName>
    <definedName name="인사">BlankMacro1</definedName>
    <definedName name="인상률안분">#REF!</definedName>
    <definedName name="인쇄01">#REF!</definedName>
    <definedName name="인쇄제목">#REF!</definedName>
    <definedName name="인원10월">#REF!</definedName>
    <definedName name="인원11월">#REF!</definedName>
    <definedName name="인원12월">#REF!</definedName>
    <definedName name="인원3월">#REF!</definedName>
    <definedName name="인원4월">#REF!</definedName>
    <definedName name="인원5월">#REF!</definedName>
    <definedName name="인원6월">#REF!</definedName>
    <definedName name="인원7월">#REF!</definedName>
    <definedName name="인원8월">#REF!</definedName>
    <definedName name="인원9월">#REF!</definedName>
    <definedName name="인원세부" localSheetId="0" hidden="1">{#N/A,#N/A,TRUE,"Y생산";#N/A,#N/A,TRUE,"Y판매";#N/A,#N/A,TRUE,"Y총물량";#N/A,#N/A,TRUE,"Y능력";#N/A,#N/A,TRUE,"YKD"}</definedName>
    <definedName name="인원세부" localSheetId="14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정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localSheetId="0" hidden="1">{#N/A,#N/A,TRUE,"Y생산";#N/A,#N/A,TRUE,"Y판매";#N/A,#N/A,TRUE,"Y총물량";#N/A,#N/A,TRUE,"Y능력";#N/A,#N/A,TRUE,"YKD"}</definedName>
    <definedName name="인테리어팀" localSheetId="14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인테리어팀_1" localSheetId="0" hidden="1">{#N/A,#N/A,TRUE,"Y생산";#N/A,#N/A,TRUE,"Y판매";#N/A,#N/A,TRUE,"Y총물량";#N/A,#N/A,TRUE,"Y능력";#N/A,#N/A,TRUE,"YKD"}</definedName>
    <definedName name="인테리어팀_1" localSheetId="14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>#REF!</definedName>
    <definedName name="일동" localSheetId="0" hidden="1">{#N/A,#N/A,TRUE,"Y생산";#N/A,#N/A,TRUE,"Y판매";#N/A,#N/A,TRUE,"Y총물량";#N/A,#N/A,TRUE,"Y능력";#N/A,#N/A,TRUE,"YKD"}</definedName>
    <definedName name="일동" localSheetId="14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등국민">#REF!</definedName>
    <definedName name="一般管理" localSheetId="0" hidden="1">{"'買掛金'!$J$6"}</definedName>
    <definedName name="一般管理" localSheetId="14" hidden="1">{"'買掛金'!$J$6"}</definedName>
    <definedName name="一般管理" hidden="1">{"'買掛金'!$J$6"}</definedName>
    <definedName name="일반시급">#REF!</definedName>
    <definedName name="일산100">#REF!</definedName>
    <definedName name="일상보고">#REF!</definedName>
    <definedName name="일용직여" hidden="1">#REF!</definedName>
    <definedName name="일월급여">#REF!</definedName>
    <definedName name="일자">"Edit Box 13"</definedName>
    <definedName name="일정" localSheetId="0" hidden="1">{#N/A,#N/A,TRUE,"Y생산";#N/A,#N/A,TRUE,"Y판매";#N/A,#N/A,TRUE,"Y총물량";#N/A,#N/A,TRUE,"Y능력";#N/A,#N/A,TRUE,"YKD"}</definedName>
    <definedName name="일정" localSheetId="14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정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>#REF!</definedName>
    <definedName name="임대07년">#REF!</definedName>
    <definedName name="임대07년1">#REF!</definedName>
    <definedName name="임대08년">#REF!</definedName>
    <definedName name="임대09년">#REF!</definedName>
    <definedName name="임ㅅ1" hidden="1">0</definedName>
    <definedName name="임시">#REF!</definedName>
    <definedName name="임원회의">#REF!</definedName>
    <definedName name="임원회의20">#REF!</definedName>
    <definedName name="임차보증금">#REF!</definedName>
    <definedName name="입고1">#REF!</definedName>
    <definedName name="입고2">#REF!</definedName>
    <definedName name="입고3">#REF!</definedName>
    <definedName name="입고4">#REF!</definedName>
    <definedName name="입고5">#REF!</definedName>
    <definedName name="입사">#REF!</definedName>
    <definedName name="입사일">#REF!</definedName>
    <definedName name="잉여" localSheetId="0" hidden="1">{#N/A,#N/A,FALSE,"Aging Summary";#N/A,#N/A,FALSE,"Ratio Analysis";#N/A,#N/A,FALSE,"Test 120 Day Accts";#N/A,#N/A,FALSE,"Tickmarks"}</definedName>
    <definedName name="잉여" localSheetId="14" hidden="1">{#N/A,#N/A,FALSE,"Aging Summary";#N/A,#N/A,FALSE,"Ratio Analysis";#N/A,#N/A,FALSE,"Test 120 Day Accts";#N/A,#N/A,FALSE,"Tickmarks"}</definedName>
    <definedName name="잉여" hidden="1">{#N/A,#N/A,FALSE,"Aging Summary";#N/A,#N/A,FALSE,"Ratio Analysis";#N/A,#N/A,FALSE,"Test 120 Day Accts";#N/A,#N/A,FALSE,"Tickmarks"}</definedName>
    <definedName name="잉여금" localSheetId="0" hidden="1">{#N/A,#N/A,FALSE,"Aging Summary";#N/A,#N/A,FALSE,"Ratio Analysis";#N/A,#N/A,FALSE,"Test 120 Day Accts";#N/A,#N/A,FALSE,"Tickmarks"}</definedName>
    <definedName name="잉여금" localSheetId="14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localSheetId="0" hidden="1">{#N/A,#N/A,FALSE,"BS";#N/A,#N/A,FALSE,"PL";#N/A,#N/A,FALSE,"처분";#N/A,#N/A,FALSE,"현금";#N/A,#N/A,FALSE,"매출";#N/A,#N/A,FALSE,"원가";#N/A,#N/A,FALSE,"경영"}</definedName>
    <definedName name="잉여금처분" localSheetId="14" hidden="1">{#N/A,#N/A,FALSE,"BS";#N/A,#N/A,FALSE,"PL";#N/A,#N/A,FALSE,"처분";#N/A,#N/A,FALSE,"현금";#N/A,#N/A,FALSE,"매출";#N/A,#N/A,FALSE,"원가";#N/A,#N/A,FALSE,"경영"}</definedName>
    <definedName name="잉여금처분" hidden="1">{#N/A,#N/A,FALSE,"BS";#N/A,#N/A,FALSE,"PL";#N/A,#N/A,FALSE,"처분";#N/A,#N/A,FALSE,"현금";#N/A,#N/A,FALSE,"매출";#N/A,#N/A,FALSE,"원가";#N/A,#N/A,FALSE,"경영"}</definedName>
    <definedName name="ㅈ" localSheetId="0" hidden="1">{#N/A,#N/A,TRUE,"Y생산";#N/A,#N/A,TRUE,"Y판매";#N/A,#N/A,TRUE,"Y총물량";#N/A,#N/A,TRUE,"Y능력";#N/A,#N/A,TRUE,"YKD"}</definedName>
    <definedName name="ㅈ" localSheetId="14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121">#REF!</definedName>
    <definedName name="ㅈ123">#REF!</definedName>
    <definedName name="ㅈ159">#REF!</definedName>
    <definedName name="ㅈ1591">#REF!</definedName>
    <definedName name="ㅈㄷㄱ" hidden="1">#REF!</definedName>
    <definedName name="ㅈㄷㄱㄱ" localSheetId="0" hidden="1">{#N/A,#N/A,FALSE,"Aging Summary";#N/A,#N/A,FALSE,"Ratio Analysis";#N/A,#N/A,FALSE,"Test 120 Day Accts";#N/A,#N/A,FALSE,"Tickmarks"}</definedName>
    <definedName name="ㅈㄷㄱㄱ" localSheetId="14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hidden="1">#REF!</definedName>
    <definedName name="ㅈㅈ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localSheetId="14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localSheetId="1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localSheetId="0" hidden="1">{"'Sheet1'!$A$1:$H$36"}</definedName>
    <definedName name="ㅈㅈㅈㅈ" localSheetId="14" hidden="1">{"'Sheet1'!$A$1:$H$36"}</definedName>
    <definedName name="ㅈㅈㅈㅈ" hidden="1">{"'Sheet1'!$A$1:$H$36"}</definedName>
    <definedName name="ㅈㅈㅈㅈㅈ">#REF!</definedName>
    <definedName name="ㅈㅈㅈㅈㅈㅈㅈ">#REF!</definedName>
    <definedName name="ㅈㅈㅈㅈㅈㅈㅈㅈ">#REF!</definedName>
    <definedName name="ㅈㅈㅈㅈㅈㅈㅈㅈㅈ">#REF!</definedName>
    <definedName name="자">#REF!</definedName>
    <definedName name="자금대구">#REF!</definedName>
    <definedName name="자금집행실적" localSheetId="0" hidden="1">{"'Sheet1'!$A$1:$H$36"}</definedName>
    <definedName name="자금집행실적" localSheetId="14" hidden="1">{"'Sheet1'!$A$1:$H$36"}</definedName>
    <definedName name="자금집행실적" hidden="1">{"'Sheet1'!$A$1:$H$36"}</definedName>
    <definedName name="자금청구현황대구">#REF!</definedName>
    <definedName name="자녀양육">#REF!</definedName>
    <definedName name="자동차투자" hidden="1">#REF!</definedName>
    <definedName name="자랑">#REF!</definedName>
    <definedName name="자료" localSheetId="0" hidden="1">{#N/A,#N/A,FALSE,"95FW"}</definedName>
    <definedName name="자료" localSheetId="14" hidden="1">{#N/A,#N/A,FALSE,"95FW"}</definedName>
    <definedName name="자료" hidden="1">{#N/A,#N/A,FALSE,"95FW"}</definedName>
    <definedName name="자료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>#REF!</definedName>
    <definedName name="자본" localSheetId="0" hidden="1">{#N/A,#N/A,FALSE,"Aging Summary";#N/A,#N/A,FALSE,"Ratio Analysis";#N/A,#N/A,FALSE,"Test 120 Day Accts";#N/A,#N/A,FALSE,"Tickmarks"}</definedName>
    <definedName name="자본" localSheetId="14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0" hidden="1">{#N/A,#N/A,FALSE,"Aging Summary";#N/A,#N/A,FALSE,"Ratio Analysis";#N/A,#N/A,FALSE,"Test 120 Day Accts";#N/A,#N/A,FALSE,"Tickmarks"}</definedName>
    <definedName name="자본금" localSheetId="14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>#REF!</definedName>
    <definedName name="자본방" localSheetId="0" hidden="1">{#N/A,#N/A,FALSE,"Aging Summary";#N/A,#N/A,FALSE,"Ratio Analysis";#N/A,#N/A,FALSE,"Test 120 Day Accts";#N/A,#N/A,FALSE,"Tickmarks"}</definedName>
    <definedName name="자본방" localSheetId="14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산">#REF!</definedName>
    <definedName name="자산_가치_상승률">#REF!</definedName>
    <definedName name="자산건전성">#REF!</definedName>
    <definedName name="자이자">#REF!</definedName>
    <definedName name="자인원">#REF!</definedName>
    <definedName name="자재기준" localSheetId="0" hidden="1">{#N/A,#N/A,TRUE,"Y생산";#N/A,#N/A,TRUE,"Y판매";#N/A,#N/A,TRUE,"Y총물량";#N/A,#N/A,TRUE,"Y능력";#N/A,#N/A,TRUE,"YKD"}</definedName>
    <definedName name="자재기준" localSheetId="14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취소">#REF!</definedName>
    <definedName name="작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localSheetId="0" hidden="1">{#N/A,#N/A,FALSE,"BS";#N/A,#N/A,FALSE,"PL";#N/A,#N/A,FALSE,"처분";#N/A,#N/A,FALSE,"현금";#N/A,#N/A,FALSE,"매출";#N/A,#N/A,FALSE,"원가";#N/A,#N/A,FALSE,"경영"}</definedName>
    <definedName name="작성조서" localSheetId="14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>#REF!</definedName>
    <definedName name="작업복">35000</definedName>
    <definedName name="작업일수">#REF!</definedName>
    <definedName name="잔존만기">#REF!</definedName>
    <definedName name="雑費" localSheetId="0" hidden="1">{"'買掛金'!$J$6"}</definedName>
    <definedName name="雑費" localSheetId="14" hidden="1">{"'買掛金'!$J$6"}</definedName>
    <definedName name="雑費" hidden="1">{"'買掛金'!$J$6"}</definedName>
    <definedName name="잡손실" localSheetId="0" hidden="1">{#N/A,#N/A,FALSE,"1.CRITERIA";#N/A,#N/A,FALSE,"2.IS";#N/A,#N/A,FALSE,"3.BS";#N/A,#N/A,FALSE,"4.PER PL";#N/A,#N/A,FALSE,"5.INVESTMENT";#N/A,#N/A,FALSE,"6.공문";#N/A,#N/A,FALSE,"7.netinvest"}</definedName>
    <definedName name="잡손실" localSheetId="14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0" hidden="1">{#N/A,#N/A,FALSE,"1.CRITERIA";#N/A,#N/A,FALSE,"2.IS";#N/A,#N/A,FALSE,"3.BS";#N/A,#N/A,FALSE,"4.PER PL";#N/A,#N/A,FALSE,"5.INVESTMENT";#N/A,#N/A,FALSE,"6.공문";#N/A,#N/A,FALSE,"7.netinvest"}</definedName>
    <definedName name="잡이익" localSheetId="14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>#REF!</definedName>
    <definedName name="장10">#REF!</definedName>
    <definedName name="장11">#REF!</definedName>
    <definedName name="장12">#REF!</definedName>
    <definedName name="장2">#REF!</definedName>
    <definedName name="장3">#REF!</definedName>
    <definedName name="장4">#REF!</definedName>
    <definedName name="장5">#REF!</definedName>
    <definedName name="장6">#REF!</definedName>
    <definedName name="장7">#REF!</definedName>
    <definedName name="장8">#REF!</definedName>
    <definedName name="장9">#REF!</definedName>
    <definedName name="장기" localSheetId="0" hidden="1">{#N/A,#N/A,TRUE,"Y생산";#N/A,#N/A,TRUE,"Y판매";#N/A,#N/A,TRUE,"Y총물량";#N/A,#N/A,TRUE,"Y능력";#N/A,#N/A,TRUE,"YKD"}</definedName>
    <definedName name="장기" localSheetId="14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_1" localSheetId="0" hidden="1">{#N/A,#N/A,TRUE,"Y생산";#N/A,#N/A,TRUE,"Y판매";#N/A,#N/A,TRUE,"Y총물량";#N/A,#N/A,TRUE,"Y능력";#N/A,#N/A,TRUE,"YKD"}</definedName>
    <definedName name="장기_1" localSheetId="14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>#REF!</definedName>
    <definedName name="장기차입">#REF!</definedName>
    <definedName name="장기투자.94.BB">#REF!</definedName>
    <definedName name="長島" localSheetId="0" hidden="1">{"'買掛金'!$J$6"}</definedName>
    <definedName name="長島" localSheetId="14" hidden="1">{"'買掛金'!$J$6"}</definedName>
    <definedName name="長島" hidden="1">{"'買掛金'!$J$6"}</definedName>
    <definedName name="장부가액">#REF!</definedName>
    <definedName name="장부가액합계">#REF!</definedName>
    <definedName name="장비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장비" localSheetId="14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>#REF!</definedName>
    <definedName name="장선비용">#REF!</definedName>
    <definedName name="장성_2010">#REF!</definedName>
    <definedName name="장소사용료합계">#REF!</definedName>
    <definedName name="장애인10월">#REF!</definedName>
    <definedName name="장애인11월">#REF!</definedName>
    <definedName name="장애인12월">#REF!</definedName>
    <definedName name="장애인3월">#REF!</definedName>
    <definedName name="장애인4월">#REF!</definedName>
    <definedName name="장애인5월">#REF!</definedName>
    <definedName name="장애인6월">#REF!</definedName>
    <definedName name="장애인7월">#REF!</definedName>
    <definedName name="장애인8월">#REF!</definedName>
    <definedName name="장애인9월">#REF!</definedName>
    <definedName name="재고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>#REF!</definedName>
    <definedName name="재고2">#REF!</definedName>
    <definedName name="재고자산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hidden="1">#REF!</definedName>
    <definedName name="재무제표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1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>#REF!</definedName>
    <definedName name="저쩌구">#REF!</definedName>
    <definedName name="적용전체">#REF!</definedName>
    <definedName name="적용현황">#REF!</definedName>
    <definedName name="전기">#N/A</definedName>
    <definedName name="전년" hidden="1">#REF!</definedName>
    <definedName name="전산장비" localSheetId="0" hidden="1">{"'Sheet1'!$A$1:$H$36"}</definedName>
    <definedName name="전산장비" localSheetId="14" hidden="1">{"'Sheet1'!$A$1:$H$36"}</definedName>
    <definedName name="전산장비" hidden="1">{"'Sheet1'!$A$1:$H$36"}</definedName>
    <definedName name="전신전화">#REF!</definedName>
    <definedName name="전월요금1" localSheetId="0">ROUND(사용량1*(전월일수-#REF!+1)/전월일수,0)*사용요금10</definedName>
    <definedName name="전월요금1" localSheetId="14">ROUND(사용량1*(전월일수-#REF!+1)/전월일수,0)*사용요금10</definedName>
    <definedName name="전월요금1">ROUND(사용량1*(전월일수-#REF!+1)/전월일수,0)*사용요금10</definedName>
    <definedName name="전월요금2" localSheetId="0">ROUND(사용량2*(전월일수-#REF!+1)/전월일수,0)*사용요금20</definedName>
    <definedName name="전월요금2" localSheetId="14">ROUND(사용량2*(전월일수-#REF!+1)/전월일수,0)*사용요금20</definedName>
    <definedName name="전월요금2">ROUND(사용량2*(전월일수-#REF!+1)/전월일수,0)*사용요금20</definedName>
    <definedName name="전월일수">#N/A</definedName>
    <definedName name="전입액">#REF!</definedName>
    <definedName name="전장">#REF!</definedName>
    <definedName name="전장su">#REF!</definedName>
    <definedName name="전제2" hidden="1">#REF!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localSheetId="14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24">#REF!</definedName>
    <definedName name="전체예산">#REF!</definedName>
    <definedName name="전체제작회수">#REF!</definedName>
    <definedName name="전표">#REF!</definedName>
    <definedName name="전표입력">#REF!</definedName>
    <definedName name="절감">#REF!</definedName>
    <definedName name="絶費" localSheetId="0" hidden="1">{"'買掛金'!$J$6"}</definedName>
    <definedName name="絶費" localSheetId="14" hidden="1">{"'買掛金'!$J$6"}</definedName>
    <definedName name="絶費" hidden="1">{"'買掛金'!$J$6"}</definedName>
    <definedName name="점소">#N/A</definedName>
    <definedName name="접대비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>#REF!</definedName>
    <definedName name="정" localSheetId="0" hidden="1">{#N/A,#N/A,FALSE,"Aging Summary";#N/A,#N/A,FALSE,"Ratio Analysis";#N/A,#N/A,FALSE,"Test 120 Day Accts";#N/A,#N/A,FALSE,"Tickmarks"}</definedName>
    <definedName name="정" localSheetId="14" hidden="1">{#N/A,#N/A,FALSE,"Aging Summary";#N/A,#N/A,FALSE,"Ratio Analysis";#N/A,#N/A,FALSE,"Test 120 Day Accts";#N/A,#N/A,FALSE,"Tickmarks"}</definedName>
    <definedName name="정" hidden="1">{#N/A,#N/A,FALSE,"Aging Summary";#N/A,#N/A,FALSE,"Ratio Analysis";#N/A,#N/A,FALSE,"Test 120 Day Accts";#N/A,#N/A,FALSE,"Tickmarks"}</definedName>
    <definedName name="정렬분">#REF!</definedName>
    <definedName name="정리" localSheetId="0" hidden="1">{#N/A,#N/A,TRUE,"대 차 대 조 표"}</definedName>
    <definedName name="정리" localSheetId="14" hidden="1">{#N/A,#N/A,TRUE,"대 차 대 조 표"}</definedName>
    <definedName name="정리" hidden="1">{#N/A,#N/A,TRUE,"대 차 대 조 표"}</definedName>
    <definedName name="정리_1" localSheetId="0" hidden="1">{#N/A,#N/A,TRUE,"대 차 대 조 표"}</definedName>
    <definedName name="정리_1" localSheetId="14" hidden="1">{#N/A,#N/A,TRUE,"대 차 대 조 표"}</definedName>
    <definedName name="정리_1" hidden="1">{#N/A,#N/A,TRUE,"대 차 대 조 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0" hidden="1">{#N/A,#N/A,FALSE,"Aging Summary";#N/A,#N/A,FALSE,"Ratio Analysis";#N/A,#N/A,FALSE,"Test 120 Day Accts";#N/A,#N/A,FALSE,"Tickmarks"}</definedName>
    <definedName name="정산표" localSheetId="14" hidden="1">{#N/A,#N/A,FALSE,"Aging Summary";#N/A,#N/A,FALSE,"Ratio Analysis";#N/A,#N/A,FALSE,"Test 120 Day Accts";#N/A,#N/A,FALSE,"Tickmarks"}</definedName>
    <definedName name="정산표" hidden="1">{#N/A,#N/A,FALSE,"Aging Summary";#N/A,#N/A,FALSE,"Ratio Analysis";#N/A,#N/A,FALSE,"Test 120 Day Accts";#N/A,#N/A,FALSE,"Tickmarks"}</definedName>
    <definedName name="정상가격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localSheetId="0" hidden="1">{#N/A,#N/A,FALSE,"단축1";#N/A,#N/A,FALSE,"단축2";#N/A,#N/A,FALSE,"단축3";#N/A,#N/A,FALSE,"장축";#N/A,#N/A,FALSE,"4WD"}</definedName>
    <definedName name="정우성" localSheetId="14" hidden="1">{#N/A,#N/A,FALSE,"단축1";#N/A,#N/A,FALSE,"단축2";#N/A,#N/A,FALSE,"단축3";#N/A,#N/A,FALSE,"장축";#N/A,#N/A,FALSE,"4WD"}</definedName>
    <definedName name="정우성" hidden="1">{#N/A,#N/A,FALSE,"단축1";#N/A,#N/A,FALSE,"단축2";#N/A,#N/A,FALSE,"단축3";#N/A,#N/A,FALSE,"장축";#N/A,#N/A,FALSE,"4WD"}</definedName>
    <definedName name="정징" localSheetId="0" hidden="1">{#N/A,#N/A,TRUE,"Y생산";#N/A,#N/A,TRUE,"Y판매";#N/A,#N/A,TRUE,"Y총물량";#N/A,#N/A,TRUE,"Y능력";#N/A,#N/A,TRUE,"YKD"}</definedName>
    <definedName name="정징" localSheetId="14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정호">#REF!</definedName>
    <definedName name="제">#REF!</definedName>
    <definedName name="제1안" localSheetId="0" hidden="1">{#N/A,#N/A,TRUE,"매출진척-1";#N/A,#N/A,TRUE,"매출진척-2";#N/A,#N/A,TRUE,"제품실적";#N/A,#N/A,TRUE,"RAC";#N/A,#N/A,TRUE,"PAC ";#N/A,#N/A,TRUE,"재고현황";#N/A,#N/A,TRUE,"공지사항"}</definedName>
    <definedName name="제1안" localSheetId="14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hidden="1">#REF!</definedName>
    <definedName name="제동부하" hidden="1">#REF!</definedName>
    <definedName name="제동생산" hidden="1">#REF!</definedName>
    <definedName name="제목">#REF!</definedName>
    <definedName name="제목1">#REF!</definedName>
    <definedName name="제목2">#REF!</definedName>
    <definedName name="제목3">#REF!</definedName>
    <definedName name="제목4">#REF!</definedName>
    <definedName name="제일기획">#REF!</definedName>
    <definedName name="제일기획량">#REF!</definedName>
    <definedName name="제일요척량">#REF!</definedName>
    <definedName name="제일원불">#REF!</definedName>
    <definedName name="제일정품입고">#REF!</definedName>
    <definedName name="제일취불">#REF!</definedName>
    <definedName name="제작납품합계">#REF!</definedName>
    <definedName name="제작사명">#REF!</definedName>
    <definedName name="제작운영비합계">#REF!</definedName>
    <definedName name="제작지원합계">#REF!</definedName>
    <definedName name="제조" localSheetId="0" hidden="1">{#N/A,#N/A,FALSE,"1.CRITERIA";#N/A,#N/A,FALSE,"2.IS";#N/A,#N/A,FALSE,"3.BS";#N/A,#N/A,FALSE,"4.PER PL";#N/A,#N/A,FALSE,"5.INVESTMENT";#N/A,#N/A,FALSE,"6.공문";#N/A,#N/A,FALSE,"7.netinvest"}</definedName>
    <definedName name="제조" localSheetId="14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주추가종합수정안" localSheetId="0" hidden="1">{#N/A,#N/A,FALSE,"3가";#N/A,#N/A,FALSE,"3나";#N/A,#N/A,FALSE,"3다"}</definedName>
    <definedName name="제주추가종합수정안" localSheetId="14" hidden="1">{#N/A,#N/A,FALSE,"3가";#N/A,#N/A,FALSE,"3나";#N/A,#N/A,FALSE,"3다"}</definedName>
    <definedName name="제주추가종합수정안" hidden="1">{#N/A,#N/A,FALSE,"3가";#N/A,#N/A,FALSE,"3나";#N/A,#N/A,FALSE,"3다"}</definedName>
    <definedName name="제출일">#REF!</definedName>
    <definedName name="제품명">#REF!</definedName>
    <definedName name="제품생산량">#REF!</definedName>
    <definedName name="제품시화">#REF!</definedName>
    <definedName name="조" localSheetId="0" hidden="1">{#N/A,#N/A,FALSE,"1.CRITERIA";#N/A,#N/A,FALSE,"2.IS";#N/A,#N/A,FALSE,"3.BS";#N/A,#N/A,FALSE,"4.PER PL";#N/A,#N/A,FALSE,"5.INVESTMENT";#N/A,#N/A,FALSE,"6.공문";#N/A,#N/A,FALSE,"7.netinvest"}</definedName>
    <definedName name="조" localSheetId="14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>#REF!</definedName>
    <definedName name="조건부">#REF!</definedName>
    <definedName name="조립" localSheetId="0" hidden="1">{#N/A,#N/A,FALSE,"단축1";#N/A,#N/A,FALSE,"단축2";#N/A,#N/A,FALSE,"단축3";#N/A,#N/A,FALSE,"장축";#N/A,#N/A,FALSE,"4WD"}</definedName>
    <definedName name="조립" localSheetId="14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명합계">#REF!</definedName>
    <definedName name="조정" hidden="1">#REF!</definedName>
    <definedName name="조정1">#REF!</definedName>
    <definedName name="조정2">#REF!</definedName>
    <definedName name="조치" localSheetId="0" hidden="1">{#N/A,#N/A,FALSE,"단축1";#N/A,#N/A,FALSE,"단축2";#N/A,#N/A,FALSE,"단축3";#N/A,#N/A,FALSE,"장축";#N/A,#N/A,FALSE,"4WD"}</definedName>
    <definedName name="조치" localSheetId="14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조향">#REF!</definedName>
    <definedName name="조향생산" hidden="1">#REF!</definedName>
    <definedName name="조회서번호">#REF!</definedName>
    <definedName name="조회액">#REF!</definedName>
    <definedName name="조회주화면">#REF!</definedName>
    <definedName name="종원">#N/A</definedName>
    <definedName name="종합">#REF!</definedName>
    <definedName name="종합2">#REF!</definedName>
    <definedName name="종합추이">#REF!</definedName>
    <definedName name="종합표">#REF!</definedName>
    <definedName name="종합합산">#REF!</definedName>
    <definedName name="종합합산세">#REF!</definedName>
    <definedName name="종합합산세율">#REF!</definedName>
    <definedName name="주">WEEKNUM(#REF!)-WEEKNUM(DATE(YEAR(#REF!),MONTH(#REF!),1))+1-IF(WEEKDAY(DATE(YEAR(#REF!),MONTH(#REF!),1))&gt;2,1,0)</definedName>
    <definedName name="주민">#REF!</definedName>
    <definedName name="주민세">#REF!</definedName>
    <definedName name="주부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>#REF!</definedName>
    <definedName name="주부신수익권증서_400">#REF!</definedName>
    <definedName name="주소">#REF!</definedName>
    <definedName name="주소범위">#REF!</definedName>
    <definedName name="주소범위2">#REF!</definedName>
    <definedName name="주요" localSheetId="0" hidden="1">{#N/A,#N/A,TRUE,"Y생산";#N/A,#N/A,TRUE,"Y판매";#N/A,#N/A,TRUE,"Y총물량";#N/A,#N/A,TRUE,"Y능력";#N/A,#N/A,TRUE,"YKD"}</definedName>
    <definedName name="주요" localSheetId="14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계정차이내역12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>#REF!</definedName>
    <definedName name="주요업무2" localSheetId="0" hidden="1">{#N/A,#N/A,TRUE,"Y생산";#N/A,#N/A,TRUE,"Y판매";#N/A,#N/A,TRUE,"Y총물량";#N/A,#N/A,TRUE,"Y능력";#N/A,#N/A,TRUE,"YKD"}</definedName>
    <definedName name="주요업무2" localSheetId="14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localSheetId="14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요진행현황">#REF!</definedName>
    <definedName name="주임종">#REF!</definedName>
    <definedName name="주재원" hidden="1">#REF!</definedName>
    <definedName name="주종단체">#REF!</definedName>
    <definedName name="주주" localSheetId="0" hidden="1">{#N/A,#N/A,FALSE,"Aging Summary";#N/A,#N/A,FALSE,"Ratio Analysis";#N/A,#N/A,FALSE,"Test 120 Day Accts";#N/A,#N/A,FALSE,"Tickmarks"}</definedName>
    <definedName name="주주" localSheetId="14" hidden="1">{#N/A,#N/A,FALSE,"Aging Summary";#N/A,#N/A,FALSE,"Ratio Analysis";#N/A,#N/A,FALSE,"Test 120 Day Accts";#N/A,#N/A,FALSE,"Tickmarks"}</definedName>
    <definedName name="주주" hidden="1">{#N/A,#N/A,FALSE,"Aging Summary";#N/A,#N/A,FALSE,"Ratio Analysis";#N/A,#N/A,FALSE,"Test 120 Day Accts";#N/A,#N/A,FALSE,"Tickmarks"}</definedName>
    <definedName name="주택매출">#REF!</definedName>
    <definedName name="주택원가">#REF!</definedName>
    <definedName name="주택최종">#REF!</definedName>
    <definedName name="준" localSheetId="0" hidden="1">{#N/A,#N/A,FALSE,"Aging Summary";#N/A,#N/A,FALSE,"Ratio Analysis";#N/A,#N/A,FALSE,"Test 120 Day Accts";#N/A,#N/A,FALSE,"Tickmarks"}</definedName>
    <definedName name="준" localSheetId="14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중">#REF!,#REF!,#REF!,#REF!,#REF!,#REF!,#REF!,#REF!,#REF!,#REF!</definedName>
    <definedName name="중간예납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localSheetId="14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localSheetId="0" hidden="1">{#N/A,#N/A,FALSE,"표지";#N/A,#N/A,FALSE,"전제";#N/A,#N/A,FALSE,"손익-자 (2)";#N/A,#N/A,FALSE,"손익-자";#N/A,#N/A,FALSE,"손익-마 (2)";#N/A,#N/A,FALSE,"손익-마";#N/A,#N/A,FALSE,"총손최종"}</definedName>
    <definedName name="중개수수료" localSheetId="14" hidden="1">{#N/A,#N/A,FALSE,"표지";#N/A,#N/A,FALSE,"전제";#N/A,#N/A,FALSE,"손익-자 (2)";#N/A,#N/A,FALSE,"손익-자";#N/A,#N/A,FALSE,"손익-마 (2)";#N/A,#N/A,FALSE,"손익-마";#N/A,#N/A,FALSE,"총손최종"}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0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14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localSheetId="0" hidden="1">{#N/A,#N/A,FALSE,"3가";#N/A,#N/A,FALSE,"3나";#N/A,#N/A,FALSE,"3다"}</definedName>
    <definedName name="중기예산" localSheetId="14" hidden="1">{#N/A,#N/A,FALSE,"3가";#N/A,#N/A,FALSE,"3나";#N/A,#N/A,FALSE,"3다"}</definedName>
    <definedName name="중기예산" hidden="1">{#N/A,#N/A,FALSE,"3가";#N/A,#N/A,FALSE,"3나";#N/A,#N/A,FALSE,"3다"}</definedName>
    <definedName name="중소기업">#REF!</definedName>
    <definedName name="중앙" hidden="1">#REF!</definedName>
    <definedName name="중점업무" localSheetId="0" hidden="1">{"'호선별현황(방식)'!$K$22:$P$22","'호선별현황(방식)'!$K$22:$P$22"}</definedName>
    <definedName name="중점업무" localSheetId="14" hidden="1">{"'호선별현황(방식)'!$K$22:$P$22","'호선별현황(방식)'!$K$22:$P$22"}</definedName>
    <definedName name="중점업무" hidden="1">{"'호선별현황(방식)'!$K$22:$P$22","'호선별현황(방식)'!$K$22:$P$22"}</definedName>
    <definedName name="중점업무계획" localSheetId="0" hidden="1">{"'호선별현황(방식)'!$K$22:$P$22","'호선별현황(방식)'!$K$22:$P$22"}</definedName>
    <definedName name="중점업무계획" localSheetId="14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localSheetId="0" hidden="1">{#N/A,#N/A,TRUE,"일정"}</definedName>
    <definedName name="중점추진" localSheetId="14" hidden="1">{#N/A,#N/A,TRUE,"일정"}</definedName>
    <definedName name="중점추진" hidden="1">{#N/A,#N/A,TRUE,"일정"}</definedName>
    <definedName name="중지">#REF!</definedName>
    <definedName name="중지1">#REF!</definedName>
    <definedName name="중지2">#REF!</definedName>
    <definedName name="중표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localSheetId="0" hidden="1">{#N/A,#N/A,FALSE,"표지";#N/A,#N/A,FALSE,"전제";#N/A,#N/A,FALSE,"손익-자 (2)";#N/A,#N/A,FALSE,"손익-자";#N/A,#N/A,FALSE,"손익-마 (2)";#N/A,#N/A,FALSE,"손익-마";#N/A,#N/A,FALSE,"총손최종"}</definedName>
    <definedName name="쥬2" localSheetId="14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>#REF!</definedName>
    <definedName name="지급액">#REF!</definedName>
    <definedName name="지급어음">#REF!</definedName>
    <definedName name="지급이자외_△8">#REF!</definedName>
    <definedName name="지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localSheetId="0" hidden="1">{"'買掛金'!$J$6"}</definedName>
    <definedName name="支払" localSheetId="14" hidden="1">{"'買掛金'!$J$6"}</definedName>
    <definedName name="支払" hidden="1">{"'買掛金'!$J$6"}</definedName>
    <definedName name="支払手形" localSheetId="0" hidden="1">{"'買掛金'!$J$6"}</definedName>
    <definedName name="支払手形" localSheetId="14" hidden="1">{"'買掛金'!$J$6"}</definedName>
    <definedName name="支払手形" hidden="1">{"'買掛金'!$J$6"}</definedName>
    <definedName name="지수지" localSheetId="0" hidden="1">{#N/A,#N/A,FALSE,"포장단가"}</definedName>
    <definedName name="지수지" localSheetId="14" hidden="1">{#N/A,#N/A,FALSE,"포장단가"}</definedName>
    <definedName name="지수지" hidden="1">{#N/A,#N/A,FALSE,"포장단가"}</definedName>
    <definedName name="지역">#REF!</definedName>
    <definedName name="지원동" localSheetId="0" hidden="1">{#N/A,#N/A,TRUE,"대 차 대 조 표"}</definedName>
    <definedName name="지원동" localSheetId="14" hidden="1">{#N/A,#N/A,TRUE,"대 차 대 조 표"}</definedName>
    <definedName name="지원동" hidden="1">{#N/A,#N/A,TRUE,"대 차 대 조 표"}</definedName>
    <definedName name="지원동_1" localSheetId="0" hidden="1">{#N/A,#N/A,TRUE,"대 차 대 조 표"}</definedName>
    <definedName name="지원동_1" localSheetId="14" hidden="1">{#N/A,#N/A,TRUE,"대 차 대 조 표"}</definedName>
    <definedName name="지원동_1" hidden="1">{#N/A,#N/A,TRUE,"대 차 대 조 표"}</definedName>
    <definedName name="지절1">#REF!</definedName>
    <definedName name="지절2">#REF!</definedName>
    <definedName name="지점_data">#REF!</definedName>
    <definedName name="지점명">#REF!</definedName>
    <definedName name="지종">#REF!</definedName>
    <definedName name="지태면" localSheetId="0" hidden="1">{#N/A,#N/A,TRUE,"Y생산";#N/A,#N/A,TRUE,"Y판매";#N/A,#N/A,TRUE,"Y총물량";#N/A,#N/A,TRUE,"Y능력";#N/A,#N/A,TRUE,"YKD"}</definedName>
    <definedName name="지태면" localSheetId="14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위">#REF!</definedName>
    <definedName name="진" localSheetId="0" hidden="1">{#N/A,#N/A,FALSE,"3가";#N/A,#N/A,FALSE,"3나";#N/A,#N/A,FALSE,"3다"}</definedName>
    <definedName name="진" localSheetId="14" hidden="1">{#N/A,#N/A,FALSE,"3가";#N/A,#N/A,FALSE,"3나";#N/A,#N/A,FALSE,"3다"}</definedName>
    <definedName name="진" hidden="1">{#N/A,#N/A,FALSE,"3가";#N/A,#N/A,FALSE,"3나";#N/A,#N/A,FALSE,"3다"}</definedName>
    <definedName name="진성기획">#REF!</definedName>
    <definedName name="진성기획량">#REF!</definedName>
    <definedName name="진성요척량">#REF!</definedName>
    <definedName name="진성원불">#REF!</definedName>
    <definedName name="진성정품입고">#REF!</definedName>
    <definedName name="진성취불">#REF!</definedName>
    <definedName name="진지" localSheetId="0" hidden="1">{"'호선별현황(방식)'!$K$22:$P$22","'호선별현황(방식)'!$K$22:$P$22"}</definedName>
    <definedName name="진지" localSheetId="14" hidden="1">{"'호선별현황(방식)'!$K$22:$P$22","'호선별현황(방식)'!$K$22:$P$22"}</definedName>
    <definedName name="진지" hidden="1">{"'호선별현황(방식)'!$K$22:$P$22","'호선별현황(방식)'!$K$22:$P$22"}</definedName>
    <definedName name="진짜살림">#REF!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localSheetId="14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localSheetId="0" hidden="1">{#N/A,#N/A,FALSE,"95FW"}</definedName>
    <definedName name="진행보고" localSheetId="14" hidden="1">{#N/A,#N/A,FALSE,"95FW"}</definedName>
    <definedName name="진행보고" hidden="1">{#N/A,#N/A,FALSE,"95FW"}</definedName>
    <definedName name="진행비합계">#REF!</definedName>
    <definedName name="집기">#REF!</definedName>
    <definedName name="집기2">#REF!</definedName>
    <definedName name="집기비품" hidden="1">#N/A</definedName>
    <definedName name="집기비품ㅈ">#REF!</definedName>
    <definedName name="집행실적200211" localSheetId="0" hidden="1">{"'Sheet1'!$A$1:$H$36"}</definedName>
    <definedName name="집행실적200211" localSheetId="14" hidden="1">{"'Sheet1'!$A$1:$H$36"}</definedName>
    <definedName name="집행실적200211" hidden="1">{"'Sheet1'!$A$1:$H$36"}</definedName>
    <definedName name="ㅉ" localSheetId="0" hidden="1">{#N/A,#N/A,TRUE,"Y생산";#N/A,#N/A,TRUE,"Y판매";#N/A,#N/A,TRUE,"Y총물량";#N/A,#N/A,TRUE,"Y능력";#N/A,#N/A,TRUE,"YKD"}</definedName>
    <definedName name="ㅉ" localSheetId="14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쨔" localSheetId="0" hidden="1">{#N/A,#N/A,FALSE,"95FW"}</definedName>
    <definedName name="쨔" localSheetId="14" hidden="1">{#N/A,#N/A,FALSE,"95FW"}</definedName>
    <definedName name="쨔" hidden="1">{#N/A,#N/A,FALSE,"95FW"}</definedName>
    <definedName name="ㅊ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14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>#REF!</definedName>
    <definedName name="ㅊㅊ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ㅊㅊ" localSheetId="14" hidden="1">{#N/A,#N/A,FALSE,"표지";#N/A,#N/A,FALSE,"을지1";#N/A,#N/A,FALSE,"일정1";#N/A,#N/A,FALSE,"일정2";#N/A,#N/A,FALSE,"11T-C";#N/A,#N/A,FALSE,"15T-D";#N/A,#N/A,FALSE,"판매현황";#N/A,#N/A,FALSE,"업무 FLOW"}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localSheetId="0" hidden="1">{#N/A,#N/A,FALSE,"표지";#N/A,#N/A,FALSE,"전제";#N/A,#N/A,FALSE,"손익-자 (2)";#N/A,#N/A,FALSE,"손익-자";#N/A,#N/A,FALSE,"손익-마 (2)";#N/A,#N/A,FALSE,"손익-마";#N/A,#N/A,FALSE,"총손최종"}</definedName>
    <definedName name="ㅊㅊㅊ" localSheetId="14" hidden="1">{#N/A,#N/A,FALSE,"표지";#N/A,#N/A,FALSE,"전제";#N/A,#N/A,FALSE,"손익-자 (2)";#N/A,#N/A,FALSE,"손익-자";#N/A,#N/A,FALSE,"손익-마 (2)";#N/A,#N/A,FALSE,"손익-마";#N/A,#N/A,FALSE,"총손최종"}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0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14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>#REF!</definedName>
    <definedName name="ㅊㅌㅊㅊ">#REF!</definedName>
    <definedName name="ㅊㅍㅌㅍ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localSheetId="0" hidden="1">{#N/A,#N/A,FALSE,"1.CRITERIA";#N/A,#N/A,FALSE,"2.IS";#N/A,#N/A,FALSE,"3.BS";#N/A,#N/A,FALSE,"4.PER PL";#N/A,#N/A,FALSE,"5.INVESTMENT";#N/A,#N/A,FALSE,"6.공문";#N/A,#N/A,FALSE,"7.netinvest"}</definedName>
    <definedName name="차" localSheetId="14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>#REF!</definedName>
    <definedName name="차량2">#REF!</definedName>
    <definedName name="차량운반구" hidden="1">#N/A</definedName>
    <definedName name="차량운반구2">#REF!</definedName>
    <definedName name="차량합계">#REF!</definedName>
    <definedName name="차변">#REF!</definedName>
    <definedName name="차이조정분" localSheetId="0" hidden="1">{"'Sheet1'!$A$1:$D$15"}</definedName>
    <definedName name="차이조정분" localSheetId="14" hidden="1">{"'Sheet1'!$A$1:$D$15"}</definedName>
    <definedName name="차이조정분" hidden="1">{"'Sheet1'!$A$1:$D$15"}</definedName>
    <definedName name="차입금" localSheetId="0" hidden="1">{#N/A,#N/A,FALSE,"채산3501.XLS";#N/A,#N/A,FALSE,"신조수A.XLS";#N/A,#N/A,FALSE,"신조수b.XLS";#N/A,#N/A,FALSE,"채산3502.XLS";#N/A,#N/A,FALSE,"신조원리.XLS";#N/A,#N/A,FALSE,"신조감가.XLS"}</definedName>
    <definedName name="차입금" localSheetId="14" hidden="1">{#N/A,#N/A,FALSE,"채산3501.XLS";#N/A,#N/A,FALSE,"신조수A.XLS";#N/A,#N/A,FALSE,"신조수b.XLS";#N/A,#N/A,FALSE,"채산3502.XLS";#N/A,#N/A,FALSE,"신조원리.XLS";#N/A,#N/A,FALSE,"신조감가.XLS"}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localSheetId="0" hidden="1">{"'買掛金'!$J$6"}</definedName>
    <definedName name="差入保証金" localSheetId="14" hidden="1">{"'買掛金'!$J$6"}</definedName>
    <definedName name="差入保証金" hidden="1">{"'買掛金'!$J$6"}</definedName>
    <definedName name="차재영">#REF!</definedName>
    <definedName name="차종" localSheetId="0" hidden="1">{#N/A,#N/A,FALSE,"신규dep";#N/A,#N/A,FALSE,"신규dep-금형상각후";#N/A,#N/A,FALSE,"신규dep-연구비상각후";#N/A,#N/A,FALSE,"신규dep-기계,공구상각후"}</definedName>
    <definedName name="차종" localSheetId="14" hidden="1">{#N/A,#N/A,FALSE,"신규dep";#N/A,#N/A,FALSE,"신규dep-금형상각후";#N/A,#N/A,FALSE,"신규dep-연구비상각후";#N/A,#N/A,FALSE,"신규dep-기계,공구상각후"}</definedName>
    <definedName name="차종" hidden="1">{#N/A,#N/A,FALSE,"신규dep";#N/A,#N/A,FALSE,"신규dep-금형상각후";#N/A,#N/A,FALSE,"신규dep-연구비상각후";#N/A,#N/A,FALSE,"신규dep-기계,공구상각후"}</definedName>
    <definedName name="차종별" localSheetId="0" hidden="1">{#N/A,#N/A,TRUE,"Y생산";#N/A,#N/A,TRUE,"Y판매";#N/A,#N/A,TRUE,"Y총물량";#N/A,#N/A,TRUE,"Y능력";#N/A,#N/A,TRUE,"YKD"}</definedName>
    <definedName name="차종별" localSheetId="14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2">#REF!</definedName>
    <definedName name="차체공정">#REF!</definedName>
    <definedName name="차트범위">#REF!,#REF!,#REF!,#REF!,#REF!</definedName>
    <definedName name="참고1장" localSheetId="0" hidden="1">{#N/A,#N/A,FALSE,"단축1";#N/A,#N/A,FALSE,"단축2";#N/A,#N/A,FALSE,"단축3";#N/A,#N/A,FALSE,"장축";#N/A,#N/A,FALSE,"4WD"}</definedName>
    <definedName name="참고1장" localSheetId="14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2" hidden="1">#REF!</definedName>
    <definedName name="참조">#REF!</definedName>
    <definedName name="참조1">#REF!</definedName>
    <definedName name="창고">#REF!</definedName>
    <definedName name="채권sort">#REF!</definedName>
    <definedName name="채권계정과목">#REF!</definedName>
    <definedName name="채권금액">#REF!</definedName>
    <definedName name="채권양수금" localSheetId="0" hidden="1">{"'호선별현황(방식)'!$K$22:$P$22","'호선별현황(방식)'!$K$22:$P$22"}</definedName>
    <definedName name="채권양수금" localSheetId="14" hidden="1">{"'호선별현황(방식)'!$K$22:$P$22","'호선별현황(방식)'!$K$22:$P$22"}</definedName>
    <definedName name="채권양수금" hidden="1">{"'호선별현황(방식)'!$K$22:$P$22","'호선별현황(방식)'!$K$22:$P$22"}</definedName>
    <definedName name="채권양수금11" localSheetId="0" hidden="1">{"'호선별현황(방식)'!$K$22:$P$22","'호선별현황(방식)'!$K$22:$P$22"}</definedName>
    <definedName name="채권양수금11" localSheetId="14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>#REF!</definedName>
    <definedName name="채무계정과목">#REF!</definedName>
    <definedName name="채무금액">#REF!</definedName>
    <definedName name="채무제목">#REF!</definedName>
    <definedName name="처음">#N/A</definedName>
    <definedName name="처음2">#N/A</definedName>
    <definedName name="처음3">#N/A</definedName>
    <definedName name="처ㅗㅠ허" hidden="1">#REF!</definedName>
    <definedName name="천">IF(INT(RIGHT(#REF!,4)/1000)=0,"",CHOOSE(INT(RIGHT(#REF!,4)/1000),"일","이","삼","사","오","육","칠","팔","구")&amp;"천")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>#REF!</definedName>
    <definedName name="첨부1">#REF!</definedName>
    <definedName name="첨부2">#REF!</definedName>
    <definedName name="첨첨11">#REF!</definedName>
    <definedName name="청구서인쇄영역">#REF!</definedName>
    <definedName name="청소1">#REF!</definedName>
    <definedName name="체육관" localSheetId="0" hidden="1">{#N/A,#N/A,TRUE,"대 차 대 조 표"}</definedName>
    <definedName name="체육관" localSheetId="14" hidden="1">{#N/A,#N/A,TRUE,"대 차 대 조 표"}</definedName>
    <definedName name="체육관" hidden="1">{#N/A,#N/A,TRUE,"대 차 대 조 표"}</definedName>
    <definedName name="체육관_1" localSheetId="0" hidden="1">{#N/A,#N/A,TRUE,"대 차 대 조 표"}</definedName>
    <definedName name="체육관_1" localSheetId="14" hidden="1">{#N/A,#N/A,TRUE,"대 차 대 조 표"}</definedName>
    <definedName name="체육관_1" hidden="1">{#N/A,#N/A,TRUE,"대 차 대 조 표"}</definedName>
    <definedName name="초출량1">#REF!</definedName>
    <definedName name="초출량2">#REF!</definedName>
    <definedName name="총경비">#REF!</definedName>
    <definedName name="총괄" localSheetId="0" hidden="1">{#N/A,#N/A,TRUE,"1호 과표세액";#N/A,#N/A,TRUE,"6호 첨부(익)";#N/A,#N/A,TRUE,"6-3호 퇴충";#N/A,#N/A,TRUE,"PL";#N/A,#N/A,TRUE,"BS";#N/A,#N/A,TRUE,"RE";#N/A,#N/A,TRUE,"표지"}</definedName>
    <definedName name="총괄" localSheetId="14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localSheetId="0" hidden="1">{#N/A,#N/A,FALSE,"3가";#N/A,#N/A,FALSE,"3나";#N/A,#N/A,FALSE,"3다"}</definedName>
    <definedName name="총괄11" localSheetId="14" hidden="1">{#N/A,#N/A,FALSE,"3가";#N/A,#N/A,FALSE,"3나";#N/A,#N/A,FALSE,"3다"}</definedName>
    <definedName name="총괄11" hidden="1">{#N/A,#N/A,FALSE,"3가";#N/A,#N/A,FALSE,"3나";#N/A,#N/A,FALSE,"3다"}</definedName>
    <definedName name="총괄2">#REF!</definedName>
    <definedName name="총괄표">#REF!</definedName>
    <definedName name="총괄표_1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localSheetId="0" hidden="1">{#N/A,#N/A,TRUE,"Y생산";#N/A,#N/A,TRUE,"Y판매";#N/A,#N/A,TRUE,"Y총물량";#N/A,#N/A,TRUE,"Y능력";#N/A,#N/A,TRUE,"YKD"}</definedName>
    <definedName name="총무팀총무팀" localSheetId="14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총시간">#REF!</definedName>
    <definedName name="총시간1">#REF!</definedName>
    <definedName name="총시간2">#REF!</definedName>
    <definedName name="총인">#REF!</definedName>
    <definedName name="총점">#REF!</definedName>
    <definedName name="총합">#REF!</definedName>
    <definedName name="촤" localSheetId="0" hidden="1">{#N/A,#N/A,FALSE,"1.CRITERIA";#N/A,#N/A,FALSE,"2.IS";#N/A,#N/A,FALSE,"3.BS";#N/A,#N/A,FALSE,"4.PER PL";#N/A,#N/A,FALSE,"5.INVESTMENT";#N/A,#N/A,FALSE,"6.공문";#N/A,#N/A,FALSE,"7.netinvest"}</definedName>
    <definedName name="촤" localSheetId="14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>#REF!</definedName>
    <definedName name="최영" localSheetId="0" hidden="1">{#N/A,#N/A,FALSE,"정공"}</definedName>
    <definedName name="최영" localSheetId="14" hidden="1">{#N/A,#N/A,FALSE,"정공"}</definedName>
    <definedName name="최영" hidden="1">{#N/A,#N/A,FALSE,"정공"}</definedName>
    <definedName name="최저한세">#REF!</definedName>
    <definedName name="최종" localSheetId="0" hidden="1">{#N/A,#N/A,FALSE,"표지";#N/A,#N/A,FALSE,"전제";#N/A,#N/A,FALSE,"손익-자 (2)";#N/A,#N/A,FALSE,"손익-자";#N/A,#N/A,FALSE,"손익-마 (2)";#N/A,#N/A,FALSE,"손익-마";#N/A,#N/A,FALSE,"총손최종"}</definedName>
    <definedName name="최종" localSheetId="14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>#REF!</definedName>
    <definedName name="추정현황" localSheetId="0" hidden="1">{#N/A,#N/A,FALSE,"채산3501.XLS";#N/A,#N/A,FALSE,"신조수A.XLS";#N/A,#N/A,FALSE,"신조수b.XLS";#N/A,#N/A,FALSE,"채산3502.XLS";#N/A,#N/A,FALSE,"신조원리.XLS";#N/A,#N/A,FALSE,"신조감가.XLS"}</definedName>
    <definedName name="추정현황" localSheetId="14" hidden="1">{#N/A,#N/A,FALSE,"채산3501.XLS";#N/A,#N/A,FALSE,"신조수A.XLS";#N/A,#N/A,FALSE,"신조수b.XLS";#N/A,#N/A,FALSE,"채산3502.XLS";#N/A,#N/A,FALSE,"신조원리.XLS";#N/A,#N/A,FALSE,"신조감가.XLS"}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localSheetId="0" hidden="1">{"'호선별현황(방식)'!$K$22:$P$22","'호선별현황(방식)'!$K$22:$P$22"}</definedName>
    <definedName name="축구장" localSheetId="14" hidden="1">{"'호선별현황(방식)'!$K$22:$P$22","'호선별현황(방식)'!$K$22:$P$22"}</definedName>
    <definedName name="축구장" hidden="1">{"'호선별현황(방식)'!$K$22:$P$22","'호선별현황(방식)'!$K$22:$P$22"}</definedName>
    <definedName name="출납">#REF!</definedName>
    <definedName name="출력">#REF!</definedName>
    <definedName name="출연료합계">#REF!</definedName>
    <definedName name="출장비합계">#REF!</definedName>
    <definedName name="출하">#REF!</definedName>
    <definedName name="충당금">#REF!</definedName>
    <definedName name="취득일">#REF!</definedName>
    <definedName name="취소">#REF!</definedName>
    <definedName name="층별">#REF!</definedName>
    <definedName name="층별임대">#REF!</definedName>
    <definedName name="층별효용">#REF!</definedName>
    <definedName name="층수">#REF!</definedName>
    <definedName name="칠">#REF!</definedName>
    <definedName name="ㅋ" localSheetId="0" hidden="1">{#N/A,#N/A,FALSE,"BS";#N/A,#N/A,FALSE,"PL";#N/A,#N/A,FALSE,"처분";#N/A,#N/A,FALSE,"현금";#N/A,#N/A,FALSE,"매출";#N/A,#N/A,FALSE,"원가";#N/A,#N/A,FALSE,"경영"}</definedName>
    <definedName name="ㅋ" localSheetId="14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" localSheetId="0" hidden="1">{#N/A,#N/A,TRUE,"Y생산";#N/A,#N/A,TRUE,"Y판매";#N/A,#N/A,TRUE,"Y총물량";#N/A,#N/A,TRUE,"Y능력";#N/A,#N/A,TRUE,"YKD"}</definedName>
    <definedName name="ㅋㅋ" localSheetId="14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localSheetId="1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localSheetId="0" hidden="1">{#N/A,#N/A,FALSE,"Aging Summary";#N/A,#N/A,FALSE,"Ratio Analysis";#N/A,#N/A,FALSE,"Test 120 Day Accts";#N/A,#N/A,FALSE,"Tickmarks"}</definedName>
    <definedName name="ㅋㅋㅋㅋ" localSheetId="14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_1" localSheetId="0" hidden="1">{#N/A,#N/A,TRUE,"대 차 대 조 표"}</definedName>
    <definedName name="ㅋㅋㅋㅋ_1" localSheetId="14" hidden="1">{#N/A,#N/A,TRUE,"대 차 대 조 표"}</definedName>
    <definedName name="ㅋㅋㅋㅋ_1" hidden="1">{#N/A,#N/A,TRUE,"대 차 대 조 표"}</definedName>
    <definedName name="ㅋㅋㅋㅋㅋ">#REF!</definedName>
    <definedName name="카러" localSheetId="0" hidden="1">{#N/A,#N/A,FALSE,"1.CRITERIA";#N/A,#N/A,FALSE,"2.IS";#N/A,#N/A,FALSE,"3.BS";#N/A,#N/A,FALSE,"4.PER PL";#N/A,#N/A,FALSE,"5.INVESTMENT";#N/A,#N/A,FALSE,"6.공문";#N/A,#N/A,FALSE,"7.netinvest"}</definedName>
    <definedName name="카러" localSheetId="14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localSheetId="0" hidden="1">{#N/A,#N/A,FALSE,"단축1";#N/A,#N/A,FALSE,"단축2";#N/A,#N/A,FALSE,"단축3";#N/A,#N/A,FALSE,"장축";#N/A,#N/A,FALSE,"4WD"}</definedName>
    <definedName name="카메라" localSheetId="14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캐파" hidden="1">#REF!</definedName>
    <definedName name="커머" localSheetId="0" hidden="1">{#N/A,#N/A,FALSE,"1.CRITERIA";#N/A,#N/A,FALSE,"2.IS";#N/A,#N/A,FALSE,"3.BS";#N/A,#N/A,FALSE,"4.PER PL";#N/A,#N/A,FALSE,"5.INVESTMENT";#N/A,#N/A,FALSE,"6.공문";#N/A,#N/A,FALSE,"7.netinvest"}</definedName>
    <definedName name="커머" localSheetId="14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localSheetId="0" hidden="1">{#N/A,#N/A,FALSE,"1.CRITERIA";#N/A,#N/A,FALSE,"2.IS";#N/A,#N/A,FALSE,"3.BS";#N/A,#N/A,FALSE,"4.PER PL";#N/A,#N/A,FALSE,"5.INVESTMENT";#N/A,#N/A,FALSE,"6.공문";#N/A,#N/A,FALSE,"7.netinvest"}</definedName>
    <definedName name="컼커" localSheetId="14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0" hidden="1">{#N/A,#N/A,FALSE,"1.CRITERIA";#N/A,#N/A,FALSE,"2.IS";#N/A,#N/A,FALSE,"3.BS";#N/A,#N/A,FALSE,"4.PER PL";#N/A,#N/A,FALSE,"5.INVESTMENT";#N/A,#N/A,FALSE,"6.공문";#N/A,#N/A,FALSE,"7.netinvest"}</definedName>
    <definedName name="코" localSheetId="14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>#REF!</definedName>
    <definedName name="콘도비용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>#REF!</definedName>
    <definedName name="키" localSheetId="0" hidden="1">{#N/A,#N/A,FALSE,"1.CRITERIA";#N/A,#N/A,FALSE,"2.IS";#N/A,#N/A,FALSE,"3.BS";#N/A,#N/A,FALSE,"4.PER PL";#N/A,#N/A,FALSE,"5.INVESTMENT";#N/A,#N/A,FALSE,"6.공문";#N/A,#N/A,FALSE,"7.netinvest"}</definedName>
    <definedName name="키" localSheetId="14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0" hidden="1">{#N/A,#N/A,FALSE,"단축1";#N/A,#N/A,FALSE,"단축2";#N/A,#N/A,FALSE,"단축3";#N/A,#N/A,FALSE,"장축";#N/A,#N/A,FALSE,"4WD"}</definedName>
    <definedName name="ㅌ" localSheetId="14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0" hidden="1">{#N/A,#N/A,FALSE,"단축1";#N/A,#N/A,FALSE,"단축2";#N/A,#N/A,FALSE,"단축3";#N/A,#N/A,FALSE,"장축";#N/A,#N/A,FALSE,"4WD"}</definedName>
    <definedName name="ㅌㄴㅇ" localSheetId="14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localSheetId="0" hidden="1">{#N/A,#N/A,FALSE,"Aging Summary";#N/A,#N/A,FALSE,"Ratio Analysis";#N/A,#N/A,FALSE,"Test 120 Day Accts";#N/A,#N/A,FALSE,"Tickmarks"}</definedName>
    <definedName name="ㅌㄹㅇㄴㄻㅇㄹ" localSheetId="14" hidden="1">{#N/A,#N/A,FALSE,"Aging Summary";#N/A,#N/A,FALSE,"Ratio Analysis";#N/A,#N/A,FALSE,"Test 120 Day Accts";#N/A,#N/A,FALSE,"Tickmarks"}</definedName>
    <definedName name="ㅌㄹㅇㄴㄻㅇㄹ" hidden="1">{#N/A,#N/A,FALSE,"Aging Summary";#N/A,#N/A,FALSE,"Ratio Analysis";#N/A,#N/A,FALSE,"Test 120 Day Accts";#N/A,#N/A,FALSE,"Tickmarks"}</definedName>
    <definedName name="ㅌㅇㅍㅊㅍㅎ" localSheetId="0" hidden="1">{#N/A,#N/A,FALSE,"96 3월물량표";#N/A,#N/A,FALSE,"96 4월물량표";#N/A,#N/A,FALSE,"96 5월물량표"}</definedName>
    <definedName name="ㅌㅇㅍㅊㅍㅎ" localSheetId="14" hidden="1">{#N/A,#N/A,FALSE,"96 3월물량표";#N/A,#N/A,FALSE,"96 4월물량표";#N/A,#N/A,FALSE,"96 5월물량표"}</definedName>
    <definedName name="ㅌㅇㅍㅊㅍㅎ" hidden="1">{#N/A,#N/A,FALSE,"96 3월물량표";#N/A,#N/A,FALSE,"96 4월물량표";#N/A,#N/A,FALSE,"96 5월물량표"}</definedName>
    <definedName name="ㅌㅌㅌ" localSheetId="0" hidden="1">{#N/A,#N/A,TRUE,"일정"}</definedName>
    <definedName name="ㅌㅌㅌ" localSheetId="14" hidden="1">{#N/A,#N/A,TRUE,"일정"}</definedName>
    <definedName name="ㅌㅌㅌ" hidden="1">{#N/A,#N/A,TRUE,"일정"}</definedName>
    <definedName name="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>#REF!</definedName>
    <definedName name="타입평">#REF!</definedName>
    <definedName name="타타타" localSheetId="0" hidden="1">{"'Sheet1'!$A$1:$H$36"}</definedName>
    <definedName name="타타타" localSheetId="14" hidden="1">{"'Sheet1'!$A$1:$H$36"}</definedName>
    <definedName name="타타타" hidden="1">{"'Sheet1'!$A$1:$H$36"}</definedName>
    <definedName name="태산">#REF!</definedName>
    <definedName name="택시">#REF!</definedName>
    <definedName name="테넌트" localSheetId="0" hidden="1">{#N/A,#N/A,TRUE,"Y생산";#N/A,#N/A,TRUE,"Y판매";#N/A,#N/A,TRUE,"Y총물량";#N/A,#N/A,TRUE,"Y능력";#N/A,#N/A,TRUE,"YKD"}</definedName>
    <definedName name="테넌트" localSheetId="14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_1" localSheetId="0" hidden="1">{#N/A,#N/A,TRUE,"Y생산";#N/A,#N/A,TRUE,"Y판매";#N/A,#N/A,TRUE,"Y총물량";#N/A,#N/A,TRUE,"Y능력";#N/A,#N/A,TRUE,"YKD"}</definedName>
    <definedName name="테넌트_1" localSheetId="14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localSheetId="0" hidden="1">{#N/A,#N/A,TRUE,"Y생산";#N/A,#N/A,TRUE,"Y판매";#N/A,#N/A,TRUE,"Y총물량";#N/A,#N/A,TRUE,"Y능력";#N/A,#N/A,TRUE,"YKD"}</definedName>
    <definedName name="테넌트팀" localSheetId="14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localSheetId="0" hidden="1">{#N/A,#N/A,TRUE,"Y생산";#N/A,#N/A,TRUE,"Y판매";#N/A,#N/A,TRUE,"Y총물량";#N/A,#N/A,TRUE,"Y능력";#N/A,#N/A,TRUE,"YKD"}</definedName>
    <definedName name="테넌트팀_1" localSheetId="14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13">BlankMacro1</definedName>
    <definedName name="템플리트모듈1" localSheetId="0">BlankMacro1</definedName>
    <definedName name="템플리트모듈1" localSheetId="14">BlankMacro1</definedName>
    <definedName name="템플리트모듈1" localSheetId="4">BlankMacro1</definedName>
    <definedName name="템플리트모듈1" localSheetId="5">BlankMacro1</definedName>
    <definedName name="템플리트모듈1" localSheetId="6">BlankMacro1</definedName>
    <definedName name="템플리트모듈1" localSheetId="7">BlankMacro1</definedName>
    <definedName name="템플리트모듈1" localSheetId="8">BlankMacro1</definedName>
    <definedName name="템플리트모듈1" localSheetId="9">BlankMacro1</definedName>
    <definedName name="템플리트모듈1" localSheetId="10">BlankMacro1</definedName>
    <definedName name="템플리트모듈1" localSheetId="11">BlankMacro1</definedName>
    <definedName name="템플리트모듈1" localSheetId="12">BlankMacro1</definedName>
    <definedName name="템플리트모듈1" localSheetId="1">BlankMacro1</definedName>
    <definedName name="템플리트모듈1">BlankMacro1</definedName>
    <definedName name="템플리트모듈2" localSheetId="13">BlankMacro1</definedName>
    <definedName name="템플리트모듈2" localSheetId="0">BlankMacro1</definedName>
    <definedName name="템플리트모듈2" localSheetId="14">BlankMacro1</definedName>
    <definedName name="템플리트모듈2" localSheetId="4">BlankMacro1</definedName>
    <definedName name="템플리트모듈2" localSheetId="5">BlankMacro1</definedName>
    <definedName name="템플리트모듈2" localSheetId="6">BlankMacro1</definedName>
    <definedName name="템플리트모듈2" localSheetId="7">BlankMacro1</definedName>
    <definedName name="템플리트모듈2" localSheetId="8">BlankMacro1</definedName>
    <definedName name="템플리트모듈2" localSheetId="9">BlankMacro1</definedName>
    <definedName name="템플리트모듈2" localSheetId="10">BlankMacro1</definedName>
    <definedName name="템플리트모듈2" localSheetId="11">BlankMacro1</definedName>
    <definedName name="템플리트모듈2" localSheetId="12">BlankMacro1</definedName>
    <definedName name="템플리트모듈2" localSheetId="1">BlankMacro1</definedName>
    <definedName name="템플리트모듈2">BlankMacro1</definedName>
    <definedName name="템플리트모듈3" localSheetId="13">BlankMacro1</definedName>
    <definedName name="템플리트모듈3" localSheetId="0">BlankMacro1</definedName>
    <definedName name="템플리트모듈3" localSheetId="14">BlankMacro1</definedName>
    <definedName name="템플리트모듈3" localSheetId="4">BlankMacro1</definedName>
    <definedName name="템플리트모듈3" localSheetId="5">BlankMacro1</definedName>
    <definedName name="템플리트모듈3" localSheetId="6">BlankMacro1</definedName>
    <definedName name="템플리트모듈3" localSheetId="7">BlankMacro1</definedName>
    <definedName name="템플리트모듈3" localSheetId="8">BlankMacro1</definedName>
    <definedName name="템플리트모듈3" localSheetId="9">BlankMacro1</definedName>
    <definedName name="템플리트모듈3" localSheetId="10">BlankMacro1</definedName>
    <definedName name="템플리트모듈3" localSheetId="11">BlankMacro1</definedName>
    <definedName name="템플리트모듈3" localSheetId="12">BlankMacro1</definedName>
    <definedName name="템플리트모듈3" localSheetId="1">BlankMacro1</definedName>
    <definedName name="템플리트모듈3">BlankMacro1</definedName>
    <definedName name="템플리트모듈4" localSheetId="13">BlankMacro1</definedName>
    <definedName name="템플리트모듈4" localSheetId="0">BlankMacro1</definedName>
    <definedName name="템플리트모듈4" localSheetId="14">BlankMacro1</definedName>
    <definedName name="템플리트모듈4" localSheetId="4">BlankMacro1</definedName>
    <definedName name="템플리트모듈4" localSheetId="5">BlankMacro1</definedName>
    <definedName name="템플리트모듈4" localSheetId="6">BlankMacro1</definedName>
    <definedName name="템플리트모듈4" localSheetId="7">BlankMacro1</definedName>
    <definedName name="템플리트모듈4" localSheetId="8">BlankMacro1</definedName>
    <definedName name="템플리트모듈4" localSheetId="9">BlankMacro1</definedName>
    <definedName name="템플리트모듈4" localSheetId="10">BlankMacro1</definedName>
    <definedName name="템플리트모듈4" localSheetId="11">BlankMacro1</definedName>
    <definedName name="템플리트모듈4" localSheetId="12">BlankMacro1</definedName>
    <definedName name="템플리트모듈4" localSheetId="1">BlankMacro1</definedName>
    <definedName name="템플리트모듈4">BlankMacro1</definedName>
    <definedName name="템플리트모듈5" localSheetId="13">BlankMacro1</definedName>
    <definedName name="템플리트모듈5" localSheetId="0">BlankMacro1</definedName>
    <definedName name="템플리트모듈5" localSheetId="14">BlankMacro1</definedName>
    <definedName name="템플리트모듈5" localSheetId="4">BlankMacro1</definedName>
    <definedName name="템플리트모듈5" localSheetId="5">BlankMacro1</definedName>
    <definedName name="템플리트모듈5" localSheetId="6">BlankMacro1</definedName>
    <definedName name="템플리트모듈5" localSheetId="7">BlankMacro1</definedName>
    <definedName name="템플리트모듈5" localSheetId="8">BlankMacro1</definedName>
    <definedName name="템플리트모듈5" localSheetId="9">BlankMacro1</definedName>
    <definedName name="템플리트모듈5" localSheetId="10">BlankMacro1</definedName>
    <definedName name="템플리트모듈5" localSheetId="11">BlankMacro1</definedName>
    <definedName name="템플리트모듈5" localSheetId="12">BlankMacro1</definedName>
    <definedName name="템플리트모듈5" localSheetId="1">BlankMacro1</definedName>
    <definedName name="템플리트모듈5">BlankMacro1</definedName>
    <definedName name="템플리트모듈6" localSheetId="13">BlankMacro1</definedName>
    <definedName name="템플리트모듈6" localSheetId="0">BlankMacro1</definedName>
    <definedName name="템플리트모듈6" localSheetId="14">BlankMacro1</definedName>
    <definedName name="템플리트모듈6" localSheetId="4">BlankMacro1</definedName>
    <definedName name="템플리트모듈6" localSheetId="5">BlankMacro1</definedName>
    <definedName name="템플리트모듈6" localSheetId="6">BlankMacro1</definedName>
    <definedName name="템플리트모듈6" localSheetId="7">BlankMacro1</definedName>
    <definedName name="템플리트모듈6" localSheetId="8">BlankMacro1</definedName>
    <definedName name="템플리트모듈6" localSheetId="9">BlankMacro1</definedName>
    <definedName name="템플리트모듈6" localSheetId="10">BlankMacro1</definedName>
    <definedName name="템플리트모듈6" localSheetId="11">BlankMacro1</definedName>
    <definedName name="템플리트모듈6" localSheetId="12">BlankMacro1</definedName>
    <definedName name="템플리트모듈6" localSheetId="1">BlankMacro1</definedName>
    <definedName name="템플리트모듈6">BlankMacro1</definedName>
    <definedName name="토공량" localSheetId="0" hidden="1">{#N/A,#N/A,FALSE,"기안지";#N/A,#N/A,FALSE,"통신지"}</definedName>
    <definedName name="토공량" localSheetId="14" hidden="1">{#N/A,#N/A,FALSE,"기안지";#N/A,#N/A,FALSE,"통신지"}</definedName>
    <definedName name="토공량" hidden="1">{#N/A,#N/A,FALSE,"기안지";#N/A,#N/A,FALSE,"통신지"}</definedName>
    <definedName name="통제권">#REF!</definedName>
    <definedName name="통제범위">#REF!</definedName>
    <definedName name="통합본관" hidden="1">#REF!</definedName>
    <definedName name="퇴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>#REF!</definedName>
    <definedName name="퇴10">#REF!</definedName>
    <definedName name="퇴11">#REF!</definedName>
    <definedName name="퇴12">#REF!</definedName>
    <definedName name="퇴2">#REF!</definedName>
    <definedName name="퇴3">#REF!</definedName>
    <definedName name="퇴4">#REF!</definedName>
    <definedName name="퇴5">#REF!</definedName>
    <definedName name="퇴6">#REF!</definedName>
    <definedName name="퇴7">#REF!</definedName>
    <definedName name="퇴8">#REF!</definedName>
    <definedName name="퇴9">#REF!</definedName>
    <definedName name="퇴사">#REF!</definedName>
    <definedName name="퇴직">#REF!</definedName>
    <definedName name="퇴직10월">#REF!</definedName>
    <definedName name="퇴직11월">#REF!</definedName>
    <definedName name="퇴직12월">#REF!</definedName>
    <definedName name="퇴직3월">#REF!</definedName>
    <definedName name="퇴직4월">#REF!</definedName>
    <definedName name="퇴직5월">#REF!</definedName>
    <definedName name="퇴직6월">#REF!</definedName>
    <definedName name="퇴직7월">#REF!</definedName>
    <definedName name="퇴직8월">#REF!</definedName>
    <definedName name="퇴직9월">#REF!</definedName>
    <definedName name="퇴직보험">#REF!</definedName>
    <definedName name="퇴직보험료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>#REF!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hidden="1">#REF!</definedName>
    <definedName name="투자" localSheetId="0" hidden="1">{#N/A,#N/A,FALSE,"단축1";#N/A,#N/A,FALSE,"단축2";#N/A,#N/A,FALSE,"단축3";#N/A,#N/A,FALSE,"장축";#N/A,#N/A,FALSE,"4WD"}</definedName>
    <definedName name="투자" localSheetId="14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CONC.182억" localSheetId="0" hidden="1">{#N/A,#N/A,FALSE,"단축1";#N/A,#N/A,FALSE,"단축2";#N/A,#N/A,FALSE,"단축3";#N/A,#N/A,FALSE,"장축";#N/A,#N/A,FALSE,"4WD"}</definedName>
    <definedName name="투자CONC.182억" localSheetId="14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>#REF!</definedName>
    <definedName name="투자비">#REF!</definedName>
    <definedName name="투자비비교" localSheetId="0" hidden="1">{#N/A,#N/A,FALSE,"단축1";#N/A,#N/A,FALSE,"단축2";#N/A,#N/A,FALSE,"단축3";#N/A,#N/A,FALSE,"장축";#N/A,#N/A,FALSE,"4WD"}</definedName>
    <definedName name="투자비비교" localSheetId="14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자산">#REF!</definedName>
    <definedName name="투자자자본금">#REF!</definedName>
    <definedName name="투자지출CA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>#REF!</definedName>
    <definedName name="트럭proj">#REF!</definedName>
    <definedName name="특선인원">#REF!</definedName>
    <definedName name="특정" localSheetId="0" hidden="1">{#N/A,#N/A,FALSE,"1.CRITERIA";#N/A,#N/A,FALSE,"2.IS";#N/A,#N/A,FALSE,"3.BS";#N/A,#N/A,FALSE,"4.PER PL";#N/A,#N/A,FALSE,"5.INVESTMENT";#N/A,#N/A,FALSE,"6.공문";#N/A,#N/A,FALSE,"7.netinvest"}</definedName>
    <definedName name="특정" localSheetId="14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>#REF!</definedName>
    <definedName name="틀없애기">#REF!</definedName>
    <definedName name="팀별">#REF!</definedName>
    <definedName name="ㅍ" localSheetId="0" hidden="1">{#N/A,#N/A,FALSE,"표지";#N/A,#N/A,FALSE,"전제";#N/A,#N/A,FALSE,"대당";#N/A,#N/A,FALSE,"가공비";#N/A,#N/A,FALSE,"재료비";#N/A,#N/A,FALSE,"손익"}</definedName>
    <definedName name="ㅍ" localSheetId="14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ㅍ르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localSheetId="0" hidden="1">{#N/A,#N/A,FALSE,"단축1";#N/A,#N/A,FALSE,"단축2";#N/A,#N/A,FALSE,"단축3";#N/A,#N/A,FALSE,"장축";#N/A,#N/A,FALSE,"4WD"}</definedName>
    <definedName name="ㅍㅍ" localSheetId="14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ㅍㅍㅍㅍㅍ">#REF!</definedName>
    <definedName name="ㅍㅍㅍㅍㅍㅍㅍㅍ">#REF!</definedName>
    <definedName name="ㅍㅍㅍㅍㅍㅍㅍㅍㅍㅍㅍㅍㅍㅍㅍㅍㅍㅍ">#REF!</definedName>
    <definedName name="ㅍㅍㅍㅍㅍㅍㅍㅍㅍㅍㅍㅍㅍㅍㅍㅍㅍㅍㅍㅍㅍㅍㅍㅍㅍㅍㅍ">#REF!</definedName>
    <definedName name="파" localSheetId="0" hidden="1">{#N/A,#N/A,FALSE,"1.CRITERIA";#N/A,#N/A,FALSE,"2.IS";#N/A,#N/A,FALSE,"3.BS";#N/A,#N/A,FALSE,"4.PER PL";#N/A,#N/A,FALSE,"5.INVESTMENT";#N/A,#N/A,FALSE,"6.공문";#N/A,#N/A,FALSE,"7.netinvest"}</definedName>
    <definedName name="파" localSheetId="14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localSheetId="0" hidden="1">{#N/A,#N/A,FALSE,"1.CRITERIA";#N/A,#N/A,FALSE,"2.IS";#N/A,#N/A,FALSE,"3.BS";#N/A,#N/A,FALSE,"4.PER PL";#N/A,#N/A,FALSE,"5.INVESTMENT";#N/A,#N/A,FALSE,"6.공문";#N/A,#N/A,FALSE,"7.netinvest"}</definedName>
    <definedName name="파아라" localSheetId="14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0" hidden="1">{#N/A,#N/A,FALSE,"1.CRITERIA";#N/A,#N/A,FALSE,"2.IS";#N/A,#N/A,FALSE,"3.BS";#N/A,#N/A,FALSE,"4.PER PL";#N/A,#N/A,FALSE,"5.INVESTMENT";#N/A,#N/A,FALSE,"6.공문";#N/A,#N/A,FALSE,"7.netinvest"}</definedName>
    <definedName name="파하" localSheetId="14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>#REF!</definedName>
    <definedName name="판고">#REF!</definedName>
    <definedName name="판관비" hidden="1">#REF!</definedName>
    <definedName name="판관비tot" localSheetId="0" hidden="1">{#N/A,#N/A,FALSE,"Aging Summary";#N/A,#N/A,FALSE,"Ratio Analysis";#N/A,#N/A,FALSE,"Test 120 Day Accts";#N/A,#N/A,FALSE,"Tickmarks"}</definedName>
    <definedName name="판관비tot" localSheetId="14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넬조립부" localSheetId="0" hidden="1">{"'호선별현황(방식)'!$K$22:$P$22","'호선별현황(방식)'!$K$22:$P$22"}</definedName>
    <definedName name="판넬조립부" localSheetId="14" hidden="1">{"'호선별현황(방식)'!$K$22:$P$22","'호선별현황(방식)'!$K$22:$P$22"}</definedName>
    <definedName name="판넬조립부" hidden="1">{"'호선별현황(방식)'!$K$22:$P$22","'호선별현황(방식)'!$K$22:$P$22"}</definedName>
    <definedName name="판매량">#REF!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>#REF!</definedName>
    <definedName name="판매액">#REF!</definedName>
    <definedName name="판매출고단가">#REF!</definedName>
    <definedName name="판변">#REF!</definedName>
    <definedName name="판인">#REF!</definedName>
    <definedName name="판직고">#REF!</definedName>
    <definedName name="판직변">#REF!</definedName>
    <definedName name="판촉지원적립금" localSheetId="0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4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localSheetId="0" hidden="1">{#N/A,#N/A,FALSE,"1.CRITERIA";#N/A,#N/A,FALSE,"2.IS";#N/A,#N/A,FALSE,"3.BS";#N/A,#N/A,FALSE,"4.PER PL";#N/A,#N/A,FALSE,"5.INVESTMENT";#N/A,#N/A,FALSE,"6.공문";#N/A,#N/A,FALSE,"7.netinvest"}</definedName>
    <definedName name="퍄" localSheetId="14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0" hidden="1">{#N/A,#N/A,FALSE,"1.CRITERIA";#N/A,#N/A,FALSE,"2.IS";#N/A,#N/A,FALSE,"3.BS";#N/A,#N/A,FALSE,"4.PER PL";#N/A,#N/A,FALSE,"5.INVESTMENT";#N/A,#N/A,FALSE,"6.공문";#N/A,#N/A,FALSE,"7.netinvest"}</definedName>
    <definedName name="페" localSheetId="14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localSheetId="0" hidden="1">{#N/A,#N/A,TRUE,"일정"}</definedName>
    <definedName name="펜다" localSheetId="14" hidden="1">{#N/A,#N/A,TRUE,"일정"}</definedName>
    <definedName name="펜다" hidden="1">{#N/A,#N/A,TRUE,"일정"}</definedName>
    <definedName name="펴" localSheetId="0" hidden="1">{#N/A,#N/A,FALSE,"1.CRITERIA";#N/A,#N/A,FALSE,"2.IS";#N/A,#N/A,FALSE,"3.BS";#N/A,#N/A,FALSE,"4.PER PL";#N/A,#N/A,FALSE,"5.INVESTMENT";#N/A,#N/A,FALSE,"6.공문";#N/A,#N/A,FALSE,"7.netinvest"}</definedName>
    <definedName name="펴" localSheetId="14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>#REF!</definedName>
    <definedName name="평균">#REF!</definedName>
    <definedName name="평균값" localSheetId="0" hidden="1">{#N/A,#N/A,FALSE,"95FW"}</definedName>
    <definedName name="평균값" localSheetId="14" hidden="1">{#N/A,#N/A,FALSE,"95FW"}</definedName>
    <definedName name="평균값" hidden="1">{#N/A,#N/A,FALSE,"95FW"}</definedName>
    <definedName name="평균이자율" hidden="1">#REF!</definedName>
    <definedName name="평형구분">#REF!</definedName>
    <definedName name="폐기" hidden="1">#REF!</definedName>
    <definedName name="포" localSheetId="0" hidden="1">{#N/A,#N/A,FALSE,"1.CRITERIA";#N/A,#N/A,FALSE,"2.IS";#N/A,#N/A,FALSE,"3.BS";#N/A,#N/A,FALSE,"4.PER PL";#N/A,#N/A,FALSE,"5.INVESTMENT";#N/A,#N/A,FALSE,"6.공문";#N/A,#N/A,FALSE,"7.netinvest"}</definedName>
    <definedName name="포" localSheetId="14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localSheetId="0" hidden="1">{#N/A,#N/A,TRUE,"대 차 대 조 표"}</definedName>
    <definedName name="포스코" localSheetId="14" hidden="1">{#N/A,#N/A,TRUE,"대 차 대 조 표"}</definedName>
    <definedName name="포스코" hidden="1">{#N/A,#N/A,TRUE,"대 차 대 조 표"}</definedName>
    <definedName name="포스코_1" localSheetId="0" hidden="1">{#N/A,#N/A,TRUE,"대 차 대 조 표"}</definedName>
    <definedName name="포스코_1" localSheetId="14" hidden="1">{#N/A,#N/A,TRUE,"대 차 대 조 표"}</definedName>
    <definedName name="포스코_1" hidden="1">{#N/A,#N/A,TRUE,"대 차 대 조 표"}</definedName>
    <definedName name="표">#REF!</definedName>
    <definedName name="표지" localSheetId="0" hidden="1">{"'호선별현황(방식)'!$K$22:$P$22","'호선별현황(방식)'!$K$22:$P$22"}</definedName>
    <definedName name="표지" localSheetId="14" hidden="1">{"'호선별현황(방식)'!$K$22:$P$22","'호선별현황(방식)'!$K$22:$P$22"}</definedName>
    <definedName name="표지" hidden="1">{"'호선별현황(방식)'!$K$22:$P$22","'호선별현황(방식)'!$K$22:$P$22"}</definedName>
    <definedName name="표지_1" localSheetId="0" hidden="1">{#N/A,#N/A,FALSE,"동부"}</definedName>
    <definedName name="표지_1" localSheetId="14" hidden="1">{#N/A,#N/A,FALSE,"동부"}</definedName>
    <definedName name="표지_1" hidden="1">{#N/A,#N/A,FALSE,"동부"}</definedName>
    <definedName name="표지1">#REF!</definedName>
    <definedName name="푸하하하">#REF!</definedName>
    <definedName name="품">#REF!</definedName>
    <definedName name="품명">#REF!</definedName>
    <definedName name="품질생산합격" localSheetId="0" hidden="1">{#N/A,#N/A,TRUE,"Y생산";#N/A,#N/A,TRUE,"Y판매";#N/A,#N/A,TRUE,"Y총물량";#N/A,#N/A,TRUE,"Y능력";#N/A,#N/A,TRUE,"YKD"}</definedName>
    <definedName name="품질생산합격" localSheetId="14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>#REF!</definedName>
    <definedName name="피크치">#REF!</definedName>
    <definedName name="피크치1">#N/A</definedName>
    <definedName name="피크치2">#N/A</definedName>
    <definedName name="ㅎ" localSheetId="0" hidden="1">{#N/A,#N/A,FALSE,"단축1";#N/A,#N/A,FALSE,"단축2";#N/A,#N/A,FALSE,"단축3";#N/A,#N/A,FALSE,"장축";#N/A,#N/A,FALSE,"4WD"}</definedName>
    <definedName name="ㅎ" localSheetId="14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0" hidden="1">{#N/A,#N/A,TRUE,"Y생산";#N/A,#N/A,TRUE,"Y판매";#N/A,#N/A,TRUE,"Y총물량";#N/A,#N/A,TRUE,"Y능력";#N/A,#N/A,TRUE,"YKD"}</definedName>
    <definedName name="ㅎ라" localSheetId="14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ㅂㅈㄷ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localSheetId="0" hidden="1">{#N/A,#N/A,FALSE,"Aging Summary";#N/A,#N/A,FALSE,"Ratio Analysis";#N/A,#N/A,FALSE,"Test 120 Day Accts";#N/A,#N/A,FALSE,"Tickmarks"}</definedName>
    <definedName name="ㅎㅇ" localSheetId="14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ㅁ" localSheetId="0" hidden="1">{#N/A,#N/A,FALSE,"95FW"}</definedName>
    <definedName name="ㅎㅇㅁ" localSheetId="14" hidden="1">{#N/A,#N/A,FALSE,"95FW"}</definedName>
    <definedName name="ㅎㅇㅁ" hidden="1">{#N/A,#N/A,FALSE,"95FW"}</definedName>
    <definedName name="ㅎㅎ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1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0" hidden="1">{#N/A,#N/A,FALSE,"3가";#N/A,#N/A,FALSE,"3나";#N/A,#N/A,FALSE,"3다"}</definedName>
    <definedName name="ㅎㅎㅎ" localSheetId="14" hidden="1">{#N/A,#N/A,FALSE,"3가";#N/A,#N/A,FALSE,"3나";#N/A,#N/A,FALSE,"3다"}</definedName>
    <definedName name="ㅎㅎㅎ" hidden="1">{#N/A,#N/A,FALSE,"3가";#N/A,#N/A,FALSE,"3나";#N/A,#N/A,FALSE,"3다"}</definedName>
    <definedName name="ㅎㅎㅎㅎ">#REF!</definedName>
    <definedName name="ㅎㅎㅎㅎㅎㅎ">#REF!</definedName>
    <definedName name="하">#REF!</definedName>
    <definedName name="하수암거" localSheetId="0" hidden="1">{#N/A,#N/A,FALSE,"포장단가"}</definedName>
    <definedName name="하수암거" localSheetId="14" hidden="1">{#N/A,#N/A,FALSE,"포장단가"}</definedName>
    <definedName name="하수암거" hidden="1">{#N/A,#N/A,FALSE,"포장단가"}</definedName>
    <definedName name="하수암거2" localSheetId="0" hidden="1">{#N/A,#N/A,FALSE,"포장단가"}</definedName>
    <definedName name="하수암거2" localSheetId="14" hidden="1">{#N/A,#N/A,FALSE,"포장단가"}</definedName>
    <definedName name="하수암거2" hidden="1">{#N/A,#N/A,FALSE,"포장단가"}</definedName>
    <definedName name="하역" localSheetId="0" hidden="1">{#N/A,#N/A,FALSE,"채산3501.XLS";#N/A,#N/A,FALSE,"신조수A.XLS";#N/A,#N/A,FALSE,"신조수b.XLS";#N/A,#N/A,FALSE,"채산3502.XLS";#N/A,#N/A,FALSE,"신조원리.XLS";#N/A,#N/A,FALSE,"신조감가.XLS"}</definedName>
    <definedName name="하역" localSheetId="14" hidden="1">{#N/A,#N/A,FALSE,"채산3501.XLS";#N/A,#N/A,FALSE,"신조수A.XLS";#N/A,#N/A,FALSE,"신조수b.XLS";#N/A,#N/A,FALSE,"채산3502.XLS";#N/A,#N/A,FALSE,"신조원리.XLS";#N/A,#N/A,FALSE,"신조감가.XLS"}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localSheetId="0" hidden="1">{#N/A,#N/A,FALSE,"채산3501.XLS";#N/A,#N/A,FALSE,"신조수A.XLS";#N/A,#N/A,FALSE,"신조수b.XLS";#N/A,#N/A,FALSE,"채산3502.XLS";#N/A,#N/A,FALSE,"신조원리.XLS";#N/A,#N/A,FALSE,"신조감가.XLS"}</definedName>
    <definedName name="하역2" localSheetId="14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localSheetId="0" hidden="1">{#N/A,#N/A,FALSE,"SILO현황";#N/A,#N/A,FALSE,"타업체";#N/A,#N/A,FALSE,"생산능력"}</definedName>
    <definedName name="하역영업" localSheetId="14" hidden="1">{#N/A,#N/A,FALSE,"SILO현황";#N/A,#N/A,FALSE,"타업체";#N/A,#N/A,FALSE,"생산능력"}</definedName>
    <definedName name="하역영업" hidden="1">{#N/A,#N/A,FALSE,"SILO현황";#N/A,#N/A,FALSE,"타업체";#N/A,#N/A,FALSE,"생산능력"}</definedName>
    <definedName name="하하">#REF!</definedName>
    <definedName name="하하1">#REF!</definedName>
    <definedName name="하하2">#REF!</definedName>
    <definedName name="하하3">#REF!</definedName>
    <definedName name="하하4">#REF!</definedName>
    <definedName name="학교" localSheetId="0" hidden="1">{"'호선별현황(방식)'!$K$22:$P$22","'호선별현황(방식)'!$K$22:$P$22"}</definedName>
    <definedName name="학교" localSheetId="14" hidden="1">{"'호선별현황(방식)'!$K$22:$P$22","'호선별현황(방식)'!$K$22:$P$22"}</definedName>
    <definedName name="학교" hidden="1">{"'호선별현황(방식)'!$K$22:$P$22","'호선별현황(방식)'!$K$22:$P$22"}</definedName>
    <definedName name="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localSheetId="1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>#REF!</definedName>
    <definedName name="한영사전" localSheetId="0" hidden="1">{#N/A,#N/A,TRUE,"Y생산";#N/A,#N/A,TRUE,"Y판매";#N/A,#N/A,TRUE,"Y총물량";#N/A,#N/A,TRUE,"Y능력";#N/A,#N/A,TRUE,"YKD"}</definedName>
    <definedName name="한영사전" localSheetId="14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사전_1" localSheetId="0" hidden="1">{#N/A,#N/A,TRUE,"Y생산";#N/A,#N/A,TRUE,"Y판매";#N/A,#N/A,TRUE,"Y총물량";#N/A,#N/A,TRUE,"Y능력";#N/A,#N/A,TRUE,"YKD"}</definedName>
    <definedName name="한영사전_1" localSheetId="14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>#REF!</definedName>
    <definedName name="항주은태">#REF!</definedName>
    <definedName name="항차">#REF!</definedName>
    <definedName name="解_任_">#REF!</definedName>
    <definedName name="해무11" localSheetId="0" hidden="1">{#N/A,#N/A,FALSE,"SILO현황";#N/A,#N/A,FALSE,"타업체";#N/A,#N/A,FALSE,"생산능력"}</definedName>
    <definedName name="해무11" localSheetId="14" hidden="1">{#N/A,#N/A,FALSE,"SILO현황";#N/A,#N/A,FALSE,"타업체";#N/A,#N/A,FALSE,"생산능력"}</definedName>
    <definedName name="해무11" hidden="1">{#N/A,#N/A,FALSE,"SILO현황";#N/A,#N/A,FALSE,"타업체";#N/A,#N/A,FALSE,"생산능력"}</definedName>
    <definedName name="해무팀" localSheetId="0" hidden="1">{#N/A,#N/A,FALSE,"채산3501.XLS";#N/A,#N/A,FALSE,"신조수A.XLS";#N/A,#N/A,FALSE,"신조수b.XLS";#N/A,#N/A,FALSE,"채산3502.XLS";#N/A,#N/A,FALSE,"신조원리.XLS";#N/A,#N/A,FALSE,"신조감가.XLS"}</definedName>
    <definedName name="해무팀" localSheetId="14" hidden="1">{#N/A,#N/A,FALSE,"채산3501.XLS";#N/A,#N/A,FALSE,"신조수A.XLS";#N/A,#N/A,FALSE,"신조수b.XLS";#N/A,#N/A,FALSE,"채산3502.XLS";#N/A,#N/A,FALSE,"신조원리.XLS";#N/A,#N/A,FALSE,"신조감가.XLS"}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localSheetId="0" hidden="1">{"'7-2지역별'!$A$1:$R$44"}</definedName>
    <definedName name="해외생산1" localSheetId="14" hidden="1">{"'7-2지역별'!$A$1:$R$44"}</definedName>
    <definedName name="해외생산1" hidden="1">{"'7-2지역별'!$A$1:$R$44"}</definedName>
    <definedName name="해외특수" localSheetId="0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localSheetId="1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>#REF!</definedName>
    <definedName name="해한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localSheetId="0" hidden="1">{#N/A,#N/A,FALSE,"1.CRITERIA";#N/A,#N/A,FALSE,"2.IS";#N/A,#N/A,FALSE,"3.BS";#N/A,#N/A,FALSE,"4.PER PL";#N/A,#N/A,FALSE,"5.INVESTMENT";#N/A,#N/A,FALSE,"6.공문";#N/A,#N/A,FALSE,"7.netinvest"}</definedName>
    <definedName name="햐" localSheetId="14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localSheetId="0" hidden="1">{#N/A,#N/A,FALSE,"단축1";#N/A,#N/A,FALSE,"단축2";#N/A,#N/A,FALSE,"단축3";#N/A,#N/A,FALSE,"장축";#N/A,#N/A,FALSE,"4WD"}</definedName>
    <definedName name="향후계획1" localSheetId="14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쇼ㅏ" localSheetId="0" hidden="1">{#N/A,#N/A,TRUE,"Y생산";#N/A,#N/A,TRUE,"Y판매";#N/A,#N/A,TRUE,"Y총물량";#N/A,#N/A,TRUE,"Y능력";#N/A,#N/A,TRUE,"YKD"}</definedName>
    <definedName name="허쇼ㅏ" localSheetId="14" hidden="1">{#N/A,#N/A,TRUE,"Y생산";#N/A,#N/A,TRUE,"Y판매";#N/A,#N/A,TRUE,"Y총물량";#N/A,#N/A,TRUE,"Y능력";#N/A,#N/A,TRUE,"YKD"}</definedName>
    <definedName name="허쇼ㅏ" hidden="1">{#N/A,#N/A,TRUE,"Y생산";#N/A,#N/A,TRUE,"Y판매";#N/A,#N/A,TRUE,"Y총물량";#N/A,#N/A,TRUE,"Y능력";#N/A,#N/A,TRUE,"YKD"}</definedName>
    <definedName name="허ㅇㄻㄹ" localSheetId="0" hidden="1">{#N/A,#N/A,TRUE,"Y생산";#N/A,#N/A,TRUE,"Y판매";#N/A,#N/A,TRUE,"Y총물량";#N/A,#N/A,TRUE,"Y능력";#N/A,#N/A,TRUE,"YKD"}</definedName>
    <definedName name="허ㅇㄻㄹ" localSheetId="14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localSheetId="0" hidden="1">{#N/A,#N/A,FALSE,"단축1";#N/A,#N/A,FALSE,"단축2";#N/A,#N/A,FALSE,"단축3";#N/A,#N/A,FALSE,"장축";#N/A,#N/A,FALSE,"4WD"}</definedName>
    <definedName name="허ㅓ" localSheetId="14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혀" localSheetId="0" hidden="1">{#N/A,#N/A,FALSE,"1.CRITERIA";#N/A,#N/A,FALSE,"2.IS";#N/A,#N/A,FALSE,"3.BS";#N/A,#N/A,FALSE,"4.PER PL";#N/A,#N/A,FALSE,"5.INVESTMENT";#N/A,#N/A,FALSE,"6.공문";#N/A,#N/A,FALSE,"7.netinvest"}</definedName>
    <definedName name="혀" localSheetId="14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>#REF!</definedName>
    <definedName name="현금" localSheetId="0" hidden="1">{#N/A,#N/A,FALSE,"Aging Summary";#N/A,#N/A,FALSE,"Ratio Analysis";#N/A,#N/A,FALSE,"Test 120 Day Accts";#N/A,#N/A,FALSE,"Tickmarks"}</definedName>
    <definedName name="현금" localSheetId="14" hidden="1">{#N/A,#N/A,FALSE,"Aging Summary";#N/A,#N/A,FALSE,"Ratio Analysis";#N/A,#N/A,FALSE,"Test 120 Day Accts";#N/A,#N/A,FALSE,"Tickmarks"}</definedName>
    <definedName name="현금" hidden="1">{#N/A,#N/A,FALSE,"Aging Summary";#N/A,#N/A,FALSE,"Ratio Analysis";#N/A,#N/A,FALSE,"Test 120 Day Accts";#N/A,#N/A,FALSE,"Tickmarks"}</definedName>
    <definedName name="현금거래_5300">#REF!</definedName>
    <definedName name="현금과예금">#REF!</definedName>
    <definedName name="현금등가물" localSheetId="0" hidden="1">{#N/A,#N/A,FALSE,"Aging Summary";#N/A,#N/A,FALSE,"Ratio Analysis";#N/A,#N/A,FALSE,"Test 120 Day Accts";#N/A,#N/A,FALSE,"Tickmarks"}</definedName>
    <definedName name="현금등가물" localSheetId="14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등가물및단기" localSheetId="14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>#REF!</definedName>
    <definedName name="현금출납장">#REF!</definedName>
    <definedName name="현금흐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1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localSheetId="0" hidden="1">{#N/A,#N/A,FALSE,"Aging Summary";#N/A,#N/A,FALSE,"Ratio Analysis";#N/A,#N/A,FALSE,"Test 120 Day Accts";#N/A,#N/A,FALSE,"Tickmarks"}</definedName>
    <definedName name="현금흐름표04" localSheetId="14" hidden="1">{#N/A,#N/A,FALSE,"Aging Summary";#N/A,#N/A,FALSE,"Ratio Analysis";#N/A,#N/A,FALSE,"Test 120 Day Accts";#N/A,#N/A,FALSE,"Tickmarks"}</definedName>
    <definedName name="현금흐름표04" hidden="1">{#N/A,#N/A,FALSE,"Aging Summary";#N/A,#N/A,FALSE,"Ratio Analysis";#N/A,#N/A,FALSE,"Test 120 Day Accts";#N/A,#N/A,FALSE,"Tickmarks"}</definedName>
    <definedName name="현금흐름표5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localSheetId="1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>#REF!</definedName>
    <definedName name="현대내자터미널">#REF!</definedName>
    <definedName name="現代綜合商事經由分">#REF!</definedName>
    <definedName name="현재" localSheetId="0" hidden="1">{"'Sheet1'!$A$1:$H$36"}</definedName>
    <definedName name="현재" localSheetId="14" hidden="1">{"'Sheet1'!$A$1:$H$36"}</definedName>
    <definedName name="현재" hidden="1">{"'Sheet1'!$A$1:$H$36"}</definedName>
    <definedName name="현재지출전체">#REF!</definedName>
    <definedName name="현호봉">#REF!</definedName>
    <definedName name="현황작성">#REF!</definedName>
    <definedName name="협전">#REF!</definedName>
    <definedName name="협조및조정사항" localSheetId="0" hidden="1">{"'호선별현황(방식)'!$K$22:$P$22","'호선별현황(방식)'!$K$22:$P$22"}</definedName>
    <definedName name="협조및조정사항" localSheetId="14" hidden="1">{"'호선별현황(방식)'!$K$22:$P$22","'호선별현황(방식)'!$K$22:$P$22"}</definedName>
    <definedName name="협조및조정사항" hidden="1">{"'호선별현황(방식)'!$K$22:$P$22","'호선별현황(방식)'!$K$22:$P$22"}</definedName>
    <definedName name="협조전">#REF!</definedName>
    <definedName name="호" hidden="1">#REF!</definedName>
    <definedName name="호남222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>#REF!</definedName>
    <definedName name="호별시가안분">#REF!</definedName>
    <definedName name="호봉표">#REF!</definedName>
    <definedName name="호봉표1">#REF!</definedName>
    <definedName name="호호">#REF!</definedName>
    <definedName name="호ㅓ쇼" localSheetId="0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localSheetId="14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localSheetId="0" hidden="1">{#N/A,#N/A,FALSE,"96 3월물량표";#N/A,#N/A,FALSE,"96 4월물량표";#N/A,#N/A,FALSE,"96 5월물량표"}</definedName>
    <definedName name="호ㅓㅏ" localSheetId="14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ㅗ" localSheetId="13">BlankMacro1</definedName>
    <definedName name="호ㅗ" localSheetId="0">BlankMacro1</definedName>
    <definedName name="호ㅗ" localSheetId="14">BlankMacro1</definedName>
    <definedName name="호ㅗ" localSheetId="4">BlankMacro1</definedName>
    <definedName name="호ㅗ" localSheetId="5">BlankMacro1</definedName>
    <definedName name="호ㅗ" localSheetId="6">BlankMacro1</definedName>
    <definedName name="호ㅗ" localSheetId="7">BlankMacro1</definedName>
    <definedName name="호ㅗ" localSheetId="8">BlankMacro1</definedName>
    <definedName name="호ㅗ" localSheetId="9">BlankMacro1</definedName>
    <definedName name="호ㅗ" localSheetId="10">BlankMacro1</definedName>
    <definedName name="호ㅗ" localSheetId="11">BlankMacro1</definedName>
    <definedName name="호ㅗ" localSheetId="12">BlankMacro1</definedName>
    <definedName name="호ㅗ" localSheetId="1">BlankMacro1</definedName>
    <definedName name="호ㅗ">BlankMacro1</definedName>
    <definedName name="홍길동" localSheetId="0" hidden="1">{#N/A,#N/A,FALSE,"표지";#N/A,#N/A,FALSE,"전제";#N/A,#N/A,FALSE,"손익-자 (2)";#N/A,#N/A,FALSE,"손익-자";#N/A,#N/A,FALSE,"손익-마 (2)";#N/A,#N/A,FALSE,"손익-마";#N/A,#N/A,FALSE,"총손최종"}</definedName>
    <definedName name="홍길동" localSheetId="14" hidden="1">{#N/A,#N/A,FALSE,"표지";#N/A,#N/A,FALSE,"전제";#N/A,#N/A,FALSE,"손익-자 (2)";#N/A,#N/A,FALSE,"손익-자";#N/A,#N/A,FALSE,"손익-마 (2)";#N/A,#N/A,FALSE,"손익-마";#N/A,#N/A,FALSE,"총손최종"}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>#REF!</definedName>
    <definedName name="화">#REF!</definedName>
    <definedName name="확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>#REF!</definedName>
    <definedName name="환산률">#REF!</definedName>
    <definedName name="환율">#REF!</definedName>
    <definedName name="환율표">#REF!</definedName>
    <definedName name="환차손" localSheetId="0" hidden="1">{#N/A,#N/A,FALSE,"Aging Summary";#N/A,#N/A,FALSE,"Ratio Analysis";#N/A,#N/A,FALSE,"Test 120 Day Accts";#N/A,#N/A,FALSE,"Tickmarks"}</definedName>
    <definedName name="환차손" localSheetId="14" hidden="1">{#N/A,#N/A,FALSE,"Aging Summary";#N/A,#N/A,FALSE,"Ratio Analysis";#N/A,#N/A,FALSE,"Test 120 Day Accts";#N/A,#N/A,FALSE,"Tickmarks"}</definedName>
    <definedName name="환차손" hidden="1">{#N/A,#N/A,FALSE,"Aging Summary";#N/A,#N/A,FALSE,"Ratio Analysis";#N/A,#N/A,FALSE,"Test 120 Day Accts";#N/A,#N/A,FALSE,"Tickmarks"}</definedName>
    <definedName name="환차손익수정" localSheetId="0" hidden="1">{#N/A,#N/A,FALSE,"Aging Summary";#N/A,#N/A,FALSE,"Ratio Analysis";#N/A,#N/A,FALSE,"Test 120 Day Accts";#N/A,#N/A,FALSE,"Tickmarks"}</definedName>
    <definedName name="환차손익수정" localSheetId="14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>#REF!</definedName>
    <definedName name="회당예산">#REF!</definedName>
    <definedName name="회사명">#REF!</definedName>
    <definedName name="회사이름">#REF!</definedName>
    <definedName name="회원권">#REF!</definedName>
    <definedName name="회장" localSheetId="13">BlankMacro1</definedName>
    <definedName name="회장" localSheetId="0">BlankMacro1</definedName>
    <definedName name="회장" localSheetId="14">BlankMacro1</definedName>
    <definedName name="회장" localSheetId="4">BlankMacro1</definedName>
    <definedName name="회장" localSheetId="5">BlankMacro1</definedName>
    <definedName name="회장" localSheetId="6">BlankMacro1</definedName>
    <definedName name="회장" localSheetId="7">BlankMacro1</definedName>
    <definedName name="회장" localSheetId="8">BlankMacro1</definedName>
    <definedName name="회장" localSheetId="9">BlankMacro1</definedName>
    <definedName name="회장" localSheetId="10">BlankMacro1</definedName>
    <definedName name="회장" localSheetId="11">BlankMacro1</definedName>
    <definedName name="회장" localSheetId="12">BlankMacro1</definedName>
    <definedName name="회장" localSheetId="1">BlankMacro1</definedName>
    <definedName name="회장">BlankMacro1</definedName>
    <definedName name="효" localSheetId="0" hidden="1">{#N/A,#N/A,FALSE,"1.CRITERIA";#N/A,#N/A,FALSE,"2.IS";#N/A,#N/A,FALSE,"3.BS";#N/A,#N/A,FALSE,"4.PER PL";#N/A,#N/A,FALSE,"5.INVESTMENT";#N/A,#N/A,FALSE,"6.공문";#N/A,#N/A,FALSE,"7.netinvest"}</definedName>
    <definedName name="효" localSheetId="14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localSheetId="0" hidden="1">{#N/A,#N/A,FALSE,"1.CRITERIA";#N/A,#N/A,FALSE,"2.IS";#N/A,#N/A,FALSE,"3.BS";#N/A,#N/A,FALSE,"4.PER PL";#N/A,#N/A,FALSE,"5.INVESTMENT";#N/A,#N/A,FALSE,"6.공문";#N/A,#N/A,FALSE,"7.netinvest"}</definedName>
    <definedName name="후" localSheetId="14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>#REF!</definedName>
    <definedName name="휴" localSheetId="0" hidden="1">{#N/A,#N/A,FALSE,"1.CRITERIA";#N/A,#N/A,FALSE,"2.IS";#N/A,#N/A,FALSE,"3.BS";#N/A,#N/A,FALSE,"4.PER PL";#N/A,#N/A,FALSE,"5.INVESTMENT";#N/A,#N/A,FALSE,"6.공문";#N/A,#N/A,FALSE,"7.netinvest"}</definedName>
    <definedName name="휴" localSheetId="14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>#REF!</definedName>
    <definedName name="휴ㅗㅗㅛ" localSheetId="0" hidden="1">{#VALUE!,#N/A,FALSE,0;#N/A,#N/A,FALSE,0;#N/A,#N/A,FALSE,0;#N/A,#N/A,FALSE,0;#N/A,#N/A,FALSE,0;#N/A,#N/A,FALSE,0;#N/A,#N/A,FALSE,0;#N/A,#N/A,FALSE,0;#N/A,#N/A,FALSE,0}</definedName>
    <definedName name="휴ㅗㅗㅛ" localSheetId="14" hidden="1">{#VALUE!,#N/A,FALSE,0;#N/A,#N/A,FALSE,0;#N/A,#N/A,FALSE,0;#N/A,#N/A,FALSE,0;#N/A,#N/A,FALSE,0;#N/A,#N/A,FALSE,0;#N/A,#N/A,FALSE,0;#N/A,#N/A,FALSE,0;#N/A,#N/A,FALSE,0}</definedName>
    <definedName name="휴ㅗㅗㅛ" hidden="1">{#VALUE!,#N/A,FALSE,0;#N/A,#N/A,FALSE,0;#N/A,#N/A,FALSE,0;#N/A,#N/A,FALSE,0;#N/A,#N/A,FALSE,0;#N/A,#N/A,FALSE,0;#N/A,#N/A,FALSE,0;#N/A,#N/A,FALSE,0;#N/A,#N/A,FALSE,0}</definedName>
    <definedName name="흄관" localSheetId="0" hidden="1">{#N/A,#N/A,FALSE,"기안지";#N/A,#N/A,FALSE,"통신지"}</definedName>
    <definedName name="흄관" localSheetId="14" hidden="1">{#N/A,#N/A,FALSE,"기안지";#N/A,#N/A,FALSE,"통신지"}</definedName>
    <definedName name="흄관" hidden="1">{#N/A,#N/A,FALSE,"기안지";#N/A,#N/A,FALSE,"통신지"}</definedName>
    <definedName name="흐" localSheetId="0" hidden="1">{#N/A,#N/A,FALSE,"1.CRITERIA";#N/A,#N/A,FALSE,"2.IS";#N/A,#N/A,FALSE,"3.BS";#N/A,#N/A,FALSE,"4.PER PL";#N/A,#N/A,FALSE,"5.INVESTMENT";#N/A,#N/A,FALSE,"6.공문";#N/A,#N/A,FALSE,"7.netinvest"}</definedName>
    <definedName name="흐" localSheetId="14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>#REF!</definedName>
    <definedName name="흐흐">#REF!</definedName>
    <definedName name="희성">OFFSET(#REF!,0,0,COUNTA(#REF!)-1,1)</definedName>
    <definedName name="흵____R3_t">#REF!</definedName>
    <definedName name="히히">#REF!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>#REF!</definedName>
    <definedName name="ㅏㄴ알" localSheetId="0" hidden="1">{#N/A,#N/A,FALSE,"단축1";#N/A,#N/A,FALSE,"단축2";#N/A,#N/A,FALSE,"단축3";#N/A,#N/A,FALSE,"장축";#N/A,#N/A,FALSE,"4WD"}</definedName>
    <definedName name="ㅏㄴ알" localSheetId="14" hidden="1">{#N/A,#N/A,FALSE,"단축1";#N/A,#N/A,FALSE,"단축2";#N/A,#N/A,FALSE,"단축3";#N/A,#N/A,FALSE,"장축";#N/A,#N/A,FALSE,"4WD"}</definedName>
    <definedName name="ㅏㄴ알" hidden="1">{#N/A,#N/A,FALSE,"단축1";#N/A,#N/A,FALSE,"단축2";#N/A,#N/A,FALSE,"단축3";#N/A,#N/A,FALSE,"장축";#N/A,#N/A,FALSE,"4WD"}</definedName>
    <definedName name="ㅏ나앙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1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1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1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>#REF!</definedName>
    <definedName name="ㅏㅏㅏ">#REF!</definedName>
    <definedName name="ㅏㅐㅐ">#REF!</definedName>
    <definedName name="ㅏㅐㅐPri">#REF!</definedName>
    <definedName name="ㅏㅓ" localSheetId="0" hidden="1">{#N/A,#N/A,FALSE,"단축1";#N/A,#N/A,FALSE,"단축2";#N/A,#N/A,FALSE,"단축3";#N/A,#N/A,FALSE,"장축";#N/A,#N/A,FALSE,"4WD"}</definedName>
    <definedName name="ㅏㅓ" localSheetId="14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ㅐ">#REF!</definedName>
    <definedName name="ㅐㅐ">#REF!</definedName>
    <definedName name="ㅐㅐㅐㅐㅐㅐㅐㅐㅐㅐㅐㅐㅐㅐㅐㅐㅐㅐㅐㅐㅐ">#REF!</definedName>
    <definedName name="ㅑ" localSheetId="0" hidden="1">{#N/A,#N/A,FALSE,"Aging Summary";#N/A,#N/A,FALSE,"Ratio Analysis";#N/A,#N/A,FALSE,"Test 120 Day Accts";#N/A,#N/A,FALSE,"Tickmarks"}</definedName>
    <definedName name="ㅑ" localSheetId="14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303">#REF!</definedName>
    <definedName name="ㅑ37">#REF!</definedName>
    <definedName name="ㅑ85">#REF!</definedName>
    <definedName name="ㅑㅑㅑ">#REF!</definedName>
    <definedName name="ㅑㅕㅐ">#REF!</definedName>
    <definedName name="ㅓ" localSheetId="0" hidden="1">{#N/A,#N/A,TRUE,"Y생산";#N/A,#N/A,TRUE,"Y판매";#N/A,#N/A,TRUE,"Y총물량";#N/A,#N/A,TRUE,"Y능력";#N/A,#N/A,TRUE,"YKD"}</definedName>
    <definedName name="ㅓ" localSheetId="14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ㄹ" localSheetId="0" hidden="1">{#N/A,#N/A,TRUE,"일정"}</definedName>
    <definedName name="ㅓㄹ" localSheetId="14" hidden="1">{#N/A,#N/A,TRUE,"일정"}</definedName>
    <definedName name="ㅓㄹ" hidden="1">{#N/A,#N/A,TRUE,"일정"}</definedName>
    <definedName name="ㅓㅏㅣㅑ" localSheetId="0" hidden="1">{#N/A,#N/A,FALSE,"Aging Summary";#N/A,#N/A,FALSE,"Ratio Analysis";#N/A,#N/A,FALSE,"Test 120 Day Accts";#N/A,#N/A,FALSE,"Tickmarks"}</definedName>
    <definedName name="ㅓㅏㅣㅑ" localSheetId="14" hidden="1">{#N/A,#N/A,FALSE,"Aging Summary";#N/A,#N/A,FALSE,"Ratio Analysis";#N/A,#N/A,FALSE,"Test 120 Day Accts";#N/A,#N/A,FALSE,"Tickmarks"}</definedName>
    <definedName name="ㅓㅏㅣㅑ" hidden="1">{#N/A,#N/A,FALSE,"Aging Summary";#N/A,#N/A,FALSE,"Ratio Analysis";#N/A,#N/A,FALSE,"Test 120 Day Accts";#N/A,#N/A,FALSE,"Tickmarks"}</definedName>
    <definedName name="ㅓㅓ">#REF!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>#REF!</definedName>
    <definedName name="ㅓㅕㅓ">#REF!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hidden="1">#REF!</definedName>
    <definedName name="ㅓㅣㅏㅓㅣㅏ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localSheetId="1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localSheetId="0" hidden="1">{#N/A,#N/A,FALSE,"단축1";#N/A,#N/A,FALSE,"단축2";#N/A,#N/A,FALSE,"단축3";#N/A,#N/A,FALSE,"장축";#N/A,#N/A,FALSE,"4WD"}</definedName>
    <definedName name="ㅔ" localSheetId="14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246">#REF!</definedName>
    <definedName name="ㅔ320">#REF!</definedName>
    <definedName name="ㅔ61">#REF!</definedName>
    <definedName name="ㅔㅔ">#REF!</definedName>
    <definedName name="ㅔㅔㅔㅔㅔㅔ">#REF!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localSheetId="14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" hidden="1">#REF!</definedName>
    <definedName name="ㅗ" localSheetId="0" hidden="1">{#N/A,#N/A,FALSE,"단축1";#N/A,#N/A,FALSE,"단축2";#N/A,#N/A,FALSE,"단축3";#N/A,#N/A,FALSE,"장축";#N/A,#N/A,FALSE,"4WD"}</definedName>
    <definedName name="ㅗ" localSheetId="14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ㄱㄴㅇㅁ" localSheetId="0" hidden="1">{#N/A,#N/A,TRUE,"일정"}</definedName>
    <definedName name="ㅗㄱㄴㅇㅁ" localSheetId="14" hidden="1">{#N/A,#N/A,TRUE,"일정"}</definedName>
    <definedName name="ㅗㄱㄴㅇㅁ" hidden="1">{#N/A,#N/A,TRUE,"일정"}</definedName>
    <definedName name="ㅗㄹ호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1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13">BlankMacro1</definedName>
    <definedName name="ㅗㅇ" localSheetId="0">BlankMacro1</definedName>
    <definedName name="ㅗㅇ" localSheetId="14">BlankMacro1</definedName>
    <definedName name="ㅗㅇ" localSheetId="4">BlankMacro1</definedName>
    <definedName name="ㅗㅇ" localSheetId="5">BlankMacro1</definedName>
    <definedName name="ㅗㅇ" localSheetId="6">BlankMacro1</definedName>
    <definedName name="ㅗㅇ" localSheetId="7">BlankMacro1</definedName>
    <definedName name="ㅗㅇ" localSheetId="8">BlankMacro1</definedName>
    <definedName name="ㅗㅇ" localSheetId="9">BlankMacro1</definedName>
    <definedName name="ㅗㅇ" localSheetId="10">BlankMacro1</definedName>
    <definedName name="ㅗㅇ" localSheetId="11">BlankMacro1</definedName>
    <definedName name="ㅗㅇ" localSheetId="12">BlankMacro1</definedName>
    <definedName name="ㅗㅇ" localSheetId="1">BlankMacro1</definedName>
    <definedName name="ㅗㅇ">BlankMacro1</definedName>
    <definedName name="ㅗㅎ" localSheetId="0" hidden="1">{#N/A,#N/A,TRUE,"Y생산";#N/A,#N/A,TRUE,"Y판매";#N/A,#N/A,TRUE,"Y총물량";#N/A,#N/A,TRUE,"Y능력";#N/A,#N/A,TRUE,"YKD"}</definedName>
    <definedName name="ㅗㅎ" localSheetId="14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ㅀ">#REF!</definedName>
    <definedName name="ㅗㅓㅛㅓㅕ">#REF!</definedName>
    <definedName name="ㅗㅗ" localSheetId="0" hidden="1">{#N/A,#N/A,FALSE,"단축1";#N/A,#N/A,FALSE,"단축2";#N/A,#N/A,FALSE,"단축3";#N/A,#N/A,FALSE,"장축";#N/A,#N/A,FALSE,"4WD"}</definedName>
    <definedName name="ㅗㅗ" localSheetId="14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13">BlankMacro1</definedName>
    <definedName name="ㅗㅗㅗ" localSheetId="0">BlankMacro1</definedName>
    <definedName name="ㅗㅗㅗ" localSheetId="14">BlankMacro1</definedName>
    <definedName name="ㅗㅗㅗ" localSheetId="4">BlankMacro1</definedName>
    <definedName name="ㅗㅗㅗ" localSheetId="5">BlankMacro1</definedName>
    <definedName name="ㅗㅗㅗ" localSheetId="6">BlankMacro1</definedName>
    <definedName name="ㅗㅗㅗ" localSheetId="7">BlankMacro1</definedName>
    <definedName name="ㅗㅗㅗ" localSheetId="8">BlankMacro1</definedName>
    <definedName name="ㅗㅗㅗ" localSheetId="9">BlankMacro1</definedName>
    <definedName name="ㅗㅗㅗ" localSheetId="10">BlankMacro1</definedName>
    <definedName name="ㅗㅗㅗ" localSheetId="11">BlankMacro1</definedName>
    <definedName name="ㅗㅗㅗ" localSheetId="12">BlankMacro1</definedName>
    <definedName name="ㅗㅗㅗ" localSheetId="1">BlankMacro1</definedName>
    <definedName name="ㅗㅗㅗ">BlankMacro1</definedName>
    <definedName name="ㅗㅗㅗㅗ">#REF!</definedName>
    <definedName name="ㅛ" localSheetId="0" hidden="1">{#N/A,#N/A,FALSE,"단축1";#N/A,#N/A,FALSE,"단축2";#N/A,#N/A,FALSE,"단축3";#N/A,#N/A,FALSE,"장축";#N/A,#N/A,FALSE,"4WD"}</definedName>
    <definedName name="ㅛ" localSheetId="14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ㅛㄱ됴ㄱㄷ죠ㅅㄱ됴ㅅㄱㄷ죡ㄷ죠" localSheetId="0" hidden="1">{#N/A,#N/A,TRUE,"일정"}</definedName>
    <definedName name="ㅛㄱ됴ㄱㄷ죠ㅅㄱ됴ㅅㄱㄷ죡ㄷ죠" localSheetId="14" hidden="1">{#N/A,#N/A,TRUE,"일정"}</definedName>
    <definedName name="ㅛㄱ됴ㄱㄷ죠ㅅㄱ됴ㅅㄱㄷ죡ㄷ죠" hidden="1">{#N/A,#N/A,TRUE,"일정"}</definedName>
    <definedName name="ㅛㅑㅛㅕㅑ7" localSheetId="0" hidden="1">{#N/A,#N/A,FALSE,"96 3월물량표";#N/A,#N/A,FALSE,"96 4월물량표";#N/A,#N/A,FALSE,"96 5월물량표"}</definedName>
    <definedName name="ㅛㅑㅛㅕㅑ7" localSheetId="14" hidden="1">{#N/A,#N/A,FALSE,"96 3월물량표";#N/A,#N/A,FALSE,"96 4월물량표";#N/A,#N/A,FALSE,"96 5월물량표"}</definedName>
    <definedName name="ㅛㅑㅛㅕㅑ7" hidden="1">{#N/A,#N/A,FALSE,"96 3월물량표";#N/A,#N/A,FALSE,"96 4월물량표";#N/A,#N/A,FALSE,"96 5월물량표"}</definedName>
    <definedName name="ㅛㅓ">#REF!</definedName>
    <definedName name="ㅛㅛ">#REF!</definedName>
    <definedName name="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>#REF!</definedName>
    <definedName name="ㅜㅛㅅㄱ누ㅛㅅㄱ누ㅛㅅㄴ구ㅛㅅㄱㄴ" localSheetId="0" hidden="1">{#N/A,#N/A,TRUE,"일정"}</definedName>
    <definedName name="ㅜㅛㅅㄱ누ㅛㅅㄱ누ㅛㅅㄴ구ㅛㅅㄱㄴ" localSheetId="14" hidden="1">{#N/A,#N/A,TRUE,"일정"}</definedName>
    <definedName name="ㅜㅛㅅㄱ누ㅛㅅㄱ누ㅛㅅㄴ구ㅛㅅㄱㄴ" hidden="1">{#N/A,#N/A,TRUE,"일정"}</definedName>
    <definedName name="ㅜㅜ">#REF!</definedName>
    <definedName name="ㅠ" localSheetId="0" hidden="1">{#N/A,#N/A,FALSE,"단축1";#N/A,#N/A,FALSE,"단축2";#N/A,#N/A,FALSE,"단축3";#N/A,#N/A,FALSE,"장축";#N/A,#N/A,FALSE,"4WD"}</definedName>
    <definedName name="ㅠ" localSheetId="14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125">#REF!</definedName>
    <definedName name="ㅠ328">#REF!</definedName>
    <definedName name="ㅠ48">#REF!</definedName>
    <definedName name="ㅠㅠ">#REF!</definedName>
    <definedName name="ㅠㅠ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localSheetId="1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>#REF!</definedName>
    <definedName name="ㅠㅠㅠㅠ">#REF!</definedName>
    <definedName name="ㅠㅠㅠㅠㅠㅠㅠㅠㅠㅠㅠㅠㅠ">#REF!</definedName>
    <definedName name="ㅡ">#REF!</definedName>
    <definedName name="ㅡㅡ">#REF!</definedName>
    <definedName name="ㅡㅡㅡㅡㅡㅡㅡㅡㅡ">#REF!</definedName>
    <definedName name="ㅣ" localSheetId="0" hidden="1">{#N/A,#N/A,FALSE,"Aging Summary";#N/A,#N/A,FALSE,"Ratio Analysis";#N/A,#N/A,FALSE,"Test 120 Day Accts";#N/A,#N/A,FALSE,"Tickmarks"}</definedName>
    <definedName name="ㅣ" localSheetId="14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153">#REF!</definedName>
    <definedName name="ㅣ303">#REF!</definedName>
    <definedName name="ㅣ439">#REF!</definedName>
    <definedName name="ㅣ이">#N/A</definedName>
    <definedName name="ㅣㅏ" localSheetId="0" hidden="1">{#N/A,#N/A,FALSE,"단축1";#N/A,#N/A,FALSE,"단축2";#N/A,#N/A,FALSE,"단축3";#N/A,#N/A,FALSE,"장축";#N/A,#N/A,FALSE,"4WD"}</definedName>
    <definedName name="ㅣㅏ" localSheetId="14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" localSheetId="0" hidden="1">{#N/A,#N/A,FALSE,"단축1";#N/A,#N/A,FALSE,"단축2";#N/A,#N/A,FALSE,"단축3";#N/A,#N/A,FALSE,"장축";#N/A,#N/A,FALSE,"4WD"}</definedName>
    <definedName name="ㅣㅣ" localSheetId="14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7" i="16" l="1"/>
  <c r="L5" i="2" l="1"/>
  <c r="J5" i="2"/>
  <c r="H5" i="2"/>
  <c r="F5" i="2"/>
  <c r="U29" i="2"/>
  <c r="U36" i="2"/>
  <c r="U44" i="2" l="1"/>
  <c r="S14" i="2"/>
  <c r="S15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W50" i="2"/>
  <c r="W49" i="2"/>
  <c r="W48" i="2"/>
  <c r="W47" i="2"/>
  <c r="W46" i="2"/>
  <c r="W45" i="2"/>
  <c r="W44" i="2"/>
  <c r="W43" i="2"/>
  <c r="U50" i="2"/>
  <c r="U49" i="2"/>
  <c r="U48" i="2"/>
  <c r="U47" i="2"/>
  <c r="U46" i="2"/>
  <c r="U45" i="2"/>
  <c r="U43" i="2"/>
  <c r="S50" i="2"/>
  <c r="S49" i="2"/>
  <c r="S48" i="2"/>
  <c r="S47" i="2"/>
  <c r="S46" i="2"/>
  <c r="S45" i="2"/>
  <c r="S44" i="2"/>
  <c r="S43" i="2"/>
  <c r="AA36" i="2"/>
  <c r="Y36" i="2"/>
  <c r="W36" i="2"/>
  <c r="S36" i="2"/>
  <c r="AA29" i="2"/>
  <c r="AA27" i="2"/>
  <c r="Y29" i="2"/>
  <c r="Y27" i="2"/>
  <c r="W29" i="2"/>
  <c r="W27" i="2"/>
  <c r="U27" i="2"/>
  <c r="S29" i="2"/>
  <c r="S27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L50" i="2"/>
  <c r="L49" i="2"/>
  <c r="L48" i="2"/>
  <c r="L47" i="2"/>
  <c r="L46" i="2"/>
  <c r="L45" i="2"/>
  <c r="L44" i="2"/>
  <c r="L43" i="2"/>
  <c r="J50" i="2"/>
  <c r="J49" i="2"/>
  <c r="J48" i="2"/>
  <c r="J47" i="2"/>
  <c r="J46" i="2"/>
  <c r="J45" i="2"/>
  <c r="J44" i="2"/>
  <c r="J43" i="2"/>
  <c r="H50" i="2"/>
  <c r="H49" i="2"/>
  <c r="H48" i="2"/>
  <c r="H47" i="2"/>
  <c r="H46" i="2"/>
  <c r="H45" i="2"/>
  <c r="H44" i="2"/>
  <c r="H43" i="2"/>
  <c r="F50" i="2"/>
  <c r="F49" i="2"/>
  <c r="F48" i="2"/>
  <c r="F47" i="2"/>
  <c r="F46" i="2"/>
  <c r="F45" i="2"/>
  <c r="F44" i="2"/>
  <c r="F43" i="2"/>
  <c r="N36" i="2"/>
  <c r="L36" i="2"/>
  <c r="J36" i="2"/>
  <c r="H36" i="2"/>
  <c r="F36" i="2"/>
  <c r="N29" i="2"/>
  <c r="L29" i="2"/>
  <c r="J29" i="2"/>
  <c r="H29" i="2"/>
  <c r="T124" i="2" s="1"/>
  <c r="F29" i="2"/>
  <c r="N27" i="2"/>
  <c r="L27" i="2"/>
  <c r="J27" i="2"/>
  <c r="H27" i="2"/>
  <c r="F27" i="2"/>
  <c r="U125" i="2"/>
  <c r="V123" i="2"/>
  <c r="U124" i="2"/>
  <c r="AM54" i="15"/>
  <c r="AK54" i="15"/>
  <c r="AI54" i="15"/>
  <c r="Y54" i="15"/>
  <c r="W54" i="15"/>
  <c r="AM54" i="12"/>
  <c r="AK54" i="12"/>
  <c r="AI54" i="12"/>
  <c r="AM54" i="11"/>
  <c r="AK54" i="11"/>
  <c r="AI54" i="11"/>
  <c r="AM54" i="10"/>
  <c r="AK54" i="10"/>
  <c r="AI54" i="10"/>
  <c r="AM54" i="9"/>
  <c r="AK54" i="9"/>
  <c r="AI54" i="9"/>
  <c r="AM54" i="8"/>
  <c r="AK54" i="8"/>
  <c r="AI54" i="8"/>
  <c r="AM54" i="7"/>
  <c r="AK54" i="7"/>
  <c r="AI54" i="7"/>
  <c r="AM54" i="6"/>
  <c r="AK54" i="6"/>
  <c r="AI54" i="6"/>
  <c r="AM54" i="5"/>
  <c r="AK54" i="5"/>
  <c r="AI54" i="5"/>
  <c r="AO54" i="4"/>
  <c r="AM54" i="4"/>
  <c r="AK54" i="4"/>
  <c r="AI54" i="4"/>
  <c r="AO54" i="3"/>
  <c r="AM54" i="3"/>
  <c r="AK54" i="3"/>
  <c r="AI54" i="3"/>
  <c r="BH76" i="15"/>
  <c r="BH75" i="15"/>
  <c r="M14" i="14"/>
  <c r="BC76" i="15"/>
  <c r="BB76" i="15"/>
  <c r="BA76" i="15"/>
  <c r="AZ76" i="15"/>
  <c r="AY76" i="15"/>
  <c r="AX76" i="15"/>
  <c r="AW76" i="15"/>
  <c r="AV76" i="15"/>
  <c r="AO76" i="15"/>
  <c r="AN76" i="15"/>
  <c r="AM76" i="15"/>
  <c r="AL76" i="15"/>
  <c r="AK76" i="15"/>
  <c r="AJ76" i="15"/>
  <c r="AI76" i="15"/>
  <c r="AH76" i="15"/>
  <c r="AA76" i="15"/>
  <c r="Z76" i="15"/>
  <c r="Y76" i="15"/>
  <c r="X76" i="15"/>
  <c r="W76" i="15"/>
  <c r="V76" i="15"/>
  <c r="U76" i="15"/>
  <c r="T76" i="15"/>
  <c r="BF75" i="15"/>
  <c r="BF69" i="15"/>
  <c r="BF68" i="15"/>
  <c r="BF67" i="15"/>
  <c r="BF66" i="15"/>
  <c r="BF65" i="15"/>
  <c r="BF64" i="15"/>
  <c r="BF63" i="15"/>
  <c r="BF62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V36" i="15"/>
  <c r="AX36" i="15"/>
  <c r="AB27" i="15"/>
  <c r="AB28" i="15" s="1"/>
  <c r="AN33" i="15"/>
  <c r="Y44" i="15"/>
  <c r="W34" i="15"/>
  <c r="K45" i="15"/>
  <c r="G49" i="15"/>
  <c r="BF7" i="15"/>
  <c r="BD7" i="15"/>
  <c r="AH7" i="15"/>
  <c r="T7" i="15"/>
  <c r="T12" i="15" s="1"/>
  <c r="AR17" i="15"/>
  <c r="H16" i="14"/>
  <c r="M16" i="14"/>
  <c r="M15" i="14"/>
  <c r="M13" i="14"/>
  <c r="M8" i="14"/>
  <c r="M7" i="14"/>
  <c r="M6" i="14"/>
  <c r="M5" i="14"/>
  <c r="L16" i="14"/>
  <c r="L15" i="14"/>
  <c r="L14" i="14"/>
  <c r="L13" i="14"/>
  <c r="L8" i="14"/>
  <c r="L7" i="14"/>
  <c r="L6" i="14"/>
  <c r="L5" i="14"/>
  <c r="K16" i="14"/>
  <c r="K15" i="14"/>
  <c r="K14" i="14"/>
  <c r="K13" i="14"/>
  <c r="K8" i="14"/>
  <c r="K7" i="14"/>
  <c r="K6" i="14"/>
  <c r="K5" i="14"/>
  <c r="J16" i="14"/>
  <c r="J15" i="14"/>
  <c r="J14" i="14"/>
  <c r="J13" i="14"/>
  <c r="J8" i="14"/>
  <c r="J7" i="14"/>
  <c r="J6" i="14"/>
  <c r="J5" i="14"/>
  <c r="I16" i="14"/>
  <c r="I15" i="14"/>
  <c r="I14" i="14"/>
  <c r="I13" i="14"/>
  <c r="I8" i="14"/>
  <c r="I7" i="14"/>
  <c r="I6" i="14"/>
  <c r="I5" i="14"/>
  <c r="H15" i="14"/>
  <c r="H14" i="14"/>
  <c r="H13" i="14"/>
  <c r="H8" i="14"/>
  <c r="H7" i="14"/>
  <c r="H6" i="14"/>
  <c r="H5" i="14"/>
  <c r="G16" i="14"/>
  <c r="G15" i="14"/>
  <c r="G14" i="14"/>
  <c r="G13" i="14"/>
  <c r="G8" i="14"/>
  <c r="G7" i="14"/>
  <c r="G6" i="14"/>
  <c r="G5" i="14"/>
  <c r="F16" i="14"/>
  <c r="F15" i="14"/>
  <c r="F14" i="14"/>
  <c r="F13" i="14"/>
  <c r="F8" i="14"/>
  <c r="F7" i="14"/>
  <c r="F6" i="14"/>
  <c r="F5" i="14"/>
  <c r="E15" i="14"/>
  <c r="E14" i="14"/>
  <c r="E13" i="14"/>
  <c r="E16" i="14"/>
  <c r="E8" i="14"/>
  <c r="D16" i="14"/>
  <c r="D8" i="14"/>
  <c r="E7" i="14"/>
  <c r="E6" i="14"/>
  <c r="E5" i="14"/>
  <c r="D15" i="14"/>
  <c r="D14" i="14"/>
  <c r="D13" i="14"/>
  <c r="D7" i="14"/>
  <c r="D6" i="14"/>
  <c r="D5" i="14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E6" i="13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T125" i="2" l="1"/>
  <c r="V124" i="2"/>
  <c r="BF59" i="15"/>
  <c r="P45" i="15"/>
  <c r="O45" i="15"/>
  <c r="L43" i="15"/>
  <c r="J43" i="15"/>
  <c r="AA45" i="15"/>
  <c r="AM36" i="15"/>
  <c r="BF72" i="15"/>
  <c r="V43" i="15"/>
  <c r="V51" i="15" s="1"/>
  <c r="W51" i="15" s="1"/>
  <c r="AV17" i="15"/>
  <c r="V40" i="15"/>
  <c r="W40" i="15" s="1"/>
  <c r="AQ36" i="15"/>
  <c r="AO36" i="15"/>
  <c r="Y48" i="15"/>
  <c r="Z27" i="15"/>
  <c r="AA36" i="15"/>
  <c r="BC36" i="15" s="1"/>
  <c r="U50" i="15"/>
  <c r="AH34" i="15"/>
  <c r="AB43" i="15"/>
  <c r="AB51" i="15" s="1"/>
  <c r="AC51" i="15" s="1"/>
  <c r="U46" i="15"/>
  <c r="L27" i="15"/>
  <c r="L28" i="15" s="1"/>
  <c r="AD17" i="15"/>
  <c r="BD29" i="15"/>
  <c r="F7" i="15"/>
  <c r="F11" i="15" s="1"/>
  <c r="AH17" i="15"/>
  <c r="H40" i="15"/>
  <c r="I40" i="15" s="1"/>
  <c r="AA29" i="15"/>
  <c r="AH33" i="15"/>
  <c r="AR36" i="15"/>
  <c r="H43" i="15"/>
  <c r="I43" i="15" s="1"/>
  <c r="AV7" i="15"/>
  <c r="AV10" i="15" s="1"/>
  <c r="Z39" i="15"/>
  <c r="AA39" i="15" s="1"/>
  <c r="AK33" i="15"/>
  <c r="Z34" i="15"/>
  <c r="AK36" i="15"/>
  <c r="AP40" i="15"/>
  <c r="N43" i="15"/>
  <c r="O43" i="15" s="1"/>
  <c r="Y46" i="15"/>
  <c r="BF71" i="15"/>
  <c r="L40" i="15"/>
  <c r="M40" i="15" s="1"/>
  <c r="AA34" i="15"/>
  <c r="AD36" i="15"/>
  <c r="BF36" i="15" s="1"/>
  <c r="AP27" i="15"/>
  <c r="AP28" i="15" s="1"/>
  <c r="BD28" i="15" s="1"/>
  <c r="AV29" i="15"/>
  <c r="AO34" i="15"/>
  <c r="W36" i="15"/>
  <c r="AD49" i="15"/>
  <c r="F17" i="15"/>
  <c r="BD36" i="15"/>
  <c r="M46" i="15"/>
  <c r="Y47" i="15"/>
  <c r="AV9" i="15"/>
  <c r="F12" i="15"/>
  <c r="AJ7" i="15"/>
  <c r="AH10" i="15"/>
  <c r="AR29" i="15"/>
  <c r="AS60" i="15" s="1"/>
  <c r="AL33" i="15"/>
  <c r="V34" i="15"/>
  <c r="AP34" i="15"/>
  <c r="K36" i="15"/>
  <c r="F40" i="15"/>
  <c r="X40" i="15"/>
  <c r="AN40" i="15"/>
  <c r="AA44" i="15"/>
  <c r="Z43" i="15"/>
  <c r="Y45" i="15"/>
  <c r="P46" i="15"/>
  <c r="W47" i="15"/>
  <c r="AA49" i="15"/>
  <c r="AQ34" i="15"/>
  <c r="AQ40" i="15"/>
  <c r="I48" i="15"/>
  <c r="K49" i="15"/>
  <c r="AC49" i="15"/>
  <c r="V7" i="15"/>
  <c r="P17" i="15"/>
  <c r="AO33" i="15"/>
  <c r="X34" i="15"/>
  <c r="AI34" i="15"/>
  <c r="M36" i="15"/>
  <c r="Y36" i="15"/>
  <c r="J40" i="15"/>
  <c r="Z40" i="15"/>
  <c r="W43" i="15"/>
  <c r="O44" i="15"/>
  <c r="AC44" i="15"/>
  <c r="M45" i="15"/>
  <c r="I46" i="15"/>
  <c r="K48" i="15"/>
  <c r="AA48" i="15"/>
  <c r="AA47" i="15"/>
  <c r="Y50" i="15"/>
  <c r="BF60" i="15"/>
  <c r="T9" i="15"/>
  <c r="T11" i="15"/>
  <c r="T17" i="15"/>
  <c r="P29" i="15"/>
  <c r="AM34" i="15"/>
  <c r="AM33" i="15"/>
  <c r="AL40" i="15"/>
  <c r="AX29" i="15"/>
  <c r="AP33" i="15"/>
  <c r="Y34" i="15"/>
  <c r="AJ34" i="15"/>
  <c r="O36" i="15"/>
  <c r="X43" i="15"/>
  <c r="AC45" i="15"/>
  <c r="K46" i="15"/>
  <c r="AA46" i="15"/>
  <c r="AC47" i="15"/>
  <c r="AA50" i="15"/>
  <c r="AR56" i="15"/>
  <c r="H7" i="15"/>
  <c r="AH9" i="15"/>
  <c r="AH11" i="15"/>
  <c r="N27" i="15"/>
  <c r="N28" i="15" s="1"/>
  <c r="AB40" i="15"/>
  <c r="AC34" i="15"/>
  <c r="AC29" i="15"/>
  <c r="AQ33" i="15"/>
  <c r="AK34" i="15"/>
  <c r="G36" i="15"/>
  <c r="P36" i="15"/>
  <c r="N40" i="15"/>
  <c r="P44" i="15"/>
  <c r="G44" i="15"/>
  <c r="F43" i="15"/>
  <c r="T43" i="15"/>
  <c r="AD44" i="15"/>
  <c r="U44" i="15"/>
  <c r="AC48" i="15"/>
  <c r="AN27" i="15"/>
  <c r="Z28" i="15"/>
  <c r="U45" i="15"/>
  <c r="U34" i="15"/>
  <c r="AD29" i="15"/>
  <c r="AE58" i="15" s="1"/>
  <c r="AZ29" i="15"/>
  <c r="AI33" i="15"/>
  <c r="AL34" i="15"/>
  <c r="AB39" i="15"/>
  <c r="AC39" i="15" s="1"/>
  <c r="BA36" i="15"/>
  <c r="K43" i="15"/>
  <c r="O46" i="15"/>
  <c r="AC46" i="15"/>
  <c r="W49" i="15"/>
  <c r="AC50" i="15"/>
  <c r="P56" i="15"/>
  <c r="BF61" i="15"/>
  <c r="AJ33" i="15"/>
  <c r="AB34" i="15"/>
  <c r="AN34" i="15"/>
  <c r="I36" i="15"/>
  <c r="AC36" i="15"/>
  <c r="BE36" i="15" s="1"/>
  <c r="BB36" i="15"/>
  <c r="T40" i="15"/>
  <c r="AJ40" i="15"/>
  <c r="M43" i="15"/>
  <c r="I44" i="15"/>
  <c r="G45" i="15"/>
  <c r="AD46" i="15"/>
  <c r="AD48" i="15"/>
  <c r="U48" i="15"/>
  <c r="Y49" i="15"/>
  <c r="AD50" i="15"/>
  <c r="AD56" i="15"/>
  <c r="T10" i="15"/>
  <c r="AH12" i="15"/>
  <c r="BF17" i="15"/>
  <c r="AH40" i="15"/>
  <c r="AI36" i="15"/>
  <c r="AQ29" i="15"/>
  <c r="BE29" i="15" s="1"/>
  <c r="BB29" i="15"/>
  <c r="T34" i="15"/>
  <c r="U36" i="15"/>
  <c r="K44" i="15"/>
  <c r="I45" i="15"/>
  <c r="W45" i="15"/>
  <c r="AD45" i="15"/>
  <c r="G48" i="15"/>
  <c r="I49" i="15"/>
  <c r="AE60" i="15"/>
  <c r="BF57" i="15"/>
  <c r="BF73" i="15"/>
  <c r="AZ36" i="15"/>
  <c r="AP39" i="15"/>
  <c r="W44" i="15"/>
  <c r="G46" i="15"/>
  <c r="W48" i="15"/>
  <c r="BF70" i="15"/>
  <c r="M44" i="15"/>
  <c r="U49" i="15"/>
  <c r="AE72" i="15"/>
  <c r="AS75" i="15"/>
  <c r="W46" i="15"/>
  <c r="W50" i="15"/>
  <c r="BF58" i="15"/>
  <c r="BF74" i="15"/>
  <c r="F7" i="2"/>
  <c r="H7" i="2" s="1"/>
  <c r="J7" i="2" s="1"/>
  <c r="L7" i="2" s="1"/>
  <c r="S7" i="2"/>
  <c r="S11" i="2" s="1"/>
  <c r="U7" i="2"/>
  <c r="Y7" i="2" s="1"/>
  <c r="AG7" i="2"/>
  <c r="AG11" i="2" s="1"/>
  <c r="AO7" i="2"/>
  <c r="AQ7" i="2"/>
  <c r="F10" i="2"/>
  <c r="AG10" i="2"/>
  <c r="F11" i="2"/>
  <c r="AG12" i="2"/>
  <c r="AQ77" i="2"/>
  <c r="AR77" i="2"/>
  <c r="AR55" i="2"/>
  <c r="AR54" i="2"/>
  <c r="AR52" i="2"/>
  <c r="AR42" i="2"/>
  <c r="AR41" i="2"/>
  <c r="AR38" i="2"/>
  <c r="AR37" i="2"/>
  <c r="AP52" i="2"/>
  <c r="AP42" i="2"/>
  <c r="AP41" i="2"/>
  <c r="AP38" i="2"/>
  <c r="AP37" i="2"/>
  <c r="AP35" i="2"/>
  <c r="AP32" i="2"/>
  <c r="AP31" i="2"/>
  <c r="AP30" i="2"/>
  <c r="AN54" i="2"/>
  <c r="AN52" i="2"/>
  <c r="AN42" i="2"/>
  <c r="AN41" i="2"/>
  <c r="AN38" i="2"/>
  <c r="AN37" i="2"/>
  <c r="AN35" i="2"/>
  <c r="AN32" i="2"/>
  <c r="AN31" i="2"/>
  <c r="AN30" i="2"/>
  <c r="AL52" i="2"/>
  <c r="AL42" i="2"/>
  <c r="AL41" i="2"/>
  <c r="AL38" i="2"/>
  <c r="AL37" i="2"/>
  <c r="AL35" i="2"/>
  <c r="AL32" i="2"/>
  <c r="AL31" i="2"/>
  <c r="AL30" i="2"/>
  <c r="AJ52" i="2"/>
  <c r="AJ42" i="2"/>
  <c r="AJ41" i="2"/>
  <c r="AJ38" i="2"/>
  <c r="AJ37" i="2"/>
  <c r="AJ35" i="2"/>
  <c r="AJ32" i="2"/>
  <c r="AJ31" i="2"/>
  <c r="AJ30" i="2"/>
  <c r="AH52" i="2"/>
  <c r="AH38" i="2"/>
  <c r="AH37" i="2"/>
  <c r="AQ52" i="2"/>
  <c r="AQ42" i="2"/>
  <c r="AQ41" i="2"/>
  <c r="AQ38" i="2"/>
  <c r="AQ37" i="2"/>
  <c r="AQ35" i="2"/>
  <c r="AQ32" i="2"/>
  <c r="AQ31" i="2"/>
  <c r="AQ30" i="2"/>
  <c r="AO52" i="2"/>
  <c r="AO42" i="2"/>
  <c r="AO41" i="2"/>
  <c r="AO35" i="2"/>
  <c r="AO32" i="2"/>
  <c r="AO31" i="2"/>
  <c r="AO30" i="2"/>
  <c r="AM52" i="2"/>
  <c r="AM42" i="2"/>
  <c r="AM41" i="2"/>
  <c r="AM35" i="2"/>
  <c r="AM32" i="2"/>
  <c r="AM31" i="2"/>
  <c r="AM30" i="2"/>
  <c r="AK52" i="2"/>
  <c r="AK42" i="2"/>
  <c r="AK41" i="2"/>
  <c r="AK35" i="2"/>
  <c r="AK32" i="2"/>
  <c r="AK31" i="2"/>
  <c r="AK30" i="2"/>
  <c r="AI52" i="2"/>
  <c r="AI42" i="2"/>
  <c r="AI41" i="2"/>
  <c r="AI35" i="2"/>
  <c r="AI32" i="2"/>
  <c r="AI31" i="2"/>
  <c r="AI30" i="2"/>
  <c r="AA38" i="2"/>
  <c r="Y38" i="2"/>
  <c r="W38" i="2"/>
  <c r="U38" i="2"/>
  <c r="Y37" i="2"/>
  <c r="W37" i="2"/>
  <c r="U37" i="2"/>
  <c r="S38" i="2"/>
  <c r="S37" i="2"/>
  <c r="N38" i="2"/>
  <c r="N37" i="2"/>
  <c r="AO37" i="2" s="1"/>
  <c r="L38" i="2"/>
  <c r="L37" i="2"/>
  <c r="J38" i="2"/>
  <c r="J37" i="2"/>
  <c r="H38" i="2"/>
  <c r="H37" i="2"/>
  <c r="F38" i="2"/>
  <c r="F37" i="2"/>
  <c r="P55" i="2"/>
  <c r="AQ55" i="2" s="1"/>
  <c r="N50" i="2"/>
  <c r="N49" i="2"/>
  <c r="N48" i="2"/>
  <c r="N47" i="2"/>
  <c r="N46" i="2"/>
  <c r="N45" i="2"/>
  <c r="N44" i="2"/>
  <c r="N43" i="2"/>
  <c r="F42" i="2"/>
  <c r="BC76" i="12"/>
  <c r="BB76" i="12"/>
  <c r="BA76" i="12"/>
  <c r="AZ76" i="12"/>
  <c r="AY76" i="12"/>
  <c r="AX76" i="12"/>
  <c r="AW76" i="12"/>
  <c r="AV76" i="12"/>
  <c r="BF75" i="12"/>
  <c r="BF69" i="12"/>
  <c r="BF68" i="12"/>
  <c r="BF67" i="12"/>
  <c r="BF66" i="12"/>
  <c r="BF65" i="12"/>
  <c r="BF64" i="12"/>
  <c r="BF63" i="12"/>
  <c r="BF62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BC36" i="12"/>
  <c r="BB36" i="12"/>
  <c r="BA36" i="12"/>
  <c r="AX29" i="12"/>
  <c r="AZ29" i="12"/>
  <c r="BF17" i="12"/>
  <c r="BF7" i="12"/>
  <c r="BD7" i="12"/>
  <c r="T7" i="12"/>
  <c r="AV17" i="12"/>
  <c r="BC76" i="11"/>
  <c r="BB76" i="11"/>
  <c r="BA76" i="11"/>
  <c r="AZ76" i="11"/>
  <c r="AY76" i="11"/>
  <c r="AX76" i="11"/>
  <c r="AW76" i="11"/>
  <c r="AV76" i="11"/>
  <c r="BF75" i="11"/>
  <c r="BF69" i="11"/>
  <c r="BF68" i="11"/>
  <c r="BF67" i="11"/>
  <c r="BF66" i="11"/>
  <c r="BF65" i="11"/>
  <c r="BF64" i="11"/>
  <c r="BF63" i="11"/>
  <c r="BF62" i="11"/>
  <c r="BF59" i="11"/>
  <c r="BF5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Z36" i="11"/>
  <c r="BF7" i="11"/>
  <c r="BD7" i="11"/>
  <c r="AV7" i="11"/>
  <c r="BC76" i="10"/>
  <c r="BB76" i="10"/>
  <c r="BA76" i="10"/>
  <c r="AZ76" i="10"/>
  <c r="AY76" i="10"/>
  <c r="AX76" i="10"/>
  <c r="AW76" i="10"/>
  <c r="AV76" i="10"/>
  <c r="BF69" i="10"/>
  <c r="BF68" i="10"/>
  <c r="BF67" i="10"/>
  <c r="BF66" i="10"/>
  <c r="BF65" i="10"/>
  <c r="BF64" i="10"/>
  <c r="BF63" i="10"/>
  <c r="BF62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Z36" i="10"/>
  <c r="AX36" i="10"/>
  <c r="BB29" i="10"/>
  <c r="AZ29" i="10"/>
  <c r="BF7" i="10"/>
  <c r="BD7" i="10"/>
  <c r="BF17" i="10"/>
  <c r="BC76" i="9"/>
  <c r="BB76" i="9"/>
  <c r="BA76" i="9"/>
  <c r="AZ76" i="9"/>
  <c r="AY76" i="9"/>
  <c r="AX76" i="9"/>
  <c r="AW76" i="9"/>
  <c r="AV76" i="9"/>
  <c r="BF69" i="9"/>
  <c r="BF68" i="9"/>
  <c r="BF67" i="9"/>
  <c r="BF66" i="9"/>
  <c r="BF65" i="9"/>
  <c r="BF64" i="9"/>
  <c r="BF63" i="9"/>
  <c r="BF62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V36" i="9"/>
  <c r="BD36" i="9"/>
  <c r="BB29" i="9"/>
  <c r="BD27" i="9"/>
  <c r="BF7" i="9"/>
  <c r="BD7" i="9"/>
  <c r="F7" i="9"/>
  <c r="BC76" i="8"/>
  <c r="BB76" i="8"/>
  <c r="BA76" i="8"/>
  <c r="AZ76" i="8"/>
  <c r="AY76" i="8"/>
  <c r="AX76" i="8"/>
  <c r="AW76" i="8"/>
  <c r="AV76" i="8"/>
  <c r="BF75" i="8"/>
  <c r="BF69" i="8"/>
  <c r="BF68" i="8"/>
  <c r="BF67" i="8"/>
  <c r="BF66" i="8"/>
  <c r="BF65" i="8"/>
  <c r="BF64" i="8"/>
  <c r="BF63" i="8"/>
  <c r="BF62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BD36" i="8"/>
  <c r="AZ36" i="8"/>
  <c r="BD27" i="8"/>
  <c r="BD28" i="8"/>
  <c r="BF7" i="8"/>
  <c r="BD7" i="8"/>
  <c r="BF17" i="8"/>
  <c r="BC76" i="7"/>
  <c r="BB76" i="7"/>
  <c r="BA76" i="7"/>
  <c r="AZ76" i="7"/>
  <c r="AY76" i="7"/>
  <c r="AX76" i="7"/>
  <c r="AW76" i="7"/>
  <c r="AV76" i="7"/>
  <c r="BF69" i="7"/>
  <c r="BF68" i="7"/>
  <c r="BF67" i="7"/>
  <c r="BF66" i="7"/>
  <c r="BF65" i="7"/>
  <c r="BF64" i="7"/>
  <c r="BF63" i="7"/>
  <c r="BF62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Y36" i="7"/>
  <c r="AV36" i="7"/>
  <c r="AZ36" i="7"/>
  <c r="BC36" i="7"/>
  <c r="BD29" i="7"/>
  <c r="BB27" i="7"/>
  <c r="BF7" i="7"/>
  <c r="BD7" i="7"/>
  <c r="BF17" i="7"/>
  <c r="BC76" i="6"/>
  <c r="BB76" i="6"/>
  <c r="BA76" i="6"/>
  <c r="AZ76" i="6"/>
  <c r="AY76" i="6"/>
  <c r="AX76" i="6"/>
  <c r="AW76" i="6"/>
  <c r="AV76" i="6"/>
  <c r="BF69" i="6"/>
  <c r="BF68" i="6"/>
  <c r="BF67" i="6"/>
  <c r="BF66" i="6"/>
  <c r="BF65" i="6"/>
  <c r="BF64" i="6"/>
  <c r="BF63" i="6"/>
  <c r="BF62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V36" i="6"/>
  <c r="BB36" i="6"/>
  <c r="BA36" i="6"/>
  <c r="BD29" i="6"/>
  <c r="AZ29" i="6"/>
  <c r="AX29" i="6"/>
  <c r="BB27" i="6"/>
  <c r="BF7" i="6"/>
  <c r="BD7" i="6"/>
  <c r="F7" i="6"/>
  <c r="F12" i="6" s="1"/>
  <c r="BC76" i="5"/>
  <c r="BB76" i="5"/>
  <c r="BA76" i="5"/>
  <c r="AZ76" i="5"/>
  <c r="AY76" i="5"/>
  <c r="AX76" i="5"/>
  <c r="AW76" i="5"/>
  <c r="AV76" i="5"/>
  <c r="BF69" i="5"/>
  <c r="BF68" i="5"/>
  <c r="BF67" i="5"/>
  <c r="BF66" i="5"/>
  <c r="BF65" i="5"/>
  <c r="BF64" i="5"/>
  <c r="BF63" i="5"/>
  <c r="BF62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V36" i="5"/>
  <c r="BF7" i="5"/>
  <c r="BD7" i="5"/>
  <c r="BF17" i="5"/>
  <c r="BC76" i="4"/>
  <c r="BB76" i="4"/>
  <c r="BA76" i="4"/>
  <c r="AZ76" i="4"/>
  <c r="AY76" i="4"/>
  <c r="AX76" i="4"/>
  <c r="AW76" i="4"/>
  <c r="AV76" i="4"/>
  <c r="BF75" i="4"/>
  <c r="BF69" i="4"/>
  <c r="BF68" i="4"/>
  <c r="BF67" i="4"/>
  <c r="BF66" i="4"/>
  <c r="BF65" i="4"/>
  <c r="BF64" i="4"/>
  <c r="BF63" i="4"/>
  <c r="BF62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BB36" i="4"/>
  <c r="BD28" i="4"/>
  <c r="BF7" i="4"/>
  <c r="BD7" i="4"/>
  <c r="BC76" i="3"/>
  <c r="BB76" i="3"/>
  <c r="BA76" i="3"/>
  <c r="AZ76" i="3"/>
  <c r="AY76" i="3"/>
  <c r="AX76" i="3"/>
  <c r="AW76" i="3"/>
  <c r="AV76" i="3"/>
  <c r="BF69" i="3"/>
  <c r="BF68" i="3"/>
  <c r="BF67" i="3"/>
  <c r="BF66" i="3"/>
  <c r="BF65" i="3"/>
  <c r="BF64" i="3"/>
  <c r="BF63" i="3"/>
  <c r="BF62" i="3"/>
  <c r="AX40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BB36" i="3"/>
  <c r="AZ36" i="3"/>
  <c r="AY36" i="3"/>
  <c r="BD36" i="3"/>
  <c r="BC36" i="3"/>
  <c r="BC29" i="3"/>
  <c r="AX29" i="3"/>
  <c r="BF7" i="3"/>
  <c r="BD7" i="3"/>
  <c r="BF17" i="3"/>
  <c r="AN76" i="2"/>
  <c r="AM76" i="2"/>
  <c r="AL76" i="2"/>
  <c r="AK76" i="2"/>
  <c r="AJ76" i="2"/>
  <c r="AI76" i="2"/>
  <c r="AH76" i="2"/>
  <c r="AG76" i="2"/>
  <c r="Z76" i="2"/>
  <c r="Y76" i="2"/>
  <c r="X76" i="2"/>
  <c r="W76" i="2"/>
  <c r="V76" i="2"/>
  <c r="U76" i="2"/>
  <c r="T76" i="2"/>
  <c r="S76" i="2"/>
  <c r="N39" i="15" l="1"/>
  <c r="O39" i="15" s="1"/>
  <c r="AE45" i="15"/>
  <c r="AE71" i="15"/>
  <c r="AE75" i="15"/>
  <c r="AE44" i="15"/>
  <c r="AE50" i="15"/>
  <c r="AE49" i="15"/>
  <c r="AE59" i="15"/>
  <c r="AE70" i="15"/>
  <c r="AS74" i="15"/>
  <c r="AS36" i="15"/>
  <c r="AS61" i="15"/>
  <c r="AE74" i="15"/>
  <c r="BD27" i="15"/>
  <c r="AG47" i="2"/>
  <c r="AG27" i="2"/>
  <c r="S6" i="2"/>
  <c r="AC43" i="15"/>
  <c r="AE57" i="15"/>
  <c r="G50" i="15"/>
  <c r="F9" i="15"/>
  <c r="AE73" i="15"/>
  <c r="AV12" i="15"/>
  <c r="AE48" i="15"/>
  <c r="AE46" i="15"/>
  <c r="AW36" i="15"/>
  <c r="AE36" i="15"/>
  <c r="F10" i="15"/>
  <c r="AX7" i="15"/>
  <c r="AZ7" i="15" s="1"/>
  <c r="L39" i="15"/>
  <c r="M39" i="15" s="1"/>
  <c r="AV11" i="15"/>
  <c r="AY36" i="15"/>
  <c r="M29" i="15"/>
  <c r="BB27" i="15"/>
  <c r="AN28" i="15"/>
  <c r="BB28" i="15" s="1"/>
  <c r="AB53" i="15"/>
  <c r="AC53" i="15" s="1"/>
  <c r="AC40" i="15"/>
  <c r="BE40" i="15" s="1"/>
  <c r="BF56" i="15"/>
  <c r="AR76" i="15"/>
  <c r="AS56" i="15"/>
  <c r="AI29" i="15"/>
  <c r="AH28" i="15"/>
  <c r="AV27" i="15"/>
  <c r="O29" i="15"/>
  <c r="AI49" i="2"/>
  <c r="AI45" i="2"/>
  <c r="AI50" i="2"/>
  <c r="AL7" i="15"/>
  <c r="AI46" i="2"/>
  <c r="BD40" i="15"/>
  <c r="AI44" i="15"/>
  <c r="AW44" i="15" s="1"/>
  <c r="AH43" i="15"/>
  <c r="AV44" i="15"/>
  <c r="AX40" i="15"/>
  <c r="AK40" i="15"/>
  <c r="AY40" i="15" s="1"/>
  <c r="AO29" i="15"/>
  <c r="BC29" i="15" s="1"/>
  <c r="T28" i="15"/>
  <c r="Q36" i="15"/>
  <c r="P40" i="15"/>
  <c r="Q57" i="15"/>
  <c r="Q70" i="15"/>
  <c r="Q58" i="15"/>
  <c r="F28" i="15"/>
  <c r="BG75" i="15"/>
  <c r="AI40" i="15"/>
  <c r="AV40" i="15"/>
  <c r="Q59" i="15"/>
  <c r="I50" i="15"/>
  <c r="J7" i="15"/>
  <c r="BD39" i="15"/>
  <c r="AQ39" i="15"/>
  <c r="BE39" i="15" s="1"/>
  <c r="AE56" i="15"/>
  <c r="AD76" i="15"/>
  <c r="AE76" i="15" s="1"/>
  <c r="T39" i="15"/>
  <c r="U39" i="15" s="1"/>
  <c r="P76" i="15"/>
  <c r="Q76" i="15" s="1"/>
  <c r="Q56" i="15"/>
  <c r="Q44" i="15"/>
  <c r="AM40" i="15"/>
  <c r="AZ40" i="15"/>
  <c r="BG36" i="15"/>
  <c r="Q46" i="15"/>
  <c r="Q45" i="15"/>
  <c r="AV50" i="15"/>
  <c r="AI50" i="15"/>
  <c r="AW50" i="15" s="1"/>
  <c r="AH39" i="15"/>
  <c r="Q73" i="15"/>
  <c r="Q72" i="15"/>
  <c r="X51" i="15"/>
  <c r="Y51" i="15" s="1"/>
  <c r="Y43" i="15"/>
  <c r="V53" i="15"/>
  <c r="W53" i="15" s="1"/>
  <c r="AI45" i="15"/>
  <c r="AW45" i="15" s="1"/>
  <c r="AV45" i="15"/>
  <c r="O40" i="15"/>
  <c r="Q61" i="15"/>
  <c r="X7" i="15"/>
  <c r="AA43" i="15"/>
  <c r="Z51" i="15"/>
  <c r="AA51" i="15" s="1"/>
  <c r="Q71" i="15"/>
  <c r="AV49" i="15"/>
  <c r="AI49" i="15"/>
  <c r="AW49" i="15" s="1"/>
  <c r="AS68" i="15"/>
  <c r="AS64" i="15"/>
  <c r="AS66" i="15"/>
  <c r="AS62" i="15"/>
  <c r="AS70" i="15"/>
  <c r="BG70" i="15" s="1"/>
  <c r="AS73" i="15"/>
  <c r="BG73" i="15" s="1"/>
  <c r="AS57" i="15"/>
  <c r="BG57" i="15" s="1"/>
  <c r="AS58" i="15"/>
  <c r="BG58" i="15" s="1"/>
  <c r="AS59" i="15"/>
  <c r="BG59" i="15" s="1"/>
  <c r="AS72" i="15"/>
  <c r="BG72" i="15" s="1"/>
  <c r="AS65" i="15"/>
  <c r="AS33" i="15"/>
  <c r="AR33" i="15"/>
  <c r="AS67" i="15"/>
  <c r="BG67" i="15" s="1"/>
  <c r="AS34" i="15"/>
  <c r="AS71" i="15"/>
  <c r="BG71" i="15" s="1"/>
  <c r="AR40" i="15"/>
  <c r="AR34" i="15"/>
  <c r="BF29" i="15"/>
  <c r="AS63" i="15"/>
  <c r="AS69" i="15"/>
  <c r="G47" i="15"/>
  <c r="AO40" i="15"/>
  <c r="BB40" i="15"/>
  <c r="AI48" i="15"/>
  <c r="AW48" i="15" s="1"/>
  <c r="AV48" i="15"/>
  <c r="U40" i="15"/>
  <c r="Q75" i="15"/>
  <c r="AE68" i="15"/>
  <c r="AE64" i="15"/>
  <c r="AE66" i="15"/>
  <c r="AE62" i="15"/>
  <c r="AE69" i="15"/>
  <c r="AD34" i="15"/>
  <c r="AE65" i="15"/>
  <c r="AD40" i="15"/>
  <c r="AE67" i="15"/>
  <c r="AE63" i="15"/>
  <c r="AE34" i="15"/>
  <c r="BG74" i="15"/>
  <c r="T51" i="15"/>
  <c r="U51" i="15" s="1"/>
  <c r="AD43" i="15"/>
  <c r="U43" i="15"/>
  <c r="F39" i="15"/>
  <c r="G39" i="15" s="1"/>
  <c r="G29" i="15"/>
  <c r="Q74" i="15"/>
  <c r="AA40" i="15"/>
  <c r="Q60" i="15"/>
  <c r="Y40" i="15"/>
  <c r="AV46" i="15"/>
  <c r="AI46" i="15"/>
  <c r="AW46" i="15" s="1"/>
  <c r="U47" i="15"/>
  <c r="AD47" i="15"/>
  <c r="AE47" i="15" s="1"/>
  <c r="AN39" i="15"/>
  <c r="U29" i="15"/>
  <c r="AE61" i="15"/>
  <c r="BG61" i="15" s="1"/>
  <c r="P43" i="15"/>
  <c r="G43" i="15"/>
  <c r="BG60" i="15"/>
  <c r="K40" i="15"/>
  <c r="G40" i="15"/>
  <c r="AA7" i="2"/>
  <c r="AC7" i="2"/>
  <c r="N7" i="2"/>
  <c r="P7" i="2"/>
  <c r="S10" i="2"/>
  <c r="AI7" i="2"/>
  <c r="AK7" i="2" s="1"/>
  <c r="S12" i="2"/>
  <c r="AG9" i="2"/>
  <c r="F12" i="2"/>
  <c r="S9" i="2"/>
  <c r="F9" i="2"/>
  <c r="AM27" i="2"/>
  <c r="AI36" i="2"/>
  <c r="AG44" i="2"/>
  <c r="AQ57" i="2"/>
  <c r="AQ65" i="2"/>
  <c r="AQ73" i="2"/>
  <c r="AK36" i="2"/>
  <c r="AG45" i="2"/>
  <c r="AQ58" i="2"/>
  <c r="AQ66" i="2"/>
  <c r="AQ74" i="2"/>
  <c r="AG36" i="2"/>
  <c r="AG38" i="2"/>
  <c r="AG43" i="2"/>
  <c r="AQ56" i="2"/>
  <c r="AQ64" i="2"/>
  <c r="AQ72" i="2"/>
  <c r="AO27" i="2"/>
  <c r="AK37" i="2"/>
  <c r="AO29" i="2"/>
  <c r="AM36" i="2"/>
  <c r="AM37" i="2"/>
  <c r="AG46" i="2"/>
  <c r="AQ59" i="2"/>
  <c r="AQ67" i="2"/>
  <c r="AQ75" i="2"/>
  <c r="AM29" i="2"/>
  <c r="AO36" i="2"/>
  <c r="AI38" i="2"/>
  <c r="AQ60" i="2"/>
  <c r="AQ68" i="2"/>
  <c r="AK29" i="2"/>
  <c r="AK38" i="2"/>
  <c r="AG48" i="2"/>
  <c r="AQ61" i="2"/>
  <c r="AQ69" i="2"/>
  <c r="AI29" i="2"/>
  <c r="AM38" i="2"/>
  <c r="AG49" i="2"/>
  <c r="AQ62" i="2"/>
  <c r="AQ70" i="2"/>
  <c r="AI27" i="2"/>
  <c r="AG29" i="2"/>
  <c r="AI37" i="2"/>
  <c r="AG37" i="2"/>
  <c r="AO38" i="2"/>
  <c r="AG50" i="2"/>
  <c r="AQ63" i="2"/>
  <c r="AQ71" i="2"/>
  <c r="BF36" i="12"/>
  <c r="AY36" i="12"/>
  <c r="T12" i="12"/>
  <c r="T10" i="12"/>
  <c r="V7" i="12"/>
  <c r="T11" i="12"/>
  <c r="T9" i="12"/>
  <c r="AW40" i="12"/>
  <c r="AV40" i="12"/>
  <c r="AV36" i="12"/>
  <c r="BD36" i="12"/>
  <c r="BF57" i="12"/>
  <c r="BG57" i="12"/>
  <c r="BF59" i="12"/>
  <c r="BF61" i="12"/>
  <c r="F7" i="12"/>
  <c r="BG61" i="12"/>
  <c r="BB29" i="12"/>
  <c r="AX36" i="12"/>
  <c r="BF71" i="12"/>
  <c r="BF73" i="12"/>
  <c r="AV7" i="12"/>
  <c r="AV29" i="12"/>
  <c r="BD29" i="12"/>
  <c r="AZ36" i="12"/>
  <c r="BF58" i="12"/>
  <c r="BF60" i="12"/>
  <c r="AH7" i="12"/>
  <c r="AW36" i="12"/>
  <c r="BE36" i="12"/>
  <c r="BF70" i="12"/>
  <c r="BF72" i="12"/>
  <c r="BG72" i="12"/>
  <c r="BF74" i="12"/>
  <c r="BG74" i="12"/>
  <c r="AV11" i="11"/>
  <c r="AV9" i="11"/>
  <c r="F7" i="10"/>
  <c r="AV17" i="11"/>
  <c r="AV17" i="8"/>
  <c r="AH7" i="11"/>
  <c r="AH11" i="11" s="1"/>
  <c r="AV17" i="10"/>
  <c r="BA36" i="11"/>
  <c r="AZ40" i="11"/>
  <c r="BD29" i="11"/>
  <c r="BF70" i="11"/>
  <c r="BF57" i="11"/>
  <c r="AX29" i="11"/>
  <c r="AV29" i="11"/>
  <c r="BF74" i="11"/>
  <c r="BD36" i="11"/>
  <c r="AV12" i="11"/>
  <c r="AV10" i="11"/>
  <c r="AX7" i="11"/>
  <c r="AZ7" i="11" s="1"/>
  <c r="AZ29" i="11"/>
  <c r="AW36" i="11"/>
  <c r="AV36" i="11"/>
  <c r="AY40" i="11"/>
  <c r="AX40" i="11"/>
  <c r="BF60" i="11"/>
  <c r="BF17" i="11"/>
  <c r="T7" i="11"/>
  <c r="F7" i="11"/>
  <c r="BF72" i="11"/>
  <c r="BD40" i="11"/>
  <c r="BC29" i="11"/>
  <c r="BC36" i="11"/>
  <c r="BB29" i="11"/>
  <c r="AX36" i="11"/>
  <c r="BG59" i="11"/>
  <c r="BF71" i="11"/>
  <c r="BF73" i="11"/>
  <c r="BB36" i="11"/>
  <c r="BF61" i="11"/>
  <c r="F7" i="8"/>
  <c r="H7" i="8" s="1"/>
  <c r="T7" i="8"/>
  <c r="V7" i="8" s="1"/>
  <c r="X7" i="8" s="1"/>
  <c r="AH7" i="8"/>
  <c r="AH11" i="8" s="1"/>
  <c r="AV7" i="8"/>
  <c r="AV11" i="8" s="1"/>
  <c r="BD28" i="10"/>
  <c r="BD27" i="10"/>
  <c r="BE29" i="10"/>
  <c r="BD29" i="10"/>
  <c r="BD36" i="10"/>
  <c r="F9" i="10"/>
  <c r="F11" i="10"/>
  <c r="H7" i="10"/>
  <c r="BB36" i="10"/>
  <c r="F10" i="10"/>
  <c r="BD40" i="10"/>
  <c r="F12" i="10"/>
  <c r="AV36" i="10"/>
  <c r="BB28" i="10"/>
  <c r="BB27" i="10"/>
  <c r="AY36" i="10"/>
  <c r="BE36" i="10"/>
  <c r="BF61" i="10"/>
  <c r="BG61" i="10"/>
  <c r="AH7" i="10"/>
  <c r="AV29" i="10"/>
  <c r="AW36" i="10"/>
  <c r="BA36" i="10"/>
  <c r="BF59" i="10"/>
  <c r="BC29" i="10"/>
  <c r="T7" i="10"/>
  <c r="AX29" i="10"/>
  <c r="AV7" i="10"/>
  <c r="BF57" i="10"/>
  <c r="BF71" i="10"/>
  <c r="BF73" i="10"/>
  <c r="BG73" i="10"/>
  <c r="BF75" i="10"/>
  <c r="BF58" i="10"/>
  <c r="BG58" i="10"/>
  <c r="BF60" i="10"/>
  <c r="BG60" i="10"/>
  <c r="BF70" i="10"/>
  <c r="BF72" i="10"/>
  <c r="BF74" i="10"/>
  <c r="BG74" i="10"/>
  <c r="F10" i="9"/>
  <c r="F9" i="9"/>
  <c r="AV17" i="9"/>
  <c r="F12" i="9"/>
  <c r="BC29" i="9"/>
  <c r="BF59" i="9"/>
  <c r="BE29" i="9"/>
  <c r="BD29" i="9"/>
  <c r="AW36" i="9"/>
  <c r="AZ36" i="9"/>
  <c r="AX36" i="9"/>
  <c r="BF57" i="9"/>
  <c r="BF17" i="9"/>
  <c r="T7" i="9"/>
  <c r="AH7" i="9"/>
  <c r="AV7" i="9"/>
  <c r="BA36" i="9"/>
  <c r="BD28" i="9"/>
  <c r="AV29" i="9"/>
  <c r="BB36" i="9"/>
  <c r="H7" i="9"/>
  <c r="F11" i="9"/>
  <c r="AX40" i="9"/>
  <c r="AX29" i="9"/>
  <c r="AZ29" i="9"/>
  <c r="BF61" i="9"/>
  <c r="BF71" i="9"/>
  <c r="BG71" i="9"/>
  <c r="BF73" i="9"/>
  <c r="BG73" i="9"/>
  <c r="BF75" i="9"/>
  <c r="BF58" i="9"/>
  <c r="BG58" i="9"/>
  <c r="BF60" i="9"/>
  <c r="BG60" i="9"/>
  <c r="BF70" i="9"/>
  <c r="BF72" i="9"/>
  <c r="BG72" i="9"/>
  <c r="BF74" i="9"/>
  <c r="BG74" i="9"/>
  <c r="BG75" i="9"/>
  <c r="T10" i="8"/>
  <c r="T11" i="8"/>
  <c r="AV49" i="8"/>
  <c r="BD39" i="8"/>
  <c r="AS69" i="8"/>
  <c r="AS65" i="8"/>
  <c r="AS66" i="8"/>
  <c r="AS62" i="8"/>
  <c r="AS68" i="8"/>
  <c r="AS64" i="8"/>
  <c r="AS67" i="8"/>
  <c r="AS63" i="8"/>
  <c r="BF56" i="8"/>
  <c r="AS56" i="8"/>
  <c r="BB36" i="8"/>
  <c r="BE39" i="8"/>
  <c r="BF59" i="8"/>
  <c r="AS59" i="8"/>
  <c r="BG59" i="8" s="1"/>
  <c r="J7" i="8"/>
  <c r="AV9" i="8"/>
  <c r="AX29" i="8"/>
  <c r="AZ29" i="8"/>
  <c r="BE36" i="8"/>
  <c r="BA36" i="8"/>
  <c r="AX7" i="8"/>
  <c r="AZ7" i="8" s="1"/>
  <c r="F10" i="8"/>
  <c r="F12" i="8"/>
  <c r="BB29" i="8"/>
  <c r="BF72" i="8"/>
  <c r="AS72" i="8"/>
  <c r="AV10" i="8"/>
  <c r="AV12" i="8"/>
  <c r="BE29" i="8"/>
  <c r="BD29" i="8"/>
  <c r="F11" i="8"/>
  <c r="AV27" i="8"/>
  <c r="AW36" i="8"/>
  <c r="AV36" i="8"/>
  <c r="AW29" i="8"/>
  <c r="AV29" i="8"/>
  <c r="AX36" i="8"/>
  <c r="AV40" i="8"/>
  <c r="BF61" i="8"/>
  <c r="AS61" i="8"/>
  <c r="BG61" i="8" s="1"/>
  <c r="BF58" i="8"/>
  <c r="AS58" i="8"/>
  <c r="BG58" i="8" s="1"/>
  <c r="BF74" i="8"/>
  <c r="AS74" i="8"/>
  <c r="BF71" i="8"/>
  <c r="AS71" i="8"/>
  <c r="BG71" i="8" s="1"/>
  <c r="BF60" i="8"/>
  <c r="AS60" i="8"/>
  <c r="BG60" i="8" s="1"/>
  <c r="BF57" i="8"/>
  <c r="AS57" i="8"/>
  <c r="BF73" i="8"/>
  <c r="AS73" i="8"/>
  <c r="BF70" i="8"/>
  <c r="AS70" i="8"/>
  <c r="BG70" i="8" s="1"/>
  <c r="AS75" i="8"/>
  <c r="BG75" i="8" s="1"/>
  <c r="BE36" i="7"/>
  <c r="F7" i="7"/>
  <c r="BF57" i="7"/>
  <c r="AV7" i="7"/>
  <c r="BC29" i="7"/>
  <c r="AY40" i="7"/>
  <c r="T7" i="7"/>
  <c r="AV29" i="7"/>
  <c r="AV17" i="7"/>
  <c r="AH7" i="7"/>
  <c r="T17" i="7"/>
  <c r="BB28" i="7"/>
  <c r="BE29" i="7"/>
  <c r="AX40" i="7"/>
  <c r="BF61" i="7"/>
  <c r="BG61" i="7"/>
  <c r="BD36" i="7"/>
  <c r="AD17" i="7"/>
  <c r="AZ29" i="7"/>
  <c r="BF59" i="7"/>
  <c r="BD27" i="7"/>
  <c r="BB29" i="7"/>
  <c r="AX36" i="7"/>
  <c r="BF71" i="7"/>
  <c r="BF73" i="7"/>
  <c r="BF75" i="7"/>
  <c r="BF58" i="7"/>
  <c r="BF60" i="7"/>
  <c r="BG60" i="7"/>
  <c r="AW36" i="7"/>
  <c r="AX29" i="7"/>
  <c r="BB36" i="7"/>
  <c r="BF70" i="7"/>
  <c r="BG70" i="7"/>
  <c r="BF72" i="7"/>
  <c r="BF74" i="7"/>
  <c r="BG75" i="7"/>
  <c r="F11" i="6"/>
  <c r="F10" i="6"/>
  <c r="BE36" i="6"/>
  <c r="BF59" i="6"/>
  <c r="AW36" i="6"/>
  <c r="BF57" i="6"/>
  <c r="BG57" i="6"/>
  <c r="AV17" i="6"/>
  <c r="AH7" i="6"/>
  <c r="AV7" i="6"/>
  <c r="BF17" i="6"/>
  <c r="T7" i="6"/>
  <c r="AZ36" i="6"/>
  <c r="BD36" i="6"/>
  <c r="H7" i="6"/>
  <c r="AZ40" i="6"/>
  <c r="AX40" i="6"/>
  <c r="F9" i="6"/>
  <c r="AV29" i="6"/>
  <c r="BF61" i="6"/>
  <c r="BF58" i="6"/>
  <c r="BG58" i="6"/>
  <c r="BB28" i="6"/>
  <c r="BB29" i="6"/>
  <c r="AX36" i="6"/>
  <c r="BF71" i="6"/>
  <c r="BG71" i="6"/>
  <c r="BF73" i="6"/>
  <c r="BF75" i="6"/>
  <c r="AY36" i="6"/>
  <c r="BC36" i="6"/>
  <c r="BF60" i="6"/>
  <c r="BF70" i="6"/>
  <c r="BF72" i="6"/>
  <c r="BF74" i="6"/>
  <c r="BG75" i="6"/>
  <c r="BE36" i="5"/>
  <c r="BD29" i="5"/>
  <c r="T7" i="5"/>
  <c r="AV17" i="5"/>
  <c r="AX29" i="5"/>
  <c r="BD36" i="5"/>
  <c r="AY36" i="5"/>
  <c r="AZ36" i="5"/>
  <c r="BA36" i="5"/>
  <c r="AY40" i="5"/>
  <c r="AV29" i="5"/>
  <c r="BG57" i="5"/>
  <c r="AZ29" i="5"/>
  <c r="AX40" i="5"/>
  <c r="AH7" i="5"/>
  <c r="AV7" i="5"/>
  <c r="F7" i="5"/>
  <c r="BC36" i="5"/>
  <c r="BB29" i="5"/>
  <c r="BF57" i="5"/>
  <c r="BF61" i="5"/>
  <c r="AX36" i="5"/>
  <c r="BF71" i="5"/>
  <c r="BF73" i="5"/>
  <c r="BG73" i="5"/>
  <c r="BF75" i="5"/>
  <c r="BF59" i="5"/>
  <c r="BF58" i="5"/>
  <c r="BG58" i="5"/>
  <c r="BF60" i="5"/>
  <c r="BB36" i="5"/>
  <c r="BF70" i="5"/>
  <c r="BF72" i="5"/>
  <c r="BF74" i="5"/>
  <c r="BF57" i="4"/>
  <c r="AZ29" i="4"/>
  <c r="BB29" i="4"/>
  <c r="AY36" i="4"/>
  <c r="AX29" i="4"/>
  <c r="BF17" i="4"/>
  <c r="T7" i="4"/>
  <c r="AV17" i="4"/>
  <c r="AH7" i="4"/>
  <c r="BA36" i="4"/>
  <c r="BF61" i="4"/>
  <c r="AW40" i="4"/>
  <c r="F7" i="4"/>
  <c r="AX36" i="4"/>
  <c r="BD27" i="4"/>
  <c r="BE29" i="4"/>
  <c r="AV7" i="4"/>
  <c r="AV40" i="4"/>
  <c r="BF59" i="4"/>
  <c r="AV29" i="4"/>
  <c r="BD29" i="4"/>
  <c r="AZ36" i="4"/>
  <c r="BF71" i="4"/>
  <c r="BF73" i="4"/>
  <c r="AW36" i="4"/>
  <c r="BE36" i="4"/>
  <c r="BF58" i="4"/>
  <c r="BF60" i="4"/>
  <c r="AV36" i="4"/>
  <c r="BD36" i="4"/>
  <c r="BF70" i="4"/>
  <c r="BF72" i="4"/>
  <c r="BF74" i="4"/>
  <c r="T7" i="3"/>
  <c r="T11" i="3" s="1"/>
  <c r="T17" i="3"/>
  <c r="AV7" i="3"/>
  <c r="AD17" i="3"/>
  <c r="AY40" i="3"/>
  <c r="BE36" i="3"/>
  <c r="BD29" i="3"/>
  <c r="BF57" i="3"/>
  <c r="BF59" i="3"/>
  <c r="AV36" i="3"/>
  <c r="BB28" i="3"/>
  <c r="AW36" i="3"/>
  <c r="AV29" i="3"/>
  <c r="BG71" i="3"/>
  <c r="BB27" i="3"/>
  <c r="AV17" i="3"/>
  <c r="AH7" i="3"/>
  <c r="AZ29" i="3"/>
  <c r="F7" i="3"/>
  <c r="BA36" i="3"/>
  <c r="BF61" i="3"/>
  <c r="BG61" i="3"/>
  <c r="BB29" i="3"/>
  <c r="AX36" i="3"/>
  <c r="BF71" i="3"/>
  <c r="BF73" i="3"/>
  <c r="BF75" i="3"/>
  <c r="BF58" i="3"/>
  <c r="BF60" i="3"/>
  <c r="BF70" i="3"/>
  <c r="BF72" i="3"/>
  <c r="BG72" i="3"/>
  <c r="BF74" i="3"/>
  <c r="BG74" i="3"/>
  <c r="F51" i="15" l="1"/>
  <c r="G51" i="15" s="1"/>
  <c r="Z53" i="15"/>
  <c r="AA53" i="15" s="1"/>
  <c r="AI47" i="15"/>
  <c r="F53" i="15"/>
  <c r="G53" i="15" s="1"/>
  <c r="AV47" i="15"/>
  <c r="BC40" i="15"/>
  <c r="X53" i="15"/>
  <c r="Y53" i="15" s="1"/>
  <c r="BG64" i="15"/>
  <c r="AE40" i="15"/>
  <c r="AD27" i="15"/>
  <c r="Z7" i="15"/>
  <c r="H28" i="15"/>
  <c r="H39" i="15"/>
  <c r="I39" i="15" s="1"/>
  <c r="I29" i="15"/>
  <c r="AV28" i="15"/>
  <c r="BF40" i="15"/>
  <c r="AS40" i="15"/>
  <c r="BG40" i="15" s="1"/>
  <c r="BG68" i="15"/>
  <c r="V28" i="15"/>
  <c r="V39" i="15"/>
  <c r="W39" i="15" s="1"/>
  <c r="W29" i="15"/>
  <c r="T53" i="15"/>
  <c r="U53" i="15" s="1"/>
  <c r="BG69" i="15"/>
  <c r="AV39" i="15"/>
  <c r="AI39" i="15"/>
  <c r="AW39" i="15" s="1"/>
  <c r="BG65" i="15"/>
  <c r="BG66" i="15"/>
  <c r="Q40" i="15"/>
  <c r="AX50" i="15"/>
  <c r="AK50" i="15"/>
  <c r="AY50" i="15" s="1"/>
  <c r="AW29" i="15"/>
  <c r="I47" i="15"/>
  <c r="H51" i="15"/>
  <c r="AH51" i="15"/>
  <c r="AV43" i="15"/>
  <c r="AI43" i="15"/>
  <c r="AW43" i="15" s="1"/>
  <c r="AO39" i="15"/>
  <c r="BC39" i="15" s="1"/>
  <c r="BB39" i="15"/>
  <c r="AE43" i="15"/>
  <c r="AD51" i="15"/>
  <c r="AE51" i="15" s="1"/>
  <c r="K50" i="15"/>
  <c r="P27" i="15"/>
  <c r="L7" i="15"/>
  <c r="AJ28" i="15"/>
  <c r="AX27" i="15"/>
  <c r="AK29" i="15"/>
  <c r="AY29" i="15" s="1"/>
  <c r="AJ39" i="15"/>
  <c r="AX45" i="15"/>
  <c r="AK45" i="15"/>
  <c r="AY45" i="15" s="1"/>
  <c r="AW47" i="15"/>
  <c r="AX49" i="15"/>
  <c r="AK49" i="15"/>
  <c r="BG56" i="15"/>
  <c r="AX46" i="15"/>
  <c r="AK46" i="15"/>
  <c r="AY46" i="15" s="1"/>
  <c r="Q43" i="15"/>
  <c r="BG63" i="15"/>
  <c r="BG62" i="15"/>
  <c r="BA40" i="15"/>
  <c r="AW40" i="15"/>
  <c r="AK50" i="2"/>
  <c r="AK48" i="2"/>
  <c r="AK44" i="2"/>
  <c r="AK46" i="2"/>
  <c r="AK45" i="2"/>
  <c r="AK49" i="2"/>
  <c r="AK27" i="2"/>
  <c r="AN7" i="15"/>
  <c r="BF76" i="15"/>
  <c r="AS76" i="15"/>
  <c r="BG76" i="15" s="1"/>
  <c r="AH12" i="12"/>
  <c r="AH10" i="12"/>
  <c r="AJ7" i="12"/>
  <c r="AH11" i="12"/>
  <c r="AH9" i="12"/>
  <c r="AX7" i="12"/>
  <c r="AZ7" i="12" s="1"/>
  <c r="AV11" i="12"/>
  <c r="AV9" i="12"/>
  <c r="AV10" i="12"/>
  <c r="AV12" i="12"/>
  <c r="BB39" i="12"/>
  <c r="BC39" i="12"/>
  <c r="BG36" i="12"/>
  <c r="BG70" i="12"/>
  <c r="BD40" i="12"/>
  <c r="BG73" i="12"/>
  <c r="BC29" i="12"/>
  <c r="BB27" i="12"/>
  <c r="BG60" i="12"/>
  <c r="BB28" i="12"/>
  <c r="AX40" i="12"/>
  <c r="BG71" i="12"/>
  <c r="F12" i="12"/>
  <c r="F10" i="12"/>
  <c r="F9" i="12"/>
  <c r="H7" i="12"/>
  <c r="F11" i="12"/>
  <c r="BG75" i="12"/>
  <c r="BE29" i="12"/>
  <c r="BG58" i="12"/>
  <c r="AZ40" i="12"/>
  <c r="BC40" i="12"/>
  <c r="BB40" i="12"/>
  <c r="BG68" i="12"/>
  <c r="BG64" i="12"/>
  <c r="BG69" i="12"/>
  <c r="BG65" i="12"/>
  <c r="BG66" i="12"/>
  <c r="BG62" i="12"/>
  <c r="BG63" i="12"/>
  <c r="BF29" i="12"/>
  <c r="BG67" i="12"/>
  <c r="BF56" i="12"/>
  <c r="BG56" i="12"/>
  <c r="BD27" i="12"/>
  <c r="BD28" i="12"/>
  <c r="BG59" i="12"/>
  <c r="X7" i="12"/>
  <c r="AH10" i="11"/>
  <c r="AH9" i="8"/>
  <c r="AH12" i="11"/>
  <c r="F9" i="8"/>
  <c r="T9" i="8"/>
  <c r="AJ7" i="11"/>
  <c r="AL7" i="11" s="1"/>
  <c r="AH12" i="8"/>
  <c r="T12" i="8"/>
  <c r="AH9" i="11"/>
  <c r="AH10" i="8"/>
  <c r="AJ7" i="8"/>
  <c r="AW44" i="11"/>
  <c r="AV44" i="11"/>
  <c r="AW48" i="11"/>
  <c r="AV48" i="11"/>
  <c r="BG58" i="11"/>
  <c r="AV46" i="11"/>
  <c r="AW46" i="11"/>
  <c r="BA40" i="11"/>
  <c r="AV50" i="11"/>
  <c r="AW50" i="11"/>
  <c r="AW49" i="11"/>
  <c r="AV49" i="11"/>
  <c r="BG69" i="11"/>
  <c r="BG65" i="11"/>
  <c r="BG66" i="11"/>
  <c r="BG62" i="11"/>
  <c r="BF29" i="11"/>
  <c r="BG63" i="11"/>
  <c r="AV45" i="11"/>
  <c r="AW45" i="11"/>
  <c r="BB28" i="11"/>
  <c r="BB27" i="11"/>
  <c r="BD27" i="11"/>
  <c r="BD28" i="11"/>
  <c r="BE29" i="11"/>
  <c r="BG61" i="11"/>
  <c r="BG75" i="11"/>
  <c r="BE36" i="11"/>
  <c r="AV40" i="11"/>
  <c r="AW40" i="11"/>
  <c r="BE39" i="11"/>
  <c r="BD39" i="11"/>
  <c r="BG70" i="11"/>
  <c r="T10" i="11"/>
  <c r="T9" i="11"/>
  <c r="V7" i="11"/>
  <c r="T12" i="11"/>
  <c r="T11" i="11"/>
  <c r="BG74" i="11"/>
  <c r="BE40" i="11"/>
  <c r="BG57" i="11"/>
  <c r="BG71" i="11"/>
  <c r="BG72" i="11"/>
  <c r="BG60" i="11"/>
  <c r="BF56" i="11"/>
  <c r="BG73" i="11"/>
  <c r="BC40" i="11"/>
  <c r="BB40" i="11"/>
  <c r="AY36" i="11"/>
  <c r="H7" i="11"/>
  <c r="F11" i="11"/>
  <c r="F10" i="11"/>
  <c r="F12" i="11"/>
  <c r="F9" i="11"/>
  <c r="BF36" i="11"/>
  <c r="BG36" i="11"/>
  <c r="AV27" i="11"/>
  <c r="AH11" i="10"/>
  <c r="AJ7" i="10"/>
  <c r="AH10" i="10"/>
  <c r="AH12" i="10"/>
  <c r="AH9" i="10"/>
  <c r="BG71" i="10"/>
  <c r="BG57" i="10"/>
  <c r="AV40" i="10"/>
  <c r="BG75" i="10"/>
  <c r="AX40" i="10"/>
  <c r="AY40" i="10"/>
  <c r="BG59" i="10"/>
  <c r="BD39" i="10"/>
  <c r="BE39" i="10"/>
  <c r="BG68" i="10"/>
  <c r="BG64" i="10"/>
  <c r="BG69" i="10"/>
  <c r="BG65" i="10"/>
  <c r="BG66" i="10"/>
  <c r="BG62" i="10"/>
  <c r="BG63" i="10"/>
  <c r="BG67" i="10"/>
  <c r="BF29" i="10"/>
  <c r="BC39" i="10"/>
  <c r="BB39" i="10"/>
  <c r="BE40" i="10"/>
  <c r="T9" i="10"/>
  <c r="V7" i="10"/>
  <c r="T11" i="10"/>
  <c r="T10" i="10"/>
  <c r="T12" i="10"/>
  <c r="BF36" i="10"/>
  <c r="BG36" i="10"/>
  <c r="BC36" i="10"/>
  <c r="BC40" i="10"/>
  <c r="BB40" i="10"/>
  <c r="J7" i="10"/>
  <c r="AV11" i="10"/>
  <c r="AV9" i="10"/>
  <c r="AV12" i="10"/>
  <c r="AV10" i="10"/>
  <c r="AX7" i="10"/>
  <c r="AZ7" i="10" s="1"/>
  <c r="BG72" i="10"/>
  <c r="AZ40" i="10"/>
  <c r="BA40" i="10"/>
  <c r="BG70" i="10"/>
  <c r="BF56" i="10"/>
  <c r="BG56" i="10"/>
  <c r="AV40" i="9"/>
  <c r="AZ40" i="9"/>
  <c r="BG70" i="9"/>
  <c r="BB40" i="9"/>
  <c r="BB28" i="9"/>
  <c r="BB27" i="9"/>
  <c r="AV12" i="9"/>
  <c r="AV10" i="9"/>
  <c r="AV11" i="9"/>
  <c r="AX7" i="9"/>
  <c r="AZ7" i="9" s="1"/>
  <c r="AV9" i="9"/>
  <c r="AH11" i="9"/>
  <c r="AH10" i="9"/>
  <c r="AJ7" i="9"/>
  <c r="AH12" i="9"/>
  <c r="AH9" i="9"/>
  <c r="BG64" i="9"/>
  <c r="BG62" i="9"/>
  <c r="BG67" i="9"/>
  <c r="BF29" i="9"/>
  <c r="BD40" i="9"/>
  <c r="BB39" i="9"/>
  <c r="BC39" i="9"/>
  <c r="BF56" i="9"/>
  <c r="BG56" i="9"/>
  <c r="AY40" i="9"/>
  <c r="BG59" i="9"/>
  <c r="T11" i="9"/>
  <c r="T12" i="9"/>
  <c r="T10" i="9"/>
  <c r="V7" i="9"/>
  <c r="T9" i="9"/>
  <c r="BG57" i="9"/>
  <c r="J7" i="9"/>
  <c r="AY36" i="9"/>
  <c r="BG36" i="9"/>
  <c r="BF36" i="9"/>
  <c r="BG61" i="9"/>
  <c r="BE36" i="9"/>
  <c r="BC36" i="9"/>
  <c r="BC40" i="9"/>
  <c r="BE39" i="9"/>
  <c r="BD39" i="9"/>
  <c r="AV45" i="8"/>
  <c r="AW45" i="8"/>
  <c r="BA40" i="8"/>
  <c r="AZ40" i="8"/>
  <c r="BG73" i="8"/>
  <c r="AV48" i="8"/>
  <c r="AW48" i="8"/>
  <c r="L7" i="8"/>
  <c r="AY36" i="8"/>
  <c r="BG65" i="8"/>
  <c r="AV46" i="8"/>
  <c r="AW46" i="8"/>
  <c r="AS36" i="8"/>
  <c r="BG36" i="8" s="1"/>
  <c r="BF36" i="8"/>
  <c r="BC29" i="8"/>
  <c r="BG57" i="8"/>
  <c r="BG74" i="8"/>
  <c r="BG64" i="8"/>
  <c r="BG66" i="8"/>
  <c r="BG62" i="8"/>
  <c r="BG67" i="8"/>
  <c r="BG63" i="8"/>
  <c r="BG69" i="8"/>
  <c r="BB40" i="8"/>
  <c r="BC36" i="8"/>
  <c r="BG68" i="8"/>
  <c r="AL7" i="8"/>
  <c r="AV28" i="8"/>
  <c r="BD40" i="8"/>
  <c r="BE40" i="8"/>
  <c r="BG72" i="8"/>
  <c r="AW39" i="8"/>
  <c r="AV39" i="8"/>
  <c r="AW40" i="8"/>
  <c r="AW49" i="8"/>
  <c r="BB28" i="8"/>
  <c r="BB27" i="8"/>
  <c r="BF76" i="8"/>
  <c r="AS76" i="8"/>
  <c r="BG76" i="8" s="1"/>
  <c r="AS33" i="8"/>
  <c r="Z7" i="8"/>
  <c r="AV44" i="8"/>
  <c r="AW44" i="8"/>
  <c r="BG56" i="8"/>
  <c r="AS34" i="8"/>
  <c r="AW50" i="8"/>
  <c r="AV50" i="8"/>
  <c r="AY40" i="8"/>
  <c r="AX40" i="8"/>
  <c r="BF29" i="8"/>
  <c r="BG71" i="7"/>
  <c r="BG59" i="7"/>
  <c r="T12" i="7"/>
  <c r="T10" i="7"/>
  <c r="T9" i="7"/>
  <c r="V7" i="7"/>
  <c r="T11" i="7"/>
  <c r="BA36" i="7"/>
  <c r="AH12" i="7"/>
  <c r="AH10" i="7"/>
  <c r="AJ7" i="7"/>
  <c r="AH11" i="7"/>
  <c r="AH9" i="7"/>
  <c r="BG68" i="7"/>
  <c r="BG69" i="7"/>
  <c r="BG65" i="7"/>
  <c r="BG63" i="7"/>
  <c r="BF29" i="7"/>
  <c r="BB39" i="7"/>
  <c r="BC39" i="7"/>
  <c r="BG58" i="7"/>
  <c r="F12" i="7"/>
  <c r="F10" i="7"/>
  <c r="H7" i="7"/>
  <c r="F9" i="7"/>
  <c r="F11" i="7"/>
  <c r="AV40" i="7"/>
  <c r="AW40" i="7"/>
  <c r="AX7" i="7"/>
  <c r="AZ7" i="7" s="1"/>
  <c r="AV9" i="7"/>
  <c r="AV12" i="7"/>
  <c r="AV10" i="7"/>
  <c r="AV11" i="7"/>
  <c r="BE40" i="7"/>
  <c r="BD40" i="7"/>
  <c r="BD28" i="7"/>
  <c r="BG74" i="7"/>
  <c r="BG73" i="7"/>
  <c r="BC40" i="7"/>
  <c r="BB40" i="7"/>
  <c r="BG36" i="7"/>
  <c r="BA40" i="7"/>
  <c r="AZ40" i="7"/>
  <c r="BG72" i="7"/>
  <c r="BF36" i="7"/>
  <c r="BF56" i="7"/>
  <c r="BG56" i="7"/>
  <c r="BG57" i="7"/>
  <c r="BC29" i="6"/>
  <c r="BF36" i="6"/>
  <c r="AV11" i="6"/>
  <c r="AV9" i="6"/>
  <c r="AV12" i="6"/>
  <c r="AV10" i="6"/>
  <c r="AX7" i="6"/>
  <c r="AZ7" i="6" s="1"/>
  <c r="J7" i="6"/>
  <c r="AH12" i="6"/>
  <c r="AH10" i="6"/>
  <c r="AJ7" i="6"/>
  <c r="AH11" i="6"/>
  <c r="AH9" i="6"/>
  <c r="BG68" i="6"/>
  <c r="BG69" i="6"/>
  <c r="BG65" i="6"/>
  <c r="BF29" i="6"/>
  <c r="BG59" i="6"/>
  <c r="AV40" i="6"/>
  <c r="AW40" i="6"/>
  <c r="BB39" i="6"/>
  <c r="BC39" i="6"/>
  <c r="BG74" i="6"/>
  <c r="BG72" i="6"/>
  <c r="BG61" i="6"/>
  <c r="BA40" i="6"/>
  <c r="BG60" i="6"/>
  <c r="BC40" i="6"/>
  <c r="BB40" i="6"/>
  <c r="BD27" i="6"/>
  <c r="BE29" i="6"/>
  <c r="BD28" i="6"/>
  <c r="BD40" i="6"/>
  <c r="BE40" i="6"/>
  <c r="BG70" i="6"/>
  <c r="BG73" i="6"/>
  <c r="AY40" i="6"/>
  <c r="T12" i="6"/>
  <c r="T10" i="6"/>
  <c r="V7" i="6"/>
  <c r="T11" i="6"/>
  <c r="T9" i="6"/>
  <c r="BF56" i="6"/>
  <c r="BG56" i="6"/>
  <c r="T10" i="3"/>
  <c r="BC40" i="5"/>
  <c r="BB40" i="5"/>
  <c r="F12" i="5"/>
  <c r="F10" i="5"/>
  <c r="H7" i="5"/>
  <c r="F11" i="5"/>
  <c r="F9" i="5"/>
  <c r="BD39" i="5"/>
  <c r="BD28" i="5"/>
  <c r="BD27" i="5"/>
  <c r="AZ40" i="5"/>
  <c r="BG75" i="5"/>
  <c r="BG74" i="5"/>
  <c r="BF56" i="5"/>
  <c r="BG56" i="5"/>
  <c r="BG71" i="5"/>
  <c r="AV11" i="5"/>
  <c r="AV9" i="5"/>
  <c r="AV10" i="5"/>
  <c r="AV12" i="5"/>
  <c r="AX7" i="5"/>
  <c r="AZ7" i="5" s="1"/>
  <c r="AW36" i="5"/>
  <c r="BE40" i="5"/>
  <c r="BD40" i="5"/>
  <c r="BG68" i="5"/>
  <c r="BG62" i="5"/>
  <c r="BG67" i="5"/>
  <c r="BF29" i="5"/>
  <c r="AV40" i="5"/>
  <c r="AW40" i="5"/>
  <c r="BG72" i="5"/>
  <c r="BG59" i="5"/>
  <c r="AH11" i="5"/>
  <c r="AH9" i="5"/>
  <c r="AH12" i="5"/>
  <c r="AJ7" i="5"/>
  <c r="AH10" i="5"/>
  <c r="BB39" i="5"/>
  <c r="BC39" i="5"/>
  <c r="BB27" i="5"/>
  <c r="BB28" i="5"/>
  <c r="T12" i="5"/>
  <c r="T10" i="5"/>
  <c r="T11" i="5"/>
  <c r="T9" i="5"/>
  <c r="V7" i="5"/>
  <c r="BG70" i="5"/>
  <c r="BF36" i="5"/>
  <c r="BG36" i="5"/>
  <c r="BG60" i="5"/>
  <c r="BG61" i="5"/>
  <c r="T9" i="3"/>
  <c r="BF29" i="4"/>
  <c r="BG75" i="4"/>
  <c r="F12" i="4"/>
  <c r="F10" i="4"/>
  <c r="F11" i="4"/>
  <c r="H7" i="4"/>
  <c r="F9" i="4"/>
  <c r="BG74" i="4"/>
  <c r="BE40" i="4"/>
  <c r="BD40" i="4"/>
  <c r="BC40" i="4"/>
  <c r="BB40" i="4"/>
  <c r="BF36" i="4"/>
  <c r="AH12" i="4"/>
  <c r="AH10" i="4"/>
  <c r="AJ7" i="4"/>
  <c r="AH9" i="4"/>
  <c r="AH11" i="4"/>
  <c r="BG72" i="4"/>
  <c r="BG73" i="4"/>
  <c r="BA40" i="4"/>
  <c r="AZ40" i="4"/>
  <c r="AV12" i="4"/>
  <c r="AV10" i="4"/>
  <c r="AX7" i="4"/>
  <c r="AZ7" i="4" s="1"/>
  <c r="AV9" i="4"/>
  <c r="AV11" i="4"/>
  <c r="BC29" i="4"/>
  <c r="BG60" i="4"/>
  <c r="T12" i="4"/>
  <c r="T10" i="4"/>
  <c r="T11" i="4"/>
  <c r="V7" i="4"/>
  <c r="T9" i="4"/>
  <c r="AY40" i="4"/>
  <c r="AX40" i="4"/>
  <c r="BD39" i="4"/>
  <c r="BE39" i="4"/>
  <c r="BC36" i="4"/>
  <c r="BB28" i="4"/>
  <c r="BB27" i="4"/>
  <c r="BF56" i="4"/>
  <c r="T12" i="3"/>
  <c r="AX7" i="3"/>
  <c r="AZ7" i="3" s="1"/>
  <c r="AV9" i="3"/>
  <c r="AV10" i="3"/>
  <c r="AV11" i="3"/>
  <c r="AV12" i="3"/>
  <c r="V7" i="3"/>
  <c r="X7" i="3" s="1"/>
  <c r="BC40" i="3"/>
  <c r="BB40" i="3"/>
  <c r="BD27" i="3"/>
  <c r="BD28" i="3"/>
  <c r="BE29" i="3"/>
  <c r="BB39" i="3"/>
  <c r="BC39" i="3"/>
  <c r="F12" i="3"/>
  <c r="F10" i="3"/>
  <c r="F9" i="3"/>
  <c r="F11" i="3"/>
  <c r="H7" i="3"/>
  <c r="BG69" i="3"/>
  <c r="BG65" i="3"/>
  <c r="BF29" i="3"/>
  <c r="BG59" i="3"/>
  <c r="BG70" i="3"/>
  <c r="BG60" i="3"/>
  <c r="AH12" i="3"/>
  <c r="AH10" i="3"/>
  <c r="AJ7" i="3"/>
  <c r="AH11" i="3"/>
  <c r="AH9" i="3"/>
  <c r="BA40" i="3"/>
  <c r="AZ40" i="3"/>
  <c r="BD40" i="3"/>
  <c r="BG58" i="3"/>
  <c r="BG73" i="3"/>
  <c r="AV40" i="3"/>
  <c r="AW40" i="3"/>
  <c r="BF56" i="3"/>
  <c r="BG56" i="3"/>
  <c r="BG75" i="3"/>
  <c r="BG57" i="3"/>
  <c r="BF36" i="3"/>
  <c r="AX28" i="15" l="1"/>
  <c r="AD39" i="15"/>
  <c r="AE39" i="15" s="1"/>
  <c r="AE29" i="15"/>
  <c r="AM48" i="15"/>
  <c r="BA48" i="15" s="1"/>
  <c r="AZ48" i="15"/>
  <c r="AB7" i="15"/>
  <c r="AD7" i="15"/>
  <c r="AZ45" i="15"/>
  <c r="AM45" i="15"/>
  <c r="BA45" i="15" s="1"/>
  <c r="AY49" i="15"/>
  <c r="Y47" i="2"/>
  <c r="AM47" i="2" s="1"/>
  <c r="Y50" i="2"/>
  <c r="AM50" i="2" s="1"/>
  <c r="Y49" i="2"/>
  <c r="AM49" i="2" s="1"/>
  <c r="Y45" i="2"/>
  <c r="AM45" i="2" s="1"/>
  <c r="Y48" i="2"/>
  <c r="AM48" i="2" s="1"/>
  <c r="Y44" i="2"/>
  <c r="AM44" i="2" s="1"/>
  <c r="AR7" i="15"/>
  <c r="AP7" i="15"/>
  <c r="Y46" i="2"/>
  <c r="AM46" i="2" s="1"/>
  <c r="Q29" i="15"/>
  <c r="P39" i="15"/>
  <c r="Q39" i="15" s="1"/>
  <c r="AZ50" i="15"/>
  <c r="AM50" i="15"/>
  <c r="BA50" i="15" s="1"/>
  <c r="X28" i="15"/>
  <c r="AD28" i="15" s="1"/>
  <c r="Y29" i="15"/>
  <c r="X39" i="15"/>
  <c r="Y39" i="15" s="1"/>
  <c r="AZ27" i="15"/>
  <c r="AL28" i="15"/>
  <c r="AR28" i="15" s="1"/>
  <c r="AM29" i="15"/>
  <c r="BA29" i="15" s="1"/>
  <c r="AL39" i="15"/>
  <c r="M50" i="15"/>
  <c r="P7" i="15"/>
  <c r="N7" i="15"/>
  <c r="AD53" i="15"/>
  <c r="AZ49" i="15"/>
  <c r="AM49" i="15"/>
  <c r="BA49" i="15" s="1"/>
  <c r="AK39" i="15"/>
  <c r="AY39" i="15" s="1"/>
  <c r="AX39" i="15"/>
  <c r="J28" i="15"/>
  <c r="P28" i="15" s="1"/>
  <c r="J39" i="15"/>
  <c r="K39" i="15" s="1"/>
  <c r="K29" i="15"/>
  <c r="AK47" i="2"/>
  <c r="K47" i="15"/>
  <c r="J51" i="15"/>
  <c r="AR27" i="15"/>
  <c r="AV51" i="15"/>
  <c r="AI51" i="15"/>
  <c r="AW51" i="15" s="1"/>
  <c r="AH53" i="15"/>
  <c r="AM46" i="15"/>
  <c r="BA46" i="15" s="1"/>
  <c r="AZ46" i="15"/>
  <c r="AM44" i="15"/>
  <c r="BA44" i="15" s="1"/>
  <c r="AZ44" i="15"/>
  <c r="AL43" i="15"/>
  <c r="AK43" i="2" s="1"/>
  <c r="I51" i="15"/>
  <c r="H53" i="15"/>
  <c r="I53" i="15" s="1"/>
  <c r="AW47" i="12"/>
  <c r="AV47" i="12"/>
  <c r="BG40" i="12"/>
  <c r="BF40" i="12"/>
  <c r="AY40" i="12"/>
  <c r="AV27" i="12"/>
  <c r="AW29" i="12"/>
  <c r="AW44" i="12"/>
  <c r="AV44" i="12"/>
  <c r="BA40" i="12"/>
  <c r="AW50" i="12"/>
  <c r="AV50" i="12"/>
  <c r="AW49" i="12"/>
  <c r="AV49" i="12"/>
  <c r="AL7" i="12"/>
  <c r="BE40" i="12"/>
  <c r="AW45" i="12"/>
  <c r="AV45" i="12"/>
  <c r="BF76" i="12"/>
  <c r="BG76" i="12"/>
  <c r="BE39" i="12"/>
  <c r="BD39" i="12"/>
  <c r="Z7" i="12"/>
  <c r="J7" i="12"/>
  <c r="AV46" i="12"/>
  <c r="AW46" i="12"/>
  <c r="AW48" i="12"/>
  <c r="AV48" i="12"/>
  <c r="BF40" i="11"/>
  <c r="AN7" i="11"/>
  <c r="AY50" i="11"/>
  <c r="AX50" i="11"/>
  <c r="BF76" i="11"/>
  <c r="BG76" i="11"/>
  <c r="BB39" i="11"/>
  <c r="BC39" i="11"/>
  <c r="BG67" i="11"/>
  <c r="X7" i="11"/>
  <c r="J7" i="11"/>
  <c r="BG64" i="11"/>
  <c r="AW29" i="11"/>
  <c r="AV28" i="11"/>
  <c r="BG68" i="11"/>
  <c r="BG56" i="11"/>
  <c r="AX27" i="11"/>
  <c r="AW47" i="11"/>
  <c r="AV47" i="11"/>
  <c r="AY45" i="11"/>
  <c r="AX45" i="11"/>
  <c r="AY49" i="11"/>
  <c r="AX49" i="11"/>
  <c r="AV43" i="11"/>
  <c r="AW43" i="11"/>
  <c r="AW47" i="10"/>
  <c r="AV47" i="10"/>
  <c r="L7" i="10"/>
  <c r="X7" i="10"/>
  <c r="AV46" i="10"/>
  <c r="AW46" i="10"/>
  <c r="AV50" i="10"/>
  <c r="AW50" i="10"/>
  <c r="AV49" i="10"/>
  <c r="AW49" i="10"/>
  <c r="BG40" i="10"/>
  <c r="BF40" i="10"/>
  <c r="AL7" i="10"/>
  <c r="AW40" i="10"/>
  <c r="AV27" i="10"/>
  <c r="AW29" i="10"/>
  <c r="AW45" i="10"/>
  <c r="AV45" i="10"/>
  <c r="AW44" i="10"/>
  <c r="AV44" i="10"/>
  <c r="AV48" i="10"/>
  <c r="AW48" i="10"/>
  <c r="BF76" i="10"/>
  <c r="BG76" i="10"/>
  <c r="AV44" i="9"/>
  <c r="AW44" i="9"/>
  <c r="BF40" i="9"/>
  <c r="AV48" i="9"/>
  <c r="AW48" i="9"/>
  <c r="BF76" i="9"/>
  <c r="BG76" i="9"/>
  <c r="BE40" i="9"/>
  <c r="BG66" i="9"/>
  <c r="AV27" i="9"/>
  <c r="AV46" i="9"/>
  <c r="AW46" i="9"/>
  <c r="BG65" i="9"/>
  <c r="BG69" i="9"/>
  <c r="BA40" i="9"/>
  <c r="L7" i="9"/>
  <c r="AV45" i="9"/>
  <c r="AW45" i="9"/>
  <c r="AL7" i="9"/>
  <c r="X7" i="9"/>
  <c r="BG68" i="9"/>
  <c r="AW40" i="9"/>
  <c r="AV49" i="9"/>
  <c r="AW49" i="9"/>
  <c r="BG63" i="9"/>
  <c r="AW50" i="9"/>
  <c r="AV50" i="9"/>
  <c r="AV43" i="8"/>
  <c r="AW43" i="8"/>
  <c r="AS40" i="8"/>
  <c r="BF40" i="8"/>
  <c r="AB7" i="8"/>
  <c r="AD7" i="8"/>
  <c r="AN7" i="8"/>
  <c r="AX50" i="8"/>
  <c r="AY50" i="8"/>
  <c r="BC39" i="8"/>
  <c r="BB39" i="8"/>
  <c r="AX27" i="8"/>
  <c r="AY29" i="8"/>
  <c r="AY49" i="8"/>
  <c r="AX49" i="8"/>
  <c r="AV47" i="8"/>
  <c r="AW47" i="8"/>
  <c r="AY45" i="8"/>
  <c r="AX45" i="8"/>
  <c r="BC40" i="8"/>
  <c r="P7" i="8"/>
  <c r="N7" i="8"/>
  <c r="AW45" i="7"/>
  <c r="AV45" i="7"/>
  <c r="AV27" i="7"/>
  <c r="AW49" i="7"/>
  <c r="AV49" i="7"/>
  <c r="AL7" i="7"/>
  <c r="BG62" i="7"/>
  <c r="BD39" i="7"/>
  <c r="BG66" i="7"/>
  <c r="BE39" i="7"/>
  <c r="AV44" i="7"/>
  <c r="AW44" i="7"/>
  <c r="AV46" i="7"/>
  <c r="AW46" i="7"/>
  <c r="AW48" i="7"/>
  <c r="AV48" i="7"/>
  <c r="BF76" i="7"/>
  <c r="BG76" i="7"/>
  <c r="BG67" i="7"/>
  <c r="BG64" i="7"/>
  <c r="J7" i="7"/>
  <c r="BG40" i="7"/>
  <c r="BF40" i="7"/>
  <c r="AW50" i="7"/>
  <c r="AV50" i="7"/>
  <c r="X7" i="7"/>
  <c r="AW47" i="6"/>
  <c r="AV47" i="6"/>
  <c r="BE39" i="6"/>
  <c r="BD39" i="6"/>
  <c r="X7" i="6"/>
  <c r="AV45" i="6"/>
  <c r="AW45" i="6"/>
  <c r="BG36" i="6"/>
  <c r="AV46" i="6"/>
  <c r="AW46" i="6"/>
  <c r="BG67" i="6"/>
  <c r="BG64" i="6"/>
  <c r="AW44" i="6"/>
  <c r="AV44" i="6"/>
  <c r="BF76" i="6"/>
  <c r="BG76" i="6"/>
  <c r="AW50" i="6"/>
  <c r="AV50" i="6"/>
  <c r="L7" i="6"/>
  <c r="BF40" i="6"/>
  <c r="AW49" i="6"/>
  <c r="AV49" i="6"/>
  <c r="BG62" i="6"/>
  <c r="AL7" i="6"/>
  <c r="AW48" i="6"/>
  <c r="AV48" i="6"/>
  <c r="BG63" i="6"/>
  <c r="BG66" i="6"/>
  <c r="AV27" i="6"/>
  <c r="AW29" i="6"/>
  <c r="BE39" i="5"/>
  <c r="AW44" i="5"/>
  <c r="AV44" i="5"/>
  <c r="BG65" i="5"/>
  <c r="BE29" i="5"/>
  <c r="AW48" i="5"/>
  <c r="AV48" i="5"/>
  <c r="BG69" i="5"/>
  <c r="X7" i="5"/>
  <c r="BG66" i="5"/>
  <c r="AW45" i="5"/>
  <c r="AV45" i="5"/>
  <c r="AV27" i="5"/>
  <c r="BG64" i="5"/>
  <c r="AW47" i="5"/>
  <c r="AV47" i="5"/>
  <c r="BC29" i="5"/>
  <c r="AL7" i="5"/>
  <c r="AW50" i="5"/>
  <c r="AV50" i="5"/>
  <c r="BG40" i="5"/>
  <c r="BF40" i="5"/>
  <c r="BA40" i="5"/>
  <c r="J7" i="5"/>
  <c r="AW49" i="5"/>
  <c r="AV49" i="5"/>
  <c r="AV46" i="5"/>
  <c r="AW46" i="5"/>
  <c r="BG63" i="5"/>
  <c r="BF76" i="5"/>
  <c r="BG76" i="5"/>
  <c r="AV46" i="4"/>
  <c r="AW46" i="4"/>
  <c r="BG62" i="4"/>
  <c r="BG65" i="4"/>
  <c r="AW48" i="4"/>
  <c r="AV48" i="4"/>
  <c r="BG56" i="4"/>
  <c r="AL7" i="4"/>
  <c r="BG57" i="4"/>
  <c r="BG69" i="4"/>
  <c r="AW44" i="4"/>
  <c r="AV44" i="4"/>
  <c r="BG71" i="4"/>
  <c r="BG66" i="4"/>
  <c r="BF76" i="4"/>
  <c r="BG76" i="4"/>
  <c r="BB39" i="4"/>
  <c r="BG70" i="4"/>
  <c r="X7" i="4"/>
  <c r="J7" i="4"/>
  <c r="BG67" i="4"/>
  <c r="BG64" i="4"/>
  <c r="AW49" i="4"/>
  <c r="AV49" i="4"/>
  <c r="BG36" i="4"/>
  <c r="BG58" i="4"/>
  <c r="BG68" i="4"/>
  <c r="AW45" i="4"/>
  <c r="AV45" i="4"/>
  <c r="AW50" i="4"/>
  <c r="AV50" i="4"/>
  <c r="AV27" i="4"/>
  <c r="BG59" i="4"/>
  <c r="BC39" i="4"/>
  <c r="BG61" i="4"/>
  <c r="BG40" i="4"/>
  <c r="BF40" i="4"/>
  <c r="BG63" i="4"/>
  <c r="AV45" i="3"/>
  <c r="AW45" i="3"/>
  <c r="BG67" i="3"/>
  <c r="BG66" i="3"/>
  <c r="Z7" i="3"/>
  <c r="BE40" i="3"/>
  <c r="BG64" i="3"/>
  <c r="AW44" i="3"/>
  <c r="AV44" i="3"/>
  <c r="AW48" i="3"/>
  <c r="AV48" i="3"/>
  <c r="BG36" i="3"/>
  <c r="BF40" i="3"/>
  <c r="BG68" i="3"/>
  <c r="BE39" i="3"/>
  <c r="BD39" i="3"/>
  <c r="AW50" i="3"/>
  <c r="AV50" i="3"/>
  <c r="J7" i="3"/>
  <c r="AV46" i="3"/>
  <c r="AW46" i="3"/>
  <c r="BF76" i="3"/>
  <c r="BG76" i="3"/>
  <c r="AV27" i="3"/>
  <c r="AW29" i="3"/>
  <c r="BG63" i="3"/>
  <c r="AW49" i="3"/>
  <c r="AV49" i="3"/>
  <c r="AL7" i="3"/>
  <c r="BG62" i="3"/>
  <c r="BF28" i="15" l="1"/>
  <c r="M48" i="15"/>
  <c r="AO48" i="15"/>
  <c r="BC48" i="15" s="1"/>
  <c r="BB48" i="15"/>
  <c r="AZ47" i="15"/>
  <c r="AM47" i="15"/>
  <c r="BA47" i="15" s="1"/>
  <c r="AZ39" i="15"/>
  <c r="AM39" i="15"/>
  <c r="BA39" i="15" s="1"/>
  <c r="AO45" i="15"/>
  <c r="BC45" i="15" s="1"/>
  <c r="BB45" i="15"/>
  <c r="AV53" i="15"/>
  <c r="AI53" i="15"/>
  <c r="AW53" i="15" s="1"/>
  <c r="AE53" i="15"/>
  <c r="AD78" i="15"/>
  <c r="AE78" i="15" s="1"/>
  <c r="AO49" i="15"/>
  <c r="BC49" i="15" s="1"/>
  <c r="BB49" i="15"/>
  <c r="M47" i="15"/>
  <c r="L51" i="15"/>
  <c r="AL51" i="15"/>
  <c r="AZ43" i="15"/>
  <c r="AM43" i="15"/>
  <c r="BA43" i="15" s="1"/>
  <c r="O49" i="15"/>
  <c r="O50" i="15"/>
  <c r="O48" i="15"/>
  <c r="AZ28" i="15"/>
  <c r="AO50" i="15"/>
  <c r="BC50" i="15" s="1"/>
  <c r="BB50" i="15"/>
  <c r="AO46" i="15"/>
  <c r="BC46" i="15" s="1"/>
  <c r="BB46" i="15"/>
  <c r="AO47" i="15"/>
  <c r="BC47" i="15" s="1"/>
  <c r="BB47" i="15"/>
  <c r="Q67" i="15"/>
  <c r="Q63" i="15"/>
  <c r="Q69" i="15"/>
  <c r="Q65" i="15"/>
  <c r="Q68" i="15"/>
  <c r="Q66" i="15"/>
  <c r="Q64" i="15"/>
  <c r="Q62" i="15"/>
  <c r="BF27" i="15"/>
  <c r="AR39" i="15"/>
  <c r="AS29" i="15"/>
  <c r="BG29" i="15" s="1"/>
  <c r="M49" i="15"/>
  <c r="AA50" i="2"/>
  <c r="AO50" i="2" s="1"/>
  <c r="AA49" i="2"/>
  <c r="AO49" i="2" s="1"/>
  <c r="AA45" i="2"/>
  <c r="AO45" i="2" s="1"/>
  <c r="AA48" i="2"/>
  <c r="AO48" i="2" s="1"/>
  <c r="AA44" i="2"/>
  <c r="AO44" i="2" s="1"/>
  <c r="AA46" i="2"/>
  <c r="AO46" i="2" s="1"/>
  <c r="AA47" i="2"/>
  <c r="AO47" i="2" s="1"/>
  <c r="K51" i="15"/>
  <c r="J53" i="15"/>
  <c r="K53" i="15" s="1"/>
  <c r="AO44" i="15"/>
  <c r="BC44" i="15" s="1"/>
  <c r="AN43" i="15"/>
  <c r="Y43" i="2" s="1"/>
  <c r="AM43" i="2" s="1"/>
  <c r="BB44" i="15"/>
  <c r="AY49" i="12"/>
  <c r="AX49" i="12"/>
  <c r="AV28" i="12"/>
  <c r="AD7" i="12"/>
  <c r="AB7" i="12"/>
  <c r="AX28" i="12"/>
  <c r="AY29" i="12"/>
  <c r="AX27" i="12"/>
  <c r="AW43" i="12"/>
  <c r="AV43" i="12"/>
  <c r="AN7" i="12"/>
  <c r="AW39" i="12"/>
  <c r="AV39" i="12"/>
  <c r="AX50" i="12"/>
  <c r="AY50" i="12"/>
  <c r="L7" i="12"/>
  <c r="AY45" i="12"/>
  <c r="AX45" i="12"/>
  <c r="BA45" i="11"/>
  <c r="AZ45" i="11"/>
  <c r="BA44" i="11"/>
  <c r="AZ44" i="11"/>
  <c r="BA48" i="11"/>
  <c r="AZ48" i="11"/>
  <c r="BA50" i="11"/>
  <c r="AZ50" i="11"/>
  <c r="AR7" i="11"/>
  <c r="AP7" i="11"/>
  <c r="BA49" i="11"/>
  <c r="AZ49" i="11"/>
  <c r="AY29" i="11"/>
  <c r="AW39" i="11"/>
  <c r="AV39" i="11"/>
  <c r="AZ27" i="11"/>
  <c r="BA46" i="11"/>
  <c r="AZ46" i="11"/>
  <c r="BG40" i="11"/>
  <c r="AX28" i="11"/>
  <c r="AW51" i="11"/>
  <c r="AV51" i="11"/>
  <c r="L7" i="11"/>
  <c r="Z7" i="11"/>
  <c r="AN7" i="10"/>
  <c r="AV43" i="10"/>
  <c r="AW43" i="10"/>
  <c r="AW39" i="10"/>
  <c r="AV39" i="10"/>
  <c r="AX27" i="10"/>
  <c r="P7" i="10"/>
  <c r="N7" i="10"/>
  <c r="AX50" i="10"/>
  <c r="AY50" i="10"/>
  <c r="AX49" i="10"/>
  <c r="AY49" i="10"/>
  <c r="AV28" i="10"/>
  <c r="AX45" i="10"/>
  <c r="AY45" i="10"/>
  <c r="Z7" i="10"/>
  <c r="AN7" i="9"/>
  <c r="AY50" i="9"/>
  <c r="AX50" i="9"/>
  <c r="BG40" i="9"/>
  <c r="AV47" i="9"/>
  <c r="AW47" i="9"/>
  <c r="AW39" i="9"/>
  <c r="AV39" i="9"/>
  <c r="AV43" i="9"/>
  <c r="AW43" i="9"/>
  <c r="AY49" i="9"/>
  <c r="AX49" i="9"/>
  <c r="AX27" i="9"/>
  <c r="AW29" i="9"/>
  <c r="AY45" i="9"/>
  <c r="AX45" i="9"/>
  <c r="Z7" i="9"/>
  <c r="P7" i="9"/>
  <c r="N7" i="9"/>
  <c r="AV28" i="9"/>
  <c r="BA47" i="8"/>
  <c r="AZ47" i="8"/>
  <c r="BF27" i="8"/>
  <c r="AS29" i="8"/>
  <c r="BG29" i="8" s="1"/>
  <c r="AY39" i="8"/>
  <c r="AX39" i="8"/>
  <c r="AZ27" i="8"/>
  <c r="AZ28" i="8"/>
  <c r="BA29" i="8"/>
  <c r="AP7" i="8"/>
  <c r="AR7" i="8"/>
  <c r="AX28" i="8"/>
  <c r="BF28" i="8"/>
  <c r="BA49" i="8"/>
  <c r="AZ49" i="8"/>
  <c r="BG40" i="8"/>
  <c r="BA44" i="8"/>
  <c r="AZ44" i="8"/>
  <c r="BA50" i="8"/>
  <c r="AZ50" i="8"/>
  <c r="AZ45" i="8"/>
  <c r="BA45" i="8"/>
  <c r="AW51" i="8"/>
  <c r="AV51" i="8"/>
  <c r="BA46" i="8"/>
  <c r="AZ46" i="8"/>
  <c r="BA48" i="8"/>
  <c r="AZ48" i="8"/>
  <c r="AX50" i="7"/>
  <c r="AY50" i="7"/>
  <c r="AY49" i="7"/>
  <c r="AX49" i="7"/>
  <c r="AV28" i="7"/>
  <c r="L7" i="7"/>
  <c r="AY45" i="7"/>
  <c r="AX45" i="7"/>
  <c r="AW43" i="7"/>
  <c r="AV43" i="7"/>
  <c r="AW47" i="7"/>
  <c r="AV47" i="7"/>
  <c r="Z7" i="7"/>
  <c r="AY29" i="7"/>
  <c r="AX27" i="7"/>
  <c r="AW39" i="7"/>
  <c r="AV39" i="7"/>
  <c r="AN7" i="7"/>
  <c r="AW29" i="7"/>
  <c r="AX50" i="6"/>
  <c r="AY50" i="6"/>
  <c r="AX27" i="6"/>
  <c r="BG40" i="6"/>
  <c r="AV28" i="6"/>
  <c r="AN7" i="6"/>
  <c r="AW39" i="6"/>
  <c r="AV39" i="6"/>
  <c r="AY45" i="6"/>
  <c r="AX45" i="6"/>
  <c r="P7" i="6"/>
  <c r="N7" i="6"/>
  <c r="Z7" i="6"/>
  <c r="AY49" i="6"/>
  <c r="AX49" i="6"/>
  <c r="AW43" i="6"/>
  <c r="AV43" i="6"/>
  <c r="AN7" i="5"/>
  <c r="AW29" i="5"/>
  <c r="AX50" i="5"/>
  <c r="AY50" i="5"/>
  <c r="AW43" i="5"/>
  <c r="AV43" i="5"/>
  <c r="AY49" i="5"/>
  <c r="AX49" i="5"/>
  <c r="AV28" i="5"/>
  <c r="Z7" i="5"/>
  <c r="AY45" i="5"/>
  <c r="AX45" i="5"/>
  <c r="L7" i="5"/>
  <c r="AW39" i="5"/>
  <c r="AV39" i="5"/>
  <c r="AY29" i="5"/>
  <c r="AX27" i="5"/>
  <c r="AW29" i="4"/>
  <c r="AV28" i="4"/>
  <c r="Z7" i="4"/>
  <c r="L7" i="4"/>
  <c r="AN7" i="4"/>
  <c r="AX50" i="4"/>
  <c r="AY50" i="4"/>
  <c r="AW47" i="4"/>
  <c r="AV47" i="4"/>
  <c r="AV39" i="4"/>
  <c r="AW39" i="4"/>
  <c r="AW43" i="4"/>
  <c r="AV43" i="4"/>
  <c r="AY45" i="4"/>
  <c r="AX45" i="4"/>
  <c r="AY49" i="4"/>
  <c r="AX49" i="4"/>
  <c r="AX28" i="4"/>
  <c r="AX27" i="4"/>
  <c r="AY29" i="4"/>
  <c r="AV28" i="3"/>
  <c r="AX28" i="3"/>
  <c r="AY29" i="3"/>
  <c r="AX27" i="3"/>
  <c r="AD7" i="3"/>
  <c r="AB7" i="3"/>
  <c r="AN7" i="3"/>
  <c r="AW39" i="3"/>
  <c r="AV39" i="3"/>
  <c r="AX50" i="3"/>
  <c r="AY50" i="3"/>
  <c r="AY45" i="3"/>
  <c r="AX45" i="3"/>
  <c r="AW43" i="3"/>
  <c r="AV43" i="3"/>
  <c r="AY49" i="3"/>
  <c r="AX49" i="3"/>
  <c r="L7" i="3"/>
  <c r="BG40" i="3"/>
  <c r="AW47" i="3"/>
  <c r="AV47" i="3"/>
  <c r="S51" i="2"/>
  <c r="P49" i="15" l="1"/>
  <c r="Q49" i="15" s="1"/>
  <c r="BD47" i="15"/>
  <c r="AQ47" i="15"/>
  <c r="BE47" i="15" s="1"/>
  <c r="P50" i="15"/>
  <c r="Q50" i="15" s="1"/>
  <c r="AQ46" i="15"/>
  <c r="BE46" i="15" s="1"/>
  <c r="BD46" i="15"/>
  <c r="AQ44" i="15"/>
  <c r="BE44" i="15" s="1"/>
  <c r="BD44" i="15"/>
  <c r="AP43" i="15"/>
  <c r="AA43" i="2" s="1"/>
  <c r="AO43" i="2" s="1"/>
  <c r="AI44" i="2"/>
  <c r="BF39" i="15"/>
  <c r="AS39" i="15"/>
  <c r="BG39" i="15" s="1"/>
  <c r="AZ51" i="15"/>
  <c r="AM51" i="15"/>
  <c r="BA51" i="15" s="1"/>
  <c r="AL53" i="15"/>
  <c r="AO43" i="15"/>
  <c r="BC43" i="15" s="1"/>
  <c r="AN51" i="15"/>
  <c r="BB43" i="15"/>
  <c r="AQ48" i="15"/>
  <c r="BE48" i="15" s="1"/>
  <c r="BD48" i="15"/>
  <c r="AI48" i="2"/>
  <c r="M51" i="15"/>
  <c r="L53" i="15"/>
  <c r="M53" i="15" s="1"/>
  <c r="P48" i="15"/>
  <c r="Q48" i="15" s="1"/>
  <c r="BD45" i="15"/>
  <c r="AQ45" i="15"/>
  <c r="BE45" i="15" s="1"/>
  <c r="AR45" i="15"/>
  <c r="BD49" i="15"/>
  <c r="AQ49" i="15"/>
  <c r="BE49" i="15" s="1"/>
  <c r="AR49" i="15"/>
  <c r="AR46" i="15"/>
  <c r="BD50" i="15"/>
  <c r="AQ50" i="15"/>
  <c r="BE50" i="15" s="1"/>
  <c r="AR50" i="15"/>
  <c r="O47" i="15"/>
  <c r="N51" i="15"/>
  <c r="P47" i="15"/>
  <c r="BA47" i="12"/>
  <c r="AZ47" i="12"/>
  <c r="P7" i="12"/>
  <c r="N7" i="12"/>
  <c r="BF27" i="12"/>
  <c r="BG29" i="12"/>
  <c r="BA49" i="12"/>
  <c r="AZ49" i="12"/>
  <c r="AR7" i="12"/>
  <c r="AP7" i="12"/>
  <c r="BA44" i="12"/>
  <c r="AZ44" i="12"/>
  <c r="BA48" i="12"/>
  <c r="AZ48" i="12"/>
  <c r="AW51" i="12"/>
  <c r="AV51" i="12"/>
  <c r="BA50" i="12"/>
  <c r="AZ50" i="12"/>
  <c r="AZ28" i="12"/>
  <c r="AZ27" i="12"/>
  <c r="BA29" i="12"/>
  <c r="AX39" i="12"/>
  <c r="AY39" i="12"/>
  <c r="BA46" i="12"/>
  <c r="AZ46" i="12"/>
  <c r="BA45" i="12"/>
  <c r="AZ45" i="12"/>
  <c r="BC50" i="11"/>
  <c r="BB50" i="11"/>
  <c r="BC49" i="11"/>
  <c r="BB49" i="11"/>
  <c r="BA43" i="11"/>
  <c r="AZ43" i="11"/>
  <c r="BC44" i="11"/>
  <c r="BB44" i="11"/>
  <c r="AW53" i="11"/>
  <c r="AV53" i="11"/>
  <c r="BC48" i="11"/>
  <c r="BB48" i="11"/>
  <c r="BC45" i="11"/>
  <c r="BB45" i="11"/>
  <c r="BC47" i="11"/>
  <c r="BB47" i="11"/>
  <c r="AY39" i="11"/>
  <c r="BA47" i="11"/>
  <c r="AZ47" i="11"/>
  <c r="AZ39" i="11"/>
  <c r="BA39" i="11"/>
  <c r="BA29" i="11"/>
  <c r="AD7" i="11"/>
  <c r="AB7" i="11"/>
  <c r="N7" i="11"/>
  <c r="P7" i="11"/>
  <c r="AX39" i="11"/>
  <c r="BC46" i="11"/>
  <c r="BB46" i="11"/>
  <c r="BF28" i="11"/>
  <c r="BA47" i="10"/>
  <c r="AZ47" i="10"/>
  <c r="AY29" i="10"/>
  <c r="AX28" i="10"/>
  <c r="AW51" i="10"/>
  <c r="AV51" i="10"/>
  <c r="AP7" i="10"/>
  <c r="AR7" i="10"/>
  <c r="AD7" i="10"/>
  <c r="AB7" i="10"/>
  <c r="AX39" i="10"/>
  <c r="AY39" i="10"/>
  <c r="AZ27" i="10"/>
  <c r="BA29" i="10"/>
  <c r="BA49" i="10"/>
  <c r="AZ49" i="10"/>
  <c r="BA50" i="10"/>
  <c r="AZ50" i="10"/>
  <c r="BA46" i="10"/>
  <c r="AZ46" i="10"/>
  <c r="BA48" i="10"/>
  <c r="AZ48" i="10"/>
  <c r="BA45" i="10"/>
  <c r="AZ45" i="10"/>
  <c r="BA44" i="10"/>
  <c r="AZ44" i="10"/>
  <c r="AR7" i="9"/>
  <c r="AP7" i="9"/>
  <c r="BA50" i="9"/>
  <c r="AZ50" i="9"/>
  <c r="BA44" i="9"/>
  <c r="AZ44" i="9"/>
  <c r="BA48" i="9"/>
  <c r="AZ48" i="9"/>
  <c r="AV51" i="9"/>
  <c r="AW51" i="9"/>
  <c r="BA46" i="9"/>
  <c r="AZ46" i="9"/>
  <c r="BA45" i="9"/>
  <c r="AZ45" i="9"/>
  <c r="AZ27" i="9"/>
  <c r="AY39" i="9"/>
  <c r="AX39" i="9"/>
  <c r="AD7" i="9"/>
  <c r="AB7" i="9"/>
  <c r="AY29" i="9"/>
  <c r="AX28" i="9"/>
  <c r="BA49" i="9"/>
  <c r="AZ49" i="9"/>
  <c r="BB44" i="8"/>
  <c r="BC44" i="8"/>
  <c r="BB49" i="8"/>
  <c r="BC49" i="8"/>
  <c r="BB50" i="8"/>
  <c r="BC50" i="8"/>
  <c r="BA39" i="8"/>
  <c r="AZ39" i="8"/>
  <c r="BB46" i="8"/>
  <c r="BC46" i="8"/>
  <c r="BB48" i="8"/>
  <c r="BC48" i="8"/>
  <c r="BB45" i="8"/>
  <c r="BC45" i="8"/>
  <c r="AV53" i="8"/>
  <c r="AW53" i="8"/>
  <c r="BA43" i="8"/>
  <c r="AZ43" i="8"/>
  <c r="BB47" i="8"/>
  <c r="BC47" i="8"/>
  <c r="AS39" i="8"/>
  <c r="BG39" i="8" s="1"/>
  <c r="BF39" i="8"/>
  <c r="BA47" i="7"/>
  <c r="AZ47" i="7"/>
  <c r="BA49" i="7"/>
  <c r="AZ49" i="7"/>
  <c r="BA45" i="7"/>
  <c r="AZ45" i="7"/>
  <c r="AX39" i="7"/>
  <c r="AY39" i="7"/>
  <c r="BA50" i="7"/>
  <c r="AZ50" i="7"/>
  <c r="AZ27" i="7"/>
  <c r="BA29" i="7"/>
  <c r="AR7" i="7"/>
  <c r="AP7" i="7"/>
  <c r="AD7" i="7"/>
  <c r="AB7" i="7"/>
  <c r="BA46" i="7"/>
  <c r="AZ46" i="7"/>
  <c r="BA44" i="7"/>
  <c r="AZ44" i="7"/>
  <c r="AX28" i="7"/>
  <c r="P7" i="7"/>
  <c r="N7" i="7"/>
  <c r="BA48" i="7"/>
  <c r="AZ48" i="7"/>
  <c r="AW51" i="7"/>
  <c r="AV51" i="7"/>
  <c r="BF28" i="7"/>
  <c r="BA47" i="6"/>
  <c r="AZ47" i="6"/>
  <c r="BA46" i="6"/>
  <c r="AZ46" i="6"/>
  <c r="AB7" i="6"/>
  <c r="AD7" i="6"/>
  <c r="AW51" i="6"/>
  <c r="AV51" i="6"/>
  <c r="AR7" i="6"/>
  <c r="AP7" i="6"/>
  <c r="BA45" i="6"/>
  <c r="AZ45" i="6"/>
  <c r="BA49" i="6"/>
  <c r="AZ49" i="6"/>
  <c r="AX39" i="6"/>
  <c r="AY39" i="6"/>
  <c r="BA44" i="6"/>
  <c r="AZ44" i="6"/>
  <c r="AY29" i="6"/>
  <c r="BA48" i="6"/>
  <c r="AZ48" i="6"/>
  <c r="BA50" i="6"/>
  <c r="AZ50" i="6"/>
  <c r="AZ27" i="6"/>
  <c r="AX28" i="6"/>
  <c r="BA46" i="5"/>
  <c r="AZ46" i="5"/>
  <c r="BA49" i="5"/>
  <c r="AZ49" i="5"/>
  <c r="BA44" i="5"/>
  <c r="AZ44" i="5"/>
  <c r="BA48" i="5"/>
  <c r="AZ48" i="5"/>
  <c r="AR7" i="5"/>
  <c r="AP7" i="5"/>
  <c r="BA45" i="5"/>
  <c r="AZ45" i="5"/>
  <c r="AX39" i="5"/>
  <c r="AY39" i="5"/>
  <c r="AW51" i="5"/>
  <c r="AV51" i="5"/>
  <c r="AZ27" i="5"/>
  <c r="AX28" i="5"/>
  <c r="N7" i="5"/>
  <c r="P7" i="5"/>
  <c r="AB7" i="5"/>
  <c r="AD7" i="5"/>
  <c r="BA50" i="5"/>
  <c r="AZ50" i="5"/>
  <c r="BA44" i="4"/>
  <c r="AZ44" i="4"/>
  <c r="BA48" i="4"/>
  <c r="AZ48" i="4"/>
  <c r="N7" i="4"/>
  <c r="P7" i="4"/>
  <c r="AZ27" i="4"/>
  <c r="AR7" i="4"/>
  <c r="AP7" i="4"/>
  <c r="BA50" i="4"/>
  <c r="AZ50" i="4"/>
  <c r="AY39" i="4"/>
  <c r="AX39" i="4"/>
  <c r="BA46" i="4"/>
  <c r="AZ46" i="4"/>
  <c r="AW51" i="4"/>
  <c r="AV51" i="4"/>
  <c r="BA45" i="4"/>
  <c r="AZ45" i="4"/>
  <c r="AD7" i="4"/>
  <c r="AB7" i="4"/>
  <c r="BA49" i="4"/>
  <c r="AZ49" i="4"/>
  <c r="BA47" i="3"/>
  <c r="AZ47" i="3"/>
  <c r="BA50" i="3"/>
  <c r="AZ50" i="3"/>
  <c r="AX39" i="3"/>
  <c r="AY39" i="3"/>
  <c r="AW51" i="3"/>
  <c r="AV51" i="3"/>
  <c r="BA46" i="3"/>
  <c r="AZ46" i="3"/>
  <c r="BA49" i="3"/>
  <c r="AZ49" i="3"/>
  <c r="BA45" i="3"/>
  <c r="AZ45" i="3"/>
  <c r="BA44" i="3"/>
  <c r="AZ44" i="3"/>
  <c r="BA48" i="3"/>
  <c r="AZ48" i="3"/>
  <c r="P7" i="3"/>
  <c r="N7" i="3"/>
  <c r="BF27" i="3"/>
  <c r="BG29" i="3"/>
  <c r="AR7" i="3"/>
  <c r="AP7" i="3"/>
  <c r="AZ27" i="3"/>
  <c r="BA29" i="3"/>
  <c r="AS45" i="15" l="1"/>
  <c r="BG45" i="15" s="1"/>
  <c r="BF45" i="15"/>
  <c r="BF50" i="15"/>
  <c r="AS50" i="15"/>
  <c r="BG50" i="15" s="1"/>
  <c r="AO51" i="15"/>
  <c r="BC51" i="15" s="1"/>
  <c r="BB51" i="15"/>
  <c r="AN53" i="15"/>
  <c r="AP51" i="15"/>
  <c r="BD43" i="15"/>
  <c r="AQ43" i="15"/>
  <c r="BE43" i="15" s="1"/>
  <c r="BF46" i="15"/>
  <c r="AS46" i="15"/>
  <c r="BG46" i="15" s="1"/>
  <c r="AZ53" i="15"/>
  <c r="AM53" i="15"/>
  <c r="BA53" i="15" s="1"/>
  <c r="AS49" i="15"/>
  <c r="BG49" i="15" s="1"/>
  <c r="BF49" i="15"/>
  <c r="AX48" i="15"/>
  <c r="AK48" i="15"/>
  <c r="AY48" i="15" s="1"/>
  <c r="AR48" i="15"/>
  <c r="AI47" i="2"/>
  <c r="Q47" i="15"/>
  <c r="P51" i="15"/>
  <c r="O51" i="15"/>
  <c r="N53" i="15"/>
  <c r="O53" i="15" s="1"/>
  <c r="AJ43" i="15"/>
  <c r="AI43" i="2" s="1"/>
  <c r="AK44" i="15"/>
  <c r="AY44" i="15" s="1"/>
  <c r="AX44" i="15"/>
  <c r="AR44" i="15"/>
  <c r="BC44" i="12"/>
  <c r="BB44" i="12"/>
  <c r="BC49" i="12"/>
  <c r="BB49" i="12"/>
  <c r="BA43" i="12"/>
  <c r="AZ43" i="12"/>
  <c r="BC50" i="12"/>
  <c r="BB50" i="12"/>
  <c r="BC48" i="12"/>
  <c r="BB48" i="12"/>
  <c r="BF39" i="12"/>
  <c r="BG39" i="12"/>
  <c r="AW53" i="12"/>
  <c r="AV53" i="12"/>
  <c r="BF28" i="12"/>
  <c r="BC47" i="12"/>
  <c r="BB47" i="12"/>
  <c r="AZ39" i="12"/>
  <c r="BA39" i="12"/>
  <c r="BC46" i="12"/>
  <c r="BB46" i="12"/>
  <c r="BC45" i="12"/>
  <c r="BB45" i="12"/>
  <c r="BG49" i="11"/>
  <c r="BF49" i="11"/>
  <c r="BE50" i="11"/>
  <c r="BD50" i="11"/>
  <c r="BE45" i="11"/>
  <c r="BD45" i="11"/>
  <c r="AZ28" i="11"/>
  <c r="BE49" i="11"/>
  <c r="BD49" i="11"/>
  <c r="BC43" i="11"/>
  <c r="BB43" i="11"/>
  <c r="BG29" i="11"/>
  <c r="BE46" i="11"/>
  <c r="BD46" i="11"/>
  <c r="BF39" i="11"/>
  <c r="BG39" i="11"/>
  <c r="BE47" i="11"/>
  <c r="BD47" i="11"/>
  <c r="BF27" i="11"/>
  <c r="BD44" i="11"/>
  <c r="BE44" i="11"/>
  <c r="BA51" i="11"/>
  <c r="AZ51" i="11"/>
  <c r="BD48" i="11"/>
  <c r="BE48" i="11"/>
  <c r="BF27" i="10"/>
  <c r="BC44" i="10"/>
  <c r="BB44" i="10"/>
  <c r="BC45" i="10"/>
  <c r="BB45" i="10"/>
  <c r="BC47" i="10"/>
  <c r="BB47" i="10"/>
  <c r="BC49" i="10"/>
  <c r="BB49" i="10"/>
  <c r="BC46" i="10"/>
  <c r="BB46" i="10"/>
  <c r="BC50" i="10"/>
  <c r="BB50" i="10"/>
  <c r="BA39" i="10"/>
  <c r="AZ39" i="10"/>
  <c r="BA43" i="10"/>
  <c r="AZ43" i="10"/>
  <c r="AZ28" i="10"/>
  <c r="BF28" i="10"/>
  <c r="BC48" i="10"/>
  <c r="BB48" i="10"/>
  <c r="AW53" i="10"/>
  <c r="AV53" i="10"/>
  <c r="BC45" i="9"/>
  <c r="BB45" i="9"/>
  <c r="BA47" i="9"/>
  <c r="AZ47" i="9"/>
  <c r="BA29" i="9"/>
  <c r="BC49" i="9"/>
  <c r="BB49" i="9"/>
  <c r="BC47" i="9"/>
  <c r="BB47" i="9"/>
  <c r="AZ28" i="9"/>
  <c r="BF28" i="9"/>
  <c r="BC50" i="9"/>
  <c r="BB50" i="9"/>
  <c r="BF27" i="9"/>
  <c r="BG29" i="9"/>
  <c r="BA39" i="9"/>
  <c r="AZ39" i="9"/>
  <c r="BB44" i="9"/>
  <c r="BC44" i="9"/>
  <c r="AW53" i="9"/>
  <c r="AV53" i="9"/>
  <c r="BB46" i="9"/>
  <c r="BC46" i="9"/>
  <c r="BA43" i="9"/>
  <c r="AZ43" i="9"/>
  <c r="BB48" i="9"/>
  <c r="BC48" i="9"/>
  <c r="BD49" i="8"/>
  <c r="BE49" i="8"/>
  <c r="AS49" i="8"/>
  <c r="BG49" i="8" s="1"/>
  <c r="BF49" i="8"/>
  <c r="BD50" i="8"/>
  <c r="BE50" i="8"/>
  <c r="BD44" i="8"/>
  <c r="BE44" i="8"/>
  <c r="BD46" i="8"/>
  <c r="BE46" i="8"/>
  <c r="BD48" i="8"/>
  <c r="BE48" i="8"/>
  <c r="BA51" i="8"/>
  <c r="AZ51" i="8"/>
  <c r="BD45" i="8"/>
  <c r="BE45" i="8"/>
  <c r="AS45" i="8"/>
  <c r="BG45" i="8" s="1"/>
  <c r="BF45" i="8"/>
  <c r="BD47" i="8"/>
  <c r="BE47" i="8"/>
  <c r="BC43" i="8"/>
  <c r="BB43" i="8"/>
  <c r="BC44" i="7"/>
  <c r="BB44" i="7"/>
  <c r="BC48" i="7"/>
  <c r="BB48" i="7"/>
  <c r="BC47" i="7"/>
  <c r="BB47" i="7"/>
  <c r="BC50" i="7"/>
  <c r="BB50" i="7"/>
  <c r="AZ39" i="7"/>
  <c r="BA39" i="7"/>
  <c r="AZ28" i="7"/>
  <c r="AW53" i="7"/>
  <c r="AV53" i="7"/>
  <c r="BF27" i="7"/>
  <c r="BG29" i="7"/>
  <c r="BA43" i="7"/>
  <c r="AZ43" i="7"/>
  <c r="BC46" i="7"/>
  <c r="BB46" i="7"/>
  <c r="BC45" i="7"/>
  <c r="BB45" i="7"/>
  <c r="BC49" i="7"/>
  <c r="BB49" i="7"/>
  <c r="BC45" i="6"/>
  <c r="BB45" i="6"/>
  <c r="BC50" i="6"/>
  <c r="BB50" i="6"/>
  <c r="AZ28" i="6"/>
  <c r="BF28" i="6"/>
  <c r="BC49" i="6"/>
  <c r="BB49" i="6"/>
  <c r="AW53" i="6"/>
  <c r="AV53" i="6"/>
  <c r="BC46" i="6"/>
  <c r="BB46" i="6"/>
  <c r="BC47" i="6"/>
  <c r="BB47" i="6"/>
  <c r="BC44" i="6"/>
  <c r="BB44" i="6"/>
  <c r="BA29" i="6"/>
  <c r="BA39" i="6"/>
  <c r="AZ39" i="6"/>
  <c r="BG29" i="6"/>
  <c r="BA43" i="6"/>
  <c r="AZ43" i="6"/>
  <c r="BF27" i="6"/>
  <c r="BC48" i="6"/>
  <c r="BB48" i="6"/>
  <c r="BA47" i="5"/>
  <c r="AZ47" i="5"/>
  <c r="BC46" i="5"/>
  <c r="BB46" i="5"/>
  <c r="BC45" i="5"/>
  <c r="BB45" i="5"/>
  <c r="BC49" i="5"/>
  <c r="BB49" i="5"/>
  <c r="BC44" i="5"/>
  <c r="BB44" i="5"/>
  <c r="BA43" i="5"/>
  <c r="AZ43" i="5"/>
  <c r="AW53" i="5"/>
  <c r="AV53" i="5"/>
  <c r="BF27" i="5"/>
  <c r="BG29" i="5"/>
  <c r="BA29" i="5"/>
  <c r="BC48" i="5"/>
  <c r="BB48" i="5"/>
  <c r="AZ39" i="5"/>
  <c r="BA39" i="5"/>
  <c r="BC50" i="5"/>
  <c r="BB50" i="5"/>
  <c r="AZ28" i="5"/>
  <c r="BF28" i="5"/>
  <c r="BC47" i="5"/>
  <c r="BB47" i="5"/>
  <c r="BA47" i="4"/>
  <c r="AZ47" i="4"/>
  <c r="BF27" i="4"/>
  <c r="BC46" i="4"/>
  <c r="BB46" i="4"/>
  <c r="BC47" i="4"/>
  <c r="BB47" i="4"/>
  <c r="AZ39" i="4"/>
  <c r="BA39" i="4"/>
  <c r="BC45" i="4"/>
  <c r="BB45" i="4"/>
  <c r="BA29" i="4"/>
  <c r="AW53" i="4"/>
  <c r="AV53" i="4"/>
  <c r="BA43" i="4"/>
  <c r="AZ43" i="4"/>
  <c r="BC49" i="4"/>
  <c r="BB49" i="4"/>
  <c r="AZ28" i="4"/>
  <c r="BF28" i="4"/>
  <c r="BC44" i="4"/>
  <c r="BB44" i="4"/>
  <c r="BC48" i="4"/>
  <c r="BB48" i="4"/>
  <c r="BC50" i="4"/>
  <c r="BB50" i="4"/>
  <c r="BC44" i="3"/>
  <c r="BB44" i="3"/>
  <c r="BC48" i="3"/>
  <c r="BB48" i="3"/>
  <c r="AW53" i="3"/>
  <c r="AV53" i="3"/>
  <c r="BA43" i="3"/>
  <c r="AZ43" i="3"/>
  <c r="BC47" i="3"/>
  <c r="BB47" i="3"/>
  <c r="AZ39" i="3"/>
  <c r="BA39" i="3"/>
  <c r="BC50" i="3"/>
  <c r="BB50" i="3"/>
  <c r="BF39" i="3"/>
  <c r="BG39" i="3"/>
  <c r="AZ28" i="3"/>
  <c r="BF28" i="3"/>
  <c r="BC46" i="3"/>
  <c r="BB46" i="3"/>
  <c r="BC45" i="3"/>
  <c r="BB45" i="3"/>
  <c r="BC49" i="3"/>
  <c r="BB49" i="3"/>
  <c r="W51" i="2"/>
  <c r="L51" i="2"/>
  <c r="AC49" i="2"/>
  <c r="P50" i="2"/>
  <c r="BD51" i="15" l="1"/>
  <c r="AQ51" i="15"/>
  <c r="BE51" i="15" s="1"/>
  <c r="AP53" i="15"/>
  <c r="AO53" i="15"/>
  <c r="BC53" i="15" s="1"/>
  <c r="BB53" i="15"/>
  <c r="Q51" i="15"/>
  <c r="P53" i="15"/>
  <c r="AK47" i="15"/>
  <c r="AY47" i="15" s="1"/>
  <c r="AX47" i="15"/>
  <c r="AR47" i="15"/>
  <c r="BF44" i="15"/>
  <c r="AS44" i="15"/>
  <c r="BG44" i="15" s="1"/>
  <c r="BF48" i="15"/>
  <c r="AS48" i="15"/>
  <c r="BG48" i="15" s="1"/>
  <c r="AK43" i="15"/>
  <c r="AY43" i="15" s="1"/>
  <c r="AX43" i="15"/>
  <c r="AJ51" i="15"/>
  <c r="AR43" i="15"/>
  <c r="BE46" i="12"/>
  <c r="BD46" i="12"/>
  <c r="BA51" i="12"/>
  <c r="AZ51" i="12"/>
  <c r="BD48" i="12"/>
  <c r="BE48" i="12"/>
  <c r="BE49" i="12"/>
  <c r="BD49" i="12"/>
  <c r="BE45" i="12"/>
  <c r="BD45" i="12"/>
  <c r="BC43" i="12"/>
  <c r="BB43" i="12"/>
  <c r="BE44" i="12"/>
  <c r="BD44" i="12"/>
  <c r="BE47" i="12"/>
  <c r="BD47" i="12"/>
  <c r="BE50" i="12"/>
  <c r="BD50" i="12"/>
  <c r="BC51" i="11"/>
  <c r="BB51" i="11"/>
  <c r="BG50" i="11"/>
  <c r="BF50" i="11"/>
  <c r="BG45" i="11"/>
  <c r="BF45" i="11"/>
  <c r="AY48" i="11"/>
  <c r="AX48" i="11"/>
  <c r="BE43" i="11"/>
  <c r="BD43" i="11"/>
  <c r="BA53" i="11"/>
  <c r="AZ53" i="11"/>
  <c r="AY46" i="11"/>
  <c r="AX46" i="11"/>
  <c r="AY44" i="11"/>
  <c r="AX44" i="11"/>
  <c r="BG45" i="10"/>
  <c r="BF45" i="10"/>
  <c r="BD48" i="10"/>
  <c r="BE48" i="10"/>
  <c r="BD47" i="10"/>
  <c r="BE47" i="10"/>
  <c r="BD49" i="10"/>
  <c r="BE49" i="10"/>
  <c r="BE50" i="10"/>
  <c r="BD50" i="10"/>
  <c r="BD46" i="10"/>
  <c r="BE46" i="10"/>
  <c r="BC43" i="10"/>
  <c r="BB43" i="10"/>
  <c r="BA51" i="10"/>
  <c r="AZ51" i="10"/>
  <c r="BG29" i="10"/>
  <c r="BD44" i="10"/>
  <c r="BE44" i="10"/>
  <c r="BG39" i="10"/>
  <c r="BF39" i="10"/>
  <c r="BE45" i="10"/>
  <c r="BD45" i="10"/>
  <c r="BG49" i="9"/>
  <c r="BF49" i="9"/>
  <c r="BG39" i="9"/>
  <c r="BF39" i="9"/>
  <c r="BA51" i="9"/>
  <c r="AZ51" i="9"/>
  <c r="BC43" i="9"/>
  <c r="BB43" i="9"/>
  <c r="BE45" i="9"/>
  <c r="BD45" i="9"/>
  <c r="BD47" i="9"/>
  <c r="BE47" i="9"/>
  <c r="BD49" i="9"/>
  <c r="BE49" i="9"/>
  <c r="BD44" i="9"/>
  <c r="BE44" i="9"/>
  <c r="BD46" i="9"/>
  <c r="BE46" i="9"/>
  <c r="BD48" i="9"/>
  <c r="BE48" i="9"/>
  <c r="BD50" i="9"/>
  <c r="BE50" i="9"/>
  <c r="BB51" i="8"/>
  <c r="BC51" i="8"/>
  <c r="AY44" i="8"/>
  <c r="AX44" i="8"/>
  <c r="BA53" i="8"/>
  <c r="AZ53" i="8"/>
  <c r="AY48" i="8"/>
  <c r="AX48" i="8"/>
  <c r="AY46" i="8"/>
  <c r="AX46" i="8"/>
  <c r="BD43" i="8"/>
  <c r="BE43" i="8"/>
  <c r="BF50" i="8"/>
  <c r="AS50" i="8"/>
  <c r="BG50" i="8" s="1"/>
  <c r="BE44" i="7"/>
  <c r="BD44" i="7"/>
  <c r="BE47" i="7"/>
  <c r="BD47" i="7"/>
  <c r="BC43" i="7"/>
  <c r="BB43" i="7"/>
  <c r="BA51" i="7"/>
  <c r="AZ51" i="7"/>
  <c r="BE46" i="7"/>
  <c r="BD46" i="7"/>
  <c r="BE50" i="7"/>
  <c r="BD50" i="7"/>
  <c r="BE45" i="7"/>
  <c r="BD45" i="7"/>
  <c r="BE48" i="7"/>
  <c r="BD48" i="7"/>
  <c r="BE49" i="7"/>
  <c r="BD49" i="7"/>
  <c r="BF39" i="7"/>
  <c r="BG39" i="7"/>
  <c r="BD48" i="6"/>
  <c r="BE48" i="6"/>
  <c r="BD46" i="6"/>
  <c r="BE46" i="6"/>
  <c r="BE45" i="6"/>
  <c r="BD45" i="6"/>
  <c r="BE49" i="6"/>
  <c r="BD49" i="6"/>
  <c r="BF50" i="6"/>
  <c r="BG50" i="6"/>
  <c r="BE50" i="6"/>
  <c r="BD50" i="6"/>
  <c r="BG39" i="6"/>
  <c r="BA51" i="6"/>
  <c r="AZ51" i="6"/>
  <c r="BF39" i="6"/>
  <c r="BC43" i="6"/>
  <c r="BB43" i="6"/>
  <c r="BE47" i="6"/>
  <c r="BD47" i="6"/>
  <c r="BD44" i="6"/>
  <c r="BE44" i="6"/>
  <c r="BE49" i="5"/>
  <c r="BD49" i="5"/>
  <c r="BC43" i="5"/>
  <c r="BB43" i="5"/>
  <c r="BD44" i="5"/>
  <c r="BE44" i="5"/>
  <c r="BF39" i="5"/>
  <c r="BG39" i="5"/>
  <c r="BE48" i="5"/>
  <c r="BD48" i="5"/>
  <c r="BE47" i="5"/>
  <c r="BD47" i="5"/>
  <c r="BE50" i="5"/>
  <c r="BD50" i="5"/>
  <c r="BE45" i="5"/>
  <c r="BD45" i="5"/>
  <c r="BE46" i="5"/>
  <c r="BD46" i="5"/>
  <c r="BA51" i="5"/>
  <c r="AZ51" i="5"/>
  <c r="BF50" i="4"/>
  <c r="BG50" i="4"/>
  <c r="BD44" i="4"/>
  <c r="BE44" i="4"/>
  <c r="BE47" i="4"/>
  <c r="BD47" i="4"/>
  <c r="BE46" i="4"/>
  <c r="BD46" i="4"/>
  <c r="BG29" i="4"/>
  <c r="BE45" i="4"/>
  <c r="BD45" i="4"/>
  <c r="BG49" i="4"/>
  <c r="BF49" i="4"/>
  <c r="BE49" i="4"/>
  <c r="BD49" i="4"/>
  <c r="BE50" i="4"/>
  <c r="BD50" i="4"/>
  <c r="BG39" i="4"/>
  <c r="BF39" i="4"/>
  <c r="BA51" i="4"/>
  <c r="AZ51" i="4"/>
  <c r="BC43" i="4"/>
  <c r="BB43" i="4"/>
  <c r="BD48" i="4"/>
  <c r="BE48" i="4"/>
  <c r="BF50" i="3"/>
  <c r="BG50" i="3"/>
  <c r="BE46" i="3"/>
  <c r="BD46" i="3"/>
  <c r="BE49" i="3"/>
  <c r="BD49" i="3"/>
  <c r="BG45" i="3"/>
  <c r="BF45" i="3"/>
  <c r="BE45" i="3"/>
  <c r="BD45" i="3"/>
  <c r="BC43" i="3"/>
  <c r="BB43" i="3"/>
  <c r="BA51" i="3"/>
  <c r="AZ51" i="3"/>
  <c r="BD44" i="3"/>
  <c r="BE44" i="3"/>
  <c r="BD48" i="3"/>
  <c r="BE48" i="3"/>
  <c r="BE47" i="3"/>
  <c r="BD47" i="3"/>
  <c r="BE50" i="3"/>
  <c r="BD50" i="3"/>
  <c r="Y51" i="2"/>
  <c r="AM51" i="2" s="1"/>
  <c r="AC50" i="2"/>
  <c r="AQ50" i="2" s="1"/>
  <c r="N51" i="2"/>
  <c r="AC45" i="2"/>
  <c r="P78" i="15" l="1"/>
  <c r="Q78" i="15" s="1"/>
  <c r="Q53" i="15"/>
  <c r="BD53" i="15"/>
  <c r="AQ53" i="15"/>
  <c r="BE53" i="15" s="1"/>
  <c r="AR51" i="15"/>
  <c r="AS43" i="15"/>
  <c r="BG43" i="15" s="1"/>
  <c r="BF43" i="15"/>
  <c r="AS47" i="15"/>
  <c r="BG47" i="15" s="1"/>
  <c r="BF47" i="15"/>
  <c r="AK51" i="15"/>
  <c r="AY51" i="15" s="1"/>
  <c r="AX51" i="15"/>
  <c r="AJ53" i="15"/>
  <c r="AY44" i="12"/>
  <c r="AX44" i="12"/>
  <c r="BE43" i="12"/>
  <c r="BD43" i="12"/>
  <c r="BG45" i="12"/>
  <c r="BF45" i="12"/>
  <c r="BF50" i="12"/>
  <c r="BG50" i="12"/>
  <c r="BA53" i="12"/>
  <c r="AZ53" i="12"/>
  <c r="BC51" i="12"/>
  <c r="BB51" i="12"/>
  <c r="BG49" i="12"/>
  <c r="BF49" i="12"/>
  <c r="AY46" i="12"/>
  <c r="AX46" i="12"/>
  <c r="AY48" i="12"/>
  <c r="AX48" i="12"/>
  <c r="BG48" i="11"/>
  <c r="BF48" i="11"/>
  <c r="BC53" i="11"/>
  <c r="BB53" i="11"/>
  <c r="BG44" i="11"/>
  <c r="BF44" i="11"/>
  <c r="BG46" i="11"/>
  <c r="BF46" i="11"/>
  <c r="BE51" i="11"/>
  <c r="BD51" i="11"/>
  <c r="AY43" i="11"/>
  <c r="AX43" i="11"/>
  <c r="AY47" i="11"/>
  <c r="AX47" i="11"/>
  <c r="BF50" i="10"/>
  <c r="BG50" i="10"/>
  <c r="BA53" i="10"/>
  <c r="AZ53" i="10"/>
  <c r="AX48" i="10"/>
  <c r="AY48" i="10"/>
  <c r="AX44" i="10"/>
  <c r="AY44" i="10"/>
  <c r="BE43" i="10"/>
  <c r="BD43" i="10"/>
  <c r="BC51" i="10"/>
  <c r="BB51" i="10"/>
  <c r="BG49" i="10"/>
  <c r="BF49" i="10"/>
  <c r="AX46" i="10"/>
  <c r="AY46" i="10"/>
  <c r="AY44" i="9"/>
  <c r="AX44" i="9"/>
  <c r="BG45" i="9"/>
  <c r="BF45" i="9"/>
  <c r="BD43" i="9"/>
  <c r="BE43" i="9"/>
  <c r="AY48" i="9"/>
  <c r="AX48" i="9"/>
  <c r="BC51" i="9"/>
  <c r="BB51" i="9"/>
  <c r="AY46" i="9"/>
  <c r="AX46" i="9"/>
  <c r="BG50" i="9"/>
  <c r="BF50" i="9"/>
  <c r="BA53" i="9"/>
  <c r="AZ53" i="9"/>
  <c r="AS44" i="8"/>
  <c r="BG44" i="8" s="1"/>
  <c r="BF44" i="8"/>
  <c r="AY43" i="8"/>
  <c r="AX43" i="8"/>
  <c r="AY47" i="8"/>
  <c r="AX47" i="8"/>
  <c r="BB53" i="8"/>
  <c r="BC53" i="8"/>
  <c r="AS46" i="8"/>
  <c r="BG46" i="8" s="1"/>
  <c r="BF46" i="8"/>
  <c r="AS48" i="8"/>
  <c r="BG48" i="8" s="1"/>
  <c r="BF48" i="8"/>
  <c r="BE51" i="8"/>
  <c r="BD51" i="8"/>
  <c r="AY44" i="7"/>
  <c r="AX44" i="7"/>
  <c r="BA53" i="7"/>
  <c r="AZ53" i="7"/>
  <c r="BG45" i="7"/>
  <c r="BF45" i="7"/>
  <c r="BF50" i="7"/>
  <c r="BG50" i="7"/>
  <c r="AY46" i="7"/>
  <c r="AX46" i="7"/>
  <c r="BE43" i="7"/>
  <c r="BD43" i="7"/>
  <c r="AY48" i="7"/>
  <c r="AX48" i="7"/>
  <c r="BG49" i="7"/>
  <c r="BF49" i="7"/>
  <c r="BC51" i="7"/>
  <c r="BB51" i="7"/>
  <c r="AY46" i="6"/>
  <c r="AX46" i="6"/>
  <c r="BG45" i="6"/>
  <c r="BF45" i="6"/>
  <c r="BG49" i="6"/>
  <c r="BF49" i="6"/>
  <c r="BA53" i="6"/>
  <c r="AZ53" i="6"/>
  <c r="AY48" i="6"/>
  <c r="AX48" i="6"/>
  <c r="AY44" i="6"/>
  <c r="AX44" i="6"/>
  <c r="BC51" i="6"/>
  <c r="BB51" i="6"/>
  <c r="BE43" i="6"/>
  <c r="BD43" i="6"/>
  <c r="AY48" i="5"/>
  <c r="AX48" i="5"/>
  <c r="BE43" i="5"/>
  <c r="BD43" i="5"/>
  <c r="AY46" i="5"/>
  <c r="AX46" i="5"/>
  <c r="BC51" i="5"/>
  <c r="BB51" i="5"/>
  <c r="BF50" i="5"/>
  <c r="BG50" i="5"/>
  <c r="AY44" i="5"/>
  <c r="AX44" i="5"/>
  <c r="BA53" i="5"/>
  <c r="AZ53" i="5"/>
  <c r="BG45" i="5"/>
  <c r="BF45" i="5"/>
  <c r="BG49" i="5"/>
  <c r="BF49" i="5"/>
  <c r="AY48" i="4"/>
  <c r="AX48" i="4"/>
  <c r="BA53" i="4"/>
  <c r="AZ53" i="4"/>
  <c r="AY44" i="4"/>
  <c r="AX44" i="4"/>
  <c r="BC51" i="4"/>
  <c r="BB51" i="4"/>
  <c r="AY46" i="4"/>
  <c r="AX46" i="4"/>
  <c r="BE43" i="4"/>
  <c r="BD43" i="4"/>
  <c r="BG45" i="4"/>
  <c r="BF45" i="4"/>
  <c r="AY44" i="3"/>
  <c r="AX44" i="3"/>
  <c r="BC51" i="3"/>
  <c r="BB51" i="3"/>
  <c r="AY46" i="3"/>
  <c r="AX46" i="3"/>
  <c r="BA53" i="3"/>
  <c r="AZ53" i="3"/>
  <c r="AY48" i="3"/>
  <c r="AX48" i="3"/>
  <c r="BE43" i="3"/>
  <c r="BD43" i="3"/>
  <c r="BG49" i="3"/>
  <c r="BF49" i="3"/>
  <c r="AC44" i="2"/>
  <c r="AA51" i="2"/>
  <c r="AO51" i="2" s="1"/>
  <c r="AC46" i="2"/>
  <c r="AC48" i="2"/>
  <c r="AS51" i="15" l="1"/>
  <c r="BG51" i="15" s="1"/>
  <c r="BF51" i="15"/>
  <c r="AR53" i="15"/>
  <c r="AX53" i="15"/>
  <c r="AK53" i="15"/>
  <c r="AY53" i="15" s="1"/>
  <c r="BE51" i="12"/>
  <c r="BD51" i="12"/>
  <c r="BG48" i="12"/>
  <c r="BF48" i="12"/>
  <c r="AY47" i="12"/>
  <c r="AX47" i="12"/>
  <c r="BG44" i="12"/>
  <c r="BF44" i="12"/>
  <c r="BG46" i="12"/>
  <c r="BF46" i="12"/>
  <c r="BC53" i="12"/>
  <c r="BB53" i="12"/>
  <c r="AY43" i="12"/>
  <c r="AX43" i="12"/>
  <c r="BG47" i="11"/>
  <c r="BF47" i="11"/>
  <c r="AY51" i="11"/>
  <c r="AX51" i="11"/>
  <c r="BG43" i="11"/>
  <c r="BF43" i="11"/>
  <c r="BD53" i="11"/>
  <c r="BE53" i="11"/>
  <c r="BF46" i="10"/>
  <c r="BG46" i="10"/>
  <c r="BF44" i="10"/>
  <c r="BG44" i="10"/>
  <c r="AY43" i="10"/>
  <c r="AX43" i="10"/>
  <c r="BC53" i="10"/>
  <c r="BB53" i="10"/>
  <c r="BE51" i="10"/>
  <c r="BD51" i="10"/>
  <c r="BF48" i="10"/>
  <c r="BG48" i="10"/>
  <c r="AY47" i="10"/>
  <c r="AX47" i="10"/>
  <c r="BE51" i="9"/>
  <c r="BD51" i="9"/>
  <c r="BG46" i="9"/>
  <c r="BF46" i="9"/>
  <c r="BG48" i="9"/>
  <c r="BF48" i="9"/>
  <c r="BG44" i="9"/>
  <c r="BF44" i="9"/>
  <c r="AY47" i="9"/>
  <c r="AX47" i="9"/>
  <c r="BC53" i="9"/>
  <c r="BB53" i="9"/>
  <c r="AY43" i="9"/>
  <c r="AX43" i="9"/>
  <c r="BE53" i="8"/>
  <c r="BD53" i="8"/>
  <c r="AS43" i="8"/>
  <c r="BG43" i="8" s="1"/>
  <c r="BF43" i="8"/>
  <c r="AX51" i="8"/>
  <c r="AY51" i="8"/>
  <c r="AS47" i="8"/>
  <c r="BG47" i="8" s="1"/>
  <c r="BF47" i="8"/>
  <c r="BG46" i="7"/>
  <c r="BF46" i="7"/>
  <c r="BG48" i="7"/>
  <c r="BF48" i="7"/>
  <c r="BG44" i="7"/>
  <c r="BF44" i="7"/>
  <c r="AY47" i="7"/>
  <c r="AX47" i="7"/>
  <c r="AY43" i="7"/>
  <c r="AX43" i="7"/>
  <c r="BC53" i="7"/>
  <c r="BB53" i="7"/>
  <c r="BE51" i="7"/>
  <c r="BD51" i="7"/>
  <c r="BG48" i="6"/>
  <c r="BF48" i="6"/>
  <c r="BE51" i="6"/>
  <c r="BD51" i="6"/>
  <c r="BC53" i="6"/>
  <c r="BB53" i="6"/>
  <c r="BG44" i="6"/>
  <c r="BF44" i="6"/>
  <c r="BG46" i="6"/>
  <c r="BF46" i="6"/>
  <c r="AY47" i="6"/>
  <c r="AX47" i="6"/>
  <c r="AY43" i="6"/>
  <c r="AX43" i="6"/>
  <c r="BE51" i="5"/>
  <c r="BD51" i="5"/>
  <c r="BG44" i="5"/>
  <c r="BF44" i="5"/>
  <c r="BC53" i="5"/>
  <c r="BB53" i="5"/>
  <c r="AY47" i="5"/>
  <c r="AX47" i="5"/>
  <c r="AY43" i="5"/>
  <c r="AX43" i="5"/>
  <c r="BG48" i="5"/>
  <c r="BF48" i="5"/>
  <c r="BG46" i="5"/>
  <c r="BF46" i="5"/>
  <c r="BG44" i="4"/>
  <c r="BF44" i="4"/>
  <c r="BC53" i="4"/>
  <c r="BB53" i="4"/>
  <c r="AY43" i="4"/>
  <c r="AX43" i="4"/>
  <c r="BG46" i="4"/>
  <c r="BF46" i="4"/>
  <c r="BE51" i="4"/>
  <c r="BD51" i="4"/>
  <c r="AY47" i="4"/>
  <c r="AX47" i="4"/>
  <c r="BG48" i="4"/>
  <c r="BF48" i="4"/>
  <c r="BC53" i="3"/>
  <c r="BB53" i="3"/>
  <c r="BE51" i="3"/>
  <c r="BD51" i="3"/>
  <c r="BG44" i="3"/>
  <c r="BF44" i="3"/>
  <c r="AY47" i="3"/>
  <c r="AX47" i="3"/>
  <c r="AY43" i="3"/>
  <c r="AX43" i="3"/>
  <c r="BG46" i="3"/>
  <c r="BF46" i="3"/>
  <c r="BG48" i="3"/>
  <c r="BF48" i="3"/>
  <c r="AC47" i="2"/>
  <c r="U51" i="2"/>
  <c r="AC43" i="2"/>
  <c r="AR78" i="15" l="1"/>
  <c r="AS53" i="15"/>
  <c r="BG53" i="15" s="1"/>
  <c r="BF53" i="15"/>
  <c r="BG47" i="12"/>
  <c r="BF47" i="12"/>
  <c r="BE53" i="12"/>
  <c r="BD53" i="12"/>
  <c r="BG43" i="12"/>
  <c r="BF43" i="12"/>
  <c r="AX51" i="12"/>
  <c r="AY51" i="12"/>
  <c r="BG51" i="11"/>
  <c r="BF51" i="11"/>
  <c r="AY53" i="11"/>
  <c r="AX53" i="11"/>
  <c r="BF43" i="10"/>
  <c r="BG43" i="10"/>
  <c r="BE53" i="10"/>
  <c r="BD53" i="10"/>
  <c r="AX51" i="10"/>
  <c r="AY51" i="10"/>
  <c r="BG47" i="10"/>
  <c r="BF47" i="10"/>
  <c r="BG47" i="9"/>
  <c r="BF47" i="9"/>
  <c r="BG43" i="9"/>
  <c r="BF43" i="9"/>
  <c r="AY51" i="9"/>
  <c r="AX51" i="9"/>
  <c r="BE53" i="9"/>
  <c r="BD53" i="9"/>
  <c r="AX53" i="8"/>
  <c r="AY53" i="8"/>
  <c r="BF51" i="8"/>
  <c r="AS51" i="8"/>
  <c r="BG51" i="8" s="1"/>
  <c r="AX51" i="7"/>
  <c r="AY51" i="7"/>
  <c r="BG43" i="7"/>
  <c r="BF43" i="7"/>
  <c r="BE53" i="7"/>
  <c r="BD53" i="7"/>
  <c r="BG47" i="7"/>
  <c r="BF47" i="7"/>
  <c r="BG47" i="6"/>
  <c r="BF47" i="6"/>
  <c r="BE53" i="6"/>
  <c r="BD53" i="6"/>
  <c r="BG43" i="6"/>
  <c r="BF43" i="6"/>
  <c r="AX51" i="6"/>
  <c r="AY51" i="6"/>
  <c r="BG43" i="5"/>
  <c r="BF43" i="5"/>
  <c r="AX51" i="5"/>
  <c r="AY51" i="5"/>
  <c r="BE53" i="5"/>
  <c r="BD53" i="5"/>
  <c r="BG47" i="5"/>
  <c r="BF47" i="5"/>
  <c r="BG43" i="4"/>
  <c r="BF43" i="4"/>
  <c r="AX51" i="4"/>
  <c r="AY51" i="4"/>
  <c r="BE53" i="4"/>
  <c r="BD53" i="4"/>
  <c r="BG47" i="4"/>
  <c r="BF47" i="4"/>
  <c r="BG43" i="3"/>
  <c r="BF43" i="3"/>
  <c r="AX51" i="3"/>
  <c r="AY51" i="3"/>
  <c r="BE53" i="3"/>
  <c r="BD53" i="3"/>
  <c r="BG47" i="3"/>
  <c r="BF47" i="3"/>
  <c r="AC51" i="2"/>
  <c r="BF78" i="15" l="1"/>
  <c r="AS78" i="15"/>
  <c r="BG78" i="15" s="1"/>
  <c r="AX53" i="12"/>
  <c r="AY53" i="12"/>
  <c r="BF51" i="12"/>
  <c r="BG51" i="12"/>
  <c r="BG53" i="11"/>
  <c r="BF53" i="11"/>
  <c r="AX53" i="10"/>
  <c r="AY53" i="10"/>
  <c r="BF51" i="10"/>
  <c r="BG51" i="10"/>
  <c r="AX53" i="9"/>
  <c r="AY53" i="9"/>
  <c r="BG51" i="9"/>
  <c r="BF51" i="9"/>
  <c r="BF53" i="8"/>
  <c r="AS53" i="8"/>
  <c r="BG53" i="8" s="1"/>
  <c r="BF51" i="7"/>
  <c r="BG51" i="7"/>
  <c r="AX53" i="7"/>
  <c r="AY53" i="7"/>
  <c r="BF51" i="6"/>
  <c r="BG51" i="6"/>
  <c r="AX53" i="6"/>
  <c r="AY53" i="6"/>
  <c r="AX53" i="5"/>
  <c r="AY53" i="5"/>
  <c r="BF51" i="5"/>
  <c r="BG51" i="5"/>
  <c r="AX53" i="4"/>
  <c r="AY53" i="4"/>
  <c r="BF51" i="4"/>
  <c r="BG51" i="4"/>
  <c r="AX53" i="3"/>
  <c r="AY53" i="3"/>
  <c r="BF51" i="3"/>
  <c r="BG51" i="3"/>
  <c r="BF53" i="12" l="1"/>
  <c r="BG53" i="12"/>
  <c r="BF78" i="11"/>
  <c r="BG78" i="11"/>
  <c r="BF53" i="10"/>
  <c r="BG53" i="10"/>
  <c r="BF53" i="9"/>
  <c r="BG53" i="9"/>
  <c r="BF78" i="8"/>
  <c r="AS78" i="8"/>
  <c r="BG78" i="8" s="1"/>
  <c r="BF53" i="7"/>
  <c r="BG53" i="7"/>
  <c r="BF53" i="6"/>
  <c r="BG53" i="6"/>
  <c r="BF53" i="5"/>
  <c r="BG53" i="5"/>
  <c r="BF53" i="4"/>
  <c r="BG53" i="4"/>
  <c r="BF53" i="3"/>
  <c r="BG53" i="3"/>
  <c r="BF78" i="12" l="1"/>
  <c r="BG78" i="12"/>
  <c r="BF78" i="10"/>
  <c r="BG78" i="10"/>
  <c r="BF78" i="9"/>
  <c r="BG78" i="9"/>
  <c r="BF78" i="7"/>
  <c r="BG78" i="7"/>
  <c r="BF78" i="6"/>
  <c r="BG78" i="6"/>
  <c r="BF78" i="5"/>
  <c r="BG78" i="5"/>
  <c r="BF78" i="4"/>
  <c r="BG78" i="4"/>
  <c r="BF78" i="3"/>
  <c r="BG78" i="3"/>
  <c r="P48" i="2" l="1"/>
  <c r="AQ48" i="2" s="1"/>
  <c r="P47" i="2" l="1"/>
  <c r="AQ47" i="2" s="1"/>
  <c r="P45" i="2" l="1"/>
  <c r="AQ45" i="2" s="1"/>
  <c r="J51" i="2" l="1"/>
  <c r="AK51" i="2" s="1"/>
  <c r="P46" i="2" l="1"/>
  <c r="AQ46" i="2" s="1"/>
  <c r="U39" i="2" l="1"/>
  <c r="Y34" i="2"/>
  <c r="Z36" i="2"/>
  <c r="Y40" i="2"/>
  <c r="Z34" i="2"/>
  <c r="Z29" i="2"/>
  <c r="Z47" i="2"/>
  <c r="Z44" i="2"/>
  <c r="Z48" i="2"/>
  <c r="Z50" i="2"/>
  <c r="Z46" i="2"/>
  <c r="Z45" i="2"/>
  <c r="Z49" i="2"/>
  <c r="Z43" i="2"/>
  <c r="Z51" i="2"/>
  <c r="AB29" i="2"/>
  <c r="AA40" i="2"/>
  <c r="AB34" i="2"/>
  <c r="AB44" i="2"/>
  <c r="AB46" i="2"/>
  <c r="AB48" i="2"/>
  <c r="AB47" i="2"/>
  <c r="AB49" i="2"/>
  <c r="AB50" i="2"/>
  <c r="AB45" i="2"/>
  <c r="AB43" i="2"/>
  <c r="AB51" i="2"/>
  <c r="J39" i="2"/>
  <c r="K39" i="2" s="1"/>
  <c r="W40" i="2"/>
  <c r="X45" i="2"/>
  <c r="W28" i="2"/>
  <c r="X47" i="2"/>
  <c r="X49" i="2"/>
  <c r="X29" i="2"/>
  <c r="X50" i="2"/>
  <c r="X44" i="2"/>
  <c r="X48" i="2"/>
  <c r="X46" i="2"/>
  <c r="X43" i="2"/>
  <c r="X51" i="2"/>
  <c r="S40" i="2"/>
  <c r="X36" i="2"/>
  <c r="W39" i="2"/>
  <c r="S28" i="2"/>
  <c r="T49" i="2"/>
  <c r="T50" i="2"/>
  <c r="T46" i="2"/>
  <c r="T45" i="2"/>
  <c r="T29" i="2"/>
  <c r="T48" i="2"/>
  <c r="T44" i="2"/>
  <c r="T43" i="2"/>
  <c r="T47" i="2"/>
  <c r="T51" i="2"/>
  <c r="AB36" i="2"/>
  <c r="AA39" i="2"/>
  <c r="K36" i="2"/>
  <c r="AK39" i="2" l="1"/>
  <c r="AL36" i="2"/>
  <c r="T40" i="2"/>
  <c r="S53" i="2"/>
  <c r="I50" i="2"/>
  <c r="H28" i="2"/>
  <c r="I29" i="2"/>
  <c r="I48" i="2"/>
  <c r="I47" i="2"/>
  <c r="I45" i="2"/>
  <c r="I46" i="2"/>
  <c r="O44" i="2"/>
  <c r="AP44" i="2" s="1"/>
  <c r="O46" i="2"/>
  <c r="AP46" i="2" s="1"/>
  <c r="N28" i="2"/>
  <c r="O29" i="2"/>
  <c r="AP29" i="2" s="1"/>
  <c r="O45" i="2"/>
  <c r="AP45" i="2" s="1"/>
  <c r="O43" i="2"/>
  <c r="AP43" i="2" s="1"/>
  <c r="O50" i="2"/>
  <c r="AP50" i="2" s="1"/>
  <c r="O49" i="2"/>
  <c r="AP49" i="2" s="1"/>
  <c r="O47" i="2"/>
  <c r="AP47" i="2" s="1"/>
  <c r="O48" i="2"/>
  <c r="AP48" i="2" s="1"/>
  <c r="O51" i="2"/>
  <c r="AP51" i="2" s="1"/>
  <c r="AA34" i="2"/>
  <c r="AB40" i="2"/>
  <c r="AA53" i="2"/>
  <c r="Z40" i="2"/>
  <c r="Y53" i="2"/>
  <c r="V39" i="2"/>
  <c r="AC36" i="2"/>
  <c r="T36" i="2"/>
  <c r="S39" i="2"/>
  <c r="W34" i="2"/>
  <c r="X39" i="2"/>
  <c r="AL39" i="2" s="1"/>
  <c r="X40" i="2"/>
  <c r="W53" i="2"/>
  <c r="AA28" i="2"/>
  <c r="Y28" i="2"/>
  <c r="Y39" i="2"/>
  <c r="AC27" i="2"/>
  <c r="J40" i="2"/>
  <c r="AK40" i="2" s="1"/>
  <c r="K29" i="2"/>
  <c r="AL29" i="2" s="1"/>
  <c r="K50" i="2"/>
  <c r="AL50" i="2" s="1"/>
  <c r="J28" i="2"/>
  <c r="AK28" i="2" s="1"/>
  <c r="K44" i="2"/>
  <c r="AL44" i="2" s="1"/>
  <c r="K49" i="2"/>
  <c r="AL49" i="2" s="1"/>
  <c r="K48" i="2"/>
  <c r="AL48" i="2" s="1"/>
  <c r="K47" i="2"/>
  <c r="AL47" i="2" s="1"/>
  <c r="K46" i="2"/>
  <c r="AL46" i="2" s="1"/>
  <c r="K45" i="2"/>
  <c r="AL45" i="2" s="1"/>
  <c r="K43" i="2"/>
  <c r="AL43" i="2" s="1"/>
  <c r="K51" i="2"/>
  <c r="AL51" i="2" s="1"/>
  <c r="AB39" i="2"/>
  <c r="X34" i="2"/>
  <c r="L40" i="2"/>
  <c r="AM40" i="2" s="1"/>
  <c r="M29" i="2"/>
  <c r="AN29" i="2" s="1"/>
  <c r="M43" i="2"/>
  <c r="AN43" i="2" s="1"/>
  <c r="M44" i="2"/>
  <c r="AN44" i="2" s="1"/>
  <c r="M36" i="2"/>
  <c r="AN36" i="2" s="1"/>
  <c r="M45" i="2"/>
  <c r="AN45" i="2" s="1"/>
  <c r="M46" i="2"/>
  <c r="AN46" i="2" s="1"/>
  <c r="M50" i="2"/>
  <c r="AN50" i="2" s="1"/>
  <c r="M49" i="2"/>
  <c r="AN49" i="2" s="1"/>
  <c r="M48" i="2"/>
  <c r="AN48" i="2" s="1"/>
  <c r="M47" i="2"/>
  <c r="AN47" i="2" s="1"/>
  <c r="M51" i="2"/>
  <c r="AN51" i="2" s="1"/>
  <c r="AO28" i="2" l="1"/>
  <c r="X53" i="2"/>
  <c r="K40" i="2"/>
  <c r="AL40" i="2" s="1"/>
  <c r="J53" i="2"/>
  <c r="K53" i="2" s="1"/>
  <c r="X54" i="2" s="1"/>
  <c r="Z53" i="2"/>
  <c r="L28" i="2"/>
  <c r="AM28" i="2" s="1"/>
  <c r="L39" i="2"/>
  <c r="M39" i="2" s="1"/>
  <c r="P27" i="2"/>
  <c r="AQ27" i="2" s="1"/>
  <c r="Z39" i="2"/>
  <c r="T39" i="2"/>
  <c r="T53" i="2"/>
  <c r="M40" i="2"/>
  <c r="AN40" i="2" s="1"/>
  <c r="L53" i="2"/>
  <c r="M53" i="2" s="1"/>
  <c r="AB53" i="2"/>
  <c r="AC76" i="2"/>
  <c r="AC39" i="2"/>
  <c r="Y54" i="2" l="1"/>
  <c r="Y55" i="2"/>
  <c r="W55" i="2"/>
  <c r="W54" i="2"/>
  <c r="AK53" i="2"/>
  <c r="AN53" i="2"/>
  <c r="AM39" i="2"/>
  <c r="AL53" i="2"/>
  <c r="AN39" i="2"/>
  <c r="AM53" i="2"/>
  <c r="P29" i="2"/>
  <c r="Q59" i="2" s="1"/>
  <c r="G29" i="2"/>
  <c r="AH29" i="2" s="1"/>
  <c r="F28" i="2"/>
  <c r="G50" i="2"/>
  <c r="AH50" i="2" s="1"/>
  <c r="G48" i="2"/>
  <c r="AH48" i="2" s="1"/>
  <c r="G45" i="2"/>
  <c r="AH45" i="2" s="1"/>
  <c r="G47" i="2"/>
  <c r="AH47" i="2" s="1"/>
  <c r="G46" i="2"/>
  <c r="AH46" i="2" s="1"/>
  <c r="T34" i="2"/>
  <c r="S34" i="2"/>
  <c r="AD39" i="2"/>
  <c r="P28" i="2" l="1"/>
  <c r="AG28" i="2"/>
  <c r="Q56" i="2"/>
  <c r="Q46" i="2"/>
  <c r="Q29" i="2"/>
  <c r="Q64" i="2"/>
  <c r="Q66" i="2"/>
  <c r="Q62" i="2"/>
  <c r="Q67" i="2"/>
  <c r="Q63" i="2"/>
  <c r="Q69" i="2"/>
  <c r="Q65" i="2"/>
  <c r="Q50" i="2"/>
  <c r="Q68" i="2"/>
  <c r="Q48" i="2"/>
  <c r="Q47" i="2"/>
  <c r="Q45" i="2"/>
  <c r="Q58" i="2"/>
  <c r="Q57" i="2"/>
  <c r="Q60" i="2"/>
  <c r="I49" i="2" l="1"/>
  <c r="Q71" i="2"/>
  <c r="Q73" i="2"/>
  <c r="Q75" i="2"/>
  <c r="I36" i="2" l="1"/>
  <c r="H39" i="2"/>
  <c r="H40" i="2"/>
  <c r="G44" i="2"/>
  <c r="AH44" i="2" s="1"/>
  <c r="P44" i="2"/>
  <c r="G49" i="2"/>
  <c r="AH49" i="2" s="1"/>
  <c r="P49" i="2"/>
  <c r="I44" i="2"/>
  <c r="Q74" i="2"/>
  <c r="Q72" i="2"/>
  <c r="Q70" i="2"/>
  <c r="Q44" i="2" l="1"/>
  <c r="AQ44" i="2"/>
  <c r="I39" i="2"/>
  <c r="AJ39" i="2" s="1"/>
  <c r="AI39" i="2"/>
  <c r="Q49" i="2"/>
  <c r="AQ49" i="2"/>
  <c r="G43" i="2"/>
  <c r="AH43" i="2" s="1"/>
  <c r="P43" i="2"/>
  <c r="AQ43" i="2" s="1"/>
  <c r="F51" i="2"/>
  <c r="I43" i="2"/>
  <c r="H51" i="2"/>
  <c r="P36" i="2"/>
  <c r="AQ36" i="2" s="1"/>
  <c r="G36" i="2"/>
  <c r="AH36" i="2" s="1"/>
  <c r="F39" i="2"/>
  <c r="F40" i="2"/>
  <c r="AG40" i="2" s="1"/>
  <c r="O36" i="2"/>
  <c r="AP36" i="2" s="1"/>
  <c r="N39" i="2"/>
  <c r="N40" i="2"/>
  <c r="AO40" i="2" s="1"/>
  <c r="I40" i="2"/>
  <c r="Q61" i="2"/>
  <c r="P76" i="2"/>
  <c r="G39" i="2" l="1"/>
  <c r="AH39" i="2" s="1"/>
  <c r="AG39" i="2"/>
  <c r="Q76" i="2"/>
  <c r="AQ76" i="2"/>
  <c r="I51" i="2"/>
  <c r="AI51" i="2"/>
  <c r="O39" i="2"/>
  <c r="AP39" i="2" s="1"/>
  <c r="AO39" i="2"/>
  <c r="G51" i="2"/>
  <c r="AH51" i="2" s="1"/>
  <c r="AG51" i="2"/>
  <c r="H53" i="2"/>
  <c r="I53" i="2" s="1"/>
  <c r="Q36" i="2"/>
  <c r="P39" i="2"/>
  <c r="P40" i="2"/>
  <c r="O40" i="2"/>
  <c r="AP40" i="2" s="1"/>
  <c r="N53" i="2"/>
  <c r="Q43" i="2"/>
  <c r="P51" i="2"/>
  <c r="G40" i="2"/>
  <c r="AH40" i="2" s="1"/>
  <c r="F53" i="2"/>
  <c r="S55" i="2" l="1"/>
  <c r="S54" i="2"/>
  <c r="O53" i="2"/>
  <c r="AP53" i="2" s="1"/>
  <c r="AO53" i="2"/>
  <c r="Q39" i="2"/>
  <c r="AR39" i="2" s="1"/>
  <c r="AQ39" i="2"/>
  <c r="Q51" i="2"/>
  <c r="AQ51" i="2"/>
  <c r="G53" i="2"/>
  <c r="AG53" i="2"/>
  <c r="Q40" i="2"/>
  <c r="P53" i="2"/>
  <c r="AH53" i="2" l="1"/>
  <c r="T54" i="2"/>
  <c r="Q53" i="2"/>
  <c r="P78" i="2"/>
  <c r="Q78" i="2" s="1"/>
  <c r="U40" i="2" l="1"/>
  <c r="AI40" i="2" s="1"/>
  <c r="V34" i="2"/>
  <c r="U34" i="2"/>
  <c r="V50" i="2"/>
  <c r="AJ50" i="2" s="1"/>
  <c r="V49" i="2"/>
  <c r="AJ49" i="2" s="1"/>
  <c r="V45" i="2"/>
  <c r="AJ45" i="2" s="1"/>
  <c r="V29" i="2"/>
  <c r="AJ29" i="2" s="1"/>
  <c r="U28" i="2"/>
  <c r="AI28" i="2" s="1"/>
  <c r="V44" i="2"/>
  <c r="AJ44" i="2" s="1"/>
  <c r="V46" i="2"/>
  <c r="AJ46" i="2" s="1"/>
  <c r="V48" i="2"/>
  <c r="AJ48" i="2" s="1"/>
  <c r="V47" i="2"/>
  <c r="AJ47" i="2" s="1"/>
  <c r="V43" i="2"/>
  <c r="AJ43" i="2" s="1"/>
  <c r="V51" i="2"/>
  <c r="AJ51" i="2" s="1"/>
  <c r="AC29" i="2"/>
  <c r="V36" i="2"/>
  <c r="AJ36" i="2" s="1"/>
  <c r="AQ29" i="2" l="1"/>
  <c r="AC6" i="2"/>
  <c r="AC28" i="2"/>
  <c r="AQ28" i="2" s="1"/>
  <c r="V40" i="2"/>
  <c r="AJ40" i="2" s="1"/>
  <c r="U53" i="2"/>
  <c r="AD71" i="2"/>
  <c r="AR71" i="2" s="1"/>
  <c r="AD63" i="2"/>
  <c r="AR63" i="2" s="1"/>
  <c r="AD68" i="2"/>
  <c r="AR68" i="2" s="1"/>
  <c r="AC40" i="2"/>
  <c r="AQ40" i="2" s="1"/>
  <c r="AD64" i="2"/>
  <c r="AR64" i="2" s="1"/>
  <c r="AD67" i="2"/>
  <c r="AR67" i="2" s="1"/>
  <c r="AD69" i="2"/>
  <c r="AR69" i="2" s="1"/>
  <c r="AD34" i="2"/>
  <c r="AD65" i="2"/>
  <c r="AR65" i="2" s="1"/>
  <c r="AD33" i="2"/>
  <c r="AD66" i="2"/>
  <c r="AR66" i="2" s="1"/>
  <c r="AC34" i="2"/>
  <c r="AD62" i="2"/>
  <c r="AR62" i="2" s="1"/>
  <c r="AD29" i="2"/>
  <c r="AR29" i="2" s="1"/>
  <c r="AD49" i="2"/>
  <c r="AR49" i="2" s="1"/>
  <c r="AD50" i="2"/>
  <c r="AR50" i="2" s="1"/>
  <c r="AD45" i="2"/>
  <c r="AR45" i="2" s="1"/>
  <c r="AD48" i="2"/>
  <c r="AR48" i="2" s="1"/>
  <c r="AD44" i="2"/>
  <c r="AR44" i="2" s="1"/>
  <c r="AD46" i="2"/>
  <c r="AR46" i="2" s="1"/>
  <c r="AD43" i="2"/>
  <c r="AR43" i="2" s="1"/>
  <c r="AD47" i="2"/>
  <c r="AR47" i="2" s="1"/>
  <c r="AD51" i="2"/>
  <c r="AR51" i="2" s="1"/>
  <c r="AD74" i="2"/>
  <c r="AR74" i="2" s="1"/>
  <c r="AD75" i="2"/>
  <c r="AR75" i="2" s="1"/>
  <c r="AD61" i="2"/>
  <c r="AR61" i="2" s="1"/>
  <c r="AD70" i="2"/>
  <c r="AR70" i="2" s="1"/>
  <c r="AD59" i="2"/>
  <c r="AR59" i="2" s="1"/>
  <c r="AD72" i="2"/>
  <c r="AR72" i="2" s="1"/>
  <c r="AD73" i="2"/>
  <c r="AR73" i="2" s="1"/>
  <c r="AD60" i="2"/>
  <c r="AR60" i="2" s="1"/>
  <c r="AD58" i="2"/>
  <c r="AR58" i="2" s="1"/>
  <c r="AD57" i="2"/>
  <c r="AR57" i="2" s="1"/>
  <c r="AD36" i="2"/>
  <c r="AR36" i="2" s="1"/>
  <c r="AD56" i="2"/>
  <c r="AR56" i="2" s="1"/>
  <c r="AD76" i="2"/>
  <c r="AR76" i="2" s="1"/>
  <c r="AI53" i="2" l="1"/>
  <c r="U54" i="2"/>
  <c r="U55" i="2"/>
  <c r="V53" i="2"/>
  <c r="AD40" i="2"/>
  <c r="AR40" i="2" s="1"/>
  <c r="AC53" i="2"/>
  <c r="AQ53" i="2" s="1"/>
  <c r="AJ53" i="2" l="1"/>
  <c r="V54" i="2"/>
  <c r="AC78" i="2"/>
  <c r="AQ78" i="2" s="1"/>
  <c r="AD53" i="2"/>
  <c r="AR53" i="2" s="1"/>
  <c r="AD78" i="2" l="1"/>
  <c r="AR7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95941F41-132B-4E4D-AF49-D93BF9702673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8CDC34D8-F16A-4DC9-8D6D-D50CA6C2CE7A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DD9362EF-F73A-4EB3-B3BF-7B24833A7597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14E38A29-D0E1-4CD5-8AAB-82DA2E1665E8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6BBDC7F7-AB74-477F-A286-78394869D57B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355E4104-1948-4C57-B7EF-C086AC7B3149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BF48980C-60FE-4A29-B819-095AC224F895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0999868F-027E-4E03-B860-EE6E49CC9A7B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3D4F7573-E0CC-4C02-83C4-D3B3CD2FAD75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A5AE1936-4337-4B34-BE66-3EDC7FB312B8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13657753-C613-4884-A219-DF7419A62CB1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32AF32E3-8CF6-4269-993C-CD10F3FBA70A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21B192A6-A2A7-419D-98E5-9DBC2A30BC53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12AD8F5F-B856-43C9-A89C-B1247AC7ABFA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95E8B5E5-578D-48D9-B49A-CC8D8A7D190A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52418E42-CF5C-45AD-B66B-FAE5DCC39B65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9DA89288-48DF-4FAE-A29C-D465A39A8A2E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CB9E8369-69EE-4076-BDF2-CFA4B1F188E8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50545793-63A4-4885-B979-C4B0DA5ACB6B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809718C0-4783-4356-A788-82B2A9DEBD6E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90618931-0F25-486B-88A7-F5613DCD9C8C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7F1CAEBB-2AF6-4824-8B0C-280454D0E397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60D49523-A731-4EF0-8741-24B43D4A1032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B60E74B0-1E95-4784-976B-6D3BACFD5650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Lee</author>
  </authors>
  <commentList>
    <comment ref="B45" authorId="0" shapeId="0" xr:uid="{22A10F1E-DEC0-46CF-BDA4-10CE4C9CB281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91566DC6-A7C4-4D37-89AC-0B2BBCEC1B5B}">
      <text>
        <r>
          <rPr>
            <b/>
            <sz val="9"/>
            <color indexed="81"/>
            <rFont val="Tahoma"/>
            <family val="2"/>
          </rPr>
          <t>Sean Lee:</t>
        </r>
        <r>
          <rPr>
            <sz val="9"/>
            <color indexed="81"/>
            <rFont val="Tahoma"/>
            <family val="2"/>
          </rPr>
          <t xml:space="preserve">
Order Processing: Bergen, Global E and Etc.</t>
        </r>
      </text>
    </comment>
  </commentList>
</comments>
</file>

<file path=xl/sharedStrings.xml><?xml version="1.0" encoding="utf-8"?>
<sst xmlns="http://schemas.openxmlformats.org/spreadsheetml/2006/main" count="2402" uniqueCount="173">
  <si>
    <t>Date</t>
  </si>
  <si>
    <t>Category</t>
  </si>
  <si>
    <t>Wholesale</t>
  </si>
  <si>
    <t>Ecommerce (US)</t>
  </si>
  <si>
    <t>Ecommerce (EU)</t>
  </si>
  <si>
    <t>License</t>
  </si>
  <si>
    <t>Other Income</t>
  </si>
  <si>
    <t>M</t>
  </si>
  <si>
    <t>Q</t>
  </si>
  <si>
    <t>H</t>
  </si>
  <si>
    <t>Y</t>
  </si>
  <si>
    <t>Actual / Forecast</t>
  </si>
  <si>
    <t>Actual</t>
  </si>
  <si>
    <t>Forecast</t>
  </si>
  <si>
    <t>Last Year - Current Month</t>
  </si>
  <si>
    <t>Budget - Current Month</t>
  </si>
  <si>
    <t>Actual - Current Month</t>
  </si>
  <si>
    <t>vs Plan</t>
  </si>
  <si>
    <t>홀세일(미국)</t>
  </si>
  <si>
    <t>온라인(미국)</t>
  </si>
  <si>
    <t>온라인(유럽)</t>
  </si>
  <si>
    <t>라이선스</t>
  </si>
  <si>
    <t>기타</t>
  </si>
  <si>
    <t>STO 합계</t>
  </si>
  <si>
    <t>STO/STIP</t>
  </si>
  <si>
    <t>할인율(%)</t>
  </si>
  <si>
    <t>생산원가율(%)</t>
  </si>
  <si>
    <t>매출액(할인전) 계</t>
  </si>
  <si>
    <t>총매출 (MSRP)</t>
  </si>
  <si>
    <t>할인액</t>
  </si>
  <si>
    <t>Revenue</t>
  </si>
  <si>
    <t>실판매</t>
  </si>
  <si>
    <t>제품매출</t>
  </si>
  <si>
    <t>기타매출</t>
  </si>
  <si>
    <t>계획대비</t>
  </si>
  <si>
    <t>n/a</t>
  </si>
  <si>
    <t>전년대비</t>
  </si>
  <si>
    <t>COGS</t>
  </si>
  <si>
    <t>매출원가</t>
  </si>
  <si>
    <t>기타원가</t>
  </si>
  <si>
    <t>분기원가조정</t>
  </si>
  <si>
    <t>(생산원가율, M/U)</t>
  </si>
  <si>
    <t>매출총이익</t>
  </si>
  <si>
    <t>직접비</t>
  </si>
  <si>
    <t>운반비/보관료/ 물류용역비</t>
  </si>
  <si>
    <t>운반비</t>
  </si>
  <si>
    <t>운반비 (-)</t>
  </si>
  <si>
    <t>보관료</t>
  </si>
  <si>
    <t>물류용역비</t>
  </si>
  <si>
    <t>Professional Service</t>
  </si>
  <si>
    <t>Direct Costs</t>
  </si>
  <si>
    <t>지급수수료</t>
  </si>
  <si>
    <t>6451 - Service Processing Fee</t>
  </si>
  <si>
    <t>결제수수료</t>
  </si>
  <si>
    <t>Marketing</t>
  </si>
  <si>
    <t>SEM 광고비</t>
  </si>
  <si>
    <t>Other</t>
  </si>
  <si>
    <t>기타비용</t>
  </si>
  <si>
    <t>직접비 소계</t>
  </si>
  <si>
    <t>직접이익</t>
  </si>
  <si>
    <t>영업비</t>
  </si>
  <si>
    <t>인건비</t>
  </si>
  <si>
    <t>HQ</t>
  </si>
  <si>
    <t>HQ Salaries</t>
  </si>
  <si>
    <t>급여(정규)</t>
  </si>
  <si>
    <t>Contractors</t>
  </si>
  <si>
    <t>급여(계약)</t>
  </si>
  <si>
    <t>Benefits</t>
  </si>
  <si>
    <t>보험,복후비등</t>
  </si>
  <si>
    <t>Bonus</t>
  </si>
  <si>
    <t>급여충당금</t>
  </si>
  <si>
    <t>Advertising</t>
  </si>
  <si>
    <t>SG&amp;A</t>
  </si>
  <si>
    <t>광고선전비</t>
  </si>
  <si>
    <t>Photography</t>
  </si>
  <si>
    <t>Selling</t>
  </si>
  <si>
    <t>SEM브랜드마케팅</t>
  </si>
  <si>
    <t>Events</t>
  </si>
  <si>
    <t>Model</t>
  </si>
  <si>
    <t>Seeding</t>
  </si>
  <si>
    <t>기타 광고비</t>
  </si>
  <si>
    <t>T&amp;E</t>
  </si>
  <si>
    <t>식대 / 출장비</t>
  </si>
  <si>
    <t>Rent</t>
  </si>
  <si>
    <t>임차료</t>
  </si>
  <si>
    <t>Sample</t>
  </si>
  <si>
    <t>샘플비/개발비</t>
  </si>
  <si>
    <t>Depreciation &amp; Amortization</t>
  </si>
  <si>
    <t>감가상각비</t>
  </si>
  <si>
    <t>영업비 소계</t>
  </si>
  <si>
    <t>영업이익</t>
  </si>
  <si>
    <t>영업외손익</t>
  </si>
  <si>
    <t>이자비용</t>
  </si>
  <si>
    <t>경상이익</t>
  </si>
  <si>
    <t>STO 24년 2월 전년 실적</t>
  </si>
  <si>
    <t>STO 25년 2월 당월 계획</t>
  </si>
  <si>
    <t>STO 25년 2월 당월 실적</t>
  </si>
  <si>
    <t>STO 24년 3월 전년 실적</t>
  </si>
  <si>
    <t>STO 25년 3월 당월 계획</t>
  </si>
  <si>
    <t>STO 25년 3월 당월 실적</t>
  </si>
  <si>
    <t>STO 24년 4월 전년 실적</t>
  </si>
  <si>
    <t>STO 25년 4월 당월 계획</t>
  </si>
  <si>
    <t>STO 25년 4월 당월 실적</t>
  </si>
  <si>
    <t>STO 24년 6월 전년 실적</t>
  </si>
  <si>
    <r>
      <t>STO 24</t>
    </r>
    <r>
      <rPr>
        <b/>
        <sz val="11"/>
        <rFont val="맑은 고딕"/>
        <family val="3"/>
        <charset val="129"/>
      </rPr>
      <t>년</t>
    </r>
    <r>
      <rPr>
        <b/>
        <sz val="11"/>
        <rFont val="Proxima Nova"/>
        <family val="2"/>
      </rPr>
      <t xml:space="preserve"> 5</t>
    </r>
    <r>
      <rPr>
        <b/>
        <sz val="11"/>
        <rFont val="맑은 고딕"/>
        <family val="3"/>
        <charset val="129"/>
      </rPr>
      <t>월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전년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</si>
  <si>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t>STO 25년 6월 당월 실적</t>
  </si>
  <si>
    <r>
      <t>STO 25</t>
    </r>
    <r>
      <rPr>
        <b/>
        <sz val="11"/>
        <rFont val="맑은 고딕"/>
        <family val="3"/>
        <charset val="129"/>
      </rPr>
      <t>년</t>
    </r>
    <r>
      <rPr>
        <b/>
        <sz val="11"/>
        <rFont val="Proxima Nova"/>
        <family val="2"/>
      </rPr>
      <t xml:space="preserve"> 5</t>
    </r>
    <r>
      <rPr>
        <b/>
        <sz val="11"/>
        <rFont val="맑은 고딕"/>
        <family val="3"/>
        <charset val="129"/>
      </rPr>
      <t>월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당월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</si>
  <si>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r>
      <t>STO 24</t>
    </r>
    <r>
      <rPr>
        <b/>
        <sz val="11"/>
        <rFont val="맑은 고딕"/>
        <family val="3"/>
        <charset val="129"/>
      </rPr>
      <t>년</t>
    </r>
    <r>
      <rPr>
        <b/>
        <sz val="11"/>
        <rFont val="Arial"/>
        <family val="2"/>
      </rPr>
      <t xml:space="preserve"> 5</t>
    </r>
    <r>
      <rPr>
        <b/>
        <sz val="11"/>
        <rFont val="맑은 고딕"/>
        <family val="3"/>
        <charset val="129"/>
      </rPr>
      <t>월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전년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</si>
  <si>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t>STO 25년 6월 당월 계획</t>
  </si>
  <si>
    <t>STO 24년 7월 전년 실적</t>
  </si>
  <si>
    <t>STO 25년 7월 당월 계획</t>
  </si>
  <si>
    <t>STO 25년 7월 당월 실적</t>
  </si>
  <si>
    <t>STO 24년 8월 전년 실적</t>
  </si>
  <si>
    <t>STO 25년 8월 당월 계획</t>
  </si>
  <si>
    <t>STO 25년 8월 당월 실적</t>
  </si>
  <si>
    <t>STO 24년 9월 전년 실적</t>
  </si>
  <si>
    <t>STO 25년 9월 당월 계획</t>
  </si>
  <si>
    <t>STO 25년 9월 당월 실적</t>
  </si>
  <si>
    <t>STO 24년 10월 전년 실적</t>
  </si>
  <si>
    <t>STO 25년 10월 당월 계획</t>
  </si>
  <si>
    <t>STO 25년 10월 당월 실적</t>
  </si>
  <si>
    <r>
      <t>STO 24</t>
    </r>
    <r>
      <rPr>
        <b/>
        <sz val="11"/>
        <rFont val="맑은 고딕"/>
        <family val="3"/>
        <charset val="129"/>
      </rPr>
      <t>년</t>
    </r>
    <r>
      <rPr>
        <b/>
        <sz val="11"/>
        <rFont val="Proxima Nova"/>
        <family val="2"/>
      </rPr>
      <t xml:space="preserve"> 1</t>
    </r>
    <r>
      <rPr>
        <b/>
        <sz val="11"/>
        <rFont val="맑은 고딕"/>
        <family val="3"/>
        <charset val="129"/>
      </rPr>
      <t>월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전년</t>
    </r>
    <r>
      <rPr>
        <b/>
        <sz val="11"/>
        <rFont val="Proxima Nova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</si>
  <si>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r>
      <t>STO 24</t>
    </r>
    <r>
      <rPr>
        <b/>
        <sz val="11"/>
        <rFont val="맑은 고딕"/>
        <family val="3"/>
        <charset val="129"/>
      </rPr>
      <t>년</t>
    </r>
    <r>
      <rPr>
        <b/>
        <sz val="11"/>
        <rFont val="Arial"/>
        <family val="2"/>
      </rPr>
      <t xml:space="preserve"> 1</t>
    </r>
    <r>
      <rPr>
        <b/>
        <sz val="11"/>
        <rFont val="맑은 고딕"/>
        <family val="3"/>
        <charset val="129"/>
      </rPr>
      <t>월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전년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</si>
  <si>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r>
      <t>STO 25</t>
    </r>
    <r>
      <rPr>
        <b/>
        <sz val="11"/>
        <rFont val="맑은 고딕"/>
        <family val="3"/>
        <charset val="129"/>
      </rPr>
      <t>년</t>
    </r>
    <r>
      <rPr>
        <b/>
        <sz val="11"/>
        <rFont val="Arial"/>
        <family val="2"/>
      </rPr>
      <t xml:space="preserve"> 1</t>
    </r>
    <r>
      <rPr>
        <b/>
        <sz val="11"/>
        <rFont val="맑은 고딕"/>
        <family val="3"/>
        <charset val="129"/>
      </rPr>
      <t>월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당월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실적</t>
    </r>
    <phoneticPr fontId="15" type="noConversion"/>
  </si>
  <si>
    <r>
      <t>STO 24</t>
    </r>
    <r>
      <rPr>
        <b/>
        <sz val="11"/>
        <rFont val="맑은 고딕"/>
        <family val="3"/>
        <charset val="129"/>
      </rPr>
      <t>년</t>
    </r>
    <r>
      <rPr>
        <b/>
        <sz val="11"/>
        <rFont val="Proxima Nova"/>
        <family val="2"/>
      </rPr>
      <t xml:space="preserve"> 10월 누적</t>
    </r>
    <phoneticPr fontId="15" type="noConversion"/>
  </si>
  <si>
    <r>
      <t>STO 25</t>
    </r>
    <r>
      <rPr>
        <b/>
        <sz val="11"/>
        <rFont val="맑은 고딕"/>
        <family val="3"/>
        <charset val="129"/>
      </rPr>
      <t>년</t>
    </r>
    <r>
      <rPr>
        <b/>
        <sz val="11"/>
        <rFont val="Arial"/>
        <family val="2"/>
      </rPr>
      <t xml:space="preserve"> 10</t>
    </r>
    <r>
      <rPr>
        <b/>
        <sz val="11"/>
        <rFont val="맑은 고딕"/>
        <family val="3"/>
        <charset val="129"/>
      </rPr>
      <t>월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2"/>
        <charset val="129"/>
      </rPr>
      <t>누적</t>
    </r>
    <phoneticPr fontId="15" type="noConversion"/>
  </si>
  <si>
    <t>vs 전년</t>
    <phoneticPr fontId="15" type="noConversion"/>
  </si>
  <si>
    <r>
      <t>STO 25</t>
    </r>
    <r>
      <rPr>
        <b/>
        <sz val="11"/>
        <rFont val="맑은 고딕"/>
        <family val="3"/>
        <charset val="129"/>
      </rPr>
      <t>년</t>
    </r>
    <r>
      <rPr>
        <b/>
        <sz val="11"/>
        <rFont val="Arial"/>
        <family val="2"/>
      </rPr>
      <t xml:space="preserve"> 10</t>
    </r>
    <r>
      <rPr>
        <b/>
        <sz val="11"/>
        <rFont val="맑은 고딕"/>
        <family val="3"/>
        <charset val="129"/>
      </rPr>
      <t>월 누적 전년대비</t>
    </r>
    <phoneticPr fontId="15" type="noConversion"/>
  </si>
  <si>
    <t>ACTUALS ONLY</t>
  </si>
  <si>
    <t>MSRP by Channel</t>
  </si>
  <si>
    <t>Ecom EU</t>
  </si>
  <si>
    <t>Ecom US</t>
  </si>
  <si>
    <t>TOTAL</t>
  </si>
  <si>
    <t>홀세일</t>
  </si>
  <si>
    <t>홀세일</t>
    <phoneticPr fontId="15" type="noConversion"/>
  </si>
  <si>
    <t>US EC</t>
  </si>
  <si>
    <t>US EC</t>
    <phoneticPr fontId="15" type="noConversion"/>
  </si>
  <si>
    <t>EU EC</t>
  </si>
  <si>
    <t>EU EC</t>
    <phoneticPr fontId="15" type="noConversion"/>
  </si>
  <si>
    <t>24년</t>
    <phoneticPr fontId="15" type="noConversion"/>
  </si>
  <si>
    <t>1월</t>
  </si>
  <si>
    <t>1월</t>
    <phoneticPr fontId="15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</si>
  <si>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</si>
  <si>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</si>
  <si>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</si>
  <si>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</si>
  <si>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</si>
  <si>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</si>
  <si>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</si>
  <si>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</si>
  <si>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</si>
  <si>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</si>
  <si>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</si>
  <si>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25년</t>
    <phoneticPr fontId="15" type="noConversion"/>
  </si>
  <si>
    <t>YOY</t>
    <phoneticPr fontId="15" type="noConversion"/>
  </si>
  <si>
    <t>전체할인율</t>
    <phoneticPr fontId="15" type="noConversion"/>
  </si>
  <si>
    <t>적자</t>
    <phoneticPr fontId="15" type="noConversion"/>
  </si>
  <si>
    <t>EC</t>
    <phoneticPr fontId="15" type="noConversion"/>
  </si>
  <si>
    <t>SEM</t>
    <phoneticPr fontId="15" type="noConversion"/>
  </si>
  <si>
    <t>비용율</t>
    <phoneticPr fontId="15" type="noConversion"/>
  </si>
  <si>
    <t>&lt;- Rev Adj.</t>
  </si>
  <si>
    <t>&lt;- COG Adj.</t>
  </si>
  <si>
    <t>Q4'24</t>
  </si>
  <si>
    <t>Q4'25</t>
  </si>
  <si>
    <t>H2'24</t>
  </si>
  <si>
    <t>H2'25</t>
  </si>
  <si>
    <t>STO 24년 12월 전년 실적</t>
  </si>
  <si>
    <t>STO 25년 12월 당월 계획</t>
  </si>
  <si>
    <t>STO 25년 12월 당월 실적</t>
  </si>
  <si>
    <t>STO 25년 12월 계획대비</t>
  </si>
  <si>
    <t>보관료 / 물류용역비</t>
  </si>
  <si>
    <t>촬영비</t>
  </si>
  <si>
    <t>광고비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</si>
</sst>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&quot;$&quot;#,##0;\(&quot;$&quot;#,##0\);&quot;--&quot;"/>
    <numFmt numFmtId="177" formatCode="#,##0.0%;\(#,##0.0%\);&quot;--&quot;"/>
    <numFmt numFmtId="178" formatCode="0.0&quot; pts&quot;;\(0.0&quot; pts&quot;\);&quot;--&quot;"/>
    <numFmt numFmtId="179" formatCode="#,##0.0;\(#,##0.0\);&quot;--&quot;"/>
    <numFmt numFmtId="180" formatCode="#,##0;\(#,##0\);&quot;--&quot;"/>
    <numFmt numFmtId="181" formatCode="mmm\-yy&quot;A&quot;"/>
    <numFmt numFmtId="182" formatCode="0.0%"/>
  </numFmts>
  <fonts count="2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Proxima Nova"/>
    </font>
    <font>
      <sz val="11"/>
      <color theme="1"/>
      <name val="맑은 고딕"/>
      <family val="2"/>
      <scheme val="minor"/>
    </font>
    <font>
      <sz val="11"/>
      <color theme="1"/>
      <name val="Proxima Nova"/>
    </font>
    <font>
      <b/>
      <sz val="11"/>
      <name val="Proxima Nova"/>
    </font>
    <font>
      <b/>
      <sz val="11"/>
      <color rgb="FF0000FF"/>
      <name val="Proxima Nova"/>
    </font>
    <font>
      <sz val="11"/>
      <color theme="0" tint="-4.9989318521683403E-2"/>
      <name val="Proxima Nova"/>
    </font>
    <font>
      <i/>
      <sz val="11"/>
      <name val="Proxima Nova"/>
    </font>
    <font>
      <i/>
      <sz val="11"/>
      <color theme="0" tint="-4.9989318521683403E-2"/>
      <name val="Proxima Nova"/>
    </font>
    <font>
      <i/>
      <sz val="11"/>
      <color theme="1"/>
      <name val="Proxima Nov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1"/>
      <name val="Proxima Nova"/>
      <family val="2"/>
    </font>
    <font>
      <b/>
      <sz val="11"/>
      <name val="맑은 고딕"/>
      <family val="2"/>
      <charset val="129"/>
    </font>
    <font>
      <b/>
      <sz val="11"/>
      <color rgb="FF0000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F0C8"/>
        <bgColor rgb="FF000000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4" fillId="0" borderId="0" xfId="2" applyFont="1">
      <alignment vertical="center"/>
    </xf>
    <xf numFmtId="41" fontId="4" fillId="0" borderId="0" xfId="3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indent="1"/>
    </xf>
    <xf numFmtId="14" fontId="7" fillId="2" borderId="0" xfId="2" applyNumberFormat="1" applyFont="1" applyFill="1" applyAlignment="1">
      <alignment horizontal="left" vertical="center"/>
    </xf>
    <xf numFmtId="10" fontId="4" fillId="0" borderId="0" xfId="1" applyNumberFormat="1" applyFont="1" applyAlignment="1">
      <alignment vertical="center"/>
    </xf>
    <xf numFmtId="176" fontId="4" fillId="0" borderId="0" xfId="2" applyNumberFormat="1" applyFont="1">
      <alignment vertical="center"/>
    </xf>
    <xf numFmtId="9" fontId="4" fillId="0" borderId="0" xfId="1" applyFont="1" applyAlignment="1">
      <alignment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7" fillId="3" borderId="2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Continuous"/>
    </xf>
    <xf numFmtId="0" fontId="7" fillId="3" borderId="4" xfId="0" applyFont="1" applyFill="1" applyBorder="1" applyAlignment="1">
      <alignment horizontal="centerContinuous"/>
    </xf>
    <xf numFmtId="0" fontId="6" fillId="0" borderId="5" xfId="0" applyFont="1" applyBorder="1"/>
    <xf numFmtId="0" fontId="7" fillId="3" borderId="6" xfId="0" applyFont="1" applyFill="1" applyBorder="1" applyAlignment="1">
      <alignment horizontal="centerContinuous"/>
    </xf>
    <xf numFmtId="176" fontId="4" fillId="0" borderId="7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0" xfId="0" applyFont="1" applyAlignment="1">
      <alignment horizontal="left"/>
    </xf>
    <xf numFmtId="176" fontId="4" fillId="4" borderId="7" xfId="0" applyNumberFormat="1" applyFont="1" applyFill="1" applyBorder="1" applyAlignment="1">
      <alignment horizontal="right"/>
    </xf>
    <xf numFmtId="176" fontId="4" fillId="4" borderId="0" xfId="0" applyNumberFormat="1" applyFont="1" applyFill="1" applyAlignment="1">
      <alignment horizontal="right"/>
    </xf>
    <xf numFmtId="176" fontId="4" fillId="5" borderId="7" xfId="0" applyNumberFormat="1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176" fontId="4" fillId="0" borderId="8" xfId="0" applyNumberFormat="1" applyFont="1" applyBorder="1" applyAlignment="1">
      <alignment horizontal="right"/>
    </xf>
    <xf numFmtId="176" fontId="4" fillId="0" borderId="0" xfId="0" applyNumberFormat="1" applyFont="1" applyAlignment="1">
      <alignment horizontal="right"/>
    </xf>
    <xf numFmtId="176" fontId="4" fillId="5" borderId="8" xfId="0" applyNumberFormat="1" applyFont="1" applyFill="1" applyBorder="1" applyAlignment="1">
      <alignment horizontal="right"/>
    </xf>
    <xf numFmtId="0" fontId="7" fillId="3" borderId="2" xfId="0" applyFont="1" applyFill="1" applyBorder="1" applyAlignment="1">
      <alignment horizontal="left"/>
    </xf>
    <xf numFmtId="176" fontId="7" fillId="3" borderId="2" xfId="0" applyNumberFormat="1" applyFont="1" applyFill="1" applyBorder="1" applyAlignment="1">
      <alignment horizontal="right"/>
    </xf>
    <xf numFmtId="177" fontId="7" fillId="3" borderId="4" xfId="0" applyNumberFormat="1" applyFont="1" applyFill="1" applyBorder="1" applyAlignment="1">
      <alignment horizontal="right"/>
    </xf>
    <xf numFmtId="176" fontId="7" fillId="3" borderId="3" xfId="0" applyNumberFormat="1" applyFont="1" applyFill="1" applyBorder="1" applyAlignment="1">
      <alignment horizontal="right"/>
    </xf>
    <xf numFmtId="176" fontId="7" fillId="5" borderId="2" xfId="0" applyNumberFormat="1" applyFont="1" applyFill="1" applyBorder="1" applyAlignment="1">
      <alignment horizontal="right"/>
    </xf>
    <xf numFmtId="178" fontId="7" fillId="5" borderId="4" xfId="0" applyNumberFormat="1" applyFont="1" applyFill="1" applyBorder="1" applyAlignment="1">
      <alignment horizontal="right"/>
    </xf>
    <xf numFmtId="0" fontId="10" fillId="0" borderId="0" xfId="0" applyFont="1" applyAlignment="1">
      <alignment horizontal="left" indent="1"/>
    </xf>
    <xf numFmtId="176" fontId="10" fillId="0" borderId="7" xfId="0" applyNumberFormat="1" applyFont="1" applyBorder="1" applyAlignment="1">
      <alignment horizontal="right"/>
    </xf>
    <xf numFmtId="176" fontId="10" fillId="0" borderId="8" xfId="0" applyNumberFormat="1" applyFont="1" applyBorder="1" applyAlignment="1">
      <alignment horizontal="right"/>
    </xf>
    <xf numFmtId="176" fontId="10" fillId="0" borderId="0" xfId="0" applyNumberFormat="1" applyFont="1" applyAlignment="1">
      <alignment horizontal="right"/>
    </xf>
    <xf numFmtId="176" fontId="10" fillId="5" borderId="7" xfId="0" applyNumberFormat="1" applyFont="1" applyFill="1" applyBorder="1" applyAlignment="1">
      <alignment horizontal="right"/>
    </xf>
    <xf numFmtId="176" fontId="10" fillId="5" borderId="8" xfId="0" applyNumberFormat="1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2" fillId="0" borderId="5" xfId="0" applyFont="1" applyBorder="1"/>
    <xf numFmtId="0" fontId="12" fillId="0" borderId="0" xfId="0" applyFont="1"/>
    <xf numFmtId="177" fontId="10" fillId="0" borderId="8" xfId="0" applyNumberFormat="1" applyFont="1" applyBorder="1" applyAlignment="1">
      <alignment horizontal="right"/>
    </xf>
    <xf numFmtId="177" fontId="10" fillId="5" borderId="8" xfId="0" applyNumberFormat="1" applyFont="1" applyFill="1" applyBorder="1" applyAlignment="1">
      <alignment horizontal="right"/>
    </xf>
    <xf numFmtId="177" fontId="4" fillId="0" borderId="8" xfId="0" applyNumberFormat="1" applyFont="1" applyBorder="1" applyAlignment="1">
      <alignment horizontal="right"/>
    </xf>
    <xf numFmtId="177" fontId="4" fillId="0" borderId="0" xfId="0" applyNumberFormat="1" applyFont="1" applyAlignment="1">
      <alignment horizontal="right"/>
    </xf>
    <xf numFmtId="178" fontId="4" fillId="5" borderId="8" xfId="0" applyNumberFormat="1" applyFont="1" applyFill="1" applyBorder="1" applyAlignment="1">
      <alignment horizontal="right"/>
    </xf>
    <xf numFmtId="177" fontId="4" fillId="5" borderId="8" xfId="0" applyNumberFormat="1" applyFont="1" applyFill="1" applyBorder="1" applyAlignment="1">
      <alignment horizontal="right"/>
    </xf>
    <xf numFmtId="176" fontId="6" fillId="0" borderId="0" xfId="0" applyNumberFormat="1" applyFont="1"/>
    <xf numFmtId="177" fontId="10" fillId="0" borderId="7" xfId="0" applyNumberFormat="1" applyFont="1" applyBorder="1" applyAlignment="1">
      <alignment horizontal="right"/>
    </xf>
    <xf numFmtId="179" fontId="10" fillId="0" borderId="8" xfId="0" applyNumberFormat="1" applyFont="1" applyBorder="1" applyAlignment="1">
      <alignment horizontal="right"/>
    </xf>
    <xf numFmtId="177" fontId="10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right"/>
    </xf>
    <xf numFmtId="177" fontId="10" fillId="0" borderId="9" xfId="0" applyNumberFormat="1" applyFont="1" applyBorder="1" applyAlignment="1">
      <alignment horizontal="right"/>
    </xf>
    <xf numFmtId="180" fontId="10" fillId="0" borderId="8" xfId="0" applyNumberFormat="1" applyFont="1" applyBorder="1" applyAlignment="1">
      <alignment horizontal="right"/>
    </xf>
    <xf numFmtId="178" fontId="10" fillId="5" borderId="7" xfId="0" applyNumberFormat="1" applyFont="1" applyFill="1" applyBorder="1" applyAlignment="1">
      <alignment horizontal="right"/>
    </xf>
    <xf numFmtId="179" fontId="10" fillId="5" borderId="8" xfId="0" applyNumberFormat="1" applyFont="1" applyFill="1" applyBorder="1" applyAlignment="1">
      <alignment horizontal="right"/>
    </xf>
    <xf numFmtId="177" fontId="10" fillId="5" borderId="7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10" fillId="0" borderId="0" xfId="0" applyFont="1" applyAlignment="1">
      <alignment horizontal="left" indent="2"/>
    </xf>
    <xf numFmtId="177" fontId="7" fillId="3" borderId="3" xfId="0" applyNumberFormat="1" applyFont="1" applyFill="1" applyBorder="1" applyAlignment="1">
      <alignment horizontal="right"/>
    </xf>
    <xf numFmtId="176" fontId="4" fillId="5" borderId="0" xfId="0" applyNumberFormat="1" applyFont="1" applyFill="1" applyAlignment="1">
      <alignment horizontal="right"/>
    </xf>
    <xf numFmtId="176" fontId="4" fillId="2" borderId="7" xfId="0" applyNumberFormat="1" applyFont="1" applyFill="1" applyBorder="1" applyAlignment="1">
      <alignment horizontal="right"/>
    </xf>
    <xf numFmtId="176" fontId="7" fillId="5" borderId="3" xfId="0" applyNumberFormat="1" applyFont="1" applyFill="1" applyBorder="1" applyAlignment="1">
      <alignment horizontal="right"/>
    </xf>
    <xf numFmtId="176" fontId="7" fillId="3" borderId="4" xfId="0" applyNumberFormat="1" applyFont="1" applyFill="1" applyBorder="1" applyAlignment="1">
      <alignment horizontal="right"/>
    </xf>
    <xf numFmtId="176" fontId="7" fillId="5" borderId="4" xfId="0" applyNumberFormat="1" applyFont="1" applyFill="1" applyBorder="1" applyAlignment="1">
      <alignment horizontal="right"/>
    </xf>
    <xf numFmtId="0" fontId="20" fillId="0" borderId="1" xfId="0" applyFont="1" applyBorder="1"/>
    <xf numFmtId="0" fontId="0" fillId="0" borderId="1" xfId="0" applyBorder="1"/>
    <xf numFmtId="0" fontId="21" fillId="0" borderId="0" xfId="0" applyFont="1"/>
    <xf numFmtId="181" fontId="22" fillId="3" borderId="6" xfId="0" applyNumberFormat="1" applyFont="1" applyFill="1" applyBorder="1" applyAlignment="1">
      <alignment horizontal="centerContinuous"/>
    </xf>
    <xf numFmtId="176" fontId="23" fillId="0" borderId="7" xfId="0" applyNumberFormat="1" applyFont="1" applyBorder="1"/>
    <xf numFmtId="176" fontId="23" fillId="0" borderId="0" xfId="0" applyNumberFormat="1" applyFont="1"/>
    <xf numFmtId="176" fontId="23" fillId="0" borderId="8" xfId="0" applyNumberFormat="1" applyFont="1" applyBorder="1"/>
    <xf numFmtId="0" fontId="21" fillId="0" borderId="2" xfId="0" applyFont="1" applyBorder="1"/>
    <xf numFmtId="176" fontId="21" fillId="0" borderId="2" xfId="0" applyNumberFormat="1" applyFont="1" applyBorder="1"/>
    <xf numFmtId="176" fontId="21" fillId="0" borderId="3" xfId="0" applyNumberFormat="1" applyFont="1" applyBorder="1"/>
    <xf numFmtId="176" fontId="21" fillId="0" borderId="4" xfId="0" applyNumberFormat="1" applyFont="1" applyBorder="1"/>
    <xf numFmtId="9" fontId="0" fillId="0" borderId="0" xfId="0" applyNumberFormat="1"/>
    <xf numFmtId="0" fontId="4" fillId="0" borderId="0" xfId="4" applyFont="1">
      <alignment vertical="center"/>
    </xf>
    <xf numFmtId="41" fontId="4" fillId="0" borderId="0" xfId="5" applyFont="1" applyAlignment="1">
      <alignment vertical="center"/>
    </xf>
    <xf numFmtId="14" fontId="7" fillId="2" borderId="0" xfId="4" applyNumberFormat="1" applyFont="1" applyFill="1" applyAlignment="1">
      <alignment horizontal="left" vertical="center"/>
    </xf>
    <xf numFmtId="176" fontId="4" fillId="0" borderId="0" xfId="4" applyNumberFormat="1" applyFont="1">
      <alignment vertical="center"/>
    </xf>
    <xf numFmtId="182" fontId="4" fillId="5" borderId="0" xfId="0" applyNumberFormat="1" applyFont="1" applyFill="1" applyAlignment="1">
      <alignment horizontal="right"/>
    </xf>
    <xf numFmtId="9" fontId="4" fillId="5" borderId="7" xfId="0" applyNumberFormat="1" applyFont="1" applyFill="1" applyBorder="1" applyAlignment="1">
      <alignment horizontal="right"/>
    </xf>
    <xf numFmtId="9" fontId="4" fillId="5" borderId="0" xfId="0" applyNumberFormat="1" applyFont="1" applyFill="1" applyAlignment="1">
      <alignment horizontal="right"/>
    </xf>
    <xf numFmtId="3" fontId="4" fillId="0" borderId="0" xfId="3" applyNumberFormat="1" applyFont="1" applyAlignment="1">
      <alignment vertical="center"/>
    </xf>
    <xf numFmtId="9" fontId="4" fillId="0" borderId="0" xfId="3" applyNumberFormat="1" applyFont="1" applyAlignment="1">
      <alignment vertical="center"/>
    </xf>
    <xf numFmtId="182" fontId="4" fillId="0" borderId="0" xfId="3" applyNumberFormat="1" applyFont="1" applyAlignment="1">
      <alignment vertical="center"/>
    </xf>
    <xf numFmtId="0" fontId="4" fillId="0" borderId="0" xfId="6" applyFont="1">
      <alignment vertical="center"/>
    </xf>
    <xf numFmtId="41" fontId="4" fillId="0" borderId="0" xfId="7" applyFont="1" applyAlignment="1">
      <alignment vertical="center"/>
    </xf>
    <xf numFmtId="4" fontId="24" fillId="6" borderId="0" xfId="0" applyNumberFormat="1" applyFont="1" applyFill="1"/>
    <xf numFmtId="9" fontId="4" fillId="0" borderId="0" xfId="6" applyNumberFormat="1" applyFont="1">
      <alignment vertical="center"/>
    </xf>
    <xf numFmtId="14" fontId="7" fillId="2" borderId="0" xfId="6" applyNumberFormat="1" applyFont="1" applyFill="1" applyAlignment="1">
      <alignment horizontal="left" vertical="center"/>
    </xf>
    <xf numFmtId="9" fontId="4" fillId="0" borderId="0" xfId="7" applyNumberFormat="1" applyFont="1" applyAlignment="1">
      <alignment vertical="center"/>
    </xf>
    <xf numFmtId="176" fontId="4" fillId="0" borderId="0" xfId="1" applyNumberFormat="1" applyFont="1" applyAlignment="1">
      <alignment vertical="center"/>
    </xf>
    <xf numFmtId="176" fontId="4" fillId="0" borderId="0" xfId="6" applyNumberFormat="1" applyFont="1">
      <alignment vertical="center"/>
    </xf>
    <xf numFmtId="9" fontId="4" fillId="0" borderId="0" xfId="0" applyNumberFormat="1" applyFont="1" applyAlignment="1">
      <alignment horizontal="center"/>
    </xf>
    <xf numFmtId="177" fontId="4" fillId="2" borderId="8" xfId="0" applyNumberFormat="1" applyFont="1" applyFill="1" applyBorder="1" applyAlignment="1">
      <alignment horizontal="right"/>
    </xf>
    <xf numFmtId="176" fontId="4" fillId="0" borderId="1" xfId="0" applyNumberFormat="1" applyFont="1" applyBorder="1" applyAlignment="1">
      <alignment horizontal="center"/>
    </xf>
    <xf numFmtId="3" fontId="4" fillId="0" borderId="0" xfId="2" applyNumberFormat="1" applyFont="1">
      <alignment vertical="center"/>
    </xf>
    <xf numFmtId="3" fontId="4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left" indent="1"/>
    </xf>
    <xf numFmtId="9" fontId="4" fillId="0" borderId="0" xfId="2" applyNumberFormat="1" applyFont="1">
      <alignment vertical="center"/>
    </xf>
    <xf numFmtId="9" fontId="4" fillId="0" borderId="7" xfId="0" applyNumberFormat="1" applyFont="1" applyBorder="1" applyAlignment="1">
      <alignment horizontal="right"/>
    </xf>
  </cellXfs>
  <cellStyles count="8">
    <cellStyle name="백분율" xfId="1" builtinId="5"/>
    <cellStyle name="쉼표 [0] 26 2" xfId="3" xr:uid="{34E620CD-F5EB-4201-863C-2B1640449F8D}"/>
    <cellStyle name="쉼표 [0] 26 2 2" xfId="5" xr:uid="{4270C356-D04C-499C-B7BF-3BEBF6FE4522}"/>
    <cellStyle name="쉼표 [0] 26 2 3" xfId="7" xr:uid="{9184B7C2-9612-4D14-AB1F-399A232C83E9}"/>
    <cellStyle name="표준" xfId="0" builtinId="0"/>
    <cellStyle name="표준 21 2" xfId="2" xr:uid="{5D731539-5ED6-43A6-B739-694CF99F61F7}"/>
    <cellStyle name="표준 21 2 2" xfId="4" xr:uid="{3DF0A110-DB40-448D-98C8-1DCD63BFDB94}"/>
    <cellStyle name="표준 21 2 3" xfId="6" xr:uid="{B521B38A-98D6-4D3F-AC88-9E7F25C11951}"/>
  </cellStyles>
  <dxfs count="809"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  <numFmt numFmtId="0" formatCode="General"/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50629;&#47924;&#51064;&#49688;&#51064;&#44228;\6.&#49892;&#51201;&#48372;&#44256;\2025&#45380;\12&#50900;\260110%20STO%20Company%20Budget%20Model%20-%20Unlinked.xlsx" TargetMode="External"/><Relationship Id="rId1" Type="http://schemas.openxmlformats.org/officeDocument/2006/relationships/externalLinkPath" Target="/&#50629;&#47924;&#51064;&#49688;&#51064;&#44228;/6.&#49892;&#51201;&#48372;&#44256;/2025&#45380;/12&#50900;/260110%20STO%20Company%20Budget%20Model%20-%20Unlin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 Total"/>
      <sheetName val="26 Total"/>
      <sheetName val="보고자료"/>
      <sheetName val="TOC"/>
      <sheetName val="OUTPUT-&gt;"/>
      <sheetName val="미국실적"/>
      <sheetName val="손익_표"/>
      <sheetName val="영업비"/>
      <sheetName val="미국연간"/>
      <sheetName val="FINANCIALS-&gt;"/>
      <sheetName val="STO P&amp;L"/>
      <sheetName val="STO BS"/>
      <sheetName val="STO CF"/>
      <sheetName val="BUDGET-&gt;"/>
      <sheetName val="미국연간 - Stretch Goal"/>
      <sheetName val="STO P&amp;L Monthly - Reforecast"/>
      <sheetName val="STO P&amp;L Monthly - Stretch Goal"/>
      <sheetName val="STO P&amp;L Monthly - KPI Tracking"/>
      <sheetName val="DATA-&gt;"/>
      <sheetName val="MSRP - Sales"/>
      <sheetName val="Direct Costs Breakdown - Actual"/>
      <sheetName val="STO - IS"/>
      <sheetName val="NS Vendor Details"/>
      <sheetName val="G&amp;A Vendor Analysis"/>
      <sheetName val="Direct Costs Analysis"/>
      <sheetName val="Direct Costs Vendor Analysis"/>
      <sheetName val="Direct Costs Breakdown - AOP"/>
      <sheetName val="Inventory - MSRP"/>
      <sheetName val="STO - BS"/>
      <sheetName val="Net Sales Breakdown"/>
      <sheetName val="G&amp;A Analysis"/>
      <sheetName val="G&amp;A Vendor x GL Analysis"/>
      <sheetName val="HQ Salaries"/>
      <sheetName val="STO Headcounts"/>
      <sheetName val="Number of Orders Shipped"/>
      <sheetName val="Vendor Lookup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3">
          <cell r="AM53">
            <v>0.12403150601081357</v>
          </cell>
        </row>
      </sheetData>
      <sheetData sheetId="6" refreshError="1"/>
      <sheetData sheetId="7" refreshError="1"/>
      <sheetData sheetId="8">
        <row r="32">
          <cell r="AQ32">
            <v>1514946.3900000001</v>
          </cell>
        </row>
        <row r="38">
          <cell r="AP38">
            <v>20809182.839999996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A859-42FC-4B46-A0B7-9AE1CFA37F5F}">
  <sheetPr>
    <tabColor theme="4" tint="0.79998168889431442"/>
  </sheetPr>
  <dimension ref="A1:BI83"/>
  <sheetViews>
    <sheetView showGridLines="0" zoomScale="85" zoomScaleNormal="85" workbookViewId="0">
      <pane xSplit="5" ySplit="18" topLeftCell="N27" activePane="bottomRight" state="frozen"/>
      <selection activeCell="AJ47" sqref="AJ47"/>
      <selection pane="topRight" activeCell="AJ47" sqref="AJ47"/>
      <selection pane="bottomLeft" activeCell="AJ47" sqref="AJ47"/>
      <selection pane="bottomRight" activeCell="AJ4" sqref="AJ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88" customWidth="1"/>
    <col min="6" max="8" width="12.375" style="89" customWidth="1" outlineLevel="2"/>
    <col min="9" max="9" width="12.25" style="89" customWidth="1" outlineLevel="2"/>
    <col min="10" max="10" width="13.25" style="89" customWidth="1" outlineLevel="2"/>
    <col min="11" max="15" width="12.375" style="89" customWidth="1" outlineLevel="2"/>
    <col min="16" max="17" width="12.375" style="89" customWidth="1" outlineLevel="1"/>
    <col min="18" max="19" width="2.375" style="3" customWidth="1" outlineLevel="1"/>
    <col min="20" max="22" width="12.375" style="89" hidden="1" customWidth="1" outlineLevel="2"/>
    <col min="23" max="23" width="12.25" style="89" hidden="1" customWidth="1" outlineLevel="2"/>
    <col min="24" max="24" width="13.25" style="89" hidden="1" customWidth="1" outlineLevel="2"/>
    <col min="25" max="31" width="12.375" style="89" hidden="1" customWidth="1" outlineLevel="2"/>
    <col min="32" max="32" width="2.375" style="3" customWidth="1" outlineLevel="1" collapsed="1"/>
    <col min="33" max="33" width="2.375" style="3" customWidth="1" outlineLevel="1"/>
    <col min="34" max="34" width="26.625" style="89" customWidth="1"/>
    <col min="35" max="36" width="12.375" style="89" customWidth="1" outlineLevel="1"/>
    <col min="37" max="37" width="12.25" style="89" customWidth="1" outlineLevel="1"/>
    <col min="38" max="38" width="13.25" style="89" customWidth="1" outlineLevel="1"/>
    <col min="39" max="43" width="12.375" style="89" customWidth="1" outlineLevel="1"/>
    <col min="44" max="45" width="12.375" style="89" customWidth="1"/>
    <col min="46" max="47" width="2.375" style="3" customWidth="1"/>
    <col min="48" max="50" width="12.375" style="89" hidden="1" customWidth="1" outlineLevel="1"/>
    <col min="51" max="51" width="12.25" style="89" hidden="1" customWidth="1" outlineLevel="1"/>
    <col min="52" max="52" width="13.25" style="89" hidden="1" customWidth="1" outlineLevel="1"/>
    <col min="53" max="59" width="12.375" style="89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88"/>
      <c r="Y1" s="88"/>
      <c r="AM1" s="88"/>
      <c r="BA1" s="88"/>
    </row>
    <row r="2" spans="5:59">
      <c r="H2" s="4"/>
      <c r="K2" s="88"/>
      <c r="Y2" s="88"/>
      <c r="AM2" s="88"/>
      <c r="BA2" s="88"/>
    </row>
    <row r="3" spans="5:59">
      <c r="H3" s="4"/>
      <c r="K3" s="88"/>
      <c r="Y3" s="88"/>
      <c r="AM3" s="88"/>
      <c r="BA3" s="88"/>
    </row>
    <row r="4" spans="5:59">
      <c r="K4" s="88"/>
      <c r="Y4" s="88"/>
      <c r="AM4" s="88"/>
      <c r="BA4" s="88"/>
    </row>
    <row r="5" spans="5:59" ht="15">
      <c r="E5" s="90">
        <v>45962</v>
      </c>
      <c r="K5" s="88"/>
      <c r="Y5" s="88"/>
      <c r="AI5" s="6"/>
      <c r="AM5" s="88"/>
      <c r="AW5" s="6"/>
      <c r="BA5" s="88"/>
    </row>
    <row r="6" spans="5:59">
      <c r="K6" s="88"/>
      <c r="Y6" s="91"/>
      <c r="AJ6" s="8"/>
      <c r="AK6" s="8"/>
      <c r="AM6" s="91"/>
      <c r="BA6" s="91"/>
    </row>
    <row r="7" spans="5:59" hidden="1" outlineLevel="1">
      <c r="E7" s="9" t="s">
        <v>0</v>
      </c>
      <c r="F7" s="10">
        <f>EDATE($E$5,-12)</f>
        <v>45597</v>
      </c>
      <c r="G7" s="10"/>
      <c r="H7" s="10">
        <f>F7</f>
        <v>45597</v>
      </c>
      <c r="I7" s="10"/>
      <c r="J7" s="10">
        <f>H7</f>
        <v>45597</v>
      </c>
      <c r="K7" s="10"/>
      <c r="L7" s="10">
        <f>J7</f>
        <v>45597</v>
      </c>
      <c r="M7" s="10"/>
      <c r="N7" s="10">
        <f>L7</f>
        <v>45597</v>
      </c>
      <c r="O7" s="10"/>
      <c r="P7" s="10">
        <f>L7</f>
        <v>45597</v>
      </c>
      <c r="Q7" s="10"/>
      <c r="T7" s="10">
        <f>EDATE($E$5,0)</f>
        <v>45962</v>
      </c>
      <c r="U7" s="10"/>
      <c r="V7" s="10">
        <f>T7</f>
        <v>45962</v>
      </c>
      <c r="W7" s="10"/>
      <c r="X7" s="10">
        <f>V7</f>
        <v>45962</v>
      </c>
      <c r="Y7" s="10"/>
      <c r="Z7" s="10">
        <f>X7</f>
        <v>45962</v>
      </c>
      <c r="AA7" s="10"/>
      <c r="AB7" s="10">
        <f>Z7</f>
        <v>45962</v>
      </c>
      <c r="AC7" s="10"/>
      <c r="AD7" s="10">
        <f>Z7</f>
        <v>45962</v>
      </c>
      <c r="AE7" s="10"/>
      <c r="AH7" s="10">
        <f>EDATE($E$5,0)</f>
        <v>45962</v>
      </c>
      <c r="AI7" s="10"/>
      <c r="AJ7" s="10">
        <f>AH7</f>
        <v>45962</v>
      </c>
      <c r="AK7" s="10"/>
      <c r="AL7" s="10">
        <f>AJ7</f>
        <v>45962</v>
      </c>
      <c r="AM7" s="10"/>
      <c r="AN7" s="10">
        <f>AL7</f>
        <v>45962</v>
      </c>
      <c r="AO7" s="10"/>
      <c r="AP7" s="10">
        <f>AN7</f>
        <v>45962</v>
      </c>
      <c r="AQ7" s="10"/>
      <c r="AR7" s="10">
        <f>AN7</f>
        <v>45962</v>
      </c>
      <c r="AS7" s="10"/>
      <c r="AV7" s="10">
        <f>EDATE($E$5,0)</f>
        <v>45962</v>
      </c>
      <c r="AW7" s="10"/>
      <c r="AX7" s="10">
        <f>AV7</f>
        <v>45962</v>
      </c>
      <c r="AY7" s="10"/>
      <c r="AZ7" s="10">
        <f>AX7</f>
        <v>45962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11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11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11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tr">
        <f>"STO"&amp;" "&amp;RIGHT(YEAR($E$5)-1,2)&amp;"년"&amp;" "&amp;MONTH($E$5)&amp;"월 전년 실적"</f>
        <v>STO 24년 11월 전년 실적</v>
      </c>
      <c r="G17" s="19"/>
      <c r="H17" s="19"/>
      <c r="I17" s="19"/>
      <c r="J17" s="19"/>
      <c r="K17" s="19"/>
      <c r="L17" s="19"/>
      <c r="M17" s="19"/>
      <c r="N17" s="19"/>
      <c r="O17" s="19"/>
      <c r="P17" s="18" t="str">
        <f>"STO"&amp;" "&amp;RIGHT(YEAR($E$5)-1,2)&amp;"년"&amp;" "&amp;MONTH($E$5)&amp;"월 전년 실적"</f>
        <v>STO 24년 11월 전년 실적</v>
      </c>
      <c r="Q17" s="20"/>
      <c r="R17" s="21"/>
      <c r="T17" s="18" t="str">
        <f>"STO"&amp;" "&amp;RIGHT(YEAR($E$5),2)&amp;"년"&amp;" "&amp;MONTH($E$5)&amp;"월 당월 계획"</f>
        <v>STO 25년 11월 당월 계획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tr">
        <f>"STO"&amp;" "&amp;RIGHT(YEAR($E$5),2)&amp;"년"&amp;" "&amp;MONTH($E$5)&amp;"월 당월 계획"</f>
        <v>STO 25년 11월 당월 계획</v>
      </c>
      <c r="AE17" s="20"/>
      <c r="AF17" s="21"/>
      <c r="AH17" s="18" t="str">
        <f>"STO"&amp;" "&amp;RIGHT(YEAR($E$5),2)&amp;"년"&amp;" "&amp;MONTH($E$5)&amp;"월 당월 실적"</f>
        <v>STO 25년 11월 당월 실적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tr">
        <f>"STO"&amp;" "&amp;RIGHT(YEAR($E$5),2)&amp;"년"&amp;" "&amp;MONTH($E$5)&amp;"월 당월 실적"</f>
        <v>STO 25년 11월 당월 실적</v>
      </c>
      <c r="AS17" s="20"/>
      <c r="AT17" s="21"/>
      <c r="AV17" s="18" t="str">
        <f>"STO"&amp;" "&amp;RIGHT(YEAR($E$5),2)&amp;"년"&amp;" "&amp;MONTH($E$5)&amp;"월 계획대비"</f>
        <v>STO 25년 11월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11월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113185</v>
      </c>
      <c r="G27" s="24"/>
      <c r="H27" s="27">
        <v>2828446</v>
      </c>
      <c r="I27" s="24"/>
      <c r="J27" s="27">
        <v>199692</v>
      </c>
      <c r="K27" s="24"/>
      <c r="L27" s="27">
        <f>L29</f>
        <v>61306.95</v>
      </c>
      <c r="M27" s="24"/>
      <c r="N27" s="28">
        <f>N29</f>
        <v>0</v>
      </c>
      <c r="O27" s="16"/>
      <c r="P27" s="23">
        <f>SUM(F27,H27,J27,L27,N27)</f>
        <v>3202629.95</v>
      </c>
      <c r="Q27" s="24"/>
      <c r="R27" s="21"/>
      <c r="T27" s="27">
        <v>69195.230434577985</v>
      </c>
      <c r="U27" s="24"/>
      <c r="V27" s="27">
        <v>4428667.1885828096</v>
      </c>
      <c r="W27" s="24"/>
      <c r="X27" s="27">
        <v>140715.17249912617</v>
      </c>
      <c r="Y27" s="24"/>
      <c r="Z27" s="27">
        <f>Z29</f>
        <v>71618.645000000004</v>
      </c>
      <c r="AA27" s="24"/>
      <c r="AB27" s="28">
        <f>AB29</f>
        <v>0</v>
      </c>
      <c r="AC27" s="16"/>
      <c r="AD27" s="23">
        <f>SUM(T27,V27,X27,Z27,AB27)</f>
        <v>4710196.2365165129</v>
      </c>
      <c r="AE27" s="24"/>
      <c r="AF27" s="21"/>
      <c r="AH27" s="27">
        <v>119067</v>
      </c>
      <c r="AI27" s="24"/>
      <c r="AJ27" s="27">
        <v>7276141</v>
      </c>
      <c r="AK27" s="24"/>
      <c r="AL27" s="27">
        <v>145950</v>
      </c>
      <c r="AM27" s="24"/>
      <c r="AN27" s="27">
        <f>AN29</f>
        <v>62076.42</v>
      </c>
      <c r="AO27" s="24"/>
      <c r="AP27" s="28">
        <f>AP29</f>
        <v>14497.69</v>
      </c>
      <c r="AQ27" s="16"/>
      <c r="AR27" s="23">
        <f>SUM(AH27,AJ27,AL27,AN27,AP27)</f>
        <v>7617732.1100000003</v>
      </c>
      <c r="AS27" s="24"/>
      <c r="AT27" s="21"/>
      <c r="AV27" s="29">
        <f>AH27-T27</f>
        <v>49871.769565422015</v>
      </c>
      <c r="AW27" s="30"/>
      <c r="AX27" s="29">
        <f t="shared" ref="AX27:AX29" si="0">AJ27-V27</f>
        <v>2847473.8114171904</v>
      </c>
      <c r="AY27" s="30"/>
      <c r="AZ27" s="29">
        <f t="shared" ref="AZ27:AZ29" si="1">AL27-X27</f>
        <v>5234.8275008738274</v>
      </c>
      <c r="BA27" s="30"/>
      <c r="BB27" s="29">
        <f t="shared" ref="BB27:BB29" si="2">AN27-Z27</f>
        <v>-9542.2250000000058</v>
      </c>
      <c r="BC27" s="30"/>
      <c r="BD27" s="29">
        <f t="shared" ref="BD27:BD29" si="3">AP27-AB27</f>
        <v>14497.69</v>
      </c>
      <c r="BE27" s="30"/>
      <c r="BF27" s="29">
        <f t="shared" ref="BF27:BF29" si="4">AR27-AD27</f>
        <v>2907535.8734834874</v>
      </c>
      <c r="BG27" s="30"/>
    </row>
    <row r="28" spans="3:59">
      <c r="E28" s="26" t="s">
        <v>29</v>
      </c>
      <c r="F28" s="23">
        <f>F27-F29</f>
        <v>72650.649999999994</v>
      </c>
      <c r="G28" s="31"/>
      <c r="H28" s="23">
        <f>H27-H29</f>
        <v>1194745.8</v>
      </c>
      <c r="I28" s="31"/>
      <c r="J28" s="23">
        <f>J27-J29</f>
        <v>42705.53</v>
      </c>
      <c r="K28" s="31"/>
      <c r="L28" s="23">
        <f>L27-L29</f>
        <v>0</v>
      </c>
      <c r="M28" s="31"/>
      <c r="N28" s="32">
        <f>N27-N29</f>
        <v>0</v>
      </c>
      <c r="O28" s="32"/>
      <c r="P28" s="23">
        <f>SUM(F28,H28,J28,L28,N28)</f>
        <v>1310101.98</v>
      </c>
      <c r="Q28" s="31"/>
      <c r="R28" s="21"/>
      <c r="T28" s="23">
        <f>T27-T29</f>
        <v>43938.97132595702</v>
      </c>
      <c r="U28" s="31"/>
      <c r="V28" s="23">
        <f>V27-V29</f>
        <v>1969571.54687163</v>
      </c>
      <c r="W28" s="31"/>
      <c r="X28" s="23">
        <f>X27-X29</f>
        <v>64660.668116306173</v>
      </c>
      <c r="Y28" s="31"/>
      <c r="Z28" s="23">
        <f>Z27-Z29</f>
        <v>0</v>
      </c>
      <c r="AA28" s="31"/>
      <c r="AB28" s="32">
        <f>AB27-AB29</f>
        <v>0</v>
      </c>
      <c r="AC28" s="32"/>
      <c r="AD28" s="23">
        <f>SUM(T28,V28,X28,Z28,AB28)</f>
        <v>2078171.1863138932</v>
      </c>
      <c r="AE28" s="31"/>
      <c r="AF28" s="21"/>
      <c r="AH28" s="23">
        <f>AH27-AH29</f>
        <v>84720.1</v>
      </c>
      <c r="AI28" s="31"/>
      <c r="AJ28" s="23">
        <f>AJ27-AJ29</f>
        <v>4437529.8500000006</v>
      </c>
      <c r="AK28" s="31"/>
      <c r="AL28" s="23">
        <f>AL27-AL29</f>
        <v>92019.25</v>
      </c>
      <c r="AM28" s="31"/>
      <c r="AN28" s="23">
        <f>AN27-AN29</f>
        <v>0</v>
      </c>
      <c r="AO28" s="31"/>
      <c r="AP28" s="32">
        <f>AP27-AP29</f>
        <v>0</v>
      </c>
      <c r="AQ28" s="32"/>
      <c r="AR28" s="23">
        <f>SUM(AH28,AJ28,AL28,AN28,AP28)</f>
        <v>4614269.2</v>
      </c>
      <c r="AS28" s="31"/>
      <c r="AT28" s="21"/>
      <c r="AV28" s="29">
        <f t="shared" ref="AV28:AV29" si="5">AH28-T28</f>
        <v>40781.128674042986</v>
      </c>
      <c r="AW28" s="33"/>
      <c r="AX28" s="29">
        <f t="shared" si="0"/>
        <v>2467958.3031283705</v>
      </c>
      <c r="AY28" s="33"/>
      <c r="AZ28" s="29">
        <f t="shared" si="1"/>
        <v>27358.581883693827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2536098.013686107</v>
      </c>
      <c r="BG28" s="33"/>
    </row>
    <row r="29" spans="3:59" ht="15">
      <c r="C29" s="16" t="s">
        <v>30</v>
      </c>
      <c r="E29" s="34" t="s">
        <v>31</v>
      </c>
      <c r="F29" s="35">
        <v>40534.35</v>
      </c>
      <c r="G29" s="36">
        <f>IFERROR(1-F29/F27,0)</f>
        <v>0.64187524848699029</v>
      </c>
      <c r="H29" s="35">
        <v>1633700.2</v>
      </c>
      <c r="I29" s="36">
        <f>IFERROR(1-H29/H27,0)</f>
        <v>0.42240360961460821</v>
      </c>
      <c r="J29" s="35">
        <v>156986.47</v>
      </c>
      <c r="K29" s="36">
        <f>IFERROR(1-J29/J27,0)</f>
        <v>0.21385698976423695</v>
      </c>
      <c r="L29" s="35">
        <v>61306.95</v>
      </c>
      <c r="M29" s="36">
        <f>IFERROR(1-L29/L27,0)</f>
        <v>0</v>
      </c>
      <c r="N29" s="37">
        <v>0</v>
      </c>
      <c r="O29" s="36">
        <f>IFERROR(1-N29/N27,0)</f>
        <v>0</v>
      </c>
      <c r="P29" s="35">
        <f>SUM(F29,H29,J29,L29,N29)</f>
        <v>1892527.97</v>
      </c>
      <c r="Q29" s="36">
        <f>IFERROR(1-P29/P27,0)</f>
        <v>0.40907067018467125</v>
      </c>
      <c r="R29" s="21"/>
      <c r="T29" s="35">
        <v>25256.259108620965</v>
      </c>
      <c r="U29" s="36">
        <f>IFERROR(1-T29/T27,0)</f>
        <v>0.63500000000000001</v>
      </c>
      <c r="V29" s="35">
        <v>2459095.6417111796</v>
      </c>
      <c r="W29" s="36">
        <f>IFERROR(1-V29/V27,0)</f>
        <v>0.44473234564774333</v>
      </c>
      <c r="X29" s="35">
        <v>76054.50438282</v>
      </c>
      <c r="Y29" s="36">
        <f>IFERROR(1-X29/X27,0)</f>
        <v>0.45951454251820434</v>
      </c>
      <c r="Z29" s="35">
        <v>71618.645000000004</v>
      </c>
      <c r="AA29" s="36">
        <f>IFERROR(1-Z29/Z27,0)</f>
        <v>0</v>
      </c>
      <c r="AB29" s="37">
        <v>0</v>
      </c>
      <c r="AC29" s="36">
        <f>IFERROR(1-AB29/AB27,0)</f>
        <v>0</v>
      </c>
      <c r="AD29" s="35">
        <f>SUM(T29,V29,X29,Z29,AB29)</f>
        <v>2632025.0502026207</v>
      </c>
      <c r="AE29" s="36">
        <f>IFERROR(1-AD29/AD27,0)</f>
        <v>0.44120692259115535</v>
      </c>
      <c r="AF29" s="21"/>
      <c r="AH29" s="35">
        <v>34346.9</v>
      </c>
      <c r="AI29" s="36">
        <f>IFERROR(1-AH29/AH27,0)</f>
        <v>0.71153300242720485</v>
      </c>
      <c r="AJ29" s="35">
        <v>2838611.1499999994</v>
      </c>
      <c r="AK29" s="36">
        <f>IFERROR(1-AJ29/AJ27,0)</f>
        <v>0.60987408710194058</v>
      </c>
      <c r="AL29" s="35">
        <v>53930.75</v>
      </c>
      <c r="AM29" s="36">
        <f>IFERROR(1-AL29/AL27,0)</f>
        <v>0.63048475505310031</v>
      </c>
      <c r="AN29" s="35">
        <v>62076.42</v>
      </c>
      <c r="AO29" s="36">
        <f>IFERROR(1-AN29/AN27,0)</f>
        <v>0</v>
      </c>
      <c r="AP29" s="37">
        <v>14497.69</v>
      </c>
      <c r="AQ29" s="36">
        <f>IFERROR(1-AP29/AP27,0)</f>
        <v>0</v>
      </c>
      <c r="AR29" s="35">
        <f>SUM(AH29,AJ29,AL29,AN29,AP29)</f>
        <v>3003462.9099999992</v>
      </c>
      <c r="AS29" s="36">
        <f>IFERROR(1-AR29/AR27,0)</f>
        <v>0.60572741773666827</v>
      </c>
      <c r="AT29" s="21"/>
      <c r="AV29" s="38">
        <f t="shared" si="5"/>
        <v>9090.6408913790365</v>
      </c>
      <c r="AW29" s="39">
        <f>(AI29-U29)*100</f>
        <v>7.6533002427204844</v>
      </c>
      <c r="AX29" s="38">
        <f t="shared" si="0"/>
        <v>379515.50828881981</v>
      </c>
      <c r="AY29" s="39">
        <f>(AK29-W29)*100</f>
        <v>16.514174145419723</v>
      </c>
      <c r="AZ29" s="38">
        <f t="shared" si="1"/>
        <v>-22123.75438282</v>
      </c>
      <c r="BA29" s="39">
        <f>(AM29-Y29)*100</f>
        <v>17.097021253489597</v>
      </c>
      <c r="BB29" s="38">
        <f t="shared" si="2"/>
        <v>-9542.2250000000058</v>
      </c>
      <c r="BC29" s="39">
        <f>(AO29-AA29)*100</f>
        <v>0</v>
      </c>
      <c r="BD29" s="38">
        <f t="shared" si="3"/>
        <v>14497.69</v>
      </c>
      <c r="BE29" s="39">
        <f>(AQ29-AC29)*100</f>
        <v>0</v>
      </c>
      <c r="BF29" s="38">
        <f t="shared" si="4"/>
        <v>371437.85979737854</v>
      </c>
      <c r="BG29" s="39">
        <f>(AS29-AE29)*100</f>
        <v>16.452049514551291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f>AH29-T29</f>
        <v>9090.6408913790365</v>
      </c>
      <c r="AI33" s="51">
        <f>IFERROR(AH29/T29-1,0)</f>
        <v>0.3599361588857013</v>
      </c>
      <c r="AJ33" s="41">
        <f>AJ29-V29</f>
        <v>379515.50828881981</v>
      </c>
      <c r="AK33" s="51">
        <f>IFERROR(AJ29/V29-1,0)</f>
        <v>0.1543313329711451</v>
      </c>
      <c r="AL33" s="41">
        <f>AL29-X29</f>
        <v>-22123.75438282</v>
      </c>
      <c r="AM33" s="51">
        <f>IFERROR(AL29/X29-1,0)</f>
        <v>-0.29089341337970176</v>
      </c>
      <c r="AN33" s="41">
        <f>AN29-Z29</f>
        <v>-9542.2250000000058</v>
      </c>
      <c r="AO33" s="51">
        <f>IFERROR(AN29/Z29-1,0)</f>
        <v>-0.13323660340125121</v>
      </c>
      <c r="AP33" s="41">
        <f>AP29-AB29</f>
        <v>14497.69</v>
      </c>
      <c r="AQ33" s="51">
        <f>IFERROR(AP29/AB29-1,0)</f>
        <v>0</v>
      </c>
      <c r="AR33" s="41">
        <f>AR29-AD29</f>
        <v>371437.85979737854</v>
      </c>
      <c r="AS33" s="51">
        <f>IFERROR(AR29/AD29-1,0)</f>
        <v>0.14112246377320159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f>T29-F29</f>
        <v>-15278.090891379034</v>
      </c>
      <c r="U34" s="51">
        <f>IFERROR(T29/F29-1,0)</f>
        <v>-0.37691713056652032</v>
      </c>
      <c r="V34" s="41">
        <f>V29-H29</f>
        <v>825395.44171117968</v>
      </c>
      <c r="W34" s="51">
        <f>IFERROR(V29/H29-1,0)</f>
        <v>0.50523066699213226</v>
      </c>
      <c r="X34" s="41">
        <f>X29-J29</f>
        <v>-80931.965617180002</v>
      </c>
      <c r="Y34" s="51">
        <f>IFERROR(X29/J29-1,0)</f>
        <v>-0.51553465478381666</v>
      </c>
      <c r="Z34" s="41">
        <f>Z29-L29</f>
        <v>10311.695000000007</v>
      </c>
      <c r="AA34" s="51">
        <f>IFERROR(Z29/L29-1,0)</f>
        <v>0.16819781444028781</v>
      </c>
      <c r="AB34" s="41">
        <f>AB29-N29</f>
        <v>0</v>
      </c>
      <c r="AC34" s="51">
        <f>IFERROR(AB29/N29-1,0)</f>
        <v>0</v>
      </c>
      <c r="AD34" s="41">
        <f>AD29-P29</f>
        <v>739497.08020262071</v>
      </c>
      <c r="AE34" s="51">
        <f>IFERROR(AD29/P29-1,0)</f>
        <v>0.39074565445002163</v>
      </c>
      <c r="AF34" s="49"/>
      <c r="AH34" s="41">
        <f>AH29-F29</f>
        <v>-6187.4499999999971</v>
      </c>
      <c r="AI34" s="51">
        <f>IFERROR(AH29/F29-1,0)</f>
        <v>-0.15264707587515269</v>
      </c>
      <c r="AJ34" s="41">
        <f>AJ29-H29</f>
        <v>1204910.9499999995</v>
      </c>
      <c r="AK34" s="51">
        <f>IFERROR(AJ29/H29-1,0)</f>
        <v>0.73753492225807382</v>
      </c>
      <c r="AL34" s="41">
        <f>AL29-J29</f>
        <v>-103055.72</v>
      </c>
      <c r="AM34" s="51">
        <f>IFERROR(AL29/J29-1,0)</f>
        <v>-0.65646243271792781</v>
      </c>
      <c r="AN34" s="41">
        <f>AN29-L29</f>
        <v>769.47000000000116</v>
      </c>
      <c r="AO34" s="51">
        <f>IFERROR(AN29/L29-1,0)</f>
        <v>1.2551105543498808E-2</v>
      </c>
      <c r="AP34" s="41">
        <f>AP29-N29</f>
        <v>14497.69</v>
      </c>
      <c r="AQ34" s="51">
        <f>IFERROR(AP29/N29-1,0)</f>
        <v>0</v>
      </c>
      <c r="AR34" s="41">
        <f>AR29-P29</f>
        <v>1110934.9399999992</v>
      </c>
      <c r="AS34" s="51">
        <f>IFERROR(AR29/P29-1,0)</f>
        <v>0.58701110768788234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22110.17</v>
      </c>
      <c r="G36" s="53">
        <f>IFERROR(F36/F$29,0)</f>
        <v>0.54546748621847885</v>
      </c>
      <c r="H36" s="23">
        <v>549409.54</v>
      </c>
      <c r="I36" s="53">
        <f>IFERROR(H36/H$29,0)</f>
        <v>0.33629765118471555</v>
      </c>
      <c r="J36" s="23">
        <v>38331.980000000003</v>
      </c>
      <c r="K36" s="53">
        <f>IFERROR(J36/J$29,0)</f>
        <v>0.24417378134561535</v>
      </c>
      <c r="L36" s="23">
        <v>0</v>
      </c>
      <c r="M36" s="53">
        <f>IFERROR(L36/L$29,0)</f>
        <v>0</v>
      </c>
      <c r="N36" s="32">
        <v>53018.25</v>
      </c>
      <c r="O36" s="54">
        <f>IFERROR(N36/N$29,0)</f>
        <v>0</v>
      </c>
      <c r="P36" s="23">
        <f>SUM(F36,H36,J36,L36,N36)</f>
        <v>662869.94000000006</v>
      </c>
      <c r="Q36" s="54">
        <f>IFERROR(P36/P$29,0)</f>
        <v>0.35025635050455822</v>
      </c>
      <c r="R36" s="21"/>
      <c r="T36" s="23">
        <v>12144.875087739147</v>
      </c>
      <c r="U36" s="53">
        <f>IFERROR(T36/T$29,0)</f>
        <v>0.48086595229748885</v>
      </c>
      <c r="V36" s="23">
        <v>885593.37053386483</v>
      </c>
      <c r="W36" s="53">
        <f>IFERROR(V36/V$29,0)</f>
        <v>0.36012969789073279</v>
      </c>
      <c r="X36" s="23">
        <v>27389.485686614375</v>
      </c>
      <c r="Y36" s="53">
        <f>IFERROR(X36/X$29,0)</f>
        <v>0.36012969789073274</v>
      </c>
      <c r="Z36" s="23">
        <v>0</v>
      </c>
      <c r="AA36" s="53">
        <f>IFERROR(Z36/Z$29,0)</f>
        <v>0</v>
      </c>
      <c r="AB36" s="32">
        <v>0</v>
      </c>
      <c r="AC36" s="54">
        <f>IFERROR(AB36/AB$29,0)</f>
        <v>0</v>
      </c>
      <c r="AD36" s="23">
        <f>SUM(T36,V36,X36,Z36,AB36)</f>
        <v>925127.73130821844</v>
      </c>
      <c r="AE36" s="54">
        <f>IFERROR(AD36/AD$29,0)</f>
        <v>0.35148895381409823</v>
      </c>
      <c r="AF36" s="21"/>
      <c r="AH36" s="23">
        <v>26318.46</v>
      </c>
      <c r="AI36" s="53">
        <f>IFERROR(AH36/AH$29,0)</f>
        <v>0.76625430533759953</v>
      </c>
      <c r="AJ36" s="23">
        <v>1507965.74</v>
      </c>
      <c r="AK36" s="53">
        <f>IFERROR(AJ36/AJ$29,0)</f>
        <v>0.53123364219858016</v>
      </c>
      <c r="AL36" s="23">
        <v>38304.629999999997</v>
      </c>
      <c r="AM36" s="53">
        <f>IFERROR(AL36/AL$29,0)</f>
        <v>0.71025583734696807</v>
      </c>
      <c r="AN36" s="23">
        <v>0</v>
      </c>
      <c r="AO36" s="53">
        <f>IFERROR(AN36/AN$29,0)</f>
        <v>0</v>
      </c>
      <c r="AP36" s="32">
        <v>0</v>
      </c>
      <c r="AQ36" s="54">
        <f>IFERROR(AP36/AP$29,0)</f>
        <v>0</v>
      </c>
      <c r="AR36" s="23">
        <f>SUM(AH36,AJ36,AL36,AN36,AP36)</f>
        <v>1572588.8299999998</v>
      </c>
      <c r="AS36" s="53">
        <f>IFERROR(AR36/AR$29,0)</f>
        <v>0.52359189279950202</v>
      </c>
      <c r="AT36" s="21"/>
      <c r="AV36" s="29">
        <f t="shared" ref="AV36:AV38" si="6">AH36-T36</f>
        <v>14173.584912260852</v>
      </c>
      <c r="AW36" s="55">
        <f t="shared" ref="AW36:AW38" si="7">(AI36-U36)*100</f>
        <v>28.538835304011066</v>
      </c>
      <c r="AX36" s="29">
        <f t="shared" ref="AX36:AX38" si="8">AJ36-V36</f>
        <v>622372.36946613516</v>
      </c>
      <c r="AY36" s="55">
        <f t="shared" ref="AY36:AY38" si="9">(AK36-W36)*100</f>
        <v>17.110394430784737</v>
      </c>
      <c r="AZ36" s="29">
        <f t="shared" ref="AZ36:AZ38" si="10">AL36-X36</f>
        <v>10915.144313385623</v>
      </c>
      <c r="BA36" s="55">
        <f t="shared" ref="BA36:BA38" si="11">(AM36-Y36)*100</f>
        <v>35.012613945623535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647461.0986917814</v>
      </c>
      <c r="BG36" s="55">
        <f t="shared" ref="BG36:BG38" si="17">(AS36-AE36)*100</f>
        <v>17.210293898540378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f>IFERROR(F36/F27,0)</f>
        <v>0.19534540796041877</v>
      </c>
      <c r="G39" s="59">
        <f>IFERROR(1/F39,0)</f>
        <v>5.1191374828868348</v>
      </c>
      <c r="H39" s="58">
        <f>IFERROR(H36/H27,0)</f>
        <v>0.19424430941937729</v>
      </c>
      <c r="I39" s="59">
        <f>IFERROR(1/H39,0)</f>
        <v>5.1481559639463121</v>
      </c>
      <c r="J39" s="58">
        <f>IFERROR(J36/J27,0)</f>
        <v>0.19195551148769105</v>
      </c>
      <c r="K39" s="59">
        <f>IFERROR(1/J39,0)</f>
        <v>5.2095404411668795</v>
      </c>
      <c r="L39" s="58">
        <f>IFERROR(L36/L27,0)</f>
        <v>0</v>
      </c>
      <c r="M39" s="59">
        <f>IFERROR(1/L39,0)</f>
        <v>0</v>
      </c>
      <c r="N39" s="60">
        <f>IFERROR(N36/N27,0)</f>
        <v>0</v>
      </c>
      <c r="O39" s="61">
        <f>IFERROR(1/N39,0)</f>
        <v>0</v>
      </c>
      <c r="P39" s="62">
        <f>IFERROR(P36/P27,0)</f>
        <v>0.2069767504672215</v>
      </c>
      <c r="Q39" s="61">
        <f>IFERROR(1/P39,0)</f>
        <v>4.8314605275357634</v>
      </c>
      <c r="R39" s="49"/>
      <c r="T39" s="58">
        <f>IFERROR(T36/T27,0)</f>
        <v>0.17551607258858343</v>
      </c>
      <c r="U39" s="59">
        <f>IFERROR(1/T39,0)</f>
        <v>5.6974839127356693</v>
      </c>
      <c r="V39" s="58">
        <f>IFERROR(V36/V27,0)</f>
        <v>0.19996837261037401</v>
      </c>
      <c r="W39" s="59">
        <f>IFERROR(1/V39,0)</f>
        <v>5.0007908097968974</v>
      </c>
      <c r="X39" s="58">
        <f>IFERROR(X36/X27,0)</f>
        <v>0.19464486451725355</v>
      </c>
      <c r="Y39" s="59">
        <f>IFERROR(1/X39,0)</f>
        <v>5.1375616946285207</v>
      </c>
      <c r="Z39" s="58">
        <f>IFERROR(Z36/Z27,0)</f>
        <v>0</v>
      </c>
      <c r="AA39" s="63">
        <f>IFERROR(1/Z39,0)</f>
        <v>0</v>
      </c>
      <c r="AB39" s="60">
        <f>IFERROR(AB36/AB27,0)</f>
        <v>0</v>
      </c>
      <c r="AC39" s="61">
        <f>IFERROR(1/AB39,0)</f>
        <v>0</v>
      </c>
      <c r="AD39" s="62">
        <f>IFERROR(AD36/AD27,0)</f>
        <v>0.19640959417699522</v>
      </c>
      <c r="AE39" s="61">
        <f>IFERROR(1/AD39,0)</f>
        <v>5.0914009786041632</v>
      </c>
      <c r="AF39" s="49"/>
      <c r="AH39" s="58">
        <f>IFERROR(AH36/AH27,0)</f>
        <v>0.22103907883796517</v>
      </c>
      <c r="AI39" s="59">
        <f>IFERROR(1/AH39,0)</f>
        <v>4.5240868956618288</v>
      </c>
      <c r="AJ39" s="58">
        <f>IFERROR(AJ36/AJ27,0)</f>
        <v>0.20724800962488221</v>
      </c>
      <c r="AK39" s="59">
        <f>IFERROR(1/AJ39,0)</f>
        <v>4.8251368098057714</v>
      </c>
      <c r="AL39" s="58">
        <f>IFERROR(AL36/AL27,0)</f>
        <v>0.26245035971223019</v>
      </c>
      <c r="AM39" s="59">
        <f>IFERROR(1/AL39,0)</f>
        <v>3.8102443490512772</v>
      </c>
      <c r="AN39" s="58">
        <f>IFERROR(AN36/AN27,0)</f>
        <v>0</v>
      </c>
      <c r="AO39" s="59">
        <f>IFERROR(1/AN39,0)</f>
        <v>0</v>
      </c>
      <c r="AP39" s="60">
        <f>IFERROR(AP36/AP27,0)</f>
        <v>0</v>
      </c>
      <c r="AQ39" s="61">
        <f>IFERROR(1/AP39,0)</f>
        <v>0</v>
      </c>
      <c r="AR39" s="62">
        <f>IFERROR(AR36/AR27,0)</f>
        <v>0.20643792762620525</v>
      </c>
      <c r="AS39" s="59">
        <f>IFERROR(1/AR39,0)</f>
        <v>4.8440711040787443</v>
      </c>
      <c r="AT39" s="49"/>
      <c r="AV39" s="64">
        <f>(AH39-T39)*100</f>
        <v>4.5523006249381739</v>
      </c>
      <c r="AW39" s="65">
        <f>(AI39-U39)</f>
        <v>-1.1733970170738406</v>
      </c>
      <c r="AX39" s="64">
        <f>(AJ39-V39)*100</f>
        <v>0.72796370145082057</v>
      </c>
      <c r="AY39" s="65">
        <f>(AK39-W39)</f>
        <v>-0.17565399999112596</v>
      </c>
      <c r="AZ39" s="64">
        <f>(AL39-X39)*100</f>
        <v>6.7805495194976642</v>
      </c>
      <c r="BA39" s="65">
        <f>(AM39-Y39)</f>
        <v>-1.3273173455772436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1.0028333449210032</v>
      </c>
      <c r="BG39" s="65">
        <f>(AS39-AE39)</f>
        <v>-0.24732987452541888</v>
      </c>
    </row>
    <row r="40" spans="1:61" ht="15">
      <c r="E40" s="34" t="s">
        <v>42</v>
      </c>
      <c r="F40" s="35">
        <f>F29-F36</f>
        <v>18424.18</v>
      </c>
      <c r="G40" s="36">
        <f>IFERROR(F40/F29,0)</f>
        <v>0.45453251378152115</v>
      </c>
      <c r="H40" s="35">
        <f>H29-H36</f>
        <v>1084290.6599999999</v>
      </c>
      <c r="I40" s="36">
        <f>IFERROR(H40/H29,0)</f>
        <v>0.66370234881528445</v>
      </c>
      <c r="J40" s="35">
        <f>J29-J36</f>
        <v>118654.48999999999</v>
      </c>
      <c r="K40" s="36">
        <f>IFERROR(J40/J29,0)</f>
        <v>0.7558262186543846</v>
      </c>
      <c r="L40" s="35">
        <f>L29-L36</f>
        <v>61306.95</v>
      </c>
      <c r="M40" s="36">
        <f>IFERROR(L40/L29,0)</f>
        <v>1</v>
      </c>
      <c r="N40" s="37">
        <f>N29-N36</f>
        <v>-53018.25</v>
      </c>
      <c r="O40" s="36">
        <f>IFERROR(N40/N29,0)</f>
        <v>0</v>
      </c>
      <c r="P40" s="35">
        <f>P29-P36</f>
        <v>1229658.0299999998</v>
      </c>
      <c r="Q40" s="36">
        <f>IFERROR(P40/P$29,0)</f>
        <v>0.64974364949544172</v>
      </c>
      <c r="R40" s="21"/>
      <c r="T40" s="35">
        <f>T29-T36</f>
        <v>13111.384020881818</v>
      </c>
      <c r="U40" s="36">
        <f>IFERROR(T40/T29,0)</f>
        <v>0.51913404770251115</v>
      </c>
      <c r="V40" s="35">
        <f>V29-V36</f>
        <v>1573502.2711773147</v>
      </c>
      <c r="W40" s="36">
        <f>IFERROR(V40/V29,0)</f>
        <v>0.6398703021092671</v>
      </c>
      <c r="X40" s="35">
        <f>X29-X36</f>
        <v>48665.018696205625</v>
      </c>
      <c r="Y40" s="36">
        <f>IFERROR(X40/X29,0)</f>
        <v>0.63987030210926732</v>
      </c>
      <c r="Z40" s="35">
        <f>Z29-Z36</f>
        <v>71618.645000000004</v>
      </c>
      <c r="AA40" s="36">
        <f>IFERROR(Z40/Z29,0)</f>
        <v>1</v>
      </c>
      <c r="AB40" s="37">
        <f>AB29-AB36</f>
        <v>0</v>
      </c>
      <c r="AC40" s="36">
        <f>IFERROR(AB40/AB29,0)</f>
        <v>0</v>
      </c>
      <c r="AD40" s="35">
        <f>AD29-AD36</f>
        <v>1706897.3188944021</v>
      </c>
      <c r="AE40" s="36">
        <f>IFERROR(AD40/AD$29,0)</f>
        <v>0.64851104618590172</v>
      </c>
      <c r="AF40" s="21"/>
      <c r="AH40" s="35">
        <f>AH29-AH36</f>
        <v>8028.4400000000023</v>
      </c>
      <c r="AI40" s="36">
        <f>IFERROR(AH40/AH29,0)</f>
        <v>0.23374569466240044</v>
      </c>
      <c r="AJ40" s="35">
        <f>AJ29-AJ36</f>
        <v>1330645.4099999995</v>
      </c>
      <c r="AK40" s="36">
        <f>IFERROR(AJ40/AJ29,0)</f>
        <v>0.46876635780141979</v>
      </c>
      <c r="AL40" s="35">
        <f>AL29-AL36</f>
        <v>15626.120000000003</v>
      </c>
      <c r="AM40" s="36">
        <f>IFERROR(AL40/AL29,0)</f>
        <v>0.28974416265303193</v>
      </c>
      <c r="AN40" s="35">
        <f>AN29-AN36</f>
        <v>62076.42</v>
      </c>
      <c r="AO40" s="36">
        <f>IFERROR(AN40/AN29,0)</f>
        <v>1</v>
      </c>
      <c r="AP40" s="37">
        <f>AP29-AP36</f>
        <v>14497.69</v>
      </c>
      <c r="AQ40" s="36">
        <f>IFERROR(AP40/AP29,0)</f>
        <v>1</v>
      </c>
      <c r="AR40" s="35">
        <f>AR29-AR36</f>
        <v>1430874.0799999994</v>
      </c>
      <c r="AS40" s="36">
        <f>IFERROR(AR40/AR$29,0)</f>
        <v>0.47640810720049803</v>
      </c>
      <c r="AT40" s="21"/>
      <c r="AV40" s="38">
        <f t="shared" ref="AV40" si="18">AH40-T40</f>
        <v>-5082.944020881816</v>
      </c>
      <c r="AW40" s="39">
        <f>(AI40-U40)*100</f>
        <v>-28.538835304011066</v>
      </c>
      <c r="AX40" s="38">
        <f t="shared" ref="AX40" si="19">AJ40-V40</f>
        <v>-242856.86117731524</v>
      </c>
      <c r="AY40" s="39">
        <f>(AK40-W40)*100</f>
        <v>-17.11039443078473</v>
      </c>
      <c r="AZ40" s="38">
        <f t="shared" ref="AZ40" si="20">AL40-X40</f>
        <v>-33038.898696205622</v>
      </c>
      <c r="BA40" s="39">
        <f>(AM40-Y40)*100</f>
        <v>-35.012613945623542</v>
      </c>
      <c r="BB40" s="38">
        <f t="shared" si="12"/>
        <v>-9542.2250000000058</v>
      </c>
      <c r="BC40" s="39">
        <f>(AO40-AA40)*100</f>
        <v>0</v>
      </c>
      <c r="BD40" s="38">
        <f t="shared" si="14"/>
        <v>14497.69</v>
      </c>
      <c r="BE40" s="39">
        <f>(AQ40-AC40)*100</f>
        <v>100</v>
      </c>
      <c r="BF40" s="38">
        <f t="shared" ref="BF40" si="21">AR40-AD40</f>
        <v>-276023.23889440275</v>
      </c>
      <c r="BG40" s="39">
        <f>(AS40-AE40)*100</f>
        <v>-17.210293898540368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f>SUM(F44:F46)</f>
        <v>4068.507999999998</v>
      </c>
      <c r="G43" s="53">
        <f t="shared" ref="G43:I53" si="22">IFERROR(F43/F$29,0)</f>
        <v>0.10037185744929913</v>
      </c>
      <c r="H43" s="23">
        <f>SUM(H44:H46)</f>
        <v>129782.38400000001</v>
      </c>
      <c r="I43" s="53">
        <f t="shared" ref="I43:I50" si="23">IFERROR(H43/H$29,0)</f>
        <v>7.9440759081745846E-2</v>
      </c>
      <c r="J43" s="23">
        <f>SUM(J44:J46)</f>
        <v>16803.127999999997</v>
      </c>
      <c r="K43" s="53">
        <f t="shared" ref="K43:K51" si="24">IFERROR(J43/J$29,0)</f>
        <v>0.10703551713724117</v>
      </c>
      <c r="L43" s="23">
        <f>SUM(L44:L46)</f>
        <v>0</v>
      </c>
      <c r="M43" s="53">
        <f t="shared" ref="M43:O51" si="25">IFERROR(L43/L$29,0)</f>
        <v>0</v>
      </c>
      <c r="N43" s="32">
        <f>SUM(N44:N46)</f>
        <v>0</v>
      </c>
      <c r="O43" s="54">
        <f t="shared" si="25"/>
        <v>0</v>
      </c>
      <c r="P43" s="23">
        <f t="shared" ref="P43:P50" si="26">SUM(F43,H43,J43,L43,N43)</f>
        <v>150654.01999999999</v>
      </c>
      <c r="Q43" s="54">
        <f t="shared" ref="Q43:Q51" si="27">IFERROR(P43/P$29,0)</f>
        <v>7.9604646477166724E-2</v>
      </c>
      <c r="R43" s="21"/>
      <c r="T43" s="23">
        <f>SUM(T44:T46)</f>
        <v>17426.714928449226</v>
      </c>
      <c r="U43" s="53">
        <f t="shared" ref="U43:U51" si="28">IFERROR(T43/T$29,0)</f>
        <v>0.68999588789064947</v>
      </c>
      <c r="V43" s="23">
        <f>SUM(V44:V46)</f>
        <v>193171.28589722599</v>
      </c>
      <c r="W43" s="53">
        <f t="shared" ref="W43:W51" si="29">IFERROR(V43/V$29,0)</f>
        <v>7.8553791329078332E-2</v>
      </c>
      <c r="X43" s="23">
        <f>SUM(X44:X46)</f>
        <v>22740.496545890805</v>
      </c>
      <c r="Y43" s="53">
        <f t="shared" ref="Y43:Y51" si="30">IFERROR(X43/X$29,0)</f>
        <v>0.29900262621430834</v>
      </c>
      <c r="Z43" s="23">
        <f>SUM(Z44:Z46)</f>
        <v>0</v>
      </c>
      <c r="AA43" s="53">
        <f t="shared" ref="AA43:AA51" si="31">IFERROR(Z43/Z$29,0)</f>
        <v>0</v>
      </c>
      <c r="AB43" s="32">
        <f>SUM(AB44:AB46)</f>
        <v>0</v>
      </c>
      <c r="AC43" s="54">
        <f t="shared" ref="AC43:AC51" si="32">IFERROR(AB43/AB$29,0)</f>
        <v>0</v>
      </c>
      <c r="AD43" s="23">
        <f t="shared" ref="AD43:AD50" si="33">SUM(T43,V43,X43,Z43,AB43)</f>
        <v>233338.49737156602</v>
      </c>
      <c r="AE43" s="54">
        <f t="shared" ref="AE43:AE51" si="34">IFERROR(AD43/AD$29,0)</f>
        <v>8.8653600524661785E-2</v>
      </c>
      <c r="AF43" s="21"/>
      <c r="AH43" s="23">
        <f>SUM(AH44:AH46)</f>
        <v>5454</v>
      </c>
      <c r="AI43" s="53">
        <f t="shared" ref="AI43:AI51" si="35">IFERROR(AH43/AH$29,0)</f>
        <v>0.15879162311591438</v>
      </c>
      <c r="AJ43" s="23">
        <f>SUM(AJ44:AJ46)</f>
        <v>207447.12</v>
      </c>
      <c r="AK43" s="53">
        <f t="shared" ref="AK43:AK51" si="36">IFERROR(AJ43/AJ$29,0)</f>
        <v>7.3080499243441649E-2</v>
      </c>
      <c r="AL43" s="23">
        <f>SUM(AL44:AL46)</f>
        <v>8142.0199999999995</v>
      </c>
      <c r="AM43" s="53">
        <f t="shared" ref="AM43:AM51" si="37">IFERROR(AL43/AL$29,0)</f>
        <v>0.15097175544564093</v>
      </c>
      <c r="AN43" s="23">
        <f>SUM(AN44:AN46)</f>
        <v>0</v>
      </c>
      <c r="AO43" s="53">
        <f t="shared" ref="AO43:AO51" si="38">IFERROR(AN43/AN$29,0)</f>
        <v>0</v>
      </c>
      <c r="AP43" s="32">
        <f>SUM(AP44:AP46)</f>
        <v>0</v>
      </c>
      <c r="AQ43" s="54">
        <f t="shared" ref="AQ43:AQ51" si="39">IFERROR(AP43/AP$29,0)</f>
        <v>0</v>
      </c>
      <c r="AR43" s="23">
        <f t="shared" ref="AR43:AR50" si="40">SUM(AH43,AJ43,AL43,AN43,AP43)</f>
        <v>221043.13999999998</v>
      </c>
      <c r="AS43" s="53">
        <f t="shared" ref="AS43:AS51" si="41">IFERROR(AR43/AR$29,0)</f>
        <v>7.3596094449523281E-2</v>
      </c>
      <c r="AT43" s="21"/>
      <c r="AV43" s="29">
        <f t="shared" ref="AV43:AV51" si="42">AH43-T43</f>
        <v>-11972.714928449226</v>
      </c>
      <c r="AW43" s="55">
        <f t="shared" ref="AW43:AW50" si="43">(AI43-U43)*100</f>
        <v>-53.120426477473501</v>
      </c>
      <c r="AX43" s="29">
        <f t="shared" ref="AX43:AX51" si="44">AJ43-V43</f>
        <v>14275.83410277401</v>
      </c>
      <c r="AY43" s="55">
        <f t="shared" ref="AY43:AY50" si="45">(AK43-W43)*100</f>
        <v>-0.54732920856366829</v>
      </c>
      <c r="AZ43" s="29">
        <f t="shared" ref="AZ43:AZ51" si="46">AL43-X43</f>
        <v>-14598.476545890804</v>
      </c>
      <c r="BA43" s="55">
        <f t="shared" ref="BA43:BA50" si="47">(AM43-Y43)*100</f>
        <v>-14.803087076866742</v>
      </c>
      <c r="BB43" s="29">
        <f t="shared" ref="BB43:BB51" si="48">AN43-Z43</f>
        <v>0</v>
      </c>
      <c r="BC43" s="55">
        <f t="shared" ref="BC43:BC50" si="49">(AO43-AA43)*100</f>
        <v>0</v>
      </c>
      <c r="BD43" s="29">
        <f t="shared" ref="BD43:BD51" si="50">AP43-AB43</f>
        <v>0</v>
      </c>
      <c r="BE43" s="55">
        <f t="shared" ref="BE43:BE50" si="51">(AQ43-AC43)*100</f>
        <v>0</v>
      </c>
      <c r="BF43" s="29">
        <f t="shared" ref="BF43:BF51" si="52">AR43-AD43</f>
        <v>-12295.357371566031</v>
      </c>
      <c r="BG43" s="55">
        <f t="shared" ref="BG43:BG50" si="53">(AS43-AE43)*100</f>
        <v>-1.5057506075138505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210.96799999999814</v>
      </c>
      <c r="G44" s="53">
        <f t="shared" si="22"/>
        <v>5.2046720867609357E-3</v>
      </c>
      <c r="H44" s="27">
        <v>60663.523999999998</v>
      </c>
      <c r="I44" s="53">
        <f t="shared" si="23"/>
        <v>3.7132592626235826E-2</v>
      </c>
      <c r="J44" s="27">
        <v>11042.588</v>
      </c>
      <c r="K44" s="53">
        <f t="shared" si="24"/>
        <v>7.0341017286394164E-2</v>
      </c>
      <c r="L44" s="27">
        <v>0</v>
      </c>
      <c r="M44" s="53">
        <f t="shared" si="25"/>
        <v>0</v>
      </c>
      <c r="N44" s="27">
        <v>0</v>
      </c>
      <c r="O44" s="54">
        <f t="shared" si="25"/>
        <v>0</v>
      </c>
      <c r="P44" s="23">
        <f t="shared" si="26"/>
        <v>71917.08</v>
      </c>
      <c r="Q44" s="54">
        <f t="shared" si="27"/>
        <v>3.8000537450445189E-2</v>
      </c>
      <c r="R44" s="21"/>
      <c r="T44" s="27">
        <v>1043.2797328277045</v>
      </c>
      <c r="U44" s="53">
        <f t="shared" si="28"/>
        <v>4.1307769624187599E-2</v>
      </c>
      <c r="V44" s="27">
        <v>93895.175954493418</v>
      </c>
      <c r="W44" s="53">
        <f t="shared" si="29"/>
        <v>3.818280768012576E-2</v>
      </c>
      <c r="X44" s="27">
        <v>9389.5175954493407</v>
      </c>
      <c r="Y44" s="53">
        <f t="shared" si="30"/>
        <v>0.1234577448324066</v>
      </c>
      <c r="Z44" s="27">
        <v>0</v>
      </c>
      <c r="AA44" s="53">
        <f t="shared" si="31"/>
        <v>0</v>
      </c>
      <c r="AB44" s="27">
        <v>0</v>
      </c>
      <c r="AC44" s="54">
        <f t="shared" si="32"/>
        <v>0</v>
      </c>
      <c r="AD44" s="23">
        <f t="shared" si="33"/>
        <v>104327.97328277047</v>
      </c>
      <c r="AE44" s="54">
        <f t="shared" si="34"/>
        <v>3.963791046545663E-2</v>
      </c>
      <c r="AF44" s="21"/>
      <c r="AH44" s="23">
        <v>-614.74000000000012</v>
      </c>
      <c r="AI44" s="53">
        <f t="shared" si="35"/>
        <v>-1.7897976236574482E-2</v>
      </c>
      <c r="AJ44" s="23">
        <v>86981.35</v>
      </c>
      <c r="AK44" s="53">
        <f t="shared" si="36"/>
        <v>3.0642220932585298E-2</v>
      </c>
      <c r="AL44" s="23">
        <v>1181.8599999999999</v>
      </c>
      <c r="AM44" s="53">
        <f t="shared" si="37"/>
        <v>2.1914399484524134E-2</v>
      </c>
      <c r="AN44" s="23">
        <v>0</v>
      </c>
      <c r="AO44" s="53">
        <f t="shared" si="38"/>
        <v>0</v>
      </c>
      <c r="AP44" s="32">
        <v>0</v>
      </c>
      <c r="AQ44" s="54">
        <f t="shared" si="39"/>
        <v>0</v>
      </c>
      <c r="AR44" s="23">
        <f t="shared" si="40"/>
        <v>87548.47</v>
      </c>
      <c r="AS44" s="53">
        <f t="shared" si="41"/>
        <v>2.9149176341917944E-2</v>
      </c>
      <c r="AT44" s="21"/>
      <c r="AV44" s="29">
        <f t="shared" si="42"/>
        <v>-1658.0197328277045</v>
      </c>
      <c r="AW44" s="55">
        <f t="shared" si="43"/>
        <v>-5.9205745860762073</v>
      </c>
      <c r="AX44" s="29">
        <f t="shared" si="44"/>
        <v>-6913.8259544934117</v>
      </c>
      <c r="AY44" s="55">
        <f t="shared" si="45"/>
        <v>-0.7540586747540462</v>
      </c>
      <c r="AZ44" s="29">
        <f t="shared" si="46"/>
        <v>-8207.6575954493401</v>
      </c>
      <c r="BA44" s="55">
        <f t="shared" si="47"/>
        <v>-10.154334534788246</v>
      </c>
      <c r="BB44" s="29">
        <f t="shared" si="48"/>
        <v>0</v>
      </c>
      <c r="BC44" s="55">
        <f t="shared" si="49"/>
        <v>0</v>
      </c>
      <c r="BD44" s="29">
        <f t="shared" si="50"/>
        <v>0</v>
      </c>
      <c r="BE44" s="55">
        <f t="shared" si="51"/>
        <v>0</v>
      </c>
      <c r="BF44" s="29">
        <f t="shared" si="52"/>
        <v>-16779.503282770471</v>
      </c>
      <c r="BG44" s="55">
        <f t="shared" si="53"/>
        <v>-1.0488734123538686</v>
      </c>
      <c r="BH44" s="57"/>
    </row>
    <row r="45" spans="1:61" outlineLevel="1">
      <c r="B45" s="26" t="s">
        <v>47</v>
      </c>
      <c r="E45" s="69" t="s">
        <v>47</v>
      </c>
      <c r="F45" s="27">
        <v>739.54</v>
      </c>
      <c r="G45" s="53">
        <f t="shared" si="22"/>
        <v>1.8244772643449321E-2</v>
      </c>
      <c r="H45" s="27">
        <v>20597.28</v>
      </c>
      <c r="I45" s="53">
        <f t="shared" si="23"/>
        <v>1.2607747737314349E-2</v>
      </c>
      <c r="J45" s="27">
        <v>2038.87</v>
      </c>
      <c r="K45" s="53">
        <f t="shared" si="24"/>
        <v>1.2987552366774027E-2</v>
      </c>
      <c r="L45" s="27">
        <v>0</v>
      </c>
      <c r="M45" s="53">
        <f t="shared" si="25"/>
        <v>0</v>
      </c>
      <c r="N45" s="27">
        <v>0</v>
      </c>
      <c r="O45" s="54">
        <f t="shared" si="25"/>
        <v>0</v>
      </c>
      <c r="P45" s="23">
        <f t="shared" si="26"/>
        <v>23375.69</v>
      </c>
      <c r="Q45" s="54">
        <f t="shared" si="27"/>
        <v>1.2351569102569194E-2</v>
      </c>
      <c r="R45" s="21"/>
      <c r="T45" s="27">
        <v>9138.3325168990414</v>
      </c>
      <c r="U45" s="53">
        <f t="shared" si="28"/>
        <v>0.36182446804957608</v>
      </c>
      <c r="V45" s="27">
        <v>35346.350005470391</v>
      </c>
      <c r="W45" s="53">
        <f t="shared" si="29"/>
        <v>1.4373719104668241E-2</v>
      </c>
      <c r="X45" s="27">
        <v>2252.239323290084</v>
      </c>
      <c r="Y45" s="53">
        <f t="shared" si="30"/>
        <v>2.9613490240544434E-2</v>
      </c>
      <c r="Z45" s="27">
        <v>0</v>
      </c>
      <c r="AA45" s="53">
        <f t="shared" si="31"/>
        <v>0</v>
      </c>
      <c r="AB45" s="27">
        <v>0</v>
      </c>
      <c r="AC45" s="54">
        <f t="shared" si="32"/>
        <v>0</v>
      </c>
      <c r="AD45" s="23">
        <f t="shared" si="33"/>
        <v>46736.921845659519</v>
      </c>
      <c r="AE45" s="54">
        <f t="shared" si="34"/>
        <v>1.7757020147684984E-2</v>
      </c>
      <c r="AF45" s="21"/>
      <c r="AH45" s="23">
        <v>3442.7</v>
      </c>
      <c r="AI45" s="53">
        <f t="shared" si="35"/>
        <v>0.10023320881942765</v>
      </c>
      <c r="AJ45" s="23">
        <v>39244.619999999995</v>
      </c>
      <c r="AK45" s="53">
        <f t="shared" si="36"/>
        <v>1.3825289173545311E-2</v>
      </c>
      <c r="AL45" s="23">
        <v>1558.9299999999998</v>
      </c>
      <c r="AM45" s="53">
        <f t="shared" si="37"/>
        <v>2.8906143526652231E-2</v>
      </c>
      <c r="AN45" s="23">
        <v>0</v>
      </c>
      <c r="AO45" s="53">
        <f t="shared" si="38"/>
        <v>0</v>
      </c>
      <c r="AP45" s="32">
        <v>0</v>
      </c>
      <c r="AQ45" s="54">
        <f t="shared" si="39"/>
        <v>0</v>
      </c>
      <c r="AR45" s="23">
        <f t="shared" si="40"/>
        <v>44246.249999999993</v>
      </c>
      <c r="AS45" s="53">
        <f t="shared" si="41"/>
        <v>1.4731745097528108E-2</v>
      </c>
      <c r="AT45" s="21"/>
      <c r="AV45" s="29">
        <f t="shared" si="42"/>
        <v>-5695.6325168990415</v>
      </c>
      <c r="AW45" s="55">
        <f t="shared" si="43"/>
        <v>-26.159125923014841</v>
      </c>
      <c r="AX45" s="29">
        <f t="shared" si="44"/>
        <v>3898.2699945296044</v>
      </c>
      <c r="AY45" s="55">
        <f t="shared" si="45"/>
        <v>-5.4842993112293008E-2</v>
      </c>
      <c r="AZ45" s="29">
        <f t="shared" si="46"/>
        <v>-693.30932329008419</v>
      </c>
      <c r="BA45" s="55">
        <f t="shared" si="47"/>
        <v>-7.0734671389220335E-2</v>
      </c>
      <c r="BB45" s="29">
        <f t="shared" si="48"/>
        <v>0</v>
      </c>
      <c r="BC45" s="55">
        <f t="shared" si="49"/>
        <v>0</v>
      </c>
      <c r="BD45" s="29">
        <f t="shared" si="50"/>
        <v>0</v>
      </c>
      <c r="BE45" s="55">
        <f t="shared" si="51"/>
        <v>0</v>
      </c>
      <c r="BF45" s="29">
        <f t="shared" si="52"/>
        <v>-2490.6718456595263</v>
      </c>
      <c r="BG45" s="55">
        <f t="shared" si="53"/>
        <v>-0.30252750501568759</v>
      </c>
      <c r="BH45" s="57"/>
    </row>
    <row r="46" spans="1:61" outlineLevel="1">
      <c r="B46" s="26" t="s">
        <v>48</v>
      </c>
      <c r="E46" s="69" t="s">
        <v>48</v>
      </c>
      <c r="F46" s="27">
        <v>3118</v>
      </c>
      <c r="G46" s="53">
        <f t="shared" si="22"/>
        <v>7.6922412719088881E-2</v>
      </c>
      <c r="H46" s="27">
        <v>48521.58</v>
      </c>
      <c r="I46" s="53">
        <f t="shared" si="23"/>
        <v>2.9700418718195665E-2</v>
      </c>
      <c r="J46" s="27">
        <v>3721.67</v>
      </c>
      <c r="K46" s="53">
        <f t="shared" si="24"/>
        <v>2.3706947484072989E-2</v>
      </c>
      <c r="L46" s="27">
        <v>0</v>
      </c>
      <c r="M46" s="53">
        <f t="shared" si="25"/>
        <v>0</v>
      </c>
      <c r="N46" s="27">
        <v>0</v>
      </c>
      <c r="O46" s="54">
        <f t="shared" si="25"/>
        <v>0</v>
      </c>
      <c r="P46" s="23">
        <f t="shared" si="26"/>
        <v>55361.25</v>
      </c>
      <c r="Q46" s="54">
        <f t="shared" si="27"/>
        <v>2.9252539924152349E-2</v>
      </c>
      <c r="R46" s="21"/>
      <c r="T46" s="27">
        <v>7245.1026787224819</v>
      </c>
      <c r="U46" s="53">
        <f t="shared" si="28"/>
        <v>0.28686365021688587</v>
      </c>
      <c r="V46" s="27">
        <v>63929.759937262177</v>
      </c>
      <c r="W46" s="53">
        <f t="shared" si="29"/>
        <v>2.5997264544284332E-2</v>
      </c>
      <c r="X46" s="27">
        <v>11098.739627151381</v>
      </c>
      <c r="Y46" s="53">
        <f t="shared" si="30"/>
        <v>0.14593139114135734</v>
      </c>
      <c r="Z46" s="27">
        <v>0</v>
      </c>
      <c r="AA46" s="53">
        <f t="shared" si="31"/>
        <v>0</v>
      </c>
      <c r="AB46" s="27">
        <v>0</v>
      </c>
      <c r="AC46" s="54">
        <f t="shared" si="32"/>
        <v>0</v>
      </c>
      <c r="AD46" s="23">
        <f t="shared" si="33"/>
        <v>82273.602243136047</v>
      </c>
      <c r="AE46" s="54">
        <f t="shared" si="34"/>
        <v>3.1258669911520182E-2</v>
      </c>
      <c r="AF46" s="21"/>
      <c r="AH46" s="23">
        <v>2626.04</v>
      </c>
      <c r="AI46" s="53">
        <f t="shared" si="35"/>
        <v>7.6456390533061205E-2</v>
      </c>
      <c r="AJ46" s="23">
        <v>81221.149999999994</v>
      </c>
      <c r="AK46" s="53">
        <f>IFERROR(AJ46/AJ$29,0)</f>
        <v>2.8612989137311043E-2</v>
      </c>
      <c r="AL46" s="23">
        <v>5401.23</v>
      </c>
      <c r="AM46" s="53">
        <f>IFERROR(AL46/AL$29,0)</f>
        <v>0.10015121243446456</v>
      </c>
      <c r="AN46" s="23">
        <v>0</v>
      </c>
      <c r="AO46" s="53">
        <f t="shared" si="38"/>
        <v>0</v>
      </c>
      <c r="AP46" s="32">
        <v>0</v>
      </c>
      <c r="AQ46" s="54">
        <f t="shared" si="39"/>
        <v>0</v>
      </c>
      <c r="AR46" s="23">
        <f t="shared" si="40"/>
        <v>89248.419999999984</v>
      </c>
      <c r="AS46" s="53">
        <f t="shared" si="41"/>
        <v>2.9715173010077228E-2</v>
      </c>
      <c r="AT46" s="21"/>
      <c r="AV46" s="29">
        <f t="shared" si="42"/>
        <v>-4619.0626787224819</v>
      </c>
      <c r="AW46" s="55">
        <f t="shared" si="43"/>
        <v>-21.040725968382468</v>
      </c>
      <c r="AX46" s="29">
        <f t="shared" si="44"/>
        <v>17291.390062737817</v>
      </c>
      <c r="AY46" s="55">
        <f t="shared" si="45"/>
        <v>0.26157245930267109</v>
      </c>
      <c r="AZ46" s="29">
        <f t="shared" si="46"/>
        <v>-5697.5096271513812</v>
      </c>
      <c r="BA46" s="55">
        <f t="shared" si="47"/>
        <v>-4.5780178706892771</v>
      </c>
      <c r="BB46" s="29">
        <f t="shared" si="48"/>
        <v>0</v>
      </c>
      <c r="BC46" s="55">
        <f t="shared" si="49"/>
        <v>0</v>
      </c>
      <c r="BD46" s="29">
        <f t="shared" si="50"/>
        <v>0</v>
      </c>
      <c r="BE46" s="55">
        <f t="shared" si="51"/>
        <v>0</v>
      </c>
      <c r="BF46" s="29">
        <f t="shared" si="52"/>
        <v>6974.8177568639367</v>
      </c>
      <c r="BG46" s="55">
        <f t="shared" si="53"/>
        <v>-0.15434969014429534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1360.1100000000001</v>
      </c>
      <c r="G47" s="53">
        <f t="shared" si="22"/>
        <v>3.3554503772726098E-2</v>
      </c>
      <c r="H47" s="23">
        <v>78708.070000000007</v>
      </c>
      <c r="I47" s="53">
        <f t="shared" si="23"/>
        <v>4.8177792963482534E-2</v>
      </c>
      <c r="J47" s="23">
        <v>4042.1299999999992</v>
      </c>
      <c r="K47" s="53">
        <f t="shared" si="24"/>
        <v>2.5748269898673428E-2</v>
      </c>
      <c r="L47" s="23">
        <v>0</v>
      </c>
      <c r="M47" s="53">
        <f t="shared" si="25"/>
        <v>0</v>
      </c>
      <c r="N47" s="32">
        <v>0</v>
      </c>
      <c r="O47" s="54">
        <f t="shared" si="25"/>
        <v>0</v>
      </c>
      <c r="P47" s="23">
        <f t="shared" si="26"/>
        <v>84110.310000000012</v>
      </c>
      <c r="Q47" s="54">
        <f t="shared" si="27"/>
        <v>4.444336429014574E-2</v>
      </c>
      <c r="R47" s="21"/>
      <c r="T47" s="23">
        <v>5884.9518767018735</v>
      </c>
      <c r="U47" s="53">
        <f t="shared" si="28"/>
        <v>0.23300964134839375</v>
      </c>
      <c r="V47" s="23">
        <v>79134.547729118538</v>
      </c>
      <c r="W47" s="53">
        <f t="shared" si="29"/>
        <v>3.2180345646927414E-2</v>
      </c>
      <c r="X47" s="23">
        <v>11405.401331056477</v>
      </c>
      <c r="Y47" s="53">
        <f t="shared" si="30"/>
        <v>0.14996352186646883</v>
      </c>
      <c r="Z47" s="23">
        <v>0</v>
      </c>
      <c r="AA47" s="53">
        <f t="shared" si="31"/>
        <v>0</v>
      </c>
      <c r="AB47" s="23">
        <v>0</v>
      </c>
      <c r="AC47" s="54">
        <f t="shared" si="32"/>
        <v>0</v>
      </c>
      <c r="AD47" s="23">
        <f t="shared" si="33"/>
        <v>96424.900936876889</v>
      </c>
      <c r="AE47" s="54">
        <f t="shared" si="34"/>
        <v>3.6635251981911733E-2</v>
      </c>
      <c r="AF47" s="21"/>
      <c r="AH47" s="23">
        <v>1412.1899999999996</v>
      </c>
      <c r="AI47" s="53">
        <f t="shared" si="35"/>
        <v>4.1115500962241119E-2</v>
      </c>
      <c r="AJ47" s="23">
        <v>90826.470000000016</v>
      </c>
      <c r="AK47" s="53">
        <f t="shared" si="36"/>
        <v>3.199679885707489E-2</v>
      </c>
      <c r="AL47" s="23">
        <v>5605.5700000000006</v>
      </c>
      <c r="AM47" s="53">
        <f t="shared" si="37"/>
        <v>0.10394014546432231</v>
      </c>
      <c r="AN47" s="23">
        <v>0</v>
      </c>
      <c r="AO47" s="53">
        <f t="shared" si="38"/>
        <v>0</v>
      </c>
      <c r="AP47" s="32">
        <v>0</v>
      </c>
      <c r="AQ47" s="54">
        <f t="shared" si="39"/>
        <v>0</v>
      </c>
      <c r="AR47" s="23">
        <f t="shared" si="40"/>
        <v>97844.230000000025</v>
      </c>
      <c r="AS47" s="53">
        <f t="shared" si="41"/>
        <v>3.2577139432695724E-2</v>
      </c>
      <c r="AT47" s="21"/>
      <c r="AV47" s="29">
        <f t="shared" si="42"/>
        <v>-4472.7618767018739</v>
      </c>
      <c r="AW47" s="55">
        <f t="shared" si="43"/>
        <v>-19.189414038615261</v>
      </c>
      <c r="AX47" s="29">
        <f t="shared" si="44"/>
        <v>11691.922270881478</v>
      </c>
      <c r="AY47" s="55">
        <f t="shared" si="45"/>
        <v>-1.8354678985252337E-2</v>
      </c>
      <c r="AZ47" s="29">
        <f t="shared" si="46"/>
        <v>-5799.8313310564763</v>
      </c>
      <c r="BA47" s="55">
        <f t="shared" si="47"/>
        <v>-4.6023376402146514</v>
      </c>
      <c r="BB47" s="29">
        <f t="shared" si="48"/>
        <v>0</v>
      </c>
      <c r="BC47" s="55">
        <f t="shared" si="49"/>
        <v>0</v>
      </c>
      <c r="BD47" s="29">
        <f t="shared" si="50"/>
        <v>0</v>
      </c>
      <c r="BE47" s="55">
        <f t="shared" si="51"/>
        <v>0</v>
      </c>
      <c r="BF47" s="29">
        <f t="shared" si="52"/>
        <v>1419.3290631231357</v>
      </c>
      <c r="BG47" s="55">
        <f t="shared" si="53"/>
        <v>-0.40581125492160086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3530.35</v>
      </c>
      <c r="G48" s="53">
        <f t="shared" si="22"/>
        <v>8.709526611380225E-2</v>
      </c>
      <c r="H48" s="23">
        <v>46875.369999999995</v>
      </c>
      <c r="I48" s="53">
        <f>IFERROR(H48/H$29,0)</f>
        <v>2.869276137690379E-2</v>
      </c>
      <c r="J48" s="23">
        <v>13985.15</v>
      </c>
      <c r="K48" s="53">
        <f t="shared" si="24"/>
        <v>8.9085065738467778E-2</v>
      </c>
      <c r="L48" s="23">
        <v>0</v>
      </c>
      <c r="M48" s="53">
        <f t="shared" si="25"/>
        <v>0</v>
      </c>
      <c r="N48" s="32">
        <v>0</v>
      </c>
      <c r="O48" s="54">
        <f t="shared" si="25"/>
        <v>0</v>
      </c>
      <c r="P48" s="23">
        <f t="shared" si="26"/>
        <v>64390.869999999995</v>
      </c>
      <c r="Q48" s="54">
        <f t="shared" si="27"/>
        <v>3.402373493058599E-2</v>
      </c>
      <c r="R48" s="21"/>
      <c r="T48" s="23">
        <v>434.75795556190803</v>
      </c>
      <c r="U48" s="53">
        <f t="shared" si="28"/>
        <v>1.7213869785391449E-2</v>
      </c>
      <c r="V48" s="23">
        <v>109282.70960153315</v>
      </c>
      <c r="W48" s="53">
        <f>IFERROR(V48/V$29,0)</f>
        <v>4.4440203035571231E-2</v>
      </c>
      <c r="X48" s="23">
        <v>4593.8567174695618</v>
      </c>
      <c r="Y48" s="53">
        <f t="shared" si="30"/>
        <v>6.0402164930908039E-2</v>
      </c>
      <c r="Z48" s="23">
        <v>0</v>
      </c>
      <c r="AA48" s="53">
        <f t="shared" si="31"/>
        <v>0</v>
      </c>
      <c r="AB48" s="23">
        <v>0</v>
      </c>
      <c r="AC48" s="54">
        <f t="shared" si="32"/>
        <v>0</v>
      </c>
      <c r="AD48" s="23">
        <f t="shared" si="33"/>
        <v>114311.32427456461</v>
      </c>
      <c r="AE48" s="54">
        <f t="shared" si="34"/>
        <v>4.3430940851328377E-2</v>
      </c>
      <c r="AF48" s="21"/>
      <c r="AH48" s="23">
        <v>5028.1099999999997</v>
      </c>
      <c r="AI48" s="53">
        <f t="shared" si="35"/>
        <v>0.1463919596819509</v>
      </c>
      <c r="AJ48" s="23">
        <v>72412.210000000006</v>
      </c>
      <c r="AK48" s="53">
        <f t="shared" si="36"/>
        <v>2.5509732109662158E-2</v>
      </c>
      <c r="AL48" s="23">
        <v>3010.71</v>
      </c>
      <c r="AM48" s="53">
        <f t="shared" si="37"/>
        <v>5.5825479897831945E-2</v>
      </c>
      <c r="AN48" s="23">
        <v>0</v>
      </c>
      <c r="AO48" s="53">
        <f t="shared" si="38"/>
        <v>0</v>
      </c>
      <c r="AP48" s="23">
        <v>0</v>
      </c>
      <c r="AQ48" s="54">
        <f t="shared" si="39"/>
        <v>0</v>
      </c>
      <c r="AR48" s="23">
        <f t="shared" si="40"/>
        <v>80451.030000000013</v>
      </c>
      <c r="AS48" s="53">
        <f t="shared" si="41"/>
        <v>2.6786090726187803E-2</v>
      </c>
      <c r="AT48" s="21"/>
      <c r="AV48" s="29">
        <f t="shared" si="42"/>
        <v>4593.352044438092</v>
      </c>
      <c r="AW48" s="55">
        <f t="shared" si="43"/>
        <v>12.917808989655946</v>
      </c>
      <c r="AX48" s="29">
        <f t="shared" si="44"/>
        <v>-36870.499601533142</v>
      </c>
      <c r="AY48" s="55">
        <f t="shared" si="45"/>
        <v>-1.8930470925909073</v>
      </c>
      <c r="AZ48" s="29">
        <f t="shared" si="46"/>
        <v>-1583.1467174695617</v>
      </c>
      <c r="BA48" s="55">
        <f t="shared" si="47"/>
        <v>-0.45766850330760944</v>
      </c>
      <c r="BB48" s="29">
        <f t="shared" si="48"/>
        <v>0</v>
      </c>
      <c r="BC48" s="55">
        <f t="shared" si="49"/>
        <v>0</v>
      </c>
      <c r="BD48" s="29">
        <f t="shared" si="50"/>
        <v>0</v>
      </c>
      <c r="BE48" s="55">
        <f t="shared" si="51"/>
        <v>0</v>
      </c>
      <c r="BF48" s="29">
        <f t="shared" si="52"/>
        <v>-33860.2942745646</v>
      </c>
      <c r="BG48" s="55">
        <f t="shared" si="53"/>
        <v>-1.6644850125140573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f t="shared" si="22"/>
        <v>0</v>
      </c>
      <c r="H49" s="23">
        <v>233206</v>
      </c>
      <c r="I49" s="53">
        <f t="shared" ref="I49" si="54">IFERROR(H49/H$29,0)</f>
        <v>0.14274712092218633</v>
      </c>
      <c r="J49" s="23">
        <v>34899.269999999997</v>
      </c>
      <c r="K49" s="53">
        <f t="shared" si="24"/>
        <v>0.22230750204141794</v>
      </c>
      <c r="L49" s="23">
        <v>0</v>
      </c>
      <c r="M49" s="53">
        <f t="shared" si="25"/>
        <v>0</v>
      </c>
      <c r="N49" s="32">
        <v>0</v>
      </c>
      <c r="O49" s="54">
        <f t="shared" si="25"/>
        <v>0</v>
      </c>
      <c r="P49" s="23">
        <f t="shared" si="26"/>
        <v>268105.27</v>
      </c>
      <c r="Q49" s="54">
        <f t="shared" si="27"/>
        <v>0.14166515594482867</v>
      </c>
      <c r="R49" s="21"/>
      <c r="T49" s="23">
        <v>0</v>
      </c>
      <c r="U49" s="53">
        <f t="shared" si="28"/>
        <v>0</v>
      </c>
      <c r="V49" s="23">
        <v>349156.09959727468</v>
      </c>
      <c r="W49" s="53">
        <f t="shared" si="29"/>
        <v>0.14198557131121256</v>
      </c>
      <c r="X49" s="23">
        <v>40991.90562628967</v>
      </c>
      <c r="Y49" s="53">
        <f t="shared" si="30"/>
        <v>0.53898064235560728</v>
      </c>
      <c r="Z49" s="23">
        <v>0</v>
      </c>
      <c r="AA49" s="53">
        <f t="shared" si="31"/>
        <v>0</v>
      </c>
      <c r="AB49" s="23">
        <v>0</v>
      </c>
      <c r="AC49" s="54">
        <f t="shared" si="32"/>
        <v>0</v>
      </c>
      <c r="AD49" s="23">
        <f t="shared" si="33"/>
        <v>390148.00522356434</v>
      </c>
      <c r="AE49" s="54">
        <f t="shared" si="34"/>
        <v>0.14823111398332992</v>
      </c>
      <c r="AF49" s="21"/>
      <c r="AH49" s="23">
        <v>0</v>
      </c>
      <c r="AI49" s="53">
        <f t="shared" si="35"/>
        <v>0</v>
      </c>
      <c r="AJ49" s="23">
        <v>457301.0500000001</v>
      </c>
      <c r="AK49" s="53">
        <f t="shared" si="36"/>
        <v>0.16110027962089848</v>
      </c>
      <c r="AL49" s="23">
        <v>0</v>
      </c>
      <c r="AM49" s="53">
        <f t="shared" si="37"/>
        <v>0</v>
      </c>
      <c r="AN49" s="23">
        <v>0</v>
      </c>
      <c r="AO49" s="53">
        <f t="shared" si="38"/>
        <v>0</v>
      </c>
      <c r="AP49" s="32">
        <v>0</v>
      </c>
      <c r="AQ49" s="54">
        <f t="shared" si="39"/>
        <v>0</v>
      </c>
      <c r="AR49" s="23">
        <f t="shared" si="40"/>
        <v>457301.0500000001</v>
      </c>
      <c r="AS49" s="53">
        <f t="shared" si="41"/>
        <v>0.15225793149548172</v>
      </c>
      <c r="AT49" s="21"/>
      <c r="AV49" s="29">
        <f t="shared" si="42"/>
        <v>0</v>
      </c>
      <c r="AW49" s="55">
        <f t="shared" si="43"/>
        <v>0</v>
      </c>
      <c r="AX49" s="29">
        <f t="shared" si="44"/>
        <v>108144.95040272543</v>
      </c>
      <c r="AY49" s="55">
        <f t="shared" si="45"/>
        <v>1.9114708309685924</v>
      </c>
      <c r="AZ49" s="29">
        <f t="shared" si="46"/>
        <v>-40991.90562628967</v>
      </c>
      <c r="BA49" s="55">
        <f t="shared" si="47"/>
        <v>-53.898064235560724</v>
      </c>
      <c r="BB49" s="29">
        <f t="shared" si="48"/>
        <v>0</v>
      </c>
      <c r="BC49" s="55">
        <f t="shared" si="49"/>
        <v>0</v>
      </c>
      <c r="BD49" s="29">
        <f t="shared" si="50"/>
        <v>0</v>
      </c>
      <c r="BE49" s="55">
        <f t="shared" si="51"/>
        <v>0</v>
      </c>
      <c r="BF49" s="29">
        <f t="shared" si="52"/>
        <v>67153.044776435767</v>
      </c>
      <c r="BG49" s="55">
        <f t="shared" si="53"/>
        <v>0.40268175121518091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f t="shared" si="22"/>
        <v>0</v>
      </c>
      <c r="H50" s="23">
        <v>0</v>
      </c>
      <c r="I50" s="53">
        <f t="shared" si="23"/>
        <v>0</v>
      </c>
      <c r="J50" s="23">
        <v>0</v>
      </c>
      <c r="K50" s="53">
        <f t="shared" si="24"/>
        <v>0</v>
      </c>
      <c r="L50" s="23">
        <v>0</v>
      </c>
      <c r="M50" s="53">
        <f t="shared" si="25"/>
        <v>0</v>
      </c>
      <c r="N50" s="32">
        <v>0</v>
      </c>
      <c r="O50" s="54">
        <f t="shared" si="25"/>
        <v>0</v>
      </c>
      <c r="P50" s="23">
        <f t="shared" si="26"/>
        <v>0</v>
      </c>
      <c r="Q50" s="54">
        <f t="shared" si="27"/>
        <v>0</v>
      </c>
      <c r="R50" s="21"/>
      <c r="T50" s="23">
        <v>0</v>
      </c>
      <c r="U50" s="53">
        <f t="shared" si="28"/>
        <v>0</v>
      </c>
      <c r="V50" s="23">
        <v>0</v>
      </c>
      <c r="W50" s="53">
        <f t="shared" si="29"/>
        <v>0</v>
      </c>
      <c r="X50" s="23">
        <v>0</v>
      </c>
      <c r="Y50" s="53">
        <f t="shared" si="30"/>
        <v>0</v>
      </c>
      <c r="Z50" s="23">
        <v>0</v>
      </c>
      <c r="AA50" s="53">
        <f t="shared" si="31"/>
        <v>0</v>
      </c>
      <c r="AB50" s="23">
        <v>0</v>
      </c>
      <c r="AC50" s="54">
        <f t="shared" si="32"/>
        <v>0</v>
      </c>
      <c r="AD50" s="23">
        <f t="shared" si="33"/>
        <v>0</v>
      </c>
      <c r="AE50" s="54">
        <f t="shared" si="34"/>
        <v>0</v>
      </c>
      <c r="AF50" s="21"/>
      <c r="AH50" s="23">
        <v>0</v>
      </c>
      <c r="AI50" s="53">
        <f t="shared" si="35"/>
        <v>0</v>
      </c>
      <c r="AJ50" s="23">
        <v>0</v>
      </c>
      <c r="AK50" s="53">
        <f t="shared" si="36"/>
        <v>0</v>
      </c>
      <c r="AL50" s="23">
        <v>0</v>
      </c>
      <c r="AM50" s="53">
        <f t="shared" si="37"/>
        <v>0</v>
      </c>
      <c r="AN50" s="23">
        <v>0</v>
      </c>
      <c r="AO50" s="53">
        <f t="shared" si="38"/>
        <v>0</v>
      </c>
      <c r="AP50" s="32">
        <v>0</v>
      </c>
      <c r="AQ50" s="54">
        <f t="shared" si="39"/>
        <v>0</v>
      </c>
      <c r="AR50" s="23">
        <f t="shared" si="40"/>
        <v>0</v>
      </c>
      <c r="AS50" s="53">
        <f t="shared" si="41"/>
        <v>0</v>
      </c>
      <c r="AT50" s="21"/>
      <c r="AV50" s="29">
        <f t="shared" si="42"/>
        <v>0</v>
      </c>
      <c r="AW50" s="55">
        <f t="shared" si="43"/>
        <v>0</v>
      </c>
      <c r="AX50" s="29">
        <f t="shared" si="44"/>
        <v>0</v>
      </c>
      <c r="AY50" s="55">
        <f t="shared" si="45"/>
        <v>0</v>
      </c>
      <c r="AZ50" s="29">
        <f t="shared" si="46"/>
        <v>0</v>
      </c>
      <c r="BA50" s="55">
        <f t="shared" si="47"/>
        <v>0</v>
      </c>
      <c r="BB50" s="29">
        <f t="shared" si="48"/>
        <v>0</v>
      </c>
      <c r="BC50" s="55">
        <f t="shared" si="49"/>
        <v>0</v>
      </c>
      <c r="BD50" s="29">
        <f t="shared" si="50"/>
        <v>0</v>
      </c>
      <c r="BE50" s="55">
        <f t="shared" si="51"/>
        <v>0</v>
      </c>
      <c r="BF50" s="29">
        <f t="shared" si="52"/>
        <v>0</v>
      </c>
      <c r="BG50" s="55">
        <f t="shared" si="53"/>
        <v>0</v>
      </c>
      <c r="BH50" s="57"/>
    </row>
    <row r="51" spans="2:60" ht="15">
      <c r="E51" s="34" t="s">
        <v>58</v>
      </c>
      <c r="F51" s="35">
        <f>F43+SUM(F47:F50)</f>
        <v>8958.9679999999971</v>
      </c>
      <c r="G51" s="36">
        <f t="shared" si="22"/>
        <v>0.22102162733582745</v>
      </c>
      <c r="H51" s="35">
        <f>H43+SUM(H47:H50)</f>
        <v>488571.82400000002</v>
      </c>
      <c r="I51" s="36">
        <f t="shared" si="22"/>
        <v>0.2990584343443185</v>
      </c>
      <c r="J51" s="35">
        <f>J43+SUM(J47:J50)</f>
        <v>69729.677999999985</v>
      </c>
      <c r="K51" s="36">
        <f t="shared" si="24"/>
        <v>0.44417635481580026</v>
      </c>
      <c r="L51" s="35">
        <f>L43+SUM(L47:L50)</f>
        <v>0</v>
      </c>
      <c r="M51" s="36">
        <f t="shared" si="25"/>
        <v>0</v>
      </c>
      <c r="N51" s="37">
        <f>N43+SUM(N47:N50)</f>
        <v>0</v>
      </c>
      <c r="O51" s="70">
        <f t="shared" si="25"/>
        <v>0</v>
      </c>
      <c r="P51" s="35">
        <f>P43+SUM(P47:P50)</f>
        <v>567260.47</v>
      </c>
      <c r="Q51" s="70">
        <f t="shared" si="27"/>
        <v>0.29973690164272709</v>
      </c>
      <c r="R51" s="21"/>
      <c r="T51" s="35">
        <f>T43+SUM(T47:T50)</f>
        <v>23746.424760713009</v>
      </c>
      <c r="U51" s="36">
        <f t="shared" si="28"/>
        <v>0.94021939902443474</v>
      </c>
      <c r="V51" s="35">
        <f>V43+SUM(V47:V50)</f>
        <v>730744.64282515238</v>
      </c>
      <c r="W51" s="36">
        <f t="shared" si="29"/>
        <v>0.29715991132278952</v>
      </c>
      <c r="X51" s="35">
        <f>X43+SUM(X47:X50)</f>
        <v>79731.660220706515</v>
      </c>
      <c r="Y51" s="36">
        <f t="shared" si="30"/>
        <v>1.0483489553672924</v>
      </c>
      <c r="Z51" s="35">
        <f>Z43+SUM(Z47:Z50)</f>
        <v>0</v>
      </c>
      <c r="AA51" s="36">
        <f t="shared" si="31"/>
        <v>0</v>
      </c>
      <c r="AB51" s="37">
        <f>AB43+SUM(AB47:AB50)</f>
        <v>0</v>
      </c>
      <c r="AC51" s="70">
        <f t="shared" si="32"/>
        <v>0</v>
      </c>
      <c r="AD51" s="35">
        <f>AD43+SUM(AD47:AD50)</f>
        <v>834222.72780657187</v>
      </c>
      <c r="AE51" s="70">
        <f t="shared" si="34"/>
        <v>0.31695090734123182</v>
      </c>
      <c r="AF51" s="21"/>
      <c r="AH51" s="35">
        <f>AH43+SUM(AH47:AH50)</f>
        <v>11894.3</v>
      </c>
      <c r="AI51" s="36">
        <f t="shared" si="35"/>
        <v>0.34629908376010643</v>
      </c>
      <c r="AJ51" s="35">
        <f>AJ43+SUM(AJ47:AJ50)</f>
        <v>827986.85000000009</v>
      </c>
      <c r="AK51" s="36">
        <f t="shared" si="36"/>
        <v>0.29168730983107716</v>
      </c>
      <c r="AL51" s="35">
        <f>AL43+SUM(AL47:AL50)</f>
        <v>16758.3</v>
      </c>
      <c r="AM51" s="36">
        <f t="shared" si="37"/>
        <v>0.31073738080779517</v>
      </c>
      <c r="AN51" s="35">
        <f>AN43+SUM(AN47:AN50)</f>
        <v>0</v>
      </c>
      <c r="AO51" s="36">
        <f t="shared" si="38"/>
        <v>0</v>
      </c>
      <c r="AP51" s="37">
        <f>AP43+SUM(AP47:AP50)</f>
        <v>0</v>
      </c>
      <c r="AQ51" s="70">
        <f t="shared" si="39"/>
        <v>0</v>
      </c>
      <c r="AR51" s="35">
        <f>AR43+SUM(AR47:AR50)</f>
        <v>856639.45000000019</v>
      </c>
      <c r="AS51" s="36">
        <f t="shared" si="41"/>
        <v>0.28521725610388854</v>
      </c>
      <c r="AT51" s="21"/>
      <c r="AV51" s="38">
        <f t="shared" si="42"/>
        <v>-11852.12476071301</v>
      </c>
      <c r="AW51" s="39">
        <f>(AI51-U51)*100</f>
        <v>-59.392031526432831</v>
      </c>
      <c r="AX51" s="38">
        <f t="shared" si="44"/>
        <v>97242.207174847717</v>
      </c>
      <c r="AY51" s="39">
        <f>(AK51-W51)*100</f>
        <v>-0.54726014917123589</v>
      </c>
      <c r="AZ51" s="38">
        <f t="shared" si="46"/>
        <v>-62973.360220706512</v>
      </c>
      <c r="BA51" s="39">
        <f>(AM51-Y51)*100</f>
        <v>-73.761157455949729</v>
      </c>
      <c r="BB51" s="38">
        <f t="shared" si="48"/>
        <v>0</v>
      </c>
      <c r="BC51" s="39">
        <f>(AO51-AA51)*100</f>
        <v>0</v>
      </c>
      <c r="BD51" s="38">
        <f t="shared" si="50"/>
        <v>0</v>
      </c>
      <c r="BE51" s="39">
        <f>(AQ51-AC51)*100</f>
        <v>0</v>
      </c>
      <c r="BF51" s="38">
        <f t="shared" si="52"/>
        <v>22416.722193428315</v>
      </c>
      <c r="BG51" s="39">
        <f>(AS51-AE51)*100</f>
        <v>-3.1733651237343286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f>F40-F51</f>
        <v>9465.2120000000032</v>
      </c>
      <c r="G53" s="36">
        <f t="shared" si="22"/>
        <v>0.23351088644569368</v>
      </c>
      <c r="H53" s="35">
        <f>H40-H51</f>
        <v>595718.83599999989</v>
      </c>
      <c r="I53" s="36">
        <f t="shared" si="22"/>
        <v>0.36464391447096589</v>
      </c>
      <c r="J53" s="35">
        <f>J40-J51</f>
        <v>48924.812000000005</v>
      </c>
      <c r="K53" s="36">
        <f t="shared" ref="K53" si="55">IFERROR(J53/J$29,0)</f>
        <v>0.31164986383858434</v>
      </c>
      <c r="L53" s="35">
        <f>L40-L51</f>
        <v>61306.95</v>
      </c>
      <c r="M53" s="36">
        <f t="shared" ref="M53:O53" si="56">IFERROR(L53/L$29,0)</f>
        <v>1</v>
      </c>
      <c r="N53" s="37">
        <f>N40-N51</f>
        <v>-53018.25</v>
      </c>
      <c r="O53" s="70">
        <f t="shared" si="56"/>
        <v>0</v>
      </c>
      <c r="P53" s="35">
        <f>P40-P51</f>
        <v>662397.55999999982</v>
      </c>
      <c r="Q53" s="70">
        <f t="shared" ref="Q53" si="57">IFERROR(P53/P$29,0)</f>
        <v>0.35000674785271463</v>
      </c>
      <c r="R53" s="21"/>
      <c r="T53" s="35">
        <f>T40-T51</f>
        <v>-10635.040739831191</v>
      </c>
      <c r="U53" s="36">
        <f t="shared" ref="U53" si="58">IFERROR(T53/T$29,0)</f>
        <v>-0.42108535132192354</v>
      </c>
      <c r="V53" s="35">
        <f>V40-V51</f>
        <v>842757.62835216231</v>
      </c>
      <c r="W53" s="36">
        <f t="shared" ref="W53" si="59">IFERROR(V53/V$29,0)</f>
        <v>0.34271039078647764</v>
      </c>
      <c r="X53" s="35">
        <f>X40-X51</f>
        <v>-31066.64152450089</v>
      </c>
      <c r="Y53" s="36">
        <f t="shared" ref="Y53" si="60">IFERROR(X53/X$29,0)</f>
        <v>-0.40847865325802524</v>
      </c>
      <c r="Z53" s="35">
        <f>Z40-Z51</f>
        <v>71618.645000000004</v>
      </c>
      <c r="AA53" s="36">
        <f t="shared" ref="AA53" si="61">IFERROR(Z53/Z$29,0)</f>
        <v>1</v>
      </c>
      <c r="AB53" s="37">
        <f>AB40-AB51</f>
        <v>0</v>
      </c>
      <c r="AC53" s="70">
        <f t="shared" ref="AC53" si="62">IFERROR(AB53/AB$29,0)</f>
        <v>0</v>
      </c>
      <c r="AD53" s="35">
        <f>AD40-AD51</f>
        <v>872674.59108783025</v>
      </c>
      <c r="AE53" s="70">
        <f t="shared" ref="AE53" si="63">IFERROR(AD53/AD$29,0)</f>
        <v>0.33156013884466995</v>
      </c>
      <c r="AF53" s="21"/>
      <c r="AH53" s="35">
        <f>AH40-AH51</f>
        <v>-3865.8599999999969</v>
      </c>
      <c r="AI53" s="36">
        <f t="shared" ref="AI53" si="64">IFERROR(AH53/AH$29,0)</f>
        <v>-0.11255338909770596</v>
      </c>
      <c r="AJ53" s="35">
        <f>AJ40-AJ51</f>
        <v>502658.55999999936</v>
      </c>
      <c r="AK53" s="36">
        <f t="shared" ref="AK53" si="65">IFERROR(AJ53/AJ$29,0)</f>
        <v>0.17707904797034263</v>
      </c>
      <c r="AL53" s="35">
        <f>AL40-AL51</f>
        <v>-1132.1799999999967</v>
      </c>
      <c r="AM53" s="36">
        <f t="shared" ref="AM53" si="66">IFERROR(AL53/AL$29,0)</f>
        <v>-2.0993218154763224E-2</v>
      </c>
      <c r="AN53" s="35">
        <f>AN40-AN51</f>
        <v>62076.42</v>
      </c>
      <c r="AO53" s="36">
        <f t="shared" ref="AO53" si="67">IFERROR(AN53/AN$29,0)</f>
        <v>1</v>
      </c>
      <c r="AP53" s="37">
        <f>AP40-AP51</f>
        <v>14497.69</v>
      </c>
      <c r="AQ53" s="70">
        <f t="shared" ref="AQ53" si="68">IFERROR(AP53/AP$29,0)</f>
        <v>1</v>
      </c>
      <c r="AR53" s="35">
        <f>AR40-AR51</f>
        <v>574234.62999999919</v>
      </c>
      <c r="AS53" s="36">
        <f t="shared" ref="AS53" si="69">IFERROR(AR53/AR$29,0)</f>
        <v>0.19119085109660947</v>
      </c>
      <c r="AT53" s="21"/>
      <c r="AV53" s="38">
        <f t="shared" ref="AV53" si="70">AH53-T53</f>
        <v>6769.1807398311939</v>
      </c>
      <c r="AW53" s="39">
        <f>(AI53-U53)*100</f>
        <v>30.853196222421758</v>
      </c>
      <c r="AX53" s="38">
        <f t="shared" ref="AX53" si="71">AJ53-V53</f>
        <v>-340099.06835216295</v>
      </c>
      <c r="AY53" s="39">
        <f>(AK53-W53)*100</f>
        <v>-16.5631342816135</v>
      </c>
      <c r="AZ53" s="38">
        <f t="shared" ref="AZ53" si="72">AL53-X53</f>
        <v>29934.461524500894</v>
      </c>
      <c r="BA53" s="39">
        <f>(AM53-Y53)*100</f>
        <v>38.748543510326201</v>
      </c>
      <c r="BB53" s="38">
        <f>AN53-Z53</f>
        <v>-9542.2250000000058</v>
      </c>
      <c r="BC53" s="39">
        <f>(AO53-AA53)*100</f>
        <v>0</v>
      </c>
      <c r="BD53" s="38">
        <f t="shared" ref="BD53" si="73">AP53-AB53</f>
        <v>14497.69</v>
      </c>
      <c r="BE53" s="39">
        <f>(AQ53-AC53)*100</f>
        <v>100</v>
      </c>
      <c r="BF53" s="38">
        <f t="shared" ref="BF53" si="74">AR53-AD53</f>
        <v>-298439.96108783106</v>
      </c>
      <c r="BG53" s="39">
        <f>(AS53-AE53)*100</f>
        <v>-14.036928774806048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92" t="s">
        <v>156</v>
      </c>
      <c r="V54" s="92"/>
      <c r="W54" s="92">
        <f>+W53-I53</f>
        <v>-2.1933523684488254E-2</v>
      </c>
      <c r="X54" s="92"/>
      <c r="Y54" s="92">
        <f>+Y53-K53</f>
        <v>-0.72012851709660963</v>
      </c>
      <c r="Z54" s="71"/>
      <c r="AA54" s="71"/>
      <c r="AB54" s="71"/>
      <c r="AC54" s="71"/>
      <c r="AD54" s="23"/>
      <c r="AE54" s="31"/>
      <c r="AF54" s="21"/>
      <c r="AH54" s="29"/>
      <c r="AI54" s="94">
        <f>+AI53-G53</f>
        <v>-0.34606427554339964</v>
      </c>
      <c r="AJ54" s="94"/>
      <c r="AK54" s="94">
        <f>+AK53-I53</f>
        <v>-0.18756486650062326</v>
      </c>
      <c r="AL54" s="94"/>
      <c r="AM54" s="94">
        <f>+AM53-K53</f>
        <v>-0.33264308199334758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92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f>SUM(P57:P60)</f>
        <v>429082.91000000003</v>
      </c>
      <c r="Q56" s="53">
        <f t="shared" ref="Q56:Q78" si="75">IFERROR(P56/P$29,0)</f>
        <v>0.22672473897439943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f>SUM(AD57:AD60)</f>
        <v>374176.33985907491</v>
      </c>
      <c r="AE56" s="53">
        <f t="shared" ref="AE56:AE78" si="76">IFERROR(AD56/AD$29,0)</f>
        <v>0.14216290982119253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f>SUM(AR57:AR60)</f>
        <v>315403.05999999994</v>
      </c>
      <c r="AS56" s="53">
        <f t="shared" ref="AS56:AS78" si="77">IFERROR(AR56/AR$29,0)</f>
        <v>0.10501313632003534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78">AR56-AD56</f>
        <v>-58773.279859074974</v>
      </c>
      <c r="BG56" s="55">
        <f t="shared" ref="BG56:BG78" si="79">(AS56-AE56)*100</f>
        <v>-3.7149773501157197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274128.53000000003</v>
      </c>
      <c r="Q57" s="53">
        <f t="shared" si="75"/>
        <v>0.14484780903925032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262175.17333333328</v>
      </c>
      <c r="AE57" s="53">
        <f t="shared" si="76"/>
        <v>9.96096801256319E-2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209456.3</v>
      </c>
      <c r="AS57" s="53">
        <f t="shared" si="77"/>
        <v>6.9738267551970545E-2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78"/>
        <v>-52718.873333333293</v>
      </c>
      <c r="BG57" s="55">
        <f t="shared" si="79"/>
        <v>-2.9871412573661353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59146.03</v>
      </c>
      <c r="Q58" s="53">
        <f t="shared" si="75"/>
        <v>3.125239411917384E-2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33348.614525741614</v>
      </c>
      <c r="AE58" s="53">
        <f t="shared" si="76"/>
        <v>1.2670325657871054E-2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54333.79</v>
      </c>
      <c r="AS58" s="53">
        <f t="shared" si="77"/>
        <v>1.8090381545613963E-2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78"/>
        <v>20985.175474258387</v>
      </c>
      <c r="BG58" s="55">
        <f t="shared" si="79"/>
        <v>0.54200558877429084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51292.229999999996</v>
      </c>
      <c r="Q59" s="53">
        <f t="shared" si="75"/>
        <v>2.7102495082278757E-2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78652.551999999996</v>
      </c>
      <c r="AE59" s="53">
        <f t="shared" si="76"/>
        <v>2.9882904037689572E-2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51612.97</v>
      </c>
      <c r="AS59" s="53">
        <f t="shared" si="77"/>
        <v>1.7184487222450841E-2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78"/>
        <v>-27039.581999999995</v>
      </c>
      <c r="BG59" s="55">
        <f t="shared" si="79"/>
        <v>-1.2698416815238731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44516.12</v>
      </c>
      <c r="Q60" s="53">
        <f t="shared" si="75"/>
        <v>2.3522040733696528E-2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f t="shared" si="76"/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f t="shared" si="77"/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78"/>
        <v>0</v>
      </c>
      <c r="BG60" s="55">
        <f t="shared" si="79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90302.630000000019</v>
      </c>
      <c r="Q61" s="53">
        <f t="shared" si="75"/>
        <v>4.7715347636315263E-2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77726.014018652626</v>
      </c>
      <c r="AE61" s="53">
        <f t="shared" si="76"/>
        <v>2.9530879279689629E-2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112652.04000000001</v>
      </c>
      <c r="AS61" s="53">
        <f t="shared" si="77"/>
        <v>3.7507385100354056E-2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78"/>
        <v>34926.025981347382</v>
      </c>
      <c r="BG61" s="55">
        <f t="shared" si="79"/>
        <v>0.79765058206644268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67767.510000000009</v>
      </c>
      <c r="Q62" s="53">
        <f t="shared" si="75"/>
        <v>3.5807930489925602E-2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f t="shared" si="76"/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f t="shared" si="77"/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78"/>
        <v>0</v>
      </c>
      <c r="BG62" s="55">
        <f t="shared" si="79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f t="shared" si="75"/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f t="shared" si="76"/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f t="shared" si="77"/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78"/>
        <v>0</v>
      </c>
      <c r="BG63" s="55">
        <f t="shared" si="79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2291.66</v>
      </c>
      <c r="Q64" s="53">
        <f t="shared" si="75"/>
        <v>1.2108988804006948E-3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f t="shared" si="76"/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f t="shared" si="77"/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78"/>
        <v>0</v>
      </c>
      <c r="BG64" s="55">
        <f t="shared" si="79"/>
        <v>0</v>
      </c>
    </row>
    <row r="65" spans="2:60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f t="shared" si="75"/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f t="shared" si="76"/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f t="shared" si="77"/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78"/>
        <v>0</v>
      </c>
      <c r="BG65" s="55">
        <f t="shared" si="79"/>
        <v>0</v>
      </c>
    </row>
    <row r="66" spans="2:60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f t="shared" si="75"/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f t="shared" si="76"/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f t="shared" si="77"/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78"/>
        <v>0</v>
      </c>
      <c r="BG66" s="55">
        <f t="shared" si="79"/>
        <v>0</v>
      </c>
    </row>
    <row r="67" spans="2:60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12630</v>
      </c>
      <c r="Q67" s="53">
        <f t="shared" si="75"/>
        <v>6.6736133891854713E-3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f t="shared" si="76"/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f t="shared" si="77"/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78"/>
        <v>0</v>
      </c>
      <c r="BG67" s="55">
        <f t="shared" si="79"/>
        <v>0</v>
      </c>
    </row>
    <row r="68" spans="2:60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7613.46</v>
      </c>
      <c r="Q68" s="53">
        <f t="shared" si="75"/>
        <v>4.0229048768034856E-3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f t="shared" si="76"/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f t="shared" si="77"/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78"/>
        <v>0</v>
      </c>
      <c r="BG68" s="55">
        <f t="shared" si="79"/>
        <v>0</v>
      </c>
    </row>
    <row r="69" spans="2:60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f t="shared" si="75"/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f t="shared" si="76"/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f t="shared" si="77"/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78"/>
        <v>0</v>
      </c>
      <c r="BG69" s="55">
        <f t="shared" si="79"/>
        <v>0</v>
      </c>
    </row>
    <row r="70" spans="2:60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123364.37000000002</v>
      </c>
      <c r="Q70" s="53">
        <f t="shared" si="75"/>
        <v>6.5184965271609718E-2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53696.369096892791</v>
      </c>
      <c r="AE70" s="53">
        <f t="shared" si="76"/>
        <v>2.0401161870689299E-2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51717.659999999996</v>
      </c>
      <c r="AS70" s="53">
        <f t="shared" si="77"/>
        <v>1.7219343654222122E-2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78"/>
        <v>-1978.7090968927951</v>
      </c>
      <c r="BG70" s="55">
        <f t="shared" si="79"/>
        <v>-0.31818182164671771</v>
      </c>
    </row>
    <row r="71" spans="2:60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23450.020000000004</v>
      </c>
      <c r="Q71" s="53">
        <f t="shared" si="75"/>
        <v>1.2390844611929304E-2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12492.626090597356</v>
      </c>
      <c r="AE71" s="53">
        <f t="shared" si="76"/>
        <v>4.7463933102139888E-3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3692.86</v>
      </c>
      <c r="AS71" s="53">
        <f t="shared" si="77"/>
        <v>1.2295340780485954E-3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78"/>
        <v>-8799.7660905973553</v>
      </c>
      <c r="BG71" s="55">
        <f t="shared" si="79"/>
        <v>-0.35168592321653935</v>
      </c>
    </row>
    <row r="72" spans="2:60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24624.479999999996</v>
      </c>
      <c r="Q72" s="53">
        <f t="shared" si="75"/>
        <v>1.3011421965932687E-2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f t="shared" si="76"/>
        <v>9.368600043567871E-3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24671.94</v>
      </c>
      <c r="AS72" s="53">
        <f t="shared" si="77"/>
        <v>8.214497977602795E-3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78"/>
        <v>13.549999999999272</v>
      </c>
      <c r="BG72" s="55">
        <f t="shared" si="79"/>
        <v>-0.11541020659650761</v>
      </c>
    </row>
    <row r="73" spans="2:60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5527.6900000000005</v>
      </c>
      <c r="Q73" s="53">
        <f t="shared" si="75"/>
        <v>2.9207969909158071E-3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17149.873698997817</v>
      </c>
      <c r="AE73" s="53">
        <f t="shared" si="76"/>
        <v>6.515847445174419E-3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750</v>
      </c>
      <c r="AS73" s="53">
        <f t="shared" si="77"/>
        <v>2.497117568866533E-4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78"/>
        <v>-16399.873698997817</v>
      </c>
      <c r="BG73" s="55">
        <f t="shared" si="79"/>
        <v>-0.62661356882877661</v>
      </c>
    </row>
    <row r="74" spans="2:60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4299.84</v>
      </c>
      <c r="Q74" s="53">
        <f t="shared" si="75"/>
        <v>2.2720086932189435E-3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4430.6162625787274</v>
      </c>
      <c r="AE74" s="53">
        <f t="shared" si="76"/>
        <v>1.6833488200416809E-3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3925.54</v>
      </c>
      <c r="AS74" s="53">
        <f t="shared" si="77"/>
        <v>1.3070046535051106E-3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78"/>
        <v>-505.07626257872744</v>
      </c>
      <c r="BG74" s="55">
        <f t="shared" si="79"/>
        <v>-3.7634416653657035E-2</v>
      </c>
    </row>
    <row r="75" spans="2:60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15141.12</v>
      </c>
      <c r="Q75" s="53">
        <f t="shared" si="75"/>
        <v>8.0004735676376827E-3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32912.087774837884</v>
      </c>
      <c r="AE75" s="53">
        <f t="shared" si="76"/>
        <v>1.2504473607614114E-2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15248.44</v>
      </c>
      <c r="AS75" s="53">
        <f t="shared" si="77"/>
        <v>5.0769529895742923E-3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78"/>
        <v>-17663.647774837882</v>
      </c>
      <c r="BG75" s="55">
        <f t="shared" si="79"/>
        <v>-0.74275206180398212</v>
      </c>
      <c r="BH75" s="57">
        <f>+AR56</f>
        <v>315403.05999999994</v>
      </c>
    </row>
    <row r="76" spans="2:60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f>SUM(P56,P61,P70:P75)</f>
        <v>715793.05999999994</v>
      </c>
      <c r="Q76" s="36">
        <f t="shared" si="75"/>
        <v>0.37822059771195876</v>
      </c>
      <c r="R76" s="21"/>
      <c r="T76" s="35">
        <f t="shared" ref="T76:AA76" si="80">SUM(T57:T75)</f>
        <v>0</v>
      </c>
      <c r="U76" s="37">
        <f t="shared" si="80"/>
        <v>0</v>
      </c>
      <c r="V76" s="37">
        <f t="shared" si="80"/>
        <v>0</v>
      </c>
      <c r="W76" s="37">
        <f t="shared" si="80"/>
        <v>0</v>
      </c>
      <c r="X76" s="37">
        <f t="shared" si="80"/>
        <v>0</v>
      </c>
      <c r="Y76" s="37">
        <f t="shared" si="80"/>
        <v>0</v>
      </c>
      <c r="Z76" s="37">
        <f t="shared" si="80"/>
        <v>0</v>
      </c>
      <c r="AA76" s="37">
        <f t="shared" si="80"/>
        <v>0</v>
      </c>
      <c r="AB76" s="37"/>
      <c r="AC76" s="37"/>
      <c r="AD76" s="35">
        <f>SUM(AD56,AD61,AD70:AD75)</f>
        <v>597242.31680163206</v>
      </c>
      <c r="AE76" s="36">
        <f t="shared" si="76"/>
        <v>0.22691361419818351</v>
      </c>
      <c r="AF76" s="21"/>
      <c r="AH76" s="35">
        <f t="shared" ref="AH76:AO76" si="81">SUM(AH57:AH75)</f>
        <v>0</v>
      </c>
      <c r="AI76" s="37">
        <f t="shared" si="81"/>
        <v>0</v>
      </c>
      <c r="AJ76" s="37">
        <f t="shared" si="81"/>
        <v>0</v>
      </c>
      <c r="AK76" s="37">
        <f t="shared" si="81"/>
        <v>0</v>
      </c>
      <c r="AL76" s="37">
        <f t="shared" si="81"/>
        <v>0</v>
      </c>
      <c r="AM76" s="37">
        <f t="shared" si="81"/>
        <v>0</v>
      </c>
      <c r="AN76" s="37">
        <f t="shared" si="81"/>
        <v>0</v>
      </c>
      <c r="AO76" s="37">
        <f t="shared" si="81"/>
        <v>0</v>
      </c>
      <c r="AP76" s="37"/>
      <c r="AQ76" s="37"/>
      <c r="AR76" s="35">
        <f>SUM(AR56,AR61,AR70:AR75)</f>
        <v>528061.53999999992</v>
      </c>
      <c r="AS76" s="36">
        <f t="shared" si="77"/>
        <v>0.17581756653022895</v>
      </c>
      <c r="AT76" s="21"/>
      <c r="AV76" s="38">
        <f t="shared" ref="AV76:BC76" si="82">SUM(AV57:AV75)</f>
        <v>0</v>
      </c>
      <c r="AW76" s="73">
        <f t="shared" si="82"/>
        <v>0</v>
      </c>
      <c r="AX76" s="73">
        <f t="shared" si="82"/>
        <v>0</v>
      </c>
      <c r="AY76" s="73">
        <f t="shared" si="82"/>
        <v>0</v>
      </c>
      <c r="AZ76" s="73">
        <f t="shared" si="82"/>
        <v>0</v>
      </c>
      <c r="BA76" s="73">
        <f t="shared" si="82"/>
        <v>0</v>
      </c>
      <c r="BB76" s="73">
        <f t="shared" si="82"/>
        <v>0</v>
      </c>
      <c r="BC76" s="73">
        <f t="shared" si="82"/>
        <v>0</v>
      </c>
      <c r="BD76" s="73"/>
      <c r="BE76" s="73"/>
      <c r="BF76" s="38">
        <f t="shared" si="78"/>
        <v>-69180.776801632135</v>
      </c>
      <c r="BG76" s="39">
        <f t="shared" si="79"/>
        <v>-5.1096047667954556</v>
      </c>
      <c r="BH76" s="3">
        <f>+BH75/AR76</f>
        <v>0.59728466496537502</v>
      </c>
    </row>
    <row r="77" spans="2:60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60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f>P53-P76</f>
        <v>-53395.500000000116</v>
      </c>
      <c r="Q78" s="36">
        <f t="shared" si="75"/>
        <v>-2.8213849859244151E-2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f>AD53-AD76</f>
        <v>275432.2742861982</v>
      </c>
      <c r="AE78" s="36">
        <f t="shared" si="76"/>
        <v>0.10464652464648642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f>AR53-AR76</f>
        <v>46173.089999999269</v>
      </c>
      <c r="AS78" s="36">
        <f t="shared" si="77"/>
        <v>1.5373284566380506E-2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78"/>
        <v>-229259.18428619893</v>
      </c>
      <c r="BG78" s="39">
        <f t="shared" si="79"/>
        <v>-8.9273240080105918</v>
      </c>
    </row>
    <row r="79" spans="2:60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60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808" priority="53" operator="greaterThanOrEqual">
      <formula>1</formula>
    </cfRule>
    <cfRule type="cellIs" dxfId="807" priority="52" operator="lessThanOrEqual">
      <formula>-1</formula>
    </cfRule>
  </conditionalFormatting>
  <conditionalFormatting sqref="U33:U34 Y33:Y34 AA33:AA34 AC33:AC34">
    <cfRule type="cellIs" dxfId="806" priority="49" operator="greaterThanOrEqual">
      <formula>0.0001</formula>
    </cfRule>
    <cfRule type="cellIs" dxfId="805" priority="48" operator="lessThanOrEqual">
      <formula>-0.0001</formula>
    </cfRule>
  </conditionalFormatting>
  <conditionalFormatting sqref="AB33:AB34">
    <cfRule type="cellIs" dxfId="804" priority="51" operator="greaterThanOrEqual">
      <formula>1</formula>
    </cfRule>
    <cfRule type="cellIs" dxfId="803" priority="50" operator="lessThanOrEqual">
      <formula>-1</formula>
    </cfRule>
  </conditionalFormatting>
  <conditionalFormatting sqref="AD33:AD34">
    <cfRule type="cellIs" dxfId="802" priority="47" operator="greaterThanOrEqual">
      <formula>1</formula>
    </cfRule>
    <cfRule type="cellIs" dxfId="801" priority="46" operator="lessThanOrEqual">
      <formula>-1</formula>
    </cfRule>
  </conditionalFormatting>
  <conditionalFormatting sqref="AE33:AE34">
    <cfRule type="cellIs" dxfId="800" priority="45" operator="greaterThanOrEqual">
      <formula>0.0001</formula>
    </cfRule>
    <cfRule type="cellIs" dxfId="799" priority="44" operator="lessThanOrEqual">
      <formula>-0.0001</formula>
    </cfRule>
  </conditionalFormatting>
  <conditionalFormatting sqref="AH33:AH34 AJ33:AJ34 AL33:AL34 AN33:AN34">
    <cfRule type="cellIs" dxfId="798" priority="63" operator="greaterThanOrEqual">
      <formula>1</formula>
    </cfRule>
    <cfRule type="cellIs" dxfId="797" priority="62" operator="lessThanOrEqual">
      <formula>-1</formula>
    </cfRule>
  </conditionalFormatting>
  <conditionalFormatting sqref="AI33:AI34 AM33:AM34 AO33:AO34 AQ33:AQ34">
    <cfRule type="cellIs" dxfId="796" priority="59" operator="greaterThanOrEqual">
      <formula>0.0001</formula>
    </cfRule>
    <cfRule type="cellIs" dxfId="795" priority="58" operator="lessThanOrEqual">
      <formula>-0.0001</formula>
    </cfRule>
  </conditionalFormatting>
  <conditionalFormatting sqref="AK33:AK34">
    <cfRule type="cellIs" dxfId="794" priority="43" operator="greaterThanOrEqual">
      <formula>0.0001</formula>
    </cfRule>
    <cfRule type="cellIs" dxfId="793" priority="42" operator="lessThanOrEqual">
      <formula>-0.0001</formula>
    </cfRule>
  </conditionalFormatting>
  <conditionalFormatting sqref="AP33:AP34">
    <cfRule type="cellIs" dxfId="792" priority="60" operator="lessThanOrEqual">
      <formula>-1</formula>
    </cfRule>
    <cfRule type="cellIs" dxfId="791" priority="61" operator="greaterThanOrEqual">
      <formula>1</formula>
    </cfRule>
  </conditionalFormatting>
  <conditionalFormatting sqref="AR33:AR34">
    <cfRule type="cellIs" dxfId="790" priority="56" operator="lessThanOrEqual">
      <formula>-1</formula>
    </cfRule>
    <cfRule type="cellIs" dxfId="789" priority="57" operator="greaterThanOrEqual">
      <formula>1</formula>
    </cfRule>
  </conditionalFormatting>
  <conditionalFormatting sqref="AS33:AS34">
    <cfRule type="cellIs" dxfId="788" priority="55" operator="greaterThanOrEqual">
      <formula>0.0001</formula>
    </cfRule>
    <cfRule type="cellIs" dxfId="787" priority="54" operator="lessThanOrEqual">
      <formula>-0.0001</formula>
    </cfRule>
  </conditionalFormatting>
  <conditionalFormatting sqref="AV27:AV29 AX27:AX29 AZ27:AZ29 BB27:BB29 BF27:BF29 AV40 AX40 AZ40 BB40 BF40">
    <cfRule type="cellIs" dxfId="786" priority="31" operator="greaterThanOrEqual">
      <formula>0.000001</formula>
    </cfRule>
  </conditionalFormatting>
  <conditionalFormatting sqref="AV27:AV29 AX27:AX29 AZ27:AZ29 BB27:BB29 BF27:BF29">
    <cfRule type="cellIs" dxfId="785" priority="30" operator="lessThanOrEqual">
      <formula>-0.000001</formula>
    </cfRule>
  </conditionalFormatting>
  <conditionalFormatting sqref="AV33:AV34 AX33:AX34 AZ33:AZ34 BB33:BB34">
    <cfRule type="cellIs" dxfId="784" priority="41" operator="greaterThanOrEqual">
      <formula>1</formula>
    </cfRule>
    <cfRule type="cellIs" dxfId="783" priority="40" operator="lessThanOrEqual">
      <formula>-1</formula>
    </cfRule>
  </conditionalFormatting>
  <conditionalFormatting sqref="AV36 AX36 AZ36 BB36 BD36 BF36 AX43:AX51 AZ43:AZ51 BD43:BD51 BF43:BF51 AV43:AV52">
    <cfRule type="cellIs" dxfId="782" priority="28" operator="lessThanOrEqual">
      <formula>-0.000001</formula>
    </cfRule>
    <cfRule type="cellIs" dxfId="781" priority="29" operator="greaterThanOrEqual">
      <formula>0.00001</formula>
    </cfRule>
  </conditionalFormatting>
  <conditionalFormatting sqref="AV39 AX39 AZ39 BF39">
    <cfRule type="cellIs" dxfId="780" priority="14" operator="lessThanOrEqual">
      <formula>-0.00001</formula>
    </cfRule>
    <cfRule type="cellIs" dxfId="779" priority="15" operator="greaterThanOrEqual">
      <formula>0.00001</formula>
    </cfRule>
  </conditionalFormatting>
  <conditionalFormatting sqref="AV40:BB40 BD40:BG40">
    <cfRule type="cellIs" dxfId="778" priority="18" operator="lessThanOrEqual">
      <formula>-0.000001</formula>
    </cfRule>
  </conditionalFormatting>
  <conditionalFormatting sqref="AV53:BB53 BD53:BG53 BF78:BG78">
    <cfRule type="cellIs" dxfId="777" priority="21" operator="greaterThanOrEqual">
      <formula>0.000001</formula>
    </cfRule>
    <cfRule type="cellIs" dxfId="776" priority="20" operator="lessThanOrEqual">
      <formula>-0.000001</formula>
    </cfRule>
  </conditionalFormatting>
  <conditionalFormatting sqref="AW29 AY29 BA29 BC29 BE29 BG29">
    <cfRule type="cellIs" dxfId="775" priority="24" operator="lessThanOrEqual">
      <formula>-0.000001</formula>
    </cfRule>
    <cfRule type="cellIs" dxfId="774" priority="25" operator="greaterThanOrEqual">
      <formula>0.000001</formula>
    </cfRule>
  </conditionalFormatting>
  <conditionalFormatting sqref="AW33:AW34 BA33:BA34 BC33:BC34 BE33:BE34">
    <cfRule type="cellIs" dxfId="773" priority="39" operator="greaterThanOrEqual">
      <formula>0.0001</formula>
    </cfRule>
    <cfRule type="cellIs" dxfId="772" priority="38" operator="lessThanOrEqual">
      <formula>-0.0001</formula>
    </cfRule>
  </conditionalFormatting>
  <conditionalFormatting sqref="AW36 AY36 BA36 BG36">
    <cfRule type="cellIs" dxfId="771" priority="13" operator="greaterThanOrEqual">
      <formula>0.000001</formula>
    </cfRule>
    <cfRule type="cellIs" dxfId="770" priority="12" operator="lessThanOrEqual">
      <formula>-0.00001</formula>
    </cfRule>
  </conditionalFormatting>
  <conditionalFormatting sqref="AW39 AY39 BA39 BC39 BE39 BG39">
    <cfRule type="cellIs" dxfId="769" priority="17" operator="greaterThanOrEqual">
      <formula>0.000001</formula>
    </cfRule>
    <cfRule type="cellIs" dxfId="768" priority="16" operator="lessThanOrEqual">
      <formula>-0.00001</formula>
    </cfRule>
  </conditionalFormatting>
  <conditionalFormatting sqref="AW40 AY40 BA40 BG40">
    <cfRule type="cellIs" dxfId="767" priority="19" operator="greaterThanOrEqual">
      <formula>0.0000001</formula>
    </cfRule>
  </conditionalFormatting>
  <conditionalFormatting sqref="AW43:AW51 AY43:AY51 BA43:BA51 BG43:BG51 BG56:BG76">
    <cfRule type="cellIs" dxfId="766" priority="23" operator="greaterThanOrEqual">
      <formula>0.000001</formula>
    </cfRule>
    <cfRule type="cellIs" dxfId="765" priority="22" operator="lessThanOrEqual">
      <formula>-0.0000001</formula>
    </cfRule>
  </conditionalFormatting>
  <conditionalFormatting sqref="AY33:AY34">
    <cfRule type="cellIs" dxfId="764" priority="33" operator="greaterThanOrEqual">
      <formula>0.0001</formula>
    </cfRule>
    <cfRule type="cellIs" dxfId="763" priority="32" operator="lessThanOrEqual">
      <formula>-0.0001</formula>
    </cfRule>
  </conditionalFormatting>
  <conditionalFormatting sqref="BD27:BD29 BD40">
    <cfRule type="cellIs" dxfId="762" priority="9" operator="greaterThanOrEqual">
      <formula>0.000001</formula>
    </cfRule>
  </conditionalFormatting>
  <conditionalFormatting sqref="BD27:BD29">
    <cfRule type="cellIs" dxfId="761" priority="8" operator="lessThanOrEqual">
      <formula>-0.000001</formula>
    </cfRule>
  </conditionalFormatting>
  <conditionalFormatting sqref="BD33:BD34">
    <cfRule type="cellIs" dxfId="760" priority="11" operator="greaterThanOrEqual">
      <formula>1</formula>
    </cfRule>
    <cfRule type="cellIs" dxfId="759" priority="10" operator="lessThanOrEqual">
      <formula>-1</formula>
    </cfRule>
  </conditionalFormatting>
  <conditionalFormatting sqref="BD39">
    <cfRule type="cellIs" dxfId="758" priority="4" operator="greaterThanOrEqual">
      <formula>0.00001</formula>
    </cfRule>
    <cfRule type="cellIs" dxfId="757" priority="3" operator="lessThanOrEqual">
      <formula>-0.00001</formula>
    </cfRule>
  </conditionalFormatting>
  <conditionalFormatting sqref="BE36">
    <cfRule type="cellIs" dxfId="756" priority="1" operator="lessThanOrEqual">
      <formula>-0.00001</formula>
    </cfRule>
    <cfRule type="cellIs" dxfId="755" priority="2" operator="greaterThanOrEqual">
      <formula>0.000001</formula>
    </cfRule>
  </conditionalFormatting>
  <conditionalFormatting sqref="BE40">
    <cfRule type="cellIs" dxfId="754" priority="5" operator="greaterThanOrEqual">
      <formula>0.0000001</formula>
    </cfRule>
  </conditionalFormatting>
  <conditionalFormatting sqref="BE43:BE51">
    <cfRule type="cellIs" dxfId="753" priority="7" operator="greaterThanOrEqual">
      <formula>0.000001</formula>
    </cfRule>
    <cfRule type="cellIs" dxfId="752" priority="6" operator="lessThanOrEqual">
      <formula>-0.0000001</formula>
    </cfRule>
  </conditionalFormatting>
  <conditionalFormatting sqref="BF33:BF34">
    <cfRule type="cellIs" dxfId="751" priority="36" operator="lessThanOrEqual">
      <formula>-1</formula>
    </cfRule>
    <cfRule type="cellIs" dxfId="750" priority="37" operator="greaterThanOrEqual">
      <formula>1</formula>
    </cfRule>
  </conditionalFormatting>
  <conditionalFormatting sqref="BF56:BF76">
    <cfRule type="cellIs" dxfId="749" priority="27" operator="greaterThanOrEqual">
      <formula>0.00001</formula>
    </cfRule>
    <cfRule type="cellIs" dxfId="748" priority="26" operator="lessThanOrEqual">
      <formula>-0.000001</formula>
    </cfRule>
  </conditionalFormatting>
  <conditionalFormatting sqref="BG33:BG34">
    <cfRule type="cellIs" dxfId="747" priority="34" operator="lessThanOrEqual">
      <formula>-0.0001</formula>
    </cfRule>
    <cfRule type="cellIs" dxfId="746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47CF-93FE-4B9A-9155-AE3DFA90D096}">
  <sheetPr>
    <tabColor theme="4" tint="0.79998168889431442"/>
  </sheetPr>
  <dimension ref="A1:AT125"/>
  <sheetViews>
    <sheetView topLeftCell="E2" zoomScale="145" zoomScaleNormal="145" workbookViewId="0">
      <pane xSplit="1" ySplit="25" topLeftCell="R49" activePane="bottomRight" state="frozen"/>
      <selection activeCell="E2" sqref="E2"/>
      <selection pane="topRight" activeCell="F2" sqref="F2"/>
      <selection pane="bottomLeft" activeCell="E27" sqref="E27"/>
      <selection pane="bottomRight" activeCell="U54" sqref="U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8" width="2.375" style="3" customWidth="1" outlineLevel="1"/>
    <col min="19" max="19" width="12.375" style="2" customWidth="1"/>
    <col min="20" max="21" width="12.375" style="2" customWidth="1" outlineLevel="1"/>
    <col min="22" max="22" width="12.25" style="2" customWidth="1" outlineLevel="1"/>
    <col min="23" max="23" width="13.25" style="2" customWidth="1" outlineLevel="1"/>
    <col min="24" max="28" width="12.375" style="2" customWidth="1" outlineLevel="1"/>
    <col min="29" max="30" width="12.375" style="2" customWidth="1"/>
    <col min="31" max="32" width="2.375" style="3" customWidth="1"/>
    <col min="33" max="35" width="12.375" style="2" hidden="1" customWidth="1" outlineLevel="1"/>
    <col min="36" max="36" width="12.25" style="2" hidden="1" customWidth="1" outlineLevel="1"/>
    <col min="37" max="37" width="13.25" style="2" hidden="1" customWidth="1" outlineLevel="1"/>
    <col min="38" max="42" width="12.375" style="2" hidden="1" customWidth="1" outlineLevel="1"/>
    <col min="43" max="43" width="12.375" style="2" customWidth="1" collapsed="1"/>
    <col min="44" max="44" width="12.375" style="2" customWidth="1"/>
    <col min="45" max="45" width="10.625" style="3" bestFit="1" customWidth="1"/>
    <col min="46" max="46" width="8.75" style="3"/>
    <col min="47" max="47" width="13.75" style="3" bestFit="1" customWidth="1"/>
    <col min="48" max="16384" width="8.75" style="3"/>
  </cols>
  <sheetData>
    <row r="1" spans="5:44">
      <c r="K1" s="1"/>
      <c r="X1" s="1"/>
      <c r="AL1" s="1"/>
    </row>
    <row r="2" spans="5:44">
      <c r="H2" s="4"/>
      <c r="K2" s="1"/>
      <c r="X2" s="1"/>
      <c r="AL2" s="1"/>
    </row>
    <row r="3" spans="5:44">
      <c r="F3" s="96"/>
      <c r="G3" s="96"/>
      <c r="H3" s="111"/>
      <c r="I3" s="96"/>
      <c r="J3" s="96"/>
      <c r="K3" s="112"/>
      <c r="L3" s="96"/>
      <c r="W3" s="95" t="s">
        <v>45</v>
      </c>
      <c r="X3" s="109">
        <v>1243576.5100000002</v>
      </c>
      <c r="Z3" s="2">
        <v>-9862.2200000002049</v>
      </c>
      <c r="AL3" s="1"/>
    </row>
    <row r="4" spans="5:44">
      <c r="F4" s="96"/>
      <c r="G4" s="96"/>
      <c r="H4" s="96"/>
      <c r="I4" s="96"/>
      <c r="J4" s="96"/>
      <c r="K4" s="112"/>
      <c r="L4" s="96"/>
      <c r="W4" s="95" t="s">
        <v>170</v>
      </c>
      <c r="X4" s="109">
        <v>1008752.25</v>
      </c>
      <c r="AC4" s="2">
        <v>-327641.23999999976</v>
      </c>
      <c r="AL4" s="1"/>
    </row>
    <row r="5" spans="5:44" ht="15">
      <c r="E5" s="5"/>
      <c r="F5" s="96">
        <f>S53/F53</f>
        <v>0.50957982448711592</v>
      </c>
      <c r="G5" s="96"/>
      <c r="H5" s="96">
        <f>U53/H53</f>
        <v>0.70696348968969602</v>
      </c>
      <c r="I5" s="96"/>
      <c r="J5" s="96">
        <f>W53/J53</f>
        <v>0.2292099548966913</v>
      </c>
      <c r="K5" s="112"/>
      <c r="L5" s="96">
        <f>Y53/L53</f>
        <v>0.85198481654191571</v>
      </c>
      <c r="T5" s="6"/>
      <c r="U5" s="2">
        <v>273377.45999999996</v>
      </c>
      <c r="W5" s="95" t="s">
        <v>51</v>
      </c>
      <c r="X5" s="109">
        <v>1986204.26</v>
      </c>
      <c r="AH5" s="6"/>
      <c r="AL5" s="1"/>
    </row>
    <row r="6" spans="5:44">
      <c r="K6" s="1"/>
      <c r="S6" s="2">
        <f>+'11월'!AH27</f>
        <v>119067</v>
      </c>
      <c r="U6" s="8"/>
      <c r="V6" s="8"/>
      <c r="W6" s="95" t="s">
        <v>171</v>
      </c>
      <c r="X6" s="109">
        <v>0</v>
      </c>
      <c r="AC6" s="2">
        <f>+AC29-[1]미국연간!$AP$38</f>
        <v>2009592.7500000037</v>
      </c>
      <c r="AL6" s="7"/>
    </row>
    <row r="7" spans="5:44" hidden="1" outlineLevel="1">
      <c r="E7" s="9" t="s">
        <v>0</v>
      </c>
      <c r="F7" s="10" t="e">
        <f>EDATE($E$5,-12)</f>
        <v>#NUM!</v>
      </c>
      <c r="G7" s="10"/>
      <c r="H7" s="10" t="e">
        <f>F7</f>
        <v>#NUM!</v>
      </c>
      <c r="I7" s="10"/>
      <c r="J7" s="10" t="e">
        <f>H7</f>
        <v>#NUM!</v>
      </c>
      <c r="K7" s="10"/>
      <c r="L7" s="10" t="e">
        <f>J7</f>
        <v>#NUM!</v>
      </c>
      <c r="M7" s="10"/>
      <c r="N7" s="10" t="e">
        <f>L7</f>
        <v>#NUM!</v>
      </c>
      <c r="O7" s="10"/>
      <c r="P7" s="10" t="e">
        <f>L7</f>
        <v>#NUM!</v>
      </c>
      <c r="Q7" s="10"/>
      <c r="S7" s="10">
        <f>EDATE($E$5,0)</f>
        <v>0</v>
      </c>
      <c r="T7" s="10"/>
      <c r="U7" s="10">
        <f>S7</f>
        <v>0</v>
      </c>
      <c r="V7" s="10"/>
      <c r="W7" s="110" t="s">
        <v>172</v>
      </c>
      <c r="X7" s="110">
        <v>3994149.0400000005</v>
      </c>
      <c r="Y7" s="10" t="str">
        <f>W7</f>
        <v>광고비</v>
      </c>
      <c r="Z7" s="10"/>
      <c r="AA7" s="10" t="str">
        <f>Y7</f>
        <v>광고비</v>
      </c>
      <c r="AB7" s="10"/>
      <c r="AC7" s="10" t="str">
        <f>Y7</f>
        <v>광고비</v>
      </c>
      <c r="AD7" s="10"/>
      <c r="AG7" s="10">
        <f>EDATE($E$5,0)</f>
        <v>0</v>
      </c>
      <c r="AH7" s="10"/>
      <c r="AI7" s="10">
        <f>AG7</f>
        <v>0</v>
      </c>
      <c r="AJ7" s="10"/>
      <c r="AK7" s="10">
        <f>AI7</f>
        <v>0</v>
      </c>
      <c r="AL7" s="10"/>
      <c r="AM7" s="10"/>
      <c r="AN7" s="10"/>
      <c r="AO7" s="10">
        <f>AM7</f>
        <v>0</v>
      </c>
      <c r="AP7" s="10"/>
      <c r="AQ7" s="10">
        <f>AM7</f>
        <v>0</v>
      </c>
      <c r="AR7" s="10"/>
    </row>
    <row r="8" spans="5:44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S8" s="11" t="s">
        <v>2</v>
      </c>
      <c r="T8" s="11"/>
      <c r="U8" s="11" t="s">
        <v>3</v>
      </c>
      <c r="V8" s="11"/>
      <c r="W8" s="11" t="s">
        <v>4</v>
      </c>
      <c r="X8" s="11"/>
      <c r="Y8" s="11" t="s">
        <v>5</v>
      </c>
      <c r="Z8" s="11"/>
      <c r="AA8" s="11" t="s">
        <v>6</v>
      </c>
      <c r="AB8" s="11"/>
      <c r="AC8" s="11"/>
      <c r="AD8" s="11"/>
      <c r="AG8" s="11" t="s">
        <v>2</v>
      </c>
      <c r="AH8" s="11"/>
      <c r="AI8" s="11" t="s">
        <v>3</v>
      </c>
      <c r="AJ8" s="11"/>
      <c r="AK8" s="11" t="s">
        <v>4</v>
      </c>
      <c r="AL8" s="11"/>
      <c r="AM8" s="11"/>
      <c r="AN8" s="11"/>
      <c r="AO8" s="11" t="s">
        <v>6</v>
      </c>
      <c r="AP8" s="11"/>
      <c r="AQ8" s="11"/>
      <c r="AR8" s="11"/>
    </row>
    <row r="9" spans="5:44" hidden="1" outlineLevel="1">
      <c r="E9" s="9" t="s">
        <v>7</v>
      </c>
      <c r="F9" s="11" t="e">
        <f>MONTH(F7)</f>
        <v>#NUM!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S9" s="11">
        <f>MONTH(S7)</f>
        <v>1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G9" s="11">
        <f>MONTH(AG7)</f>
        <v>1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5:44" hidden="1" outlineLevel="1">
      <c r="E10" s="9" t="s">
        <v>8</v>
      </c>
      <c r="F10" s="11" t="e">
        <f>"Q"&amp;ROUNDUP(MONTH(F7)/3,0)&amp;"'"&amp;TEXT(F7,"yy")</f>
        <v>#NUM!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S10" s="11" t="str">
        <f>"Q"&amp;ROUNDUP(MONTH(S7)/3,0)&amp;"'"&amp;TEXT(S7,"yy")</f>
        <v>Q1'00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G10" s="11" t="str">
        <f>"Q"&amp;ROUNDUP(MONTH(AG7)/3,0)&amp;"'"&amp;TEXT(AG7,"yy")</f>
        <v>Q1'00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5:44" hidden="1" outlineLevel="1">
      <c r="E11" s="9" t="s">
        <v>9</v>
      </c>
      <c r="F11" s="11" t="e">
        <f>"H"&amp;ROUNDUP(MONTH(F7)/6,0)&amp;"'"&amp;TEXT(F7,"yy")</f>
        <v>#NUM!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S11" s="11" t="str">
        <f>"H"&amp;ROUNDUP(MONTH(S7)/6,0)&amp;"'"&amp;TEXT(S7,"yy")</f>
        <v>H1'00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G11" s="11" t="str">
        <f>"H"&amp;ROUNDUP(MONTH(AG7)/6,0)&amp;"'"&amp;TEXT(AG7,"yy")</f>
        <v>H1'00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5:44" hidden="1" outlineLevel="1">
      <c r="E12" s="9" t="s">
        <v>10</v>
      </c>
      <c r="F12" s="11" t="e">
        <f>YEAR(F7)</f>
        <v>#NUM!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S12" s="11">
        <f>YEAR(S7)</f>
        <v>1900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G12" s="11">
        <f>YEAR(AG7)</f>
        <v>1900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5:44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S13" s="11" t="s">
        <v>12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G13" s="11" t="s">
        <v>12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5:44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S14" s="12">
        <f>+S15-S29</f>
        <v>0</v>
      </c>
      <c r="T14" s="11"/>
      <c r="U14" s="11"/>
      <c r="V14" s="11"/>
      <c r="W14" s="11"/>
      <c r="X14" s="12"/>
      <c r="Y14" s="13"/>
      <c r="Z14" s="11"/>
      <c r="AA14" s="11"/>
      <c r="AB14" s="11"/>
      <c r="AC14" s="11"/>
      <c r="AD14" s="11"/>
      <c r="AG14" s="11"/>
      <c r="AH14" s="11"/>
      <c r="AI14" s="11"/>
      <c r="AJ14" s="11"/>
      <c r="AK14" s="11"/>
      <c r="AL14" s="12"/>
      <c r="AM14" s="13"/>
      <c r="AN14" s="11"/>
      <c r="AO14" s="11"/>
      <c r="AP14" s="11"/>
      <c r="AQ14" s="11"/>
      <c r="AR14" s="11"/>
    </row>
    <row r="15" spans="5:44" ht="15"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S15" s="14">
        <f>+[1]미국연간!$AQ$32</f>
        <v>1514946.3900000001</v>
      </c>
      <c r="T15" s="15"/>
      <c r="U15" s="108">
        <v>-521248.53999999911</v>
      </c>
      <c r="V15" s="15"/>
      <c r="W15" s="15"/>
      <c r="X15" s="15"/>
      <c r="Y15" s="15"/>
      <c r="Z15" s="15"/>
      <c r="AA15" s="15"/>
      <c r="AB15" s="15"/>
      <c r="AC15" s="15"/>
      <c r="AD15" s="15"/>
      <c r="AG15" s="14" t="s">
        <v>126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5:44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</row>
    <row r="17" spans="3:44" ht="16.5">
      <c r="E17" s="16"/>
      <c r="F17" s="18" t="s">
        <v>124</v>
      </c>
      <c r="G17" s="19"/>
      <c r="H17" s="19"/>
      <c r="I17" s="19"/>
      <c r="J17" s="19"/>
      <c r="K17" s="19"/>
      <c r="L17" s="19"/>
      <c r="M17" s="19"/>
      <c r="N17" s="19"/>
      <c r="O17" s="19"/>
      <c r="P17" s="18"/>
      <c r="Q17" s="20"/>
      <c r="R17" s="21"/>
      <c r="S17" s="18" t="s">
        <v>125</v>
      </c>
      <c r="T17" s="19"/>
      <c r="U17" s="19"/>
      <c r="V17" s="19"/>
      <c r="W17" s="19"/>
      <c r="X17" s="19"/>
      <c r="Y17" s="19"/>
      <c r="Z17" s="19"/>
      <c r="AA17" s="19"/>
      <c r="AB17" s="19"/>
      <c r="AC17" s="18"/>
      <c r="AD17" s="20"/>
      <c r="AE17" s="21"/>
      <c r="AG17" s="18" t="s">
        <v>127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8"/>
      <c r="AR17" s="20"/>
    </row>
    <row r="18" spans="3:44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S18" s="22" t="s">
        <v>18</v>
      </c>
      <c r="T18" s="22"/>
      <c r="U18" s="22" t="s">
        <v>19</v>
      </c>
      <c r="V18" s="22"/>
      <c r="W18" s="22" t="s">
        <v>20</v>
      </c>
      <c r="X18" s="22"/>
      <c r="Y18" s="22" t="s">
        <v>21</v>
      </c>
      <c r="Z18" s="22"/>
      <c r="AA18" s="20" t="s">
        <v>22</v>
      </c>
      <c r="AB18" s="18"/>
      <c r="AC18" s="22" t="s">
        <v>23</v>
      </c>
      <c r="AD18" s="22"/>
      <c r="AE18" s="21"/>
      <c r="AG18" s="22" t="s">
        <v>18</v>
      </c>
      <c r="AH18" s="22"/>
      <c r="AI18" s="22" t="s">
        <v>19</v>
      </c>
      <c r="AJ18" s="22"/>
      <c r="AK18" s="22" t="s">
        <v>20</v>
      </c>
      <c r="AL18" s="22"/>
      <c r="AM18" s="22" t="s">
        <v>21</v>
      </c>
      <c r="AN18" s="22"/>
      <c r="AO18" s="20" t="s">
        <v>22</v>
      </c>
      <c r="AP18" s="18"/>
      <c r="AQ18" s="22" t="s">
        <v>23</v>
      </c>
      <c r="AR18" s="22"/>
    </row>
    <row r="19" spans="3:44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S19" s="23"/>
      <c r="T19" s="24"/>
      <c r="U19" s="25"/>
      <c r="V19" s="24"/>
      <c r="W19" s="25"/>
      <c r="X19" s="24"/>
      <c r="Y19" s="25"/>
      <c r="Z19" s="24"/>
      <c r="AA19" s="16"/>
      <c r="AB19" s="16"/>
      <c r="AC19" s="25"/>
      <c r="AD19" s="24"/>
      <c r="AE19" s="21"/>
      <c r="AG19" s="23"/>
      <c r="AH19" s="24"/>
      <c r="AI19" s="25"/>
      <c r="AJ19" s="24"/>
      <c r="AK19" s="25"/>
      <c r="AL19" s="24"/>
      <c r="AM19" s="25"/>
      <c r="AN19" s="24"/>
      <c r="AO19" s="16"/>
      <c r="AP19" s="16"/>
      <c r="AQ19" s="25"/>
      <c r="AR19" s="24"/>
    </row>
    <row r="20" spans="3:44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S20" s="23"/>
      <c r="T20" s="24"/>
      <c r="U20" s="25"/>
      <c r="V20" s="24"/>
      <c r="W20" s="25"/>
      <c r="X20" s="24"/>
      <c r="Y20" s="25"/>
      <c r="Z20" s="24"/>
      <c r="AA20" s="16"/>
      <c r="AB20" s="16"/>
      <c r="AC20" s="25"/>
      <c r="AD20" s="24"/>
      <c r="AE20" s="21"/>
      <c r="AG20" s="23"/>
      <c r="AH20" s="24"/>
      <c r="AI20" s="25"/>
      <c r="AJ20" s="24"/>
      <c r="AK20" s="25"/>
      <c r="AL20" s="24"/>
      <c r="AM20" s="25"/>
      <c r="AN20" s="24"/>
      <c r="AO20" s="16"/>
      <c r="AP20" s="16"/>
      <c r="AQ20" s="25"/>
      <c r="AR20" s="24"/>
    </row>
    <row r="21" spans="3:44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S21" s="23"/>
      <c r="T21" s="24"/>
      <c r="U21" s="25"/>
      <c r="V21" s="24"/>
      <c r="W21" s="25"/>
      <c r="X21" s="24"/>
      <c r="Y21" s="25"/>
      <c r="Z21" s="24"/>
      <c r="AA21" s="16"/>
      <c r="AB21" s="16"/>
      <c r="AC21" s="25"/>
      <c r="AD21" s="24"/>
      <c r="AE21" s="21"/>
      <c r="AG21" s="23"/>
      <c r="AH21" s="24"/>
      <c r="AI21" s="25"/>
      <c r="AJ21" s="24"/>
      <c r="AK21" s="25"/>
      <c r="AL21" s="24"/>
      <c r="AM21" s="25"/>
      <c r="AN21" s="24"/>
      <c r="AO21" s="16"/>
      <c r="AP21" s="16"/>
      <c r="AQ21" s="25"/>
      <c r="AR21" s="24"/>
    </row>
    <row r="22" spans="3:44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S22" s="23"/>
      <c r="T22" s="24"/>
      <c r="U22" s="25"/>
      <c r="V22" s="24"/>
      <c r="W22" s="25"/>
      <c r="X22" s="24"/>
      <c r="Y22" s="25"/>
      <c r="Z22" s="24"/>
      <c r="AA22" s="16"/>
      <c r="AB22" s="16"/>
      <c r="AC22" s="25"/>
      <c r="AD22" s="24"/>
      <c r="AE22" s="21"/>
      <c r="AG22" s="23"/>
      <c r="AH22" s="24"/>
      <c r="AI22" s="25"/>
      <c r="AJ22" s="24"/>
      <c r="AK22" s="25"/>
      <c r="AL22" s="24"/>
      <c r="AM22" s="25"/>
      <c r="AN22" s="24"/>
      <c r="AO22" s="16"/>
      <c r="AP22" s="16"/>
      <c r="AQ22" s="25"/>
      <c r="AR22" s="24"/>
    </row>
    <row r="23" spans="3:44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S23" s="23"/>
      <c r="T23" s="24"/>
      <c r="U23" s="25"/>
      <c r="V23" s="24"/>
      <c r="W23" s="25"/>
      <c r="X23" s="24"/>
      <c r="Y23" s="25"/>
      <c r="Z23" s="24"/>
      <c r="AA23" s="16"/>
      <c r="AB23" s="16"/>
      <c r="AC23" s="25"/>
      <c r="AD23" s="24"/>
      <c r="AE23" s="21"/>
      <c r="AG23" s="23"/>
      <c r="AH23" s="24"/>
      <c r="AI23" s="25"/>
      <c r="AJ23" s="24"/>
      <c r="AK23" s="25"/>
      <c r="AL23" s="24"/>
      <c r="AM23" s="25"/>
      <c r="AN23" s="24"/>
      <c r="AO23" s="16"/>
      <c r="AP23" s="16"/>
      <c r="AQ23" s="25"/>
      <c r="AR23" s="24"/>
    </row>
    <row r="24" spans="3:44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S24" s="23"/>
      <c r="T24" s="24"/>
      <c r="U24" s="25"/>
      <c r="V24" s="24"/>
      <c r="W24" s="25"/>
      <c r="X24" s="24"/>
      <c r="Y24" s="25"/>
      <c r="Z24" s="24"/>
      <c r="AA24" s="16"/>
      <c r="AB24" s="16"/>
      <c r="AC24" s="25"/>
      <c r="AD24" s="24"/>
      <c r="AE24" s="21"/>
      <c r="AG24" s="23"/>
      <c r="AH24" s="24"/>
      <c r="AI24" s="25"/>
      <c r="AJ24" s="24"/>
      <c r="AK24" s="25"/>
      <c r="AL24" s="24"/>
      <c r="AM24" s="25"/>
      <c r="AN24" s="24"/>
      <c r="AO24" s="16"/>
      <c r="AP24" s="16"/>
      <c r="AQ24" s="25"/>
      <c r="AR24" s="24"/>
    </row>
    <row r="25" spans="3:44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S25" s="23"/>
      <c r="T25" s="24"/>
      <c r="U25" s="25"/>
      <c r="V25" s="24"/>
      <c r="W25" s="25"/>
      <c r="X25" s="24"/>
      <c r="Y25" s="25"/>
      <c r="Z25" s="24"/>
      <c r="AA25" s="16"/>
      <c r="AB25" s="16"/>
      <c r="AC25" s="25"/>
      <c r="AD25" s="24"/>
      <c r="AE25" s="21"/>
      <c r="AG25" s="23"/>
      <c r="AH25" s="24"/>
      <c r="AI25" s="25"/>
      <c r="AJ25" s="24"/>
      <c r="AK25" s="25"/>
      <c r="AL25" s="24"/>
      <c r="AM25" s="25"/>
      <c r="AN25" s="24"/>
      <c r="AO25" s="16"/>
      <c r="AP25" s="16"/>
      <c r="AQ25" s="25"/>
      <c r="AR25" s="24"/>
    </row>
    <row r="26" spans="3:44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S26" s="23"/>
      <c r="T26" s="24"/>
      <c r="U26" s="25"/>
      <c r="V26" s="24"/>
      <c r="W26" s="25"/>
      <c r="X26" s="24"/>
      <c r="Y26" s="25"/>
      <c r="Z26" s="24"/>
      <c r="AA26" s="16"/>
      <c r="AB26" s="16"/>
      <c r="AC26" s="25"/>
      <c r="AD26" s="24"/>
      <c r="AE26" s="21"/>
      <c r="AG26" s="23"/>
      <c r="AH26" s="24"/>
      <c r="AI26" s="25"/>
      <c r="AJ26" s="24"/>
      <c r="AK26" s="25"/>
      <c r="AL26" s="24"/>
      <c r="AM26" s="25"/>
      <c r="AN26" s="24"/>
      <c r="AO26" s="16"/>
      <c r="AP26" s="16"/>
      <c r="AQ26" s="25"/>
      <c r="AR26" s="24"/>
    </row>
    <row r="27" spans="3:44" collapsed="1">
      <c r="E27" s="26" t="s">
        <v>28</v>
      </c>
      <c r="F27" s="27">
        <f>+'1월'!F27+'2월'!F27+'3월'!F27+'4월'!F27+'5월'!F27+'6월'!F27+'7월'!F27+'8월'!F27+'9월'!F27+'10월'!F27+'11월'!F27+'12월'!F27</f>
        <v>6580789</v>
      </c>
      <c r="G27" s="24"/>
      <c r="H27" s="27">
        <f>+'1월'!H27+'2월'!H27+'3월'!H27+'4월'!H27+'5월'!H27+'6월'!H27+'7월'!H27+'8월'!H27+'9월'!H27+'10월'!H27+'11월'!H27+'12월'!H27</f>
        <v>24361330</v>
      </c>
      <c r="I27" s="24"/>
      <c r="J27" s="27">
        <f>+'1월'!J27+'2월'!J27+'3월'!J27+'4월'!J27+'5월'!J27+'6월'!J27+'7월'!J27+'8월'!J27+'9월'!J27+'10월'!J27+'11월'!J27+'12월'!J27</f>
        <v>2278389</v>
      </c>
      <c r="K27" s="24"/>
      <c r="L27" s="27">
        <f>+'1월'!L27+'2월'!L27+'3월'!L27+'4월'!L27+'5월'!L27+'6월'!L27+'7월'!L27+'8월'!L27+'9월'!L27+'10월'!L27+'11월'!L27+'12월'!L27</f>
        <v>976931.59999999986</v>
      </c>
      <c r="M27" s="24"/>
      <c r="N27" s="28">
        <f>+'1월'!N27+'2월'!N27+'3월'!N27+'4월'!N27+'5월'!N27+'6월'!N27+'7월'!N27+'8월'!N27+'9월'!N27+'10월'!N27+'11월'!N27+'12월'!N27</f>
        <v>216333.55</v>
      </c>
      <c r="O27" s="16"/>
      <c r="P27" s="23">
        <f>SUM(F27,H27,J27,L27,N27)</f>
        <v>34413773.149999999</v>
      </c>
      <c r="Q27" s="24"/>
      <c r="R27" s="21"/>
      <c r="S27" s="27">
        <f>+'1월'!AH27+'2월'!AH27+'3월'!AH27+'4월'!AH27+'5월'!AH27+'6월'!AH27+'7월'!AH27+'8월'!AH27+'9월'!AH27+'10월'!AH27+'11월'!AH27+'12월'!AH27</f>
        <v>4134919</v>
      </c>
      <c r="T27" s="24"/>
      <c r="U27" s="27">
        <f>+'1월'!AJ27+'2월'!AJ27+'3월'!AJ27+'4월'!AJ27+'5월'!AJ27+'6월'!AJ27+'7월'!AJ27+'8월'!AJ27+'9월'!AJ27+'10월'!AJ27+'11월'!AJ27+'12월'!AJ27</f>
        <v>38162577</v>
      </c>
      <c r="V27" s="24"/>
      <c r="W27" s="27">
        <f>+'1월'!AL27+'2월'!AL27+'3월'!AL27+'4월'!AL27+'5월'!AL27+'6월'!AL27+'7월'!AL27+'8월'!AL27+'9월'!AL27+'10월'!AL27+'11월'!AL27+'12월'!AL27</f>
        <v>1491938</v>
      </c>
      <c r="X27" s="24"/>
      <c r="Y27" s="27">
        <f>+'1월'!AN27+'2월'!AN27+'3월'!AN27+'4월'!AN27+'5월'!AN27+'6월'!AN27+'7월'!AN27+'8월'!AN27+'9월'!AN27+'10월'!AN27+'11월'!AN27+'12월'!AN27</f>
        <v>832330.89</v>
      </c>
      <c r="Z27" s="24"/>
      <c r="AA27" s="28">
        <f>+'1월'!AP27+'2월'!AP27+'3월'!AP27+'4월'!AP27+'5월'!AP27+'6월'!AP27+'7월'!AP27+'8월'!AP27+'9월'!AP27+'10월'!AP27+'11월'!AP27+'12월'!AP27</f>
        <v>149791.74</v>
      </c>
      <c r="AB27" s="16"/>
      <c r="AC27" s="23">
        <f>SUM(S27,U27,W27,Y27,AA27)</f>
        <v>44771556.630000003</v>
      </c>
      <c r="AD27" s="24"/>
      <c r="AE27" s="21"/>
      <c r="AG27" s="29">
        <f t="shared" ref="AG27:AG28" si="0">+S27-F27</f>
        <v>-2445870</v>
      </c>
      <c r="AH27" s="30"/>
      <c r="AI27" s="29">
        <f t="shared" ref="AI27:AI53" si="1">+U27-H27</f>
        <v>13801247</v>
      </c>
      <c r="AJ27" s="30"/>
      <c r="AK27" s="29">
        <f t="shared" ref="AK27:AK53" si="2">+W27-J27</f>
        <v>-786451</v>
      </c>
      <c r="AL27" s="30"/>
      <c r="AM27" s="29">
        <f t="shared" ref="AM27:AM53" si="3">+Y27-L27</f>
        <v>-144600.70999999985</v>
      </c>
      <c r="AN27" s="30"/>
      <c r="AO27" s="29">
        <f t="shared" ref="AO27:AO53" si="4">+AA27-N27</f>
        <v>-66541.81</v>
      </c>
      <c r="AP27" s="30"/>
      <c r="AQ27" s="29">
        <f t="shared" ref="AQ27:AQ53" si="5">+AC27-P27</f>
        <v>10357783.480000004</v>
      </c>
      <c r="AR27" s="30"/>
    </row>
    <row r="28" spans="3:44">
      <c r="E28" s="26" t="s">
        <v>29</v>
      </c>
      <c r="F28" s="23">
        <f>F27-F29</f>
        <v>4051936.1099999994</v>
      </c>
      <c r="G28" s="31"/>
      <c r="H28" s="23">
        <f>H27-H29</f>
        <v>9113308.4400000013</v>
      </c>
      <c r="I28" s="31"/>
      <c r="J28" s="23">
        <f>J27-J29</f>
        <v>439345.76</v>
      </c>
      <c r="K28" s="31"/>
      <c r="L28" s="23">
        <f>L27-L29</f>
        <v>0</v>
      </c>
      <c r="M28" s="31"/>
      <c r="N28" s="32">
        <f>N27-N29</f>
        <v>0</v>
      </c>
      <c r="O28" s="32"/>
      <c r="P28" s="23">
        <f>SUM(F28,H28,J28,L28,N28)</f>
        <v>13604590.310000001</v>
      </c>
      <c r="Q28" s="31"/>
      <c r="R28" s="21"/>
      <c r="S28" s="23">
        <f>S27-S29</f>
        <v>2619972.61</v>
      </c>
      <c r="T28" s="31"/>
      <c r="U28" s="23">
        <f>U27-U29</f>
        <v>18659740.82</v>
      </c>
      <c r="V28" s="31"/>
      <c r="W28" s="23">
        <f>W27-W29</f>
        <v>673067.61</v>
      </c>
      <c r="X28" s="31"/>
      <c r="Y28" s="23">
        <f>Y27-Y29</f>
        <v>0</v>
      </c>
      <c r="Z28" s="31"/>
      <c r="AA28" s="32">
        <f>AA27-AA29</f>
        <v>0</v>
      </c>
      <c r="AB28" s="32"/>
      <c r="AC28" s="23">
        <f>SUM(S28,U28,W28,Y28,AA28)</f>
        <v>21952781.039999999</v>
      </c>
      <c r="AD28" s="31"/>
      <c r="AE28" s="21"/>
      <c r="AG28" s="29">
        <f t="shared" si="0"/>
        <v>-1431963.4999999995</v>
      </c>
      <c r="AH28" s="33"/>
      <c r="AI28" s="29">
        <f t="shared" si="1"/>
        <v>9546432.379999999</v>
      </c>
      <c r="AJ28" s="33"/>
      <c r="AK28" s="29">
        <f t="shared" si="2"/>
        <v>233721.84999999998</v>
      </c>
      <c r="AL28" s="33"/>
      <c r="AM28" s="29">
        <f t="shared" si="3"/>
        <v>0</v>
      </c>
      <c r="AN28" s="33"/>
      <c r="AO28" s="29">
        <f t="shared" si="4"/>
        <v>0</v>
      </c>
      <c r="AP28" s="33"/>
      <c r="AQ28" s="29">
        <f t="shared" si="5"/>
        <v>8348190.7299999986</v>
      </c>
      <c r="AR28" s="33"/>
    </row>
    <row r="29" spans="3:44" ht="15">
      <c r="C29" s="16" t="s">
        <v>30</v>
      </c>
      <c r="E29" s="34" t="s">
        <v>31</v>
      </c>
      <c r="F29" s="35">
        <f>+'1월'!F29+'2월'!F29+'3월'!F29+'4월'!F29+'5월'!F29+'6월'!F29+'7월'!F29+'8월'!F29+'9월'!F29+'10월'!F29+'11월'!F29+'12월'!F29</f>
        <v>2528852.8900000006</v>
      </c>
      <c r="G29" s="36">
        <f>IFERROR(1-F29/F27,0)</f>
        <v>0.61572193091132377</v>
      </c>
      <c r="H29" s="35">
        <f>+'1월'!H29+'2월'!H29+'3월'!H29+'4월'!H29+'5월'!H29+'6월'!H29+'7월'!H29+'8월'!H29+'9월'!H29+'10월'!H29+'11월'!H29+'12월'!H29</f>
        <v>15248021.559999999</v>
      </c>
      <c r="I29" s="36">
        <f>IFERROR(1-H29/H27,0)</f>
        <v>0.37408911746608253</v>
      </c>
      <c r="J29" s="35">
        <f>+'1월'!J29+'2월'!J29+'3월'!J29+'4월'!J29+'5월'!J29+'6월'!J29+'7월'!J29+'8월'!J29+'9월'!J29+'10월'!J29+'11월'!J29+'12월'!J29</f>
        <v>1839043.24</v>
      </c>
      <c r="K29" s="36">
        <f>IFERROR(1-J29/J27,0)</f>
        <v>0.19283175963367094</v>
      </c>
      <c r="L29" s="35">
        <f>+'1월'!L29+'2월'!L29+'3월'!L29+'4월'!L29+'5월'!L29+'6월'!L29+'7월'!L29+'8월'!L29+'9월'!L29+'10월'!L29+'11월'!L29+'12월'!L29</f>
        <v>976931.59999999986</v>
      </c>
      <c r="M29" s="36">
        <f>IFERROR(1-L29/L27,0)</f>
        <v>0</v>
      </c>
      <c r="N29" s="37">
        <f>+'1월'!N29+'2월'!N29+'3월'!N29+'4월'!N29+'5월'!N29+'6월'!N29+'7월'!N29+'8월'!N29+'9월'!N29+'10월'!N29+'11월'!N29+'12월'!N29</f>
        <v>216333.55</v>
      </c>
      <c r="O29" s="36">
        <f>IFERROR(1-N29/N27,0)</f>
        <v>0</v>
      </c>
      <c r="P29" s="35">
        <f>SUM(F29,H29,J29,L29,N29)</f>
        <v>20809182.84</v>
      </c>
      <c r="Q29" s="36">
        <f>IFERROR(1-P29/P27,0)</f>
        <v>0.39532399573570154</v>
      </c>
      <c r="R29" s="21"/>
      <c r="S29" s="35">
        <f>+'1월'!AH29+'2월'!AH29+'3월'!AH29+'4월'!AH29+'5월'!AH29+'6월'!AH29+'7월'!AH29+'8월'!AH29+'9월'!AH29+'10월'!AH29+'11월'!AH29+'12월'!AH29</f>
        <v>1514946.3900000001</v>
      </c>
      <c r="T29" s="36">
        <f>IFERROR(1-S29/S27,0)</f>
        <v>0.63362126561608578</v>
      </c>
      <c r="U29" s="35">
        <f>+'1월'!AJ29+'2월'!AJ29+'3월'!AJ29+'4월'!AJ29+'5월'!AJ29+'6월'!AJ29+'7월'!AJ29+'8월'!AJ29+'9월'!AJ29+'10월'!AJ29+'11월'!AJ29+'12월'!AJ29</f>
        <v>19502836.18</v>
      </c>
      <c r="V29" s="36">
        <f>IFERROR(1-U29/U27,0)</f>
        <v>0.48895389899901154</v>
      </c>
      <c r="W29" s="35">
        <f>+'1월'!AL29+'2월'!AL29+'3월'!AL29+'4월'!AL29+'5월'!AL29+'6월'!AL29+'7월'!AL29+'8월'!AL29+'9월'!AL29+'10월'!AL29+'11월'!AL29+'12월'!AL29</f>
        <v>818870.39</v>
      </c>
      <c r="X29" s="36">
        <f>IFERROR(1-W29/W27,0)</f>
        <v>0.45113644802934172</v>
      </c>
      <c r="Y29" s="35">
        <f>+'1월'!AN29+'2월'!AN29+'3월'!AN29+'4월'!AN29+'5월'!AN29+'6월'!AN29+'7월'!AN29+'8월'!AN29+'9월'!AN29+'10월'!AN29+'11월'!AN29+'12월'!AN29</f>
        <v>832330.89</v>
      </c>
      <c r="Z29" s="36">
        <f>IFERROR(1-Y29/Y27,0)</f>
        <v>0</v>
      </c>
      <c r="AA29" s="37">
        <f>+'1월'!AP29+'2월'!AP29+'3월'!AP29+'4월'!AP29+'5월'!AP29+'6월'!AP29+'7월'!AP29+'8월'!AP29+'9월'!AP29+'10월'!AP29+'11월'!AP29+'12월'!AP29</f>
        <v>149791.74</v>
      </c>
      <c r="AB29" s="36">
        <f>IFERROR(1-AA29/AA27,0)</f>
        <v>0</v>
      </c>
      <c r="AC29" s="35">
        <f>SUM(S29,U29,W29,Y29,AA29)</f>
        <v>22818775.59</v>
      </c>
      <c r="AD29" s="36">
        <f>IFERROR(1-AC29/AC27,0)</f>
        <v>0.49032874200514487</v>
      </c>
      <c r="AE29" s="21"/>
      <c r="AG29" s="38">
        <f>+S29-F29</f>
        <v>-1013906.5000000005</v>
      </c>
      <c r="AH29" s="39">
        <f>(T29-G29)*100</f>
        <v>1.7899334704762015</v>
      </c>
      <c r="AI29" s="38">
        <f t="shared" si="1"/>
        <v>4254814.620000001</v>
      </c>
      <c r="AJ29" s="39">
        <f t="shared" ref="AJ29:AJ53" si="6">(V29-I29)*100</f>
        <v>11.4864781532929</v>
      </c>
      <c r="AK29" s="38">
        <f t="shared" si="2"/>
        <v>-1020172.85</v>
      </c>
      <c r="AL29" s="39">
        <f t="shared" ref="AL29:AL53" si="7">(X29-K29)*100</f>
        <v>25.830468839567079</v>
      </c>
      <c r="AM29" s="38">
        <f t="shared" si="3"/>
        <v>-144600.70999999985</v>
      </c>
      <c r="AN29" s="39">
        <f t="shared" ref="AN29:AN54" si="8">(Z29-M29)*100</f>
        <v>0</v>
      </c>
      <c r="AO29" s="38">
        <f t="shared" si="4"/>
        <v>-66541.81</v>
      </c>
      <c r="AP29" s="39">
        <f t="shared" ref="AP29:AP52" si="9">(AB29-O29)*100</f>
        <v>0</v>
      </c>
      <c r="AQ29" s="38">
        <f t="shared" si="5"/>
        <v>2009592.75</v>
      </c>
      <c r="AR29" s="39">
        <f t="shared" ref="AR29" si="10">(AD29-Q29)*100</f>
        <v>9.5004746269443334</v>
      </c>
    </row>
    <row r="30" spans="3:44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S30" s="41"/>
      <c r="T30" s="42"/>
      <c r="U30" s="41"/>
      <c r="V30" s="42"/>
      <c r="W30" s="41"/>
      <c r="X30" s="42"/>
      <c r="Y30" s="41"/>
      <c r="Z30" s="42"/>
      <c r="AA30" s="43"/>
      <c r="AB30" s="43"/>
      <c r="AC30" s="41"/>
      <c r="AD30" s="42"/>
      <c r="AE30" s="21"/>
      <c r="AG30" s="44"/>
      <c r="AH30" s="45"/>
      <c r="AI30" s="44">
        <f t="shared" si="1"/>
        <v>0</v>
      </c>
      <c r="AJ30" s="45">
        <f t="shared" si="6"/>
        <v>0</v>
      </c>
      <c r="AK30" s="44">
        <f t="shared" si="2"/>
        <v>0</v>
      </c>
      <c r="AL30" s="45">
        <f t="shared" si="7"/>
        <v>0</v>
      </c>
      <c r="AM30" s="44">
        <f t="shared" si="3"/>
        <v>0</v>
      </c>
      <c r="AN30" s="45">
        <f t="shared" si="8"/>
        <v>0</v>
      </c>
      <c r="AO30" s="44">
        <f t="shared" si="4"/>
        <v>0</v>
      </c>
      <c r="AP30" s="45">
        <f t="shared" si="9"/>
        <v>0</v>
      </c>
      <c r="AQ30" s="44">
        <f t="shared" si="5"/>
        <v>0</v>
      </c>
      <c r="AR30" s="45"/>
    </row>
    <row r="31" spans="3:44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S31" s="23"/>
      <c r="T31" s="31"/>
      <c r="U31" s="23"/>
      <c r="V31" s="31"/>
      <c r="W31" s="23"/>
      <c r="X31" s="31"/>
      <c r="Y31" s="23"/>
      <c r="Z31" s="31"/>
      <c r="AA31" s="32"/>
      <c r="AB31" s="32"/>
      <c r="AC31" s="23"/>
      <c r="AD31" s="31"/>
      <c r="AE31" s="21"/>
      <c r="AG31" s="29"/>
      <c r="AH31" s="33"/>
      <c r="AI31" s="29">
        <f t="shared" si="1"/>
        <v>0</v>
      </c>
      <c r="AJ31" s="33">
        <f t="shared" si="6"/>
        <v>0</v>
      </c>
      <c r="AK31" s="29">
        <f t="shared" si="2"/>
        <v>0</v>
      </c>
      <c r="AL31" s="33">
        <f t="shared" si="7"/>
        <v>0</v>
      </c>
      <c r="AM31" s="29">
        <f t="shared" si="3"/>
        <v>0</v>
      </c>
      <c r="AN31" s="33">
        <f t="shared" si="8"/>
        <v>0</v>
      </c>
      <c r="AO31" s="29">
        <f t="shared" si="4"/>
        <v>0</v>
      </c>
      <c r="AP31" s="33">
        <f t="shared" si="9"/>
        <v>0</v>
      </c>
      <c r="AQ31" s="29">
        <f t="shared" si="5"/>
        <v>0</v>
      </c>
      <c r="AR31" s="33"/>
    </row>
    <row r="32" spans="3:44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S32" s="23"/>
      <c r="T32" s="31"/>
      <c r="U32" s="23"/>
      <c r="V32" s="31"/>
      <c r="W32" s="23"/>
      <c r="X32" s="31"/>
      <c r="Y32" s="23"/>
      <c r="Z32" s="31"/>
      <c r="AA32" s="32"/>
      <c r="AB32" s="32"/>
      <c r="AC32" s="23"/>
      <c r="AD32" s="31"/>
      <c r="AE32" s="21"/>
      <c r="AG32" s="29"/>
      <c r="AH32" s="33"/>
      <c r="AI32" s="29">
        <f t="shared" si="1"/>
        <v>0</v>
      </c>
      <c r="AJ32" s="33">
        <f t="shared" si="6"/>
        <v>0</v>
      </c>
      <c r="AK32" s="29">
        <f t="shared" si="2"/>
        <v>0</v>
      </c>
      <c r="AL32" s="33">
        <f t="shared" si="7"/>
        <v>0</v>
      </c>
      <c r="AM32" s="29">
        <f t="shared" si="3"/>
        <v>0</v>
      </c>
      <c r="AN32" s="33">
        <f t="shared" si="8"/>
        <v>0</v>
      </c>
      <c r="AO32" s="29">
        <f t="shared" si="4"/>
        <v>0</v>
      </c>
      <c r="AP32" s="33">
        <f t="shared" si="9"/>
        <v>0</v>
      </c>
      <c r="AQ32" s="29">
        <f t="shared" si="5"/>
        <v>0</v>
      </c>
      <c r="AR32" s="33"/>
    </row>
    <row r="33" spans="1:46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S33" s="41"/>
      <c r="T33" s="51"/>
      <c r="U33" s="41"/>
      <c r="V33" s="51"/>
      <c r="W33" s="41"/>
      <c r="X33" s="51"/>
      <c r="Y33" s="41"/>
      <c r="Z33" s="51"/>
      <c r="AA33" s="41"/>
      <c r="AB33" s="51"/>
      <c r="AC33" s="41"/>
      <c r="AD33" s="51">
        <f>IFERROR(AC29/#REF!-1,0)</f>
        <v>0</v>
      </c>
      <c r="AE33" s="49"/>
      <c r="AG33" s="44"/>
      <c r="AH33" s="52"/>
      <c r="AI33" s="44"/>
      <c r="AJ33" s="52"/>
      <c r="AK33" s="44"/>
      <c r="AL33" s="52"/>
      <c r="AM33" s="44"/>
      <c r="AN33" s="52"/>
      <c r="AO33" s="44"/>
      <c r="AP33" s="52"/>
      <c r="AQ33" s="44"/>
      <c r="AR33" s="52"/>
    </row>
    <row r="34" spans="1:46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S34" s="41">
        <f>S29-F29</f>
        <v>-1013906.5000000005</v>
      </c>
      <c r="T34" s="51">
        <f>IFERROR(S29/F29-1,0)</f>
        <v>-0.40093534266439679</v>
      </c>
      <c r="U34" s="41">
        <f>U29-H29</f>
        <v>4254814.620000001</v>
      </c>
      <c r="V34" s="51">
        <f>IFERROR(U29/H29-1,0)</f>
        <v>0.2790404383452354</v>
      </c>
      <c r="W34" s="41">
        <f>W29-J29</f>
        <v>-1020172.85</v>
      </c>
      <c r="X34" s="51">
        <f>IFERROR(W29/J29-1,0)</f>
        <v>-0.55473021395625266</v>
      </c>
      <c r="Y34" s="41">
        <f>Y29-L29</f>
        <v>-144600.70999999985</v>
      </c>
      <c r="Z34" s="51">
        <f>IFERROR(Y29/L29-1,0)</f>
        <v>-0.14801518345808429</v>
      </c>
      <c r="AA34" s="41">
        <f>AA29-N29</f>
        <v>-66541.81</v>
      </c>
      <c r="AB34" s="51">
        <f>IFERROR(AA29/N29-1,0)</f>
        <v>-0.3075889523377211</v>
      </c>
      <c r="AC34" s="41">
        <f>AC29-P29</f>
        <v>2009592.75</v>
      </c>
      <c r="AD34" s="51">
        <f>IFERROR(AC29/P29-1,0)</f>
        <v>9.6572401014090037E-2</v>
      </c>
      <c r="AE34" s="49"/>
      <c r="AG34" s="44"/>
      <c r="AH34" s="52"/>
      <c r="AI34" s="44"/>
      <c r="AJ34" s="52"/>
      <c r="AK34" s="44"/>
      <c r="AL34" s="52"/>
      <c r="AM34" s="44"/>
      <c r="AN34" s="52"/>
      <c r="AO34" s="44"/>
      <c r="AP34" s="52"/>
      <c r="AQ34" s="44"/>
      <c r="AR34" s="52"/>
    </row>
    <row r="35" spans="1:46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S35" s="23"/>
      <c r="T35" s="31"/>
      <c r="U35" s="23"/>
      <c r="V35" s="31"/>
      <c r="W35" s="23"/>
      <c r="X35" s="31"/>
      <c r="Y35" s="23"/>
      <c r="Z35" s="31"/>
      <c r="AA35" s="32"/>
      <c r="AB35" s="32"/>
      <c r="AC35" s="23"/>
      <c r="AD35" s="31"/>
      <c r="AE35" s="21"/>
      <c r="AG35" s="29"/>
      <c r="AH35" s="33"/>
      <c r="AI35" s="29">
        <f t="shared" si="1"/>
        <v>0</v>
      </c>
      <c r="AJ35" s="33">
        <f t="shared" si="6"/>
        <v>0</v>
      </c>
      <c r="AK35" s="29">
        <f t="shared" si="2"/>
        <v>0</v>
      </c>
      <c r="AL35" s="33">
        <f t="shared" si="7"/>
        <v>0</v>
      </c>
      <c r="AM35" s="29">
        <f t="shared" si="3"/>
        <v>0</v>
      </c>
      <c r="AN35" s="33">
        <f t="shared" si="8"/>
        <v>0</v>
      </c>
      <c r="AO35" s="29">
        <f t="shared" si="4"/>
        <v>0</v>
      </c>
      <c r="AP35" s="33">
        <f t="shared" si="9"/>
        <v>0</v>
      </c>
      <c r="AQ35" s="29">
        <f t="shared" si="5"/>
        <v>0</v>
      </c>
      <c r="AR35" s="33"/>
    </row>
    <row r="36" spans="1:46">
      <c r="C36" s="16" t="s">
        <v>37</v>
      </c>
      <c r="E36" s="26" t="s">
        <v>38</v>
      </c>
      <c r="F36" s="23">
        <f>+'1월'!F36+'2월'!F36+'3월'!F36+'4월'!F36+'5월'!F36+'6월'!F36+'7월'!F36+'8월'!F36+'9월'!F36+'10월'!F36+'11월'!F36+'12월'!F36</f>
        <v>1244038.0799999998</v>
      </c>
      <c r="G36" s="53">
        <f>IFERROR(F36/F$29,0)</f>
        <v>0.49193770223621019</v>
      </c>
      <c r="H36" s="23">
        <f>+'1월'!H36+'2월'!H36+'3월'!H36+'4월'!H36+'5월'!H36+'6월'!H36+'7월'!H36+'8월'!H36+'9월'!H36+'10월'!H36+'11월'!H36+'12월'!H36</f>
        <v>4574158.1100000003</v>
      </c>
      <c r="I36" s="53">
        <f>IFERROR(H36/H$29,0)</f>
        <v>0.29998371211641972</v>
      </c>
      <c r="J36" s="23">
        <f>+'1월'!J36+'2월'!J36+'3월'!J36+'4월'!J36+'5월'!J36+'6월'!J36+'7월'!J36+'8월'!J36+'9월'!J36+'10월'!J36+'11월'!J36+'12월'!J36</f>
        <v>427578.23</v>
      </c>
      <c r="K36" s="53">
        <f>IFERROR(J36/J$29,0)</f>
        <v>0.23250036796307191</v>
      </c>
      <c r="L36" s="23">
        <f>+'1월'!L36+'2월'!L36+'3월'!L36+'4월'!L36+'5월'!L36+'6월'!L36+'7월'!L36+'8월'!L36+'9월'!L36+'10월'!L36+'11월'!L36+'12월'!L36</f>
        <v>0</v>
      </c>
      <c r="M36" s="53">
        <f>IFERROR(L36/L$29,0)</f>
        <v>0</v>
      </c>
      <c r="N36" s="32">
        <f>+'1월'!N36+'2월'!N36+'3월'!N36+'4월'!N36+'5월'!N36+'6월'!N36+'7월'!N36+'8월'!N36+'9월'!N36+'10월'!N36+'11월'!N36+'12월'!N36</f>
        <v>391574.98</v>
      </c>
      <c r="O36" s="54">
        <f>IFERROR(N36/N$29,0)</f>
        <v>1.8100520238307929</v>
      </c>
      <c r="P36" s="23">
        <f>SUM(F36,H36,J36,L36,N36)</f>
        <v>6637349.4000000004</v>
      </c>
      <c r="Q36" s="54">
        <f>IFERROR(P36/P$29,0)</f>
        <v>0.31896252010633974</v>
      </c>
      <c r="R36" s="21"/>
      <c r="S36" s="23">
        <f>+'1월'!AH36+'2월'!AH36+'3월'!AH36+'4월'!AH36+'5월'!AH36+'6월'!AH36+'7월'!AH36+'8월'!AH36+'9월'!AH36+'10월'!AH36+'11월'!AH36+'12월'!AH36</f>
        <v>828369.69000000006</v>
      </c>
      <c r="T36" s="53">
        <f>IFERROR(S36/S$29,0)</f>
        <v>0.54679802233793895</v>
      </c>
      <c r="U36" s="23">
        <f>+'1월'!AJ36+'2월'!AJ36+'3월'!AJ36+'4월'!AJ36+'5월'!AJ36+'6월'!AJ36+'7월'!AJ36+'8월'!AJ36+'9월'!AJ36+'10월'!AJ36+'11월'!AJ36+'12월'!AJ36</f>
        <v>8020662.4800000014</v>
      </c>
      <c r="V36" s="53">
        <f>IFERROR(U36/U$29,0)</f>
        <v>0.41125620940328289</v>
      </c>
      <c r="W36" s="23">
        <f>+'1월'!AL36+'2월'!AL36+'3월'!AL36+'4월'!AL36+'5월'!AL36+'6월'!AL36+'7월'!AL36+'8월'!AL36+'9월'!AL36+'10월'!AL36+'11월'!AL36+'12월'!AL36</f>
        <v>328338.01</v>
      </c>
      <c r="X36" s="53">
        <f>IFERROR(W36/W$29,0)</f>
        <v>0.40096456534470615</v>
      </c>
      <c r="Y36" s="23">
        <f>+'1월'!AN36+'2월'!AN36+'3월'!AN36+'4월'!AN36+'5월'!AN36+'6월'!AN36+'7월'!AN36+'8월'!AN36+'9월'!AN36+'10월'!AN36+'11월'!AN36+'12월'!AN36</f>
        <v>0</v>
      </c>
      <c r="Z36" s="53">
        <f>IFERROR(Y36/Y$29,0)</f>
        <v>0</v>
      </c>
      <c r="AA36" s="32">
        <f>+'1월'!AP36+'2월'!AP36+'3월'!AP36+'4월'!AP36+'5월'!AP36+'6월'!AP36+'7월'!AP36+'8월'!AP36+'9월'!AP36+'10월'!AP36+'11월'!AP36+'12월'!AP36</f>
        <v>-106302.23</v>
      </c>
      <c r="AB36" s="54">
        <f>IFERROR(AA36/AA$29,0)</f>
        <v>-0.70966683476672343</v>
      </c>
      <c r="AC36" s="23">
        <f>SUM(S36,U36,W36,Y36,AA36)</f>
        <v>9071067.9500000011</v>
      </c>
      <c r="AD36" s="53">
        <f>IFERROR(AC36/AC$29,0)</f>
        <v>0.39752649804642742</v>
      </c>
      <c r="AE36" s="21"/>
      <c r="AG36" s="29">
        <f t="shared" ref="AG36:AG40" si="11">+S36-F36</f>
        <v>-415668.38999999978</v>
      </c>
      <c r="AH36" s="55">
        <f t="shared" ref="AH36:AH40" si="12">(T36-G36)*100</f>
        <v>5.4860320101728757</v>
      </c>
      <c r="AI36" s="29">
        <f t="shared" si="1"/>
        <v>3446504.370000001</v>
      </c>
      <c r="AJ36" s="55">
        <f t="shared" si="6"/>
        <v>11.127249728686317</v>
      </c>
      <c r="AK36" s="29">
        <f t="shared" si="2"/>
        <v>-99240.219999999972</v>
      </c>
      <c r="AL36" s="55">
        <f t="shared" si="7"/>
        <v>16.846419738163423</v>
      </c>
      <c r="AM36" s="29">
        <f t="shared" si="3"/>
        <v>0</v>
      </c>
      <c r="AN36" s="56">
        <f t="shared" si="8"/>
        <v>0</v>
      </c>
      <c r="AO36" s="29">
        <f t="shared" si="4"/>
        <v>-497877.20999999996</v>
      </c>
      <c r="AP36" s="55">
        <f t="shared" si="9"/>
        <v>-251.97188585975164</v>
      </c>
      <c r="AQ36" s="29">
        <f t="shared" si="5"/>
        <v>2433718.5500000007</v>
      </c>
      <c r="AR36" s="55">
        <f t="shared" ref="AR36:AR78" si="13">(AD36-Q36)*100</f>
        <v>7.8563977940087684</v>
      </c>
      <c r="AT36" s="57"/>
    </row>
    <row r="37" spans="1:46" outlineLevel="1">
      <c r="E37" s="40" t="s">
        <v>39</v>
      </c>
      <c r="F37" s="23">
        <f>+'1월'!F37+'2월'!F37+'3월'!F37+'4월'!F37+'5월'!F37+'6월'!F37+'7월'!F37+'8월'!F37+'9월'!F37+'10월'!F37</f>
        <v>0</v>
      </c>
      <c r="G37" s="31"/>
      <c r="H37" s="23">
        <f>+'1월'!H37+'2월'!H37+'3월'!H37+'4월'!H37+'5월'!H37+'6월'!H37+'7월'!H37+'8월'!H37+'9월'!H37+'10월'!H37</f>
        <v>0</v>
      </c>
      <c r="I37" s="31"/>
      <c r="J37" s="23">
        <f>+'1월'!J37+'2월'!J37+'3월'!J37+'4월'!J37+'5월'!J37+'6월'!J37+'7월'!J37+'8월'!J37+'9월'!J37+'10월'!J37</f>
        <v>0</v>
      </c>
      <c r="K37" s="31"/>
      <c r="L37" s="23">
        <f>+'1월'!L37+'2월'!L37+'3월'!L37+'4월'!L37+'5월'!L37+'6월'!L37+'7월'!L37+'8월'!L37+'9월'!L37+'10월'!L37</f>
        <v>0</v>
      </c>
      <c r="M37" s="31"/>
      <c r="N37" s="32">
        <f>+'1월'!N37+'2월'!N37+'3월'!N37+'4월'!N37+'5월'!N37+'6월'!N37+'7월'!N37+'8월'!N37+'9월'!N37+'10월'!N37</f>
        <v>0</v>
      </c>
      <c r="O37" s="32"/>
      <c r="P37" s="23"/>
      <c r="Q37" s="31"/>
      <c r="R37" s="21"/>
      <c r="S37" s="23">
        <f>+'1월'!AH37+'2월'!AH37+'3월'!AH37+'4월'!AH37+'5월'!AH37+'6월'!AH37+'7월'!AH37+'8월'!AH37+'9월'!AH37+'10월'!AH37</f>
        <v>0</v>
      </c>
      <c r="T37" s="31"/>
      <c r="U37" s="23">
        <f>+'1월'!AJ37+'2월'!AJ37+'3월'!AJ37+'4월'!AJ37+'5월'!AJ37+'6월'!AJ37+'7월'!AJ37+'8월'!AJ37+'9월'!AJ37+'10월'!AJ37</f>
        <v>0</v>
      </c>
      <c r="V37" s="31"/>
      <c r="W37" s="23">
        <f>+'1월'!AL37+'2월'!AL37+'3월'!AL37+'4월'!AL37+'5월'!AL37+'6월'!AL37+'7월'!AL37+'8월'!AL37+'9월'!AL37+'10월'!AL37</f>
        <v>0</v>
      </c>
      <c r="X37" s="31"/>
      <c r="Y37" s="23">
        <f>+'1월'!AN37+'2월'!AN37+'3월'!AN37+'4월'!AN37+'5월'!AN37+'6월'!AN37+'7월'!AN37+'8월'!AN37+'9월'!AN37+'10월'!AN37</f>
        <v>0</v>
      </c>
      <c r="Z37" s="31"/>
      <c r="AA37" s="32"/>
      <c r="AB37" s="32"/>
      <c r="AC37" s="23"/>
      <c r="AD37" s="31"/>
      <c r="AE37" s="21"/>
      <c r="AG37" s="29">
        <f t="shared" si="11"/>
        <v>0</v>
      </c>
      <c r="AH37" s="55">
        <f t="shared" si="12"/>
        <v>0</v>
      </c>
      <c r="AI37" s="29">
        <f t="shared" si="1"/>
        <v>0</v>
      </c>
      <c r="AJ37" s="55">
        <f t="shared" si="6"/>
        <v>0</v>
      </c>
      <c r="AK37" s="29">
        <f t="shared" si="2"/>
        <v>0</v>
      </c>
      <c r="AL37" s="55">
        <f t="shared" si="7"/>
        <v>0</v>
      </c>
      <c r="AM37" s="29">
        <f t="shared" si="3"/>
        <v>0</v>
      </c>
      <c r="AN37" s="33">
        <f t="shared" si="8"/>
        <v>0</v>
      </c>
      <c r="AO37" s="29">
        <f t="shared" si="4"/>
        <v>0</v>
      </c>
      <c r="AP37" s="55">
        <f t="shared" si="9"/>
        <v>0</v>
      </c>
      <c r="AQ37" s="29">
        <f t="shared" si="5"/>
        <v>0</v>
      </c>
      <c r="AR37" s="55">
        <f t="shared" si="13"/>
        <v>0</v>
      </c>
    </row>
    <row r="38" spans="1:46" outlineLevel="1">
      <c r="E38" s="40" t="s">
        <v>40</v>
      </c>
      <c r="F38" s="23">
        <f>+'1월'!F38+'2월'!F38+'3월'!F38+'4월'!F38+'5월'!F38+'6월'!F38+'7월'!F38+'8월'!F38+'9월'!F38+'10월'!F38</f>
        <v>0</v>
      </c>
      <c r="G38" s="31"/>
      <c r="H38" s="23">
        <f>+'1월'!H38+'2월'!H38+'3월'!H38+'4월'!H38+'5월'!H38+'6월'!H38+'7월'!H38+'8월'!H38+'9월'!H38+'10월'!H38</f>
        <v>0</v>
      </c>
      <c r="I38" s="31"/>
      <c r="J38" s="23">
        <f>+'1월'!J38+'2월'!J38+'3월'!J38+'4월'!J38+'5월'!J38+'6월'!J38+'7월'!J38+'8월'!J38+'9월'!J38+'10월'!J38</f>
        <v>0</v>
      </c>
      <c r="K38" s="31"/>
      <c r="L38" s="23">
        <f>+'1월'!L38+'2월'!L38+'3월'!L38+'4월'!L38+'5월'!L38+'6월'!L38+'7월'!L38+'8월'!L38+'9월'!L38+'10월'!L38</f>
        <v>0</v>
      </c>
      <c r="M38" s="31"/>
      <c r="N38" s="32">
        <f>+'1월'!N38+'2월'!N38+'3월'!N38+'4월'!N38+'5월'!N38+'6월'!N38+'7월'!N38+'8월'!N38+'9월'!N38+'10월'!N38</f>
        <v>0</v>
      </c>
      <c r="O38" s="32"/>
      <c r="P38" s="23"/>
      <c r="Q38" s="31"/>
      <c r="R38" s="21"/>
      <c r="S38" s="23">
        <f>+'1월'!AH38+'2월'!AH38+'3월'!AH38+'4월'!AH38+'5월'!AH38+'6월'!AH38+'7월'!AH38+'8월'!AH38+'9월'!AH38+'10월'!AH38</f>
        <v>0</v>
      </c>
      <c r="T38" s="31"/>
      <c r="U38" s="23">
        <f>+'1월'!AJ38+'2월'!AJ38+'3월'!AJ38+'4월'!AJ38+'5월'!AJ38+'6월'!AJ38+'7월'!AJ38+'8월'!AJ38+'9월'!AJ38+'10월'!AJ38</f>
        <v>0</v>
      </c>
      <c r="V38" s="31"/>
      <c r="W38" s="23">
        <f>+'1월'!AL38+'2월'!AL38+'3월'!AL38+'4월'!AL38+'5월'!AL38+'6월'!AL38+'7월'!AL38+'8월'!AL38+'9월'!AL38+'10월'!AL38</f>
        <v>0</v>
      </c>
      <c r="X38" s="31"/>
      <c r="Y38" s="23">
        <f>+'1월'!AN38+'2월'!AN38+'3월'!AN38+'4월'!AN38+'5월'!AN38+'6월'!AN38+'7월'!AN38+'8월'!AN38+'9월'!AN38+'10월'!AN38</f>
        <v>0</v>
      </c>
      <c r="Z38" s="31"/>
      <c r="AA38" s="32">
        <f>+'1월'!AP38+'2월'!AP38+'3월'!AP38+'4월'!AP38+'5월'!AP38+'6월'!AP38+'7월'!AP38+'8월'!AP38+'9월'!AP38+'10월'!AP38</f>
        <v>0</v>
      </c>
      <c r="AB38" s="32"/>
      <c r="AC38" s="23"/>
      <c r="AD38" s="31"/>
      <c r="AE38" s="21"/>
      <c r="AG38" s="29">
        <f t="shared" si="11"/>
        <v>0</v>
      </c>
      <c r="AH38" s="55">
        <f t="shared" si="12"/>
        <v>0</v>
      </c>
      <c r="AI38" s="29">
        <f t="shared" si="1"/>
        <v>0</v>
      </c>
      <c r="AJ38" s="55">
        <f t="shared" si="6"/>
        <v>0</v>
      </c>
      <c r="AK38" s="29">
        <f t="shared" si="2"/>
        <v>0</v>
      </c>
      <c r="AL38" s="55">
        <f t="shared" si="7"/>
        <v>0</v>
      </c>
      <c r="AM38" s="29">
        <f t="shared" si="3"/>
        <v>0</v>
      </c>
      <c r="AN38" s="33">
        <f t="shared" si="8"/>
        <v>0</v>
      </c>
      <c r="AO38" s="29">
        <f t="shared" si="4"/>
        <v>0</v>
      </c>
      <c r="AP38" s="55">
        <f t="shared" si="9"/>
        <v>0</v>
      </c>
      <c r="AQ38" s="29">
        <f t="shared" si="5"/>
        <v>0</v>
      </c>
      <c r="AR38" s="55">
        <f t="shared" si="13"/>
        <v>0</v>
      </c>
    </row>
    <row r="39" spans="1:46" s="50" customFormat="1">
      <c r="A39" s="46"/>
      <c r="B39" s="47"/>
      <c r="C39" s="48"/>
      <c r="D39" s="48"/>
      <c r="E39" s="40" t="s">
        <v>41</v>
      </c>
      <c r="F39" s="58">
        <f>IFERROR(F36/F27,0)</f>
        <v>0.189040870327251</v>
      </c>
      <c r="G39" s="59">
        <f>IFERROR(1/F39,0)</f>
        <v>5.2898613843074651</v>
      </c>
      <c r="H39" s="58">
        <f>IFERROR(H36/H27,0)</f>
        <v>0.18776306999658887</v>
      </c>
      <c r="I39" s="59">
        <f>IFERROR(1/H39,0)</f>
        <v>5.3258609375004742</v>
      </c>
      <c r="J39" s="58">
        <f>IFERROR(J36/J27,0)</f>
        <v>0.18766691289327678</v>
      </c>
      <c r="K39" s="59">
        <f>IFERROR(1/J39,0)</f>
        <v>5.3285898115065402</v>
      </c>
      <c r="L39" s="58">
        <f>IFERROR(L36/L27,0)</f>
        <v>0</v>
      </c>
      <c r="M39" s="59">
        <f>IFERROR(1/L39,0)</f>
        <v>0</v>
      </c>
      <c r="N39" s="60">
        <f>IFERROR(N36/N27,0)</f>
        <v>1.8100520238307929</v>
      </c>
      <c r="O39" s="61">
        <f>IFERROR(1/N39,0)</f>
        <v>0.55247030849621692</v>
      </c>
      <c r="P39" s="62">
        <f>IFERROR(P36/P27,0)</f>
        <v>0.19286898216797249</v>
      </c>
      <c r="Q39" s="61">
        <f>IFERROR(1/P39,0)</f>
        <v>5.1848668912924785</v>
      </c>
      <c r="R39" s="49"/>
      <c r="S39" s="58">
        <f>IFERROR(S36/S27,0)</f>
        <v>0.20033516738780133</v>
      </c>
      <c r="T39" s="59">
        <f>IFERROR(1/S39,0)</f>
        <v>4.9916348339592185</v>
      </c>
      <c r="U39" s="58">
        <f>IFERROR(U36/U27,0)</f>
        <v>0.21017088232799377</v>
      </c>
      <c r="V39" s="59">
        <f>IFERROR(1/U39,0)</f>
        <v>4.758033029710532</v>
      </c>
      <c r="W39" s="58">
        <f>IFERROR(W36/W27,0)</f>
        <v>0.22007483554946655</v>
      </c>
      <c r="X39" s="59">
        <f>IFERROR(1/W39,0)</f>
        <v>4.5439088821912517</v>
      </c>
      <c r="Y39" s="58">
        <f>IFERROR(Y36/Y27,0)</f>
        <v>0</v>
      </c>
      <c r="Z39" s="59">
        <f>IFERROR(1/Y39,0)</f>
        <v>0</v>
      </c>
      <c r="AA39" s="60">
        <f>IFERROR(AA36/AA27,0)</f>
        <v>-0.70966683476672343</v>
      </c>
      <c r="AB39" s="61">
        <f>IFERROR(1/AA39,0)</f>
        <v>-1.409111925497706</v>
      </c>
      <c r="AC39" s="62">
        <f>IFERROR(AC36/AC27,0)</f>
        <v>0.202607830345612</v>
      </c>
      <c r="AD39" s="59">
        <f>IFERROR(1/AC39,0)</f>
        <v>4.9356433968725808</v>
      </c>
      <c r="AE39" s="49"/>
      <c r="AG39" s="64">
        <f t="shared" si="11"/>
        <v>1.1294297060550323E-2</v>
      </c>
      <c r="AH39" s="65">
        <f t="shared" si="12"/>
        <v>-29.822655034824663</v>
      </c>
      <c r="AI39" s="64">
        <f t="shared" si="1"/>
        <v>2.2407812331404903E-2</v>
      </c>
      <c r="AJ39" s="65">
        <f t="shared" si="6"/>
        <v>-56.782790778994219</v>
      </c>
      <c r="AK39" s="64">
        <f t="shared" si="2"/>
        <v>3.2407922656189775E-2</v>
      </c>
      <c r="AL39" s="65">
        <f t="shared" si="7"/>
        <v>-78.468092931528858</v>
      </c>
      <c r="AM39" s="66">
        <f t="shared" si="3"/>
        <v>0</v>
      </c>
      <c r="AN39" s="65">
        <f t="shared" si="8"/>
        <v>0</v>
      </c>
      <c r="AO39" s="64">
        <f t="shared" si="4"/>
        <v>-2.5197188585975163</v>
      </c>
      <c r="AP39" s="65">
        <f t="shared" si="9"/>
        <v>-196.15822339939228</v>
      </c>
      <c r="AQ39" s="64">
        <f t="shared" si="5"/>
        <v>9.7388481776395086E-3</v>
      </c>
      <c r="AR39" s="65">
        <f t="shared" si="13"/>
        <v>-24.922349441989766</v>
      </c>
    </row>
    <row r="40" spans="1:46" ht="15">
      <c r="E40" s="34" t="s">
        <v>42</v>
      </c>
      <c r="F40" s="35">
        <f>F29-F36</f>
        <v>1284814.8100000008</v>
      </c>
      <c r="G40" s="36">
        <f>IFERROR(F40/F29,0)</f>
        <v>0.50806229776378986</v>
      </c>
      <c r="H40" s="35">
        <f>H29-H36</f>
        <v>10673863.449999999</v>
      </c>
      <c r="I40" s="36">
        <f>IFERROR(H40/H29,0)</f>
        <v>0.70001628788358039</v>
      </c>
      <c r="J40" s="35">
        <f>J29-J36</f>
        <v>1411465.01</v>
      </c>
      <c r="K40" s="36">
        <f>IFERROR(J40/J29,0)</f>
        <v>0.76749963203692806</v>
      </c>
      <c r="L40" s="35">
        <f>L29-L36</f>
        <v>976931.59999999986</v>
      </c>
      <c r="M40" s="36">
        <f>IFERROR(L40/L29,0)</f>
        <v>1</v>
      </c>
      <c r="N40" s="37">
        <f>N29-N36</f>
        <v>-175241.43</v>
      </c>
      <c r="O40" s="36">
        <f>IFERROR(N40/N29,0)</f>
        <v>-0.81005202383079278</v>
      </c>
      <c r="P40" s="35">
        <f>P29-P36</f>
        <v>14171833.439999999</v>
      </c>
      <c r="Q40" s="36">
        <f>IFERROR(P40/P$29,0)</f>
        <v>0.68103747989366026</v>
      </c>
      <c r="R40" s="21"/>
      <c r="S40" s="35">
        <f>S29-S36</f>
        <v>686576.70000000007</v>
      </c>
      <c r="T40" s="36">
        <f>IFERROR(S40/S29,0)</f>
        <v>0.45320197766206105</v>
      </c>
      <c r="U40" s="35">
        <f>U29-U36</f>
        <v>11482173.699999999</v>
      </c>
      <c r="V40" s="36">
        <f>IFERROR(U40/U29,0)</f>
        <v>0.58874379059671722</v>
      </c>
      <c r="W40" s="35">
        <f>W29-W36</f>
        <v>490532.38</v>
      </c>
      <c r="X40" s="36">
        <f>IFERROR(W40/W29,0)</f>
        <v>0.59903543465529385</v>
      </c>
      <c r="Y40" s="35">
        <f>Y29-Y36</f>
        <v>832330.89</v>
      </c>
      <c r="Z40" s="36">
        <f>IFERROR(Y40/Y29,0)</f>
        <v>1</v>
      </c>
      <c r="AA40" s="37">
        <f>AA29-AA36</f>
        <v>256093.96999999997</v>
      </c>
      <c r="AB40" s="36">
        <f>IFERROR(AA40/AA29,0)</f>
        <v>1.7096668347667234</v>
      </c>
      <c r="AC40" s="35">
        <f>AC29-AC36</f>
        <v>13747707.639999999</v>
      </c>
      <c r="AD40" s="36">
        <f>IFERROR(AC40/AC$29,0)</f>
        <v>0.60247350195357252</v>
      </c>
      <c r="AE40" s="21"/>
      <c r="AG40" s="38">
        <f t="shared" si="11"/>
        <v>-598238.11000000068</v>
      </c>
      <c r="AH40" s="39">
        <f t="shared" si="12"/>
        <v>-5.486032010172881</v>
      </c>
      <c r="AI40" s="38">
        <f t="shared" si="1"/>
        <v>808310.25</v>
      </c>
      <c r="AJ40" s="39">
        <f t="shared" si="6"/>
        <v>-11.127249728686317</v>
      </c>
      <c r="AK40" s="38">
        <f t="shared" si="2"/>
        <v>-920932.63</v>
      </c>
      <c r="AL40" s="39">
        <f t="shared" si="7"/>
        <v>-16.846419738163419</v>
      </c>
      <c r="AM40" s="38">
        <f t="shared" si="3"/>
        <v>-144600.70999999985</v>
      </c>
      <c r="AN40" s="39">
        <f t="shared" si="8"/>
        <v>0</v>
      </c>
      <c r="AO40" s="38">
        <f t="shared" si="4"/>
        <v>431335.39999999997</v>
      </c>
      <c r="AP40" s="39">
        <f t="shared" si="9"/>
        <v>251.97188585975164</v>
      </c>
      <c r="AQ40" s="38">
        <f t="shared" si="5"/>
        <v>-424125.80000000075</v>
      </c>
      <c r="AR40" s="39">
        <f t="shared" si="13"/>
        <v>-7.8563977940087737</v>
      </c>
    </row>
    <row r="41" spans="1:46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S41" s="23"/>
      <c r="T41" s="31"/>
      <c r="U41" s="23"/>
      <c r="V41" s="31"/>
      <c r="W41" s="23"/>
      <c r="X41" s="31"/>
      <c r="Y41" s="23"/>
      <c r="Z41" s="31"/>
      <c r="AA41" s="32"/>
      <c r="AB41" s="32"/>
      <c r="AC41" s="23"/>
      <c r="AD41" s="31"/>
      <c r="AE41" s="21"/>
      <c r="AG41" s="29"/>
      <c r="AH41" s="55"/>
      <c r="AI41" s="29">
        <f t="shared" si="1"/>
        <v>0</v>
      </c>
      <c r="AJ41" s="55">
        <f t="shared" si="6"/>
        <v>0</v>
      </c>
      <c r="AK41" s="29">
        <f t="shared" si="2"/>
        <v>0</v>
      </c>
      <c r="AL41" s="55">
        <f t="shared" si="7"/>
        <v>0</v>
      </c>
      <c r="AM41" s="29">
        <f t="shared" si="3"/>
        <v>0</v>
      </c>
      <c r="AN41" s="55">
        <f t="shared" si="8"/>
        <v>0</v>
      </c>
      <c r="AO41" s="29">
        <f t="shared" si="4"/>
        <v>0</v>
      </c>
      <c r="AP41" s="55">
        <f t="shared" si="9"/>
        <v>0</v>
      </c>
      <c r="AQ41" s="29">
        <f t="shared" si="5"/>
        <v>0</v>
      </c>
      <c r="AR41" s="55">
        <f t="shared" si="13"/>
        <v>0</v>
      </c>
    </row>
    <row r="42" spans="1:46" ht="14.65" customHeight="1">
      <c r="E42" s="67" t="s">
        <v>43</v>
      </c>
      <c r="F42" s="23">
        <f>+'1월'!F42+'2월'!F42+'3월'!F42+'4월'!F42+'5월'!F42+'6월'!F42+'7월'!F42+'8월'!F42+'9월'!F42+'10월'!F42</f>
        <v>0</v>
      </c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S42" s="23"/>
      <c r="T42" s="53"/>
      <c r="U42" s="23"/>
      <c r="V42" s="53"/>
      <c r="W42" s="23"/>
      <c r="X42" s="53"/>
      <c r="Y42" s="23"/>
      <c r="Z42" s="53"/>
      <c r="AA42" s="32"/>
      <c r="AB42" s="54"/>
      <c r="AC42" s="23"/>
      <c r="AD42" s="53"/>
      <c r="AE42" s="21"/>
      <c r="AG42" s="29"/>
      <c r="AH42" s="55"/>
      <c r="AI42" s="29">
        <f t="shared" si="1"/>
        <v>0</v>
      </c>
      <c r="AJ42" s="55">
        <f t="shared" si="6"/>
        <v>0</v>
      </c>
      <c r="AK42" s="29">
        <f t="shared" si="2"/>
        <v>0</v>
      </c>
      <c r="AL42" s="55">
        <f t="shared" si="7"/>
        <v>0</v>
      </c>
      <c r="AM42" s="29">
        <f t="shared" si="3"/>
        <v>0</v>
      </c>
      <c r="AN42" s="55">
        <f t="shared" si="8"/>
        <v>0</v>
      </c>
      <c r="AO42" s="29">
        <f t="shared" si="4"/>
        <v>0</v>
      </c>
      <c r="AP42" s="55">
        <f t="shared" si="9"/>
        <v>0</v>
      </c>
      <c r="AQ42" s="29">
        <f t="shared" si="5"/>
        <v>0</v>
      </c>
      <c r="AR42" s="55">
        <f t="shared" si="13"/>
        <v>0</v>
      </c>
    </row>
    <row r="43" spans="1:46">
      <c r="E43" s="68" t="s">
        <v>44</v>
      </c>
      <c r="F43" s="23">
        <f>+'1월'!F43+'2월'!F43+'3월'!F43+'4월'!F43+'5월'!F43+'6월'!F43+'7월'!F43+'8월'!F43+'9월'!F43+'10월'!F43+'11월'!F43+'12월'!F43</f>
        <v>173892.84</v>
      </c>
      <c r="G43" s="53">
        <f t="shared" ref="G43:I53" si="14">IFERROR(F43/F$29,0)</f>
        <v>6.8763525425949143E-2</v>
      </c>
      <c r="H43" s="23">
        <f>+'1월'!H43+'2월'!H43+'3월'!H43+'4월'!H43+'5월'!H43+'6월'!H43+'7월'!H43+'8월'!H43+'9월'!H43+'10월'!H43+'11월'!H43+'12월'!H43</f>
        <v>1709442.8099999998</v>
      </c>
      <c r="I43" s="53">
        <f t="shared" ref="I43:I50" si="15">IFERROR(H43/H$29,0)</f>
        <v>0.11210915483516669</v>
      </c>
      <c r="J43" s="23">
        <f>+'1월'!J43+'2월'!J43+'3월'!J43+'4월'!J43+'5월'!J43+'6월'!J43+'7월'!J43+'8월'!J43+'9월'!J43+'10월'!J43+'11월'!J43+'12월'!J43</f>
        <v>306700.04000000004</v>
      </c>
      <c r="K43" s="53">
        <f t="shared" ref="K43:K51" si="16">IFERROR(J43/J$29,0)</f>
        <v>0.16677152191375338</v>
      </c>
      <c r="L43" s="23">
        <f>+'1월'!L43+'2월'!L43+'3월'!L43+'4월'!L43+'5월'!L43+'6월'!L43+'7월'!L43+'8월'!L43+'9월'!L43+'10월'!L43+'11월'!L43+'12월'!L43</f>
        <v>0</v>
      </c>
      <c r="M43" s="53">
        <f t="shared" ref="M43:O51" si="17">IFERROR(L43/L$29,0)</f>
        <v>0</v>
      </c>
      <c r="N43" s="32">
        <f>+'1월'!N43+'2월'!N43+'3월'!N43+'4월'!N43+'5월'!N43+'6월'!N43+'7월'!N43+'8월'!N43+'9월'!N43+'10월'!N43</f>
        <v>0</v>
      </c>
      <c r="O43" s="54">
        <f t="shared" si="17"/>
        <v>0</v>
      </c>
      <c r="P43" s="23">
        <f t="shared" ref="P43:P50" si="18">SUM(F43,H43,J43,L43,N43)</f>
        <v>2190035.69</v>
      </c>
      <c r="Q43" s="54">
        <f t="shared" ref="Q43:Q51" si="19">IFERROR(P43/P$29,0)</f>
        <v>0.10524371412558553</v>
      </c>
      <c r="R43" s="21"/>
      <c r="S43" s="23">
        <f>+'1월'!AH43+'2월'!AH43+'3월'!AH43+'4월'!AH43+'5월'!AH43+'6월'!AH43+'7월'!AH43+'8월'!AH43+'9월'!AH43+'10월'!AH43+'11월'!AH43+'12월'!AH43</f>
        <v>105028.78</v>
      </c>
      <c r="T43" s="53">
        <f t="shared" ref="T43:T51" si="20">IFERROR(S43/S$29,0)</f>
        <v>6.9328380656427047E-2</v>
      </c>
      <c r="U43" s="23">
        <f>+'1월'!AJ43+'2월'!AJ43+'3월'!AJ43+'4월'!AJ43+'5월'!AJ43+'6월'!AJ43+'7월'!AJ43+'8월'!AJ43+'9월'!AJ43+'10월'!AJ43+'11월'!AJ43+'12월'!AJ43</f>
        <v>2342197.2000000002</v>
      </c>
      <c r="V43" s="53">
        <f t="shared" ref="V43:V51" si="21">IFERROR(U43/U$29,0)</f>
        <v>0.12009520965991112</v>
      </c>
      <c r="W43" s="23">
        <f>+'1월'!AL43+'2월'!AL43+'3월'!AL43+'4월'!AL43+'5월'!AL43+'6월'!AL43+'7월'!AL43+'8월'!AL43+'9월'!AL43+'10월'!AL43+'11월'!AL43+'12월'!AL43</f>
        <v>132744.02000000002</v>
      </c>
      <c r="X43" s="53">
        <f t="shared" ref="X43:X51" si="22">IFERROR(W43/W$29,0)</f>
        <v>0.16210626446024018</v>
      </c>
      <c r="Y43" s="23">
        <f>+'1월'!AN43+'2월'!AN43+'3월'!AN43+'4월'!AN43+'5월'!AN43+'6월'!AN43+'7월'!AN43+'8월'!AN43+'9월'!AN43+'10월'!AN43+'11월'!AN43</f>
        <v>0</v>
      </c>
      <c r="Z43" s="53">
        <f t="shared" ref="Z43:Z51" si="23">IFERROR(Y43/Y$29,0)</f>
        <v>0</v>
      </c>
      <c r="AA43" s="32">
        <f>+'1월'!AP43+'2월'!AP43+'3월'!AP43+'4월'!AP43+'5월'!AP43+'6월'!AP43+'7월'!AP43+'8월'!AP43+'9월'!AP43+'10월'!AP43+'11월'!AP43</f>
        <v>0</v>
      </c>
      <c r="AB43" s="54">
        <f t="shared" ref="AB43:AB51" si="24">IFERROR(AA43/AA$29,0)</f>
        <v>0</v>
      </c>
      <c r="AC43" s="23">
        <f t="shared" ref="AC43:AC50" si="25">SUM(S43,U43,W43,Y43,AA43)</f>
        <v>2579970</v>
      </c>
      <c r="AD43" s="53">
        <f t="shared" ref="AD43:AD51" si="26">IFERROR(AC43/AC$29,0)</f>
        <v>0.11306347221936985</v>
      </c>
      <c r="AE43" s="21"/>
      <c r="AG43" s="29">
        <f t="shared" ref="AG43:AG51" si="27">+S43-F43</f>
        <v>-68864.06</v>
      </c>
      <c r="AH43" s="55">
        <f t="shared" ref="AH43:AH53" si="28">(T43-G43)*100</f>
        <v>5.6485523047790365E-2</v>
      </c>
      <c r="AI43" s="29">
        <f t="shared" si="1"/>
        <v>632754.39000000036</v>
      </c>
      <c r="AJ43" s="55">
        <f t="shared" si="6"/>
        <v>0.79860548247444318</v>
      </c>
      <c r="AK43" s="29">
        <f t="shared" si="2"/>
        <v>-173956.02000000002</v>
      </c>
      <c r="AL43" s="55">
        <f t="shared" si="7"/>
        <v>-0.46652574535132052</v>
      </c>
      <c r="AM43" s="29">
        <f t="shared" si="3"/>
        <v>0</v>
      </c>
      <c r="AN43" s="55">
        <f t="shared" si="8"/>
        <v>0</v>
      </c>
      <c r="AO43" s="29">
        <f t="shared" si="4"/>
        <v>0</v>
      </c>
      <c r="AP43" s="55">
        <f t="shared" si="9"/>
        <v>0</v>
      </c>
      <c r="AQ43" s="29">
        <f t="shared" si="5"/>
        <v>389934.31000000006</v>
      </c>
      <c r="AR43" s="55">
        <f t="shared" si="13"/>
        <v>0.78197580937843236</v>
      </c>
      <c r="AS43" s="57"/>
    </row>
    <row r="44" spans="1:46" outlineLevel="1">
      <c r="B44" s="26" t="s">
        <v>45</v>
      </c>
      <c r="C44" s="16" t="s">
        <v>46</v>
      </c>
      <c r="E44" s="69" t="s">
        <v>45</v>
      </c>
      <c r="F44" s="27">
        <f>+'1월'!F44+'2월'!F44+'3월'!F44+'4월'!F44+'5월'!F44+'6월'!F44+'7월'!F44+'8월'!F44+'9월'!F44+'10월'!F44+'11월'!F44+'12월'!F44</f>
        <v>-22273.670000000006</v>
      </c>
      <c r="G44" s="53">
        <f t="shared" si="14"/>
        <v>-8.8078156258429088E-3</v>
      </c>
      <c r="H44" s="27">
        <f>+'1월'!H44+'2월'!H44+'3월'!H44+'4월'!H44+'5월'!H44+'6월'!H44+'7월'!H44+'8월'!H44+'9월'!H44+'10월'!H44+'11월'!H44+'12월'!H44</f>
        <v>923902.78999999992</v>
      </c>
      <c r="I44" s="53">
        <f t="shared" si="15"/>
        <v>6.0591650291449355E-2</v>
      </c>
      <c r="J44" s="27">
        <f>+'1월'!J44+'2월'!J44+'3월'!J44+'4월'!J44+'5월'!J44+'6월'!J44+'7월'!J44+'8월'!J44+'9월'!J44+'10월'!J44+'11월'!J44+'12월'!J44</f>
        <v>226929.60000000003</v>
      </c>
      <c r="K44" s="53">
        <f t="shared" si="16"/>
        <v>0.12339546730831627</v>
      </c>
      <c r="L44" s="27">
        <f>+'1월'!L44+'2월'!L44+'3월'!L44+'4월'!L44+'5월'!L44+'6월'!L44+'7월'!L44+'8월'!L44+'9월'!L44+'10월'!L44+'11월'!L44+'12월'!L44</f>
        <v>0</v>
      </c>
      <c r="M44" s="53">
        <f t="shared" si="17"/>
        <v>0</v>
      </c>
      <c r="N44" s="27">
        <f>+'1월'!N44+'2월'!N44+'3월'!N44+'4월'!N44+'5월'!N44+'6월'!N44+'7월'!N44+'8월'!N44+'9월'!N44+'10월'!N44</f>
        <v>0</v>
      </c>
      <c r="O44" s="54">
        <f t="shared" si="17"/>
        <v>0</v>
      </c>
      <c r="P44" s="23">
        <f t="shared" si="18"/>
        <v>1128558.72</v>
      </c>
      <c r="Q44" s="54">
        <f t="shared" si="19"/>
        <v>5.4233687534844109E-2</v>
      </c>
      <c r="R44" s="21"/>
      <c r="S44" s="23">
        <f>+'1월'!AH44+'2월'!AH44+'3월'!AH44+'4월'!AH44+'5월'!AH44+'6월'!AH44+'7월'!AH44+'8월'!AH44+'9월'!AH44+'10월'!AH44+'11월'!AH44+'12월'!AH44</f>
        <v>-16615.530000000002</v>
      </c>
      <c r="T44" s="53">
        <f t="shared" si="20"/>
        <v>-1.0967734640431732E-2</v>
      </c>
      <c r="U44" s="23">
        <f>+'1월'!AJ44+'2월'!AJ44+'3월'!AJ44+'4월'!AJ44+'5월'!AJ44+'6월'!AJ44+'7월'!AJ44+'8월'!AJ44+'9월'!AJ44+'10월'!AJ44+'11월'!AJ44+'12월'!AJ44</f>
        <v>1203805.8500000001</v>
      </c>
      <c r="V44" s="53">
        <f t="shared" si="21"/>
        <v>6.1724655782859586E-2</v>
      </c>
      <c r="W44" s="23">
        <f>+'1월'!AL44+'2월'!AL44+'3월'!AL44+'4월'!AL44+'5월'!AL44+'6월'!AL44+'7월'!AL44+'8월'!AL44+'9월'!AL44+'10월'!AL44+'11월'!AL44+'12월'!AL44</f>
        <v>46523.970000000008</v>
      </c>
      <c r="X44" s="53">
        <f t="shared" si="22"/>
        <v>5.6814815345808276E-2</v>
      </c>
      <c r="Y44" s="23">
        <f>+'1월'!AN44+'2월'!AN44+'3월'!AN44+'4월'!AN44+'5월'!AN44+'6월'!AN44+'7월'!AN44+'8월'!AN44+'9월'!AN44+'10월'!AN44+'11월'!AN44</f>
        <v>0</v>
      </c>
      <c r="Z44" s="53">
        <f t="shared" si="23"/>
        <v>0</v>
      </c>
      <c r="AA44" s="32">
        <f>+'1월'!AP44+'2월'!AP44+'3월'!AP44+'4월'!AP44+'5월'!AP44+'6월'!AP44+'7월'!AP44+'8월'!AP44+'9월'!AP44+'10월'!AP44+'11월'!AP44</f>
        <v>0</v>
      </c>
      <c r="AB44" s="54">
        <f t="shared" si="24"/>
        <v>0</v>
      </c>
      <c r="AC44" s="23">
        <f t="shared" si="25"/>
        <v>1233714.29</v>
      </c>
      <c r="AD44" s="53">
        <f t="shared" si="26"/>
        <v>5.4065753227384279E-2</v>
      </c>
      <c r="AE44" s="21"/>
      <c r="AG44" s="29">
        <f t="shared" si="27"/>
        <v>5658.1400000000031</v>
      </c>
      <c r="AH44" s="55">
        <f t="shared" si="28"/>
        <v>-0.21599190145888231</v>
      </c>
      <c r="AI44" s="29">
        <f t="shared" si="1"/>
        <v>279903.06000000017</v>
      </c>
      <c r="AJ44" s="55">
        <f t="shared" si="6"/>
        <v>0.11330054914102314</v>
      </c>
      <c r="AK44" s="29">
        <f t="shared" si="2"/>
        <v>-180405.63000000003</v>
      </c>
      <c r="AL44" s="55">
        <f t="shared" si="7"/>
        <v>-6.6580651962507993</v>
      </c>
      <c r="AM44" s="29">
        <f t="shared" si="3"/>
        <v>0</v>
      </c>
      <c r="AN44" s="55">
        <f t="shared" si="8"/>
        <v>0</v>
      </c>
      <c r="AO44" s="29">
        <f t="shared" si="4"/>
        <v>0</v>
      </c>
      <c r="AP44" s="55">
        <f t="shared" si="9"/>
        <v>0</v>
      </c>
      <c r="AQ44" s="29">
        <f t="shared" si="5"/>
        <v>105155.57000000007</v>
      </c>
      <c r="AR44" s="55">
        <f t="shared" si="13"/>
        <v>-1.6793430745982996E-2</v>
      </c>
      <c r="AS44" s="57"/>
    </row>
    <row r="45" spans="1:46" outlineLevel="1">
      <c r="B45" s="26" t="s">
        <v>47</v>
      </c>
      <c r="E45" s="69" t="s">
        <v>47</v>
      </c>
      <c r="F45" s="27">
        <f>+'1월'!F45+'2월'!F45+'3월'!F45+'4월'!F45+'5월'!F45+'6월'!F45+'7월'!F45+'8월'!F45+'9월'!F45+'10월'!F45+'11월'!F45+'12월'!F45</f>
        <v>105768.17999999998</v>
      </c>
      <c r="G45" s="53">
        <f t="shared" si="14"/>
        <v>4.1824568134526778E-2</v>
      </c>
      <c r="H45" s="27">
        <f>+'1월'!H45+'2월'!H45+'3월'!H45+'4월'!H45+'5월'!H45+'6월'!H45+'7월'!H45+'8월'!H45+'9월'!H45+'10월'!H45+'11월'!H45+'12월'!H45</f>
        <v>217954.22999999998</v>
      </c>
      <c r="I45" s="53">
        <f t="shared" si="15"/>
        <v>1.4293935061828441E-2</v>
      </c>
      <c r="J45" s="27">
        <f>+'1월'!J45+'2월'!J45+'3월'!J45+'4월'!J45+'5월'!J45+'6월'!J45+'7월'!J45+'8월'!J45+'9월'!J45+'10월'!J45+'11월'!J45+'12월'!J45</f>
        <v>29481.320000000003</v>
      </c>
      <c r="K45" s="53">
        <f t="shared" si="16"/>
        <v>1.6030792185179943E-2</v>
      </c>
      <c r="L45" s="27">
        <f>+'1월'!L45+'2월'!L45+'3월'!L45+'4월'!L45+'5월'!L45+'6월'!L45+'7월'!L45+'8월'!L45+'9월'!L45+'10월'!L45+'11월'!L45+'12월'!L45</f>
        <v>0</v>
      </c>
      <c r="M45" s="53">
        <f t="shared" si="17"/>
        <v>0</v>
      </c>
      <c r="N45" s="27">
        <f>+'1월'!N45+'2월'!N45+'3월'!N45+'4월'!N45+'5월'!N45+'6월'!N45+'7월'!N45+'8월'!N45+'9월'!N45+'10월'!N45</f>
        <v>0</v>
      </c>
      <c r="O45" s="54">
        <f t="shared" si="17"/>
        <v>0</v>
      </c>
      <c r="P45" s="23">
        <f t="shared" si="18"/>
        <v>353203.73</v>
      </c>
      <c r="Q45" s="54">
        <f t="shared" si="19"/>
        <v>1.6973455071049776E-2</v>
      </c>
      <c r="R45" s="21"/>
      <c r="S45" s="23">
        <f>+'1월'!AH45+'2월'!AH45+'3월'!AH45+'4월'!AH45+'5월'!AH45+'6월'!AH45+'7월'!AH45+'8월'!AH45+'9월'!AH45+'10월'!AH45+'11월'!AH45+'12월'!AH45</f>
        <v>57280.159999999996</v>
      </c>
      <c r="T45" s="53">
        <f t="shared" si="20"/>
        <v>3.7810024419411961E-2</v>
      </c>
      <c r="U45" s="23">
        <f>+'1월'!AJ45+'2월'!AJ45+'3월'!AJ45+'4월'!AJ45+'5월'!AJ45+'6월'!AJ45+'7월'!AJ45+'8월'!AJ45+'9월'!AJ45+'10월'!AJ45+'11월'!AJ45+'12월'!AJ45</f>
        <v>367320.8</v>
      </c>
      <c r="V45" s="53">
        <f t="shared" si="21"/>
        <v>1.8834224756329773E-2</v>
      </c>
      <c r="W45" s="23">
        <f>+'1월'!AL45+'2월'!AL45+'3월'!AL45+'4월'!AL45+'5월'!AL45+'6월'!AL45+'7월'!AL45+'8월'!AL45+'9월'!AL45+'10월'!AL45+'11월'!AL45+'12월'!AL45</f>
        <v>19552.54</v>
      </c>
      <c r="X45" s="53">
        <f t="shared" si="22"/>
        <v>2.3877453915509144E-2</v>
      </c>
      <c r="Y45" s="23">
        <f>+'1월'!AN45+'2월'!AN45+'3월'!AN45+'4월'!AN45+'5월'!AN45+'6월'!AN45+'7월'!AN45+'8월'!AN45+'9월'!AN45+'10월'!AN45+'11월'!AN45</f>
        <v>0</v>
      </c>
      <c r="Z45" s="53">
        <f t="shared" si="23"/>
        <v>0</v>
      </c>
      <c r="AA45" s="32">
        <f>+'1월'!AP45+'2월'!AP45+'3월'!AP45+'4월'!AP45+'5월'!AP45+'6월'!AP45+'7월'!AP45+'8월'!AP45+'9월'!AP45+'10월'!AP45+'11월'!AP45</f>
        <v>0</v>
      </c>
      <c r="AB45" s="54">
        <f t="shared" si="24"/>
        <v>0</v>
      </c>
      <c r="AC45" s="23">
        <f t="shared" si="25"/>
        <v>444153.49999999994</v>
      </c>
      <c r="AD45" s="53">
        <f t="shared" si="26"/>
        <v>1.9464387922489751E-2</v>
      </c>
      <c r="AE45" s="21"/>
      <c r="AG45" s="29">
        <f t="shared" si="27"/>
        <v>-48488.019999999982</v>
      </c>
      <c r="AH45" s="55">
        <f t="shared" si="28"/>
        <v>-0.40145437151148167</v>
      </c>
      <c r="AI45" s="29">
        <f t="shared" si="1"/>
        <v>149366.57</v>
      </c>
      <c r="AJ45" s="55">
        <f t="shared" si="6"/>
        <v>0.45402896945013327</v>
      </c>
      <c r="AK45" s="29">
        <f t="shared" si="2"/>
        <v>-9928.7800000000025</v>
      </c>
      <c r="AL45" s="55">
        <f t="shared" si="7"/>
        <v>0.78466617303292008</v>
      </c>
      <c r="AM45" s="29">
        <f t="shared" si="3"/>
        <v>0</v>
      </c>
      <c r="AN45" s="55">
        <f t="shared" si="8"/>
        <v>0</v>
      </c>
      <c r="AO45" s="29">
        <f t="shared" si="4"/>
        <v>0</v>
      </c>
      <c r="AP45" s="55">
        <f t="shared" si="9"/>
        <v>0</v>
      </c>
      <c r="AQ45" s="29">
        <f t="shared" si="5"/>
        <v>90949.76999999996</v>
      </c>
      <c r="AR45" s="55">
        <f t="shared" si="13"/>
        <v>0.24909328514399753</v>
      </c>
      <c r="AS45" s="57"/>
    </row>
    <row r="46" spans="1:46" outlineLevel="1">
      <c r="B46" s="26" t="s">
        <v>48</v>
      </c>
      <c r="E46" s="69" t="s">
        <v>48</v>
      </c>
      <c r="F46" s="27">
        <f>+'1월'!F46+'2월'!F46+'3월'!F46+'4월'!F46+'5월'!F46+'6월'!F46+'7월'!F46+'8월'!F46+'9월'!F46+'10월'!F46+'11월'!F46+'12월'!F46</f>
        <v>90398.33</v>
      </c>
      <c r="G46" s="53">
        <f t="shared" si="14"/>
        <v>3.574677291726526E-2</v>
      </c>
      <c r="H46" s="27">
        <f>+'1월'!H46+'2월'!H46+'3월'!H46+'4월'!H46+'5월'!H46+'6월'!H46+'7월'!H46+'8월'!H46+'9월'!H46+'10월'!H46+'11월'!H46+'12월'!H46</f>
        <v>567585.79</v>
      </c>
      <c r="I46" s="53">
        <f t="shared" si="15"/>
        <v>3.7223569481888909E-2</v>
      </c>
      <c r="J46" s="27">
        <f>+'1월'!J46+'2월'!J46+'3월'!J46+'4월'!J46+'5월'!J46+'6월'!J46+'7월'!J46+'8월'!J46+'9월'!J46+'10월'!J46+'11월'!J46+'12월'!J46</f>
        <v>50289.120000000003</v>
      </c>
      <c r="K46" s="53">
        <f t="shared" si="16"/>
        <v>2.7345262420257178E-2</v>
      </c>
      <c r="L46" s="27">
        <f>+'1월'!L46+'2월'!L46+'3월'!L46+'4월'!L46+'5월'!L46+'6월'!L46+'7월'!L46+'8월'!L46+'9월'!L46+'10월'!L46+'11월'!L46+'12월'!L46</f>
        <v>0</v>
      </c>
      <c r="M46" s="53">
        <f t="shared" si="17"/>
        <v>0</v>
      </c>
      <c r="N46" s="27">
        <f>+'1월'!N46+'2월'!N46+'3월'!N46+'4월'!N46+'5월'!N46+'6월'!N46+'7월'!N46+'8월'!N46+'9월'!N46+'10월'!N46</f>
        <v>0</v>
      </c>
      <c r="O46" s="54">
        <f t="shared" si="17"/>
        <v>0</v>
      </c>
      <c r="P46" s="23">
        <f t="shared" si="18"/>
        <v>708273.24</v>
      </c>
      <c r="Q46" s="54">
        <f t="shared" si="19"/>
        <v>3.4036571519691639E-2</v>
      </c>
      <c r="R46" s="21"/>
      <c r="S46" s="23">
        <f>+'1월'!AH46+'2월'!AH46+'3월'!AH46+'4월'!AH46+'5월'!AH46+'6월'!AH46+'7월'!AH46+'8월'!AH46+'9월'!AH46+'10월'!AH46+'11월'!AH46+'12월'!AH46</f>
        <v>64364.150000000009</v>
      </c>
      <c r="T46" s="53">
        <f t="shared" si="20"/>
        <v>4.2486090877446828E-2</v>
      </c>
      <c r="U46" s="23">
        <f>+'1월'!AJ46+'2월'!AJ46+'3월'!AJ46+'4월'!AJ46+'5월'!AJ46+'6월'!AJ46+'7월'!AJ46+'8월'!AJ46+'9월'!AJ46+'10월'!AJ46+'11월'!AJ46+'12월'!AJ46</f>
        <v>771070.55</v>
      </c>
      <c r="V46" s="53">
        <f>IFERROR(U46/U$29,0)</f>
        <v>3.9536329120721768E-2</v>
      </c>
      <c r="W46" s="23">
        <f>+'1월'!AL46+'2월'!AL46+'3월'!AL46+'4월'!AL46+'5월'!AL46+'6월'!AL46+'7월'!AL46+'8월'!AL46+'9월'!AL46+'10월'!AL46+'11월'!AL46+'12월'!AL46</f>
        <v>66667.509999999995</v>
      </c>
      <c r="X46" s="53">
        <f t="shared" si="22"/>
        <v>8.1413995198922742E-2</v>
      </c>
      <c r="Y46" s="23">
        <f>+'1월'!AN46+'2월'!AN46+'3월'!AN46+'4월'!AN46+'5월'!AN46+'6월'!AN46+'7월'!AN46+'8월'!AN46+'9월'!AN46+'10월'!AN46+'11월'!AN46</f>
        <v>0</v>
      </c>
      <c r="Z46" s="53">
        <f t="shared" si="23"/>
        <v>0</v>
      </c>
      <c r="AA46" s="32">
        <f>+'1월'!AP46+'2월'!AP46+'3월'!AP46+'4월'!AP46+'5월'!AP46+'6월'!AP46+'7월'!AP46+'8월'!AP46+'9월'!AP46+'10월'!AP46+'11월'!AP46</f>
        <v>0</v>
      </c>
      <c r="AB46" s="54">
        <f t="shared" si="24"/>
        <v>0</v>
      </c>
      <c r="AC46" s="23">
        <f t="shared" si="25"/>
        <v>902102.21000000008</v>
      </c>
      <c r="AD46" s="53">
        <f t="shared" si="26"/>
        <v>3.9533331069495831E-2</v>
      </c>
      <c r="AE46" s="21"/>
      <c r="AG46" s="29">
        <f t="shared" si="27"/>
        <v>-26034.179999999993</v>
      </c>
      <c r="AH46" s="55">
        <f t="shared" si="28"/>
        <v>0.67393179601815678</v>
      </c>
      <c r="AI46" s="29">
        <f t="shared" si="1"/>
        <v>203484.76</v>
      </c>
      <c r="AJ46" s="55">
        <f t="shared" si="6"/>
        <v>0.23127596388328592</v>
      </c>
      <c r="AK46" s="29">
        <f t="shared" si="2"/>
        <v>16378.389999999992</v>
      </c>
      <c r="AL46" s="55">
        <f t="shared" si="7"/>
        <v>5.4068732778665565</v>
      </c>
      <c r="AM46" s="29">
        <f t="shared" si="3"/>
        <v>0</v>
      </c>
      <c r="AN46" s="55">
        <f t="shared" si="8"/>
        <v>0</v>
      </c>
      <c r="AO46" s="29">
        <f t="shared" si="4"/>
        <v>0</v>
      </c>
      <c r="AP46" s="55">
        <f t="shared" si="9"/>
        <v>0</v>
      </c>
      <c r="AQ46" s="29">
        <f t="shared" si="5"/>
        <v>193828.97000000009</v>
      </c>
      <c r="AR46" s="55">
        <f t="shared" si="13"/>
        <v>0.54967595498041921</v>
      </c>
      <c r="AS46" s="57"/>
    </row>
    <row r="47" spans="1:46">
      <c r="B47" s="26" t="s">
        <v>49</v>
      </c>
      <c r="C47" s="16" t="s">
        <v>50</v>
      </c>
      <c r="E47" s="68" t="s">
        <v>51</v>
      </c>
      <c r="F47" s="23">
        <f>+'1월'!F47+'2월'!F47+'3월'!F47+'4월'!F47+'5월'!F47+'6월'!F47+'7월'!F47+'8월'!F47+'9월'!F47+'10월'!F47+'11월'!F47+'12월'!F47</f>
        <v>25476.75</v>
      </c>
      <c r="G47" s="53">
        <f t="shared" si="14"/>
        <v>1.0074429438242251E-2</v>
      </c>
      <c r="H47" s="23">
        <f>+'1월'!H47+'2월'!H47+'3월'!H47+'4월'!H47+'5월'!H47+'6월'!H47+'7월'!H47+'8월'!H47+'9월'!H47+'10월'!H47+'11월'!H47+'12월'!H47</f>
        <v>860333.10000000009</v>
      </c>
      <c r="I47" s="53">
        <f t="shared" si="15"/>
        <v>5.6422605163210446E-2</v>
      </c>
      <c r="J47" s="23">
        <f>+'1월'!J47+'2월'!J47+'3월'!J47+'4월'!J47+'5월'!J47+'6월'!J47+'7월'!J47+'8월'!J47+'9월'!J47+'10월'!J47+'11월'!J47+'12월'!J47</f>
        <v>64343.26999999999</v>
      </c>
      <c r="K47" s="53">
        <f t="shared" si="16"/>
        <v>3.49873611454617E-2</v>
      </c>
      <c r="L47" s="23">
        <f>+'1월'!L47+'2월'!L47+'3월'!L47+'4월'!L47+'5월'!L47+'6월'!L47+'7월'!L47+'8월'!L47+'9월'!L47+'10월'!L47+'11월'!L47+'12월'!L47</f>
        <v>0</v>
      </c>
      <c r="M47" s="53">
        <f t="shared" si="17"/>
        <v>0</v>
      </c>
      <c r="N47" s="32">
        <f>+'1월'!N47+'2월'!N47+'3월'!N47+'4월'!N47+'5월'!N47+'6월'!N47+'7월'!N47+'8월'!N47+'9월'!N47+'10월'!N47</f>
        <v>0</v>
      </c>
      <c r="O47" s="54">
        <f t="shared" si="17"/>
        <v>0</v>
      </c>
      <c r="P47" s="23">
        <f t="shared" si="18"/>
        <v>950153.12000000011</v>
      </c>
      <c r="Q47" s="54">
        <f t="shared" si="19"/>
        <v>4.5660280238087429E-2</v>
      </c>
      <c r="R47" s="21"/>
      <c r="S47" s="23">
        <f>+'1월'!AH47+'2월'!AH47+'3월'!AH47+'4월'!AH47+'5월'!AH47+'6월'!AH47+'7월'!AH47+'8월'!AH47+'9월'!AH47+'10월'!AH47+'11월'!AH47+'12월'!AH47</f>
        <v>18111.899999999998</v>
      </c>
      <c r="T47" s="53">
        <f t="shared" si="20"/>
        <v>1.19554725629598E-2</v>
      </c>
      <c r="U47" s="23">
        <f>+'1월'!AJ47+'2월'!AJ47+'3월'!AJ47+'4월'!AJ47+'5월'!AJ47+'6월'!AJ47+'7월'!AJ47+'8월'!AJ47+'9월'!AJ47+'10월'!AJ47+'11월'!AJ47+'12월'!AJ47</f>
        <v>991182.98999999987</v>
      </c>
      <c r="V47" s="53">
        <f t="shared" si="21"/>
        <v>5.0822505037316057E-2</v>
      </c>
      <c r="W47" s="23">
        <f>+'1월'!AL47+'2월'!AL47+'3월'!AL47+'4월'!AL47+'5월'!AL47+'6월'!AL47+'7월'!AL47+'8월'!AL47+'9월'!AL47+'10월'!AL47+'11월'!AL47+'12월'!AL47</f>
        <v>66845.069999999992</v>
      </c>
      <c r="X47" s="53">
        <f t="shared" si="22"/>
        <v>8.1630830490769107E-2</v>
      </c>
      <c r="Y47" s="23">
        <f>+'1월'!AN47+'2월'!AN47+'3월'!AN47+'4월'!AN47+'5월'!AN47+'6월'!AN47+'7월'!AN47+'8월'!AN47+'9월'!AN47+'10월'!AN47+'11월'!AN47</f>
        <v>0</v>
      </c>
      <c r="Z47" s="53">
        <f t="shared" si="23"/>
        <v>0</v>
      </c>
      <c r="AA47" s="32">
        <f>+'1월'!AP47+'2월'!AP47+'3월'!AP47+'4월'!AP47+'5월'!AP47+'6월'!AP47+'7월'!AP47+'8월'!AP47+'9월'!AP47+'10월'!AP47+'11월'!AP47</f>
        <v>0</v>
      </c>
      <c r="AB47" s="54">
        <f t="shared" si="24"/>
        <v>0</v>
      </c>
      <c r="AC47" s="23">
        <f t="shared" si="25"/>
        <v>1076139.96</v>
      </c>
      <c r="AD47" s="53">
        <f t="shared" si="26"/>
        <v>4.7160284992311452E-2</v>
      </c>
      <c r="AE47" s="21"/>
      <c r="AG47" s="29">
        <f t="shared" si="27"/>
        <v>-7364.8500000000022</v>
      </c>
      <c r="AH47" s="55">
        <f t="shared" si="28"/>
        <v>0.18810431247175494</v>
      </c>
      <c r="AI47" s="29">
        <f t="shared" si="1"/>
        <v>130849.88999999978</v>
      </c>
      <c r="AJ47" s="55">
        <f t="shared" si="6"/>
        <v>-0.56001001258943894</v>
      </c>
      <c r="AK47" s="29">
        <f t="shared" si="2"/>
        <v>2501.8000000000029</v>
      </c>
      <c r="AL47" s="55">
        <f t="shared" si="7"/>
        <v>4.6643469345307409</v>
      </c>
      <c r="AM47" s="29">
        <f t="shared" si="3"/>
        <v>0</v>
      </c>
      <c r="AN47" s="55">
        <f t="shared" si="8"/>
        <v>0</v>
      </c>
      <c r="AO47" s="29">
        <f t="shared" si="4"/>
        <v>0</v>
      </c>
      <c r="AP47" s="55">
        <f t="shared" si="9"/>
        <v>0</v>
      </c>
      <c r="AQ47" s="29">
        <f t="shared" si="5"/>
        <v>125986.83999999985</v>
      </c>
      <c r="AR47" s="55">
        <f t="shared" si="13"/>
        <v>0.15000047542240227</v>
      </c>
      <c r="AS47" s="57"/>
    </row>
    <row r="48" spans="1:46">
      <c r="B48" s="26" t="s">
        <v>52</v>
      </c>
      <c r="C48" s="16" t="s">
        <v>50</v>
      </c>
      <c r="E48" s="68" t="s">
        <v>53</v>
      </c>
      <c r="F48" s="23">
        <f>+'1월'!F48+'2월'!F48+'3월'!F48+'4월'!F48+'5월'!F48+'6월'!F48+'7월'!F48+'8월'!F48+'9월'!F48+'10월'!F48+'11월'!F48+'12월'!F48</f>
        <v>58847.08</v>
      </c>
      <c r="G48" s="53">
        <f t="shared" si="14"/>
        <v>2.3270266227309089E-2</v>
      </c>
      <c r="H48" s="23">
        <f>+'1월'!H48+'2월'!H48+'3월'!H48+'4월'!H48+'5월'!H48+'6월'!H48+'7월'!H48+'8월'!H48+'9월'!H48+'10월'!H48+'11월'!H48+'12월'!H48</f>
        <v>518553.39</v>
      </c>
      <c r="I48" s="53">
        <f>IFERROR(H48/H$29,0)</f>
        <v>3.4007912958381209E-2</v>
      </c>
      <c r="J48" s="23">
        <f>+'1월'!J48+'2월'!J48+'3월'!J48+'4월'!J48+'5월'!J48+'6월'!J48+'7월'!J48+'8월'!J48+'9월'!J48+'10월'!J48+'11월'!J48+'12월'!J48</f>
        <v>157736.82</v>
      </c>
      <c r="K48" s="53">
        <f t="shared" si="16"/>
        <v>8.5771131732606795E-2</v>
      </c>
      <c r="L48" s="23">
        <f>+'1월'!L48+'2월'!L48+'3월'!L48+'4월'!L48+'5월'!L48+'6월'!L48+'7월'!L48+'8월'!L48+'9월'!L48+'10월'!L48+'11월'!L48+'12월'!L48</f>
        <v>0</v>
      </c>
      <c r="M48" s="53">
        <f t="shared" si="17"/>
        <v>0</v>
      </c>
      <c r="N48" s="32">
        <f>+'1월'!N48+'2월'!N48+'3월'!N48+'4월'!N48+'5월'!N48+'6월'!N48+'7월'!N48+'8월'!N48+'9월'!N48+'10월'!N48</f>
        <v>0</v>
      </c>
      <c r="O48" s="54">
        <f t="shared" si="17"/>
        <v>0</v>
      </c>
      <c r="P48" s="23">
        <f t="shared" si="18"/>
        <v>735137.29</v>
      </c>
      <c r="Q48" s="54">
        <f t="shared" si="19"/>
        <v>3.5327542443757007E-2</v>
      </c>
      <c r="R48" s="21"/>
      <c r="S48" s="23">
        <f>+'1월'!AH48+'2월'!AH48+'3월'!AH48+'4월'!AH48+'5월'!AH48+'6월'!AH48+'7월'!AH48+'8월'!AH48+'9월'!AH48+'10월'!AH48+'11월'!AH48+'12월'!AH48</f>
        <v>40302.319999999992</v>
      </c>
      <c r="T48" s="53">
        <f t="shared" si="20"/>
        <v>2.6603132801286775E-2</v>
      </c>
      <c r="U48" s="23">
        <f>+'1월'!AJ48+'2월'!AJ48+'3월'!AJ48+'4월'!AJ48+'5월'!AJ48+'6월'!AJ48+'7월'!AJ48+'8월'!AJ48+'9월'!AJ48+'10월'!AJ48+'11월'!AJ48+'12월'!AJ48</f>
        <v>830038.53999999992</v>
      </c>
      <c r="V48" s="53">
        <f t="shared" si="21"/>
        <v>4.2559888845869386E-2</v>
      </c>
      <c r="W48" s="23">
        <f>+'1월'!AL48+'2월'!AL48+'3월'!AL48+'4월'!AL48+'5월'!AL48+'6월'!AL48+'7월'!AL48+'8월'!AL48+'9월'!AL48+'10월'!AL48+'11월'!AL48+'12월'!AL48</f>
        <v>49723.44</v>
      </c>
      <c r="X48" s="53">
        <f t="shared" si="22"/>
        <v>6.0721990448329682E-2</v>
      </c>
      <c r="Y48" s="23">
        <f>+'1월'!AN48+'2월'!AN48+'3월'!AN48+'4월'!AN48+'5월'!AN48+'6월'!AN48+'7월'!AN48+'8월'!AN48+'9월'!AN48+'10월'!AN48+'11월'!AN48</f>
        <v>0</v>
      </c>
      <c r="Z48" s="53">
        <f t="shared" si="23"/>
        <v>0</v>
      </c>
      <c r="AA48" s="23">
        <f>+'1월'!AP48+'2월'!AP48+'3월'!AP48+'4월'!AP48+'5월'!AP48+'6월'!AP48+'7월'!AP48+'8월'!AP48+'9월'!AP48+'10월'!AP48+'11월'!AP48</f>
        <v>0</v>
      </c>
      <c r="AB48" s="54">
        <f t="shared" si="24"/>
        <v>0</v>
      </c>
      <c r="AC48" s="23">
        <f t="shared" si="25"/>
        <v>920064.29999999981</v>
      </c>
      <c r="AD48" s="53">
        <f t="shared" si="26"/>
        <v>4.0320493813138895E-2</v>
      </c>
      <c r="AE48" s="21"/>
      <c r="AG48" s="29">
        <f t="shared" si="27"/>
        <v>-18544.760000000009</v>
      </c>
      <c r="AH48" s="55">
        <f t="shared" si="28"/>
        <v>0.33328665739776853</v>
      </c>
      <c r="AI48" s="29">
        <f t="shared" si="1"/>
        <v>311485.14999999991</v>
      </c>
      <c r="AJ48" s="55">
        <f t="shared" si="6"/>
        <v>0.85519758874881768</v>
      </c>
      <c r="AK48" s="29">
        <f t="shared" si="2"/>
        <v>-108013.38</v>
      </c>
      <c r="AL48" s="55">
        <f t="shared" si="7"/>
        <v>-2.5049141284277114</v>
      </c>
      <c r="AM48" s="29">
        <f t="shared" si="3"/>
        <v>0</v>
      </c>
      <c r="AN48" s="55">
        <f t="shared" si="8"/>
        <v>0</v>
      </c>
      <c r="AO48" s="29">
        <f t="shared" si="4"/>
        <v>0</v>
      </c>
      <c r="AP48" s="55">
        <f t="shared" si="9"/>
        <v>0</v>
      </c>
      <c r="AQ48" s="29">
        <f t="shared" si="5"/>
        <v>184927.00999999978</v>
      </c>
      <c r="AR48" s="55">
        <f t="shared" si="13"/>
        <v>0.49929513693818883</v>
      </c>
      <c r="AS48" s="57"/>
    </row>
    <row r="49" spans="2:45">
      <c r="B49" s="26" t="s">
        <v>54</v>
      </c>
      <c r="C49" s="16" t="s">
        <v>50</v>
      </c>
      <c r="E49" s="68" t="s">
        <v>55</v>
      </c>
      <c r="F49" s="23">
        <f>+'1월'!F49+'2월'!F49+'3월'!F49+'4월'!F49+'5월'!F49+'6월'!F49+'7월'!F49+'8월'!F49+'9월'!F49+'10월'!F49+'11월'!F49+'12월'!F49</f>
        <v>0</v>
      </c>
      <c r="G49" s="53">
        <f t="shared" si="14"/>
        <v>0</v>
      </c>
      <c r="H49" s="23">
        <f>+'1월'!H49+'2월'!H49+'3월'!H49+'4월'!H49+'5월'!H49+'6월'!H49+'7월'!H49+'8월'!H49+'9월'!H49+'10월'!H49+'11월'!H49+'12월'!H49</f>
        <v>2675636.4952801513</v>
      </c>
      <c r="I49" s="53">
        <f t="shared" ref="I49" si="29">IFERROR(H49/H$29,0)</f>
        <v>0.17547433840853985</v>
      </c>
      <c r="J49" s="23">
        <f>+'1월'!J49+'2월'!J49+'3월'!J49+'4월'!J49+'5월'!J49+'6월'!J49+'7월'!J49+'8월'!J49+'9월'!J49+'10월'!J49+'11월'!J49+'12월'!J49</f>
        <v>469494.27471984905</v>
      </c>
      <c r="K49" s="53">
        <f t="shared" si="16"/>
        <v>0.25529267855596971</v>
      </c>
      <c r="L49" s="23">
        <f>+'1월'!L49+'2월'!L49+'3월'!L49+'4월'!L49+'5월'!L49+'6월'!L49+'7월'!L49+'8월'!L49+'9월'!L49+'10월'!L49+'11월'!L49+'12월'!L49</f>
        <v>0</v>
      </c>
      <c r="M49" s="53">
        <f t="shared" si="17"/>
        <v>0</v>
      </c>
      <c r="N49" s="32">
        <f>+'1월'!N49+'2월'!N49+'3월'!N49+'4월'!N49+'5월'!N49+'6월'!N49+'7월'!N49+'8월'!N49+'9월'!N49+'10월'!N49</f>
        <v>0</v>
      </c>
      <c r="O49" s="54">
        <f t="shared" si="17"/>
        <v>0</v>
      </c>
      <c r="P49" s="23">
        <f t="shared" si="18"/>
        <v>3145130.7700000005</v>
      </c>
      <c r="Q49" s="54">
        <f t="shared" si="19"/>
        <v>0.15114148374698988</v>
      </c>
      <c r="R49" s="21"/>
      <c r="S49" s="23">
        <f>+'1월'!AH49+'2월'!AH49+'3월'!AH49+'4월'!AH49+'5월'!AH49+'6월'!AH49+'7월'!AH49+'8월'!AH49+'9월'!AH49+'10월'!AH49+'11월'!AH49+'12월'!AH49</f>
        <v>0</v>
      </c>
      <c r="T49" s="53">
        <f t="shared" si="20"/>
        <v>0</v>
      </c>
      <c r="U49" s="23">
        <f>+'1월'!AJ49+'2월'!AJ49+'3월'!AJ49+'4월'!AJ49+'5월'!AJ49+'6월'!AJ49+'7월'!AJ49+'8월'!AJ49+'9월'!AJ49+'10월'!AJ49+'11월'!AJ49+'12월'!AJ49</f>
        <v>3847636.5900000008</v>
      </c>
      <c r="V49" s="53">
        <f t="shared" si="21"/>
        <v>0.19728600263513063</v>
      </c>
      <c r="W49" s="23">
        <f>+'1월'!AL49+'2월'!AL49+'3월'!AL49+'4월'!AL49+'5월'!AL49+'6월'!AL49+'7월'!AL49+'8월'!AL49+'9월'!AL49+'10월'!AL49+'11월'!AL49+'12월'!AL49</f>
        <v>146512.45000000001</v>
      </c>
      <c r="X49" s="53">
        <f t="shared" si="22"/>
        <v>0.17892019517276722</v>
      </c>
      <c r="Y49" s="23">
        <f>+'1월'!AN49+'2월'!AN49+'3월'!AN49+'4월'!AN49+'5월'!AN49+'6월'!AN49+'7월'!AN49+'8월'!AN49+'9월'!AN49+'10월'!AN49+'11월'!AN49</f>
        <v>0</v>
      </c>
      <c r="Z49" s="53">
        <f t="shared" si="23"/>
        <v>0</v>
      </c>
      <c r="AA49" s="32">
        <f>+'1월'!AP49+'2월'!AP49+'3월'!AP49+'4월'!AP49+'5월'!AP49+'6월'!AP49+'7월'!AP49+'8월'!AP49+'9월'!AP49+'10월'!AP49+'11월'!AP49</f>
        <v>0</v>
      </c>
      <c r="AB49" s="54">
        <f t="shared" si="24"/>
        <v>0</v>
      </c>
      <c r="AC49" s="23">
        <f t="shared" si="25"/>
        <v>3994149.040000001</v>
      </c>
      <c r="AD49" s="53">
        <f t="shared" si="26"/>
        <v>0.17503783339498633</v>
      </c>
      <c r="AE49" s="21"/>
      <c r="AG49" s="29">
        <f t="shared" si="27"/>
        <v>0</v>
      </c>
      <c r="AH49" s="55">
        <f t="shared" si="28"/>
        <v>0</v>
      </c>
      <c r="AI49" s="29">
        <f t="shared" si="1"/>
        <v>1172000.0947198495</v>
      </c>
      <c r="AJ49" s="55">
        <f t="shared" si="6"/>
        <v>2.1811664226590781</v>
      </c>
      <c r="AK49" s="29">
        <f t="shared" si="2"/>
        <v>-322981.82471984904</v>
      </c>
      <c r="AL49" s="55">
        <f t="shared" si="7"/>
        <v>-7.6372483383202487</v>
      </c>
      <c r="AM49" s="29">
        <f t="shared" si="3"/>
        <v>0</v>
      </c>
      <c r="AN49" s="55">
        <f t="shared" si="8"/>
        <v>0</v>
      </c>
      <c r="AO49" s="29">
        <f t="shared" si="4"/>
        <v>0</v>
      </c>
      <c r="AP49" s="55">
        <f t="shared" si="9"/>
        <v>0</v>
      </c>
      <c r="AQ49" s="29">
        <f t="shared" si="5"/>
        <v>849018.27000000048</v>
      </c>
      <c r="AR49" s="55">
        <f t="shared" si="13"/>
        <v>2.3896349647996447</v>
      </c>
      <c r="AS49" s="57"/>
    </row>
    <row r="50" spans="2:45">
      <c r="B50" s="26" t="s">
        <v>56</v>
      </c>
      <c r="C50" s="16" t="s">
        <v>50</v>
      </c>
      <c r="E50" s="68" t="s">
        <v>57</v>
      </c>
      <c r="F50" s="23">
        <f>+'1월'!F50+'2월'!F50+'3월'!F50+'4월'!F50+'5월'!F50+'6월'!F50+'7월'!F50+'8월'!F50+'9월'!F50+'10월'!F50+'11월'!F50+'12월'!F50</f>
        <v>0</v>
      </c>
      <c r="G50" s="53">
        <f t="shared" si="14"/>
        <v>0</v>
      </c>
      <c r="H50" s="23">
        <f>+'1월'!H50+'2월'!H50+'3월'!H50+'4월'!H50+'5월'!H50+'6월'!H50+'7월'!H50+'8월'!H50+'9월'!H50+'10월'!H50+'11월'!H50+'12월'!H50</f>
        <v>0</v>
      </c>
      <c r="I50" s="53">
        <f t="shared" si="15"/>
        <v>0</v>
      </c>
      <c r="J50" s="23">
        <f>+'1월'!J50+'2월'!J50+'3월'!J50+'4월'!J50+'5월'!J50+'6월'!J50+'7월'!J50+'8월'!J50+'9월'!J50+'10월'!J50+'11월'!J50+'12월'!J50</f>
        <v>0</v>
      </c>
      <c r="K50" s="53">
        <f t="shared" si="16"/>
        <v>0</v>
      </c>
      <c r="L50" s="23">
        <f>+'1월'!L50+'2월'!L50+'3월'!L50+'4월'!L50+'5월'!L50+'6월'!L50+'7월'!L50+'8월'!L50+'9월'!L50+'10월'!L50+'11월'!L50+'12월'!L50</f>
        <v>0</v>
      </c>
      <c r="M50" s="53">
        <f t="shared" si="17"/>
        <v>0</v>
      </c>
      <c r="N50" s="32">
        <f>+'1월'!N50+'2월'!N50+'3월'!N50+'4월'!N50+'5월'!N50+'6월'!N50+'7월'!N50+'8월'!N50+'9월'!N50+'10월'!N50</f>
        <v>0</v>
      </c>
      <c r="O50" s="54">
        <f t="shared" si="17"/>
        <v>0</v>
      </c>
      <c r="P50" s="23">
        <f t="shared" si="18"/>
        <v>0</v>
      </c>
      <c r="Q50" s="54">
        <f t="shared" si="19"/>
        <v>0</v>
      </c>
      <c r="R50" s="21"/>
      <c r="S50" s="23">
        <f>+'1월'!AH50+'2월'!AH50+'3월'!AH50+'4월'!AH50+'5월'!AH50+'6월'!AH50+'7월'!AH50+'8월'!AH50+'9월'!AH50+'10월'!AH50+'11월'!AH50+'12월'!AH50</f>
        <v>0</v>
      </c>
      <c r="T50" s="53">
        <f t="shared" si="20"/>
        <v>0</v>
      </c>
      <c r="U50" s="23">
        <f>+'1월'!AJ50+'2월'!AJ50+'3월'!AJ50+'4월'!AJ50+'5월'!AJ50+'6월'!AJ50+'7월'!AJ50+'8월'!AJ50+'9월'!AJ50+'10월'!AJ50+'11월'!AJ50+'12월'!AJ50</f>
        <v>0</v>
      </c>
      <c r="V50" s="53">
        <f t="shared" si="21"/>
        <v>0</v>
      </c>
      <c r="W50" s="23">
        <f>+'1월'!AL50+'2월'!AL50+'3월'!AL50+'4월'!AL50+'5월'!AL50+'6월'!AL50+'7월'!AL50+'8월'!AL50+'9월'!AL50+'10월'!AL50+'11월'!AL50+'12월'!AL50</f>
        <v>0</v>
      </c>
      <c r="X50" s="53">
        <f t="shared" si="22"/>
        <v>0</v>
      </c>
      <c r="Y50" s="23">
        <f>+'1월'!AN50+'2월'!AN50+'3월'!AN50+'4월'!AN50+'5월'!AN50+'6월'!AN50+'7월'!AN50+'8월'!AN50+'9월'!AN50+'10월'!AN50+'11월'!AN50</f>
        <v>0</v>
      </c>
      <c r="Z50" s="53">
        <f t="shared" si="23"/>
        <v>0</v>
      </c>
      <c r="AA50" s="32">
        <f>+'1월'!AP50+'2월'!AP50+'3월'!AP50+'4월'!AP50+'5월'!AP50+'6월'!AP50+'7월'!AP50+'8월'!AP50+'9월'!AP50+'10월'!AP50+'11월'!AP50</f>
        <v>0</v>
      </c>
      <c r="AB50" s="54">
        <f t="shared" si="24"/>
        <v>0</v>
      </c>
      <c r="AC50" s="23">
        <f t="shared" si="25"/>
        <v>0</v>
      </c>
      <c r="AD50" s="53">
        <f t="shared" si="26"/>
        <v>0</v>
      </c>
      <c r="AE50" s="21"/>
      <c r="AG50" s="29">
        <f t="shared" si="27"/>
        <v>0</v>
      </c>
      <c r="AH50" s="55">
        <f t="shared" si="28"/>
        <v>0</v>
      </c>
      <c r="AI50" s="29">
        <f t="shared" si="1"/>
        <v>0</v>
      </c>
      <c r="AJ50" s="55">
        <f t="shared" si="6"/>
        <v>0</v>
      </c>
      <c r="AK50" s="29">
        <f t="shared" si="2"/>
        <v>0</v>
      </c>
      <c r="AL50" s="55">
        <f t="shared" si="7"/>
        <v>0</v>
      </c>
      <c r="AM50" s="29">
        <f t="shared" si="3"/>
        <v>0</v>
      </c>
      <c r="AN50" s="55">
        <f t="shared" si="8"/>
        <v>0</v>
      </c>
      <c r="AO50" s="29">
        <f t="shared" si="4"/>
        <v>0</v>
      </c>
      <c r="AP50" s="55">
        <f t="shared" si="9"/>
        <v>0</v>
      </c>
      <c r="AQ50" s="29">
        <f t="shared" si="5"/>
        <v>0</v>
      </c>
      <c r="AR50" s="55">
        <f t="shared" si="13"/>
        <v>0</v>
      </c>
      <c r="AS50" s="57"/>
    </row>
    <row r="51" spans="2:45" ht="15">
      <c r="E51" s="34" t="s">
        <v>58</v>
      </c>
      <c r="F51" s="35">
        <f>F43+SUM(F47:F50)</f>
        <v>258216.66999999998</v>
      </c>
      <c r="G51" s="36">
        <f t="shared" si="14"/>
        <v>0.10210822109150047</v>
      </c>
      <c r="H51" s="35">
        <f>H43+SUM(H47:H50)</f>
        <v>5763965.7952801511</v>
      </c>
      <c r="I51" s="36">
        <f t="shared" si="14"/>
        <v>0.37801401136529816</v>
      </c>
      <c r="J51" s="35">
        <f>J43+SUM(J47:J50)</f>
        <v>998274.40471984912</v>
      </c>
      <c r="K51" s="36">
        <f t="shared" si="16"/>
        <v>0.54282269334779165</v>
      </c>
      <c r="L51" s="35">
        <f>L43+SUM(L47:L50)</f>
        <v>0</v>
      </c>
      <c r="M51" s="36">
        <f t="shared" si="17"/>
        <v>0</v>
      </c>
      <c r="N51" s="37">
        <f>N43+SUM(N47:N50)</f>
        <v>0</v>
      </c>
      <c r="O51" s="70">
        <f t="shared" si="17"/>
        <v>0</v>
      </c>
      <c r="P51" s="35">
        <f>P43+SUM(P47:P50)</f>
        <v>7020456.870000001</v>
      </c>
      <c r="Q51" s="70">
        <f t="shared" si="19"/>
        <v>0.33737302055441987</v>
      </c>
      <c r="R51" s="21"/>
      <c r="S51" s="35">
        <f>S43+SUM(S47:S50)</f>
        <v>163443</v>
      </c>
      <c r="T51" s="36">
        <f t="shared" si="20"/>
        <v>0.10788698602067363</v>
      </c>
      <c r="U51" s="35">
        <f>U43+SUM(U47:U50)</f>
        <v>8011055.3200000012</v>
      </c>
      <c r="V51" s="36">
        <f t="shared" si="21"/>
        <v>0.41076360617822721</v>
      </c>
      <c r="W51" s="35">
        <f>W43+SUM(W47:W50)</f>
        <v>395824.98000000004</v>
      </c>
      <c r="X51" s="36">
        <f t="shared" si="22"/>
        <v>0.48337928057210622</v>
      </c>
      <c r="Y51" s="35">
        <f>Y43+SUM(Y47:Y50)</f>
        <v>0</v>
      </c>
      <c r="Z51" s="36">
        <f t="shared" si="23"/>
        <v>0</v>
      </c>
      <c r="AA51" s="37">
        <f>AA43+SUM(AA47:AA50)</f>
        <v>0</v>
      </c>
      <c r="AB51" s="70">
        <f t="shared" si="24"/>
        <v>0</v>
      </c>
      <c r="AC51" s="35">
        <f>AC43+SUM(AC47:AC50)</f>
        <v>8570323.3000000007</v>
      </c>
      <c r="AD51" s="36">
        <f t="shared" si="26"/>
        <v>0.37558208441980656</v>
      </c>
      <c r="AE51" s="21"/>
      <c r="AG51" s="38">
        <f t="shared" si="27"/>
        <v>-94773.669999999984</v>
      </c>
      <c r="AH51" s="39">
        <f t="shared" si="28"/>
        <v>0.57787649291731613</v>
      </c>
      <c r="AI51" s="38">
        <f t="shared" si="1"/>
        <v>2247089.5247198502</v>
      </c>
      <c r="AJ51" s="39">
        <f t="shared" si="6"/>
        <v>3.274959481292905</v>
      </c>
      <c r="AK51" s="38">
        <f t="shared" si="2"/>
        <v>-602449.42471984914</v>
      </c>
      <c r="AL51" s="39">
        <f t="shared" si="7"/>
        <v>-5.9443412775685438</v>
      </c>
      <c r="AM51" s="38">
        <f t="shared" si="3"/>
        <v>0</v>
      </c>
      <c r="AN51" s="39">
        <f t="shared" si="8"/>
        <v>0</v>
      </c>
      <c r="AO51" s="38">
        <f t="shared" si="4"/>
        <v>0</v>
      </c>
      <c r="AP51" s="39">
        <f t="shared" si="9"/>
        <v>0</v>
      </c>
      <c r="AQ51" s="38">
        <f t="shared" si="5"/>
        <v>1549866.4299999997</v>
      </c>
      <c r="AR51" s="39">
        <f t="shared" si="13"/>
        <v>3.8209063865386694</v>
      </c>
      <c r="AS51" s="57"/>
    </row>
    <row r="52" spans="2:45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S52" s="23"/>
      <c r="T52" s="53"/>
      <c r="U52" s="23"/>
      <c r="V52" s="53"/>
      <c r="W52" s="23"/>
      <c r="X52" s="53"/>
      <c r="Y52" s="23"/>
      <c r="Z52" s="53"/>
      <c r="AA52" s="32"/>
      <c r="AB52" s="54"/>
      <c r="AC52" s="23"/>
      <c r="AD52" s="53"/>
      <c r="AE52" s="21"/>
      <c r="AG52" s="29"/>
      <c r="AH52" s="55">
        <f t="shared" si="28"/>
        <v>0</v>
      </c>
      <c r="AI52" s="29">
        <f t="shared" si="1"/>
        <v>0</v>
      </c>
      <c r="AJ52" s="55">
        <f t="shared" si="6"/>
        <v>0</v>
      </c>
      <c r="AK52" s="29">
        <f t="shared" si="2"/>
        <v>0</v>
      </c>
      <c r="AL52" s="55">
        <f t="shared" si="7"/>
        <v>0</v>
      </c>
      <c r="AM52" s="29">
        <f t="shared" si="3"/>
        <v>0</v>
      </c>
      <c r="AN52" s="55">
        <f t="shared" si="8"/>
        <v>0</v>
      </c>
      <c r="AO52" s="29">
        <f t="shared" si="4"/>
        <v>0</v>
      </c>
      <c r="AP52" s="55">
        <f t="shared" si="9"/>
        <v>0</v>
      </c>
      <c r="AQ52" s="29">
        <f t="shared" si="5"/>
        <v>0</v>
      </c>
      <c r="AR52" s="55">
        <f t="shared" si="13"/>
        <v>0</v>
      </c>
    </row>
    <row r="53" spans="2:45" ht="15">
      <c r="E53" s="34" t="s">
        <v>59</v>
      </c>
      <c r="F53" s="35">
        <f>F40-F51</f>
        <v>1026598.1400000008</v>
      </c>
      <c r="G53" s="36">
        <f t="shared" si="14"/>
        <v>0.40595407667228939</v>
      </c>
      <c r="H53" s="35">
        <f>H40-H51</f>
        <v>4909897.6547198482</v>
      </c>
      <c r="I53" s="36">
        <f t="shared" si="14"/>
        <v>0.32200227651828217</v>
      </c>
      <c r="J53" s="35">
        <f>J40-J51</f>
        <v>413190.60528015089</v>
      </c>
      <c r="K53" s="36">
        <f t="shared" ref="K53" si="30">IFERROR(J53/J$29,0)</f>
        <v>0.22467693868913646</v>
      </c>
      <c r="L53" s="35">
        <f>L40-L51</f>
        <v>976931.59999999986</v>
      </c>
      <c r="M53" s="36">
        <f t="shared" ref="M53:O53" si="31">IFERROR(L53/L$29,0)</f>
        <v>1</v>
      </c>
      <c r="N53" s="37">
        <f>N40-N51</f>
        <v>-175241.43</v>
      </c>
      <c r="O53" s="70">
        <f t="shared" si="31"/>
        <v>-0.81005202383079278</v>
      </c>
      <c r="P53" s="35">
        <f>P40-P51</f>
        <v>7151376.5699999984</v>
      </c>
      <c r="Q53" s="70">
        <f t="shared" ref="Q53" si="32">IFERROR(P53/P$29,0)</f>
        <v>0.34366445933924039</v>
      </c>
      <c r="R53" s="21"/>
      <c r="S53" s="35">
        <f>S40-S51</f>
        <v>523133.70000000007</v>
      </c>
      <c r="T53" s="36">
        <f t="shared" ref="T53" si="33">IFERROR(S53/S$29,0)</f>
        <v>0.3453149916413874</v>
      </c>
      <c r="U53" s="35">
        <f>U40-U51</f>
        <v>3471118.379999998</v>
      </c>
      <c r="V53" s="36">
        <f t="shared" ref="V53" si="34">IFERROR(U53/U$29,0)</f>
        <v>0.17798018441848995</v>
      </c>
      <c r="W53" s="35">
        <f>W40-W51</f>
        <v>94707.399999999965</v>
      </c>
      <c r="X53" s="36">
        <f t="shared" ref="X53" si="35">IFERROR(W53/W$29,0)</f>
        <v>0.11565615408318765</v>
      </c>
      <c r="Y53" s="35">
        <f>Y40-Y51</f>
        <v>832330.89</v>
      </c>
      <c r="Z53" s="36">
        <f t="shared" ref="Z53" si="36">IFERROR(Y53/Y$29,0)</f>
        <v>1</v>
      </c>
      <c r="AA53" s="37">
        <f>AA40-AA51</f>
        <v>256093.96999999997</v>
      </c>
      <c r="AB53" s="70">
        <f t="shared" ref="AB53" si="37">IFERROR(AA53/AA$29,0)</f>
        <v>1.7096668347667234</v>
      </c>
      <c r="AC53" s="35">
        <f>AC40-AC51</f>
        <v>5177384.339999998</v>
      </c>
      <c r="AD53" s="36">
        <f t="shared" ref="AD53" si="38">IFERROR(AC53/AC$29,0)</f>
        <v>0.22689141753376602</v>
      </c>
      <c r="AE53" s="21"/>
      <c r="AG53" s="38">
        <f>+S53-F53</f>
        <v>-503464.44000000076</v>
      </c>
      <c r="AH53" s="39">
        <f t="shared" si="28"/>
        <v>-6.0639085030901985</v>
      </c>
      <c r="AI53" s="38">
        <f t="shared" si="1"/>
        <v>-1438779.2747198502</v>
      </c>
      <c r="AJ53" s="39">
        <f t="shared" si="6"/>
        <v>-14.402209209979222</v>
      </c>
      <c r="AK53" s="38">
        <f t="shared" si="2"/>
        <v>-318483.20528015093</v>
      </c>
      <c r="AL53" s="39">
        <f t="shared" si="7"/>
        <v>-10.902078460594881</v>
      </c>
      <c r="AM53" s="38">
        <f t="shared" si="3"/>
        <v>-144600.70999999985</v>
      </c>
      <c r="AN53" s="39">
        <f t="shared" si="8"/>
        <v>0</v>
      </c>
      <c r="AO53" s="38">
        <f t="shared" si="4"/>
        <v>431335.39999999997</v>
      </c>
      <c r="AP53" s="39">
        <f>(AB53-O53)*100</f>
        <v>251.97188585975164</v>
      </c>
      <c r="AQ53" s="38">
        <f t="shared" si="5"/>
        <v>-1973992.2300000004</v>
      </c>
      <c r="AR53" s="39">
        <f t="shared" si="13"/>
        <v>-11.677304180547438</v>
      </c>
    </row>
    <row r="54" spans="2:45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S54" s="29">
        <f t="shared" ref="S54:Y54" si="39">+S53-F53</f>
        <v>-503464.44000000076</v>
      </c>
      <c r="T54" s="92">
        <f t="shared" si="39"/>
        <v>-6.0639085030901985E-2</v>
      </c>
      <c r="U54" s="71">
        <f t="shared" si="39"/>
        <v>-1438779.2747198502</v>
      </c>
      <c r="V54" s="94">
        <f t="shared" si="39"/>
        <v>-0.14402209209979222</v>
      </c>
      <c r="W54" s="71">
        <f t="shared" si="39"/>
        <v>-318483.20528015093</v>
      </c>
      <c r="X54" s="92">
        <f t="shared" si="39"/>
        <v>-0.10902078460594881</v>
      </c>
      <c r="Y54" s="71">
        <f t="shared" si="39"/>
        <v>-144600.70999999985</v>
      </c>
      <c r="Z54" s="71"/>
      <c r="AA54" s="71"/>
      <c r="AB54" s="71"/>
      <c r="AC54" s="23"/>
      <c r="AD54" s="31"/>
      <c r="AE54" s="21"/>
      <c r="AG54" s="29"/>
      <c r="AH54" s="71"/>
      <c r="AI54" s="71"/>
      <c r="AJ54" s="71"/>
      <c r="AK54" s="71"/>
      <c r="AL54" s="71"/>
      <c r="AM54" s="71"/>
      <c r="AN54" s="71">
        <f t="shared" si="8"/>
        <v>0</v>
      </c>
      <c r="AO54" s="71"/>
      <c r="AP54" s="71"/>
      <c r="AQ54" s="29"/>
      <c r="AR54" s="33">
        <f t="shared" si="13"/>
        <v>0</v>
      </c>
    </row>
    <row r="55" spans="2:45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>
        <f>+'1월'!P55+'2월'!P55+'3월'!P55+'4월'!P55+'5월'!P55+'6월'!P55+'7월'!P55+'8월'!P55+'9월'!P55+'10월'!P55</f>
        <v>0</v>
      </c>
      <c r="Q55" s="31"/>
      <c r="R55" s="21"/>
      <c r="S55" s="93">
        <f>+S53/F53</f>
        <v>0.50957982448711592</v>
      </c>
      <c r="T55" s="71"/>
      <c r="U55" s="94">
        <f>+U53/H53</f>
        <v>0.70696348968969602</v>
      </c>
      <c r="V55" s="94"/>
      <c r="W55" s="94">
        <f>+W53/J53</f>
        <v>0.2292099548966913</v>
      </c>
      <c r="X55" s="71"/>
      <c r="Y55" s="94">
        <f>+Y53/L53</f>
        <v>0.85198481654191571</v>
      </c>
      <c r="Z55" s="71"/>
      <c r="AA55" s="71"/>
      <c r="AB55" s="71"/>
      <c r="AC55" s="23"/>
      <c r="AD55" s="31"/>
      <c r="AE55" s="21"/>
      <c r="AG55" s="29"/>
      <c r="AH55" s="71"/>
      <c r="AI55" s="71"/>
      <c r="AJ55" s="71"/>
      <c r="AK55" s="71"/>
      <c r="AL55" s="71"/>
      <c r="AM55" s="71"/>
      <c r="AN55" s="71"/>
      <c r="AO55" s="71"/>
      <c r="AP55" s="71"/>
      <c r="AQ55" s="29">
        <f t="shared" ref="AQ55:AQ78" si="40">+AC55-P55</f>
        <v>0</v>
      </c>
      <c r="AR55" s="33">
        <f t="shared" si="13"/>
        <v>0</v>
      </c>
    </row>
    <row r="56" spans="2:45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f>+'1월'!P56+'2월'!P56+'3월'!P56+'4월'!P56+'5월'!P56+'6월'!P56+'7월'!P56+'8월'!P56+'9월'!P56+'10월'!P56+'11월'!P56+'12월'!P56</f>
        <v>4119740.6999999997</v>
      </c>
      <c r="Q56" s="53">
        <f t="shared" ref="Q56:Q78" si="41">IFERROR(P56/P$29,0)</f>
        <v>0.19797705328826837</v>
      </c>
      <c r="R56" s="21"/>
      <c r="S56" s="29"/>
      <c r="T56" s="71"/>
      <c r="U56" s="94"/>
      <c r="V56" s="94"/>
      <c r="W56" s="94"/>
      <c r="X56" s="71"/>
      <c r="Y56" s="71"/>
      <c r="Z56" s="71"/>
      <c r="AA56" s="71"/>
      <c r="AB56" s="71"/>
      <c r="AC56" s="23">
        <f>+'1월'!AR56+'2월'!AR56+'3월'!AR56+'4월'!AR56+'5월'!AR56+'6월'!AR56+'7월'!AR56+'8월'!AR56+'9월'!AR56+'10월'!AR56+'11월'!AR56+'12월'!AR56</f>
        <v>4137336.4699999997</v>
      </c>
      <c r="AD56" s="53">
        <f t="shared" ref="AD56:AD78" si="42">IFERROR(AC56/AC$29,0)</f>
        <v>0.18131281644283875</v>
      </c>
      <c r="AE56" s="21"/>
      <c r="AG56" s="29"/>
      <c r="AH56" s="71"/>
      <c r="AI56" s="71"/>
      <c r="AJ56" s="71"/>
      <c r="AK56" s="71"/>
      <c r="AL56" s="71"/>
      <c r="AM56" s="71"/>
      <c r="AN56" s="71"/>
      <c r="AO56" s="71"/>
      <c r="AP56" s="71"/>
      <c r="AQ56" s="29">
        <f t="shared" si="40"/>
        <v>17595.770000000019</v>
      </c>
      <c r="AR56" s="55">
        <f t="shared" si="13"/>
        <v>-1.6664236845429614</v>
      </c>
    </row>
    <row r="57" spans="2:45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f>+'1월'!P57+'2월'!P57+'3월'!P57+'4월'!P57+'5월'!P57+'6월'!P57+'7월'!P57+'8월'!P57+'9월'!P57+'10월'!P57+'11월'!P57+'12월'!P57</f>
        <v>2930287.83</v>
      </c>
      <c r="Q57" s="53">
        <f t="shared" si="41"/>
        <v>0.14081705430389693</v>
      </c>
      <c r="R57" s="21"/>
      <c r="S57" s="29"/>
      <c r="T57" s="71"/>
      <c r="U57" s="71"/>
      <c r="V57" s="71"/>
      <c r="W57" s="71"/>
      <c r="X57" s="71"/>
      <c r="Y57" s="71"/>
      <c r="Z57" s="71"/>
      <c r="AA57" s="71"/>
      <c r="AB57" s="71"/>
      <c r="AC57" s="23">
        <f>+'1월'!AR57+'2월'!AR57+'3월'!AR57+'4월'!AR57+'5월'!AR57+'6월'!AR57+'7월'!AR57+'8월'!AR57+'9월'!AR57+'10월'!AR57+'11월'!AR57+'12월'!AR57</f>
        <v>2962315.2300000004</v>
      </c>
      <c r="AD57" s="53">
        <f t="shared" si="42"/>
        <v>0.12981920166208183</v>
      </c>
      <c r="AE57" s="21"/>
      <c r="AG57" s="29"/>
      <c r="AH57" s="71"/>
      <c r="AI57" s="71"/>
      <c r="AJ57" s="71"/>
      <c r="AK57" s="71"/>
      <c r="AL57" s="71"/>
      <c r="AM57" s="71"/>
      <c r="AN57" s="71"/>
      <c r="AO57" s="71"/>
      <c r="AP57" s="71"/>
      <c r="AQ57" s="29">
        <f t="shared" si="40"/>
        <v>32027.400000000373</v>
      </c>
      <c r="AR57" s="55">
        <f t="shared" si="13"/>
        <v>-1.0997852641815102</v>
      </c>
    </row>
    <row r="58" spans="2:45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f>+'1월'!P58+'2월'!P58+'3월'!P58+'4월'!P58+'5월'!P58+'6월'!P58+'7월'!P58+'8월'!P58+'9월'!P58+'10월'!P58+'11월'!P58+'12월'!P58</f>
        <v>425253.56999999995</v>
      </c>
      <c r="Q58" s="53">
        <f t="shared" si="41"/>
        <v>2.0435861094101469E-2</v>
      </c>
      <c r="R58" s="21"/>
      <c r="S58" s="29"/>
      <c r="T58" s="71"/>
      <c r="U58" s="71"/>
      <c r="V58" s="71"/>
      <c r="W58" s="71"/>
      <c r="X58" s="71"/>
      <c r="Y58" s="71"/>
      <c r="Z58" s="71"/>
      <c r="AA58" s="71"/>
      <c r="AB58" s="71"/>
      <c r="AC58" s="23">
        <f>+'1월'!AR58+'2월'!AR58+'3월'!AR58+'4월'!AR58+'5월'!AR58+'6월'!AR58+'7월'!AR58+'8월'!AR58+'9월'!AR58+'10월'!AR58+'11월'!AR58+'12월'!AR58</f>
        <v>590830.35</v>
      </c>
      <c r="AD58" s="53">
        <f t="shared" si="42"/>
        <v>2.5892289779953087E-2</v>
      </c>
      <c r="AE58" s="21"/>
      <c r="AG58" s="29"/>
      <c r="AH58" s="71"/>
      <c r="AI58" s="71"/>
      <c r="AJ58" s="71"/>
      <c r="AK58" s="71"/>
      <c r="AL58" s="71"/>
      <c r="AM58" s="71"/>
      <c r="AN58" s="71"/>
      <c r="AO58" s="71"/>
      <c r="AP58" s="71"/>
      <c r="AQ58" s="29">
        <f t="shared" si="40"/>
        <v>165576.78000000003</v>
      </c>
      <c r="AR58" s="55">
        <f t="shared" si="13"/>
        <v>0.54564286858516176</v>
      </c>
    </row>
    <row r="59" spans="2:45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f>+'1월'!P59+'2월'!P59+'3월'!P59+'4월'!P59+'5월'!P59+'6월'!P59+'7월'!P59+'8월'!P59+'9월'!P59+'10월'!P59+'11월'!P59+'12월'!P59</f>
        <v>639536.68999999994</v>
      </c>
      <c r="Q59" s="53">
        <f t="shared" si="41"/>
        <v>3.0733387991125939E-2</v>
      </c>
      <c r="R59" s="21"/>
      <c r="S59" s="29"/>
      <c r="T59" s="71"/>
      <c r="U59" s="71"/>
      <c r="V59" s="71"/>
      <c r="W59" s="71"/>
      <c r="X59" s="71"/>
      <c r="Y59" s="71"/>
      <c r="Z59" s="71"/>
      <c r="AA59" s="71"/>
      <c r="AB59" s="71"/>
      <c r="AC59" s="23">
        <f>+'1월'!AR59+'2월'!AR59+'3월'!AR59+'4월'!AR59+'5월'!AR59+'6월'!AR59+'7월'!AR59+'8월'!AR59+'9월'!AR59+'10월'!AR59+'11월'!AR59+'12월'!AR59</f>
        <v>764507.3899999999</v>
      </c>
      <c r="AD59" s="53">
        <f t="shared" si="42"/>
        <v>3.3503436106143848E-2</v>
      </c>
      <c r="AE59" s="21"/>
      <c r="AG59" s="29"/>
      <c r="AH59" s="71"/>
      <c r="AI59" s="71"/>
      <c r="AJ59" s="71"/>
      <c r="AK59" s="71"/>
      <c r="AL59" s="71"/>
      <c r="AM59" s="71"/>
      <c r="AN59" s="71"/>
      <c r="AO59" s="71"/>
      <c r="AP59" s="71"/>
      <c r="AQ59" s="29">
        <f t="shared" si="40"/>
        <v>124970.69999999995</v>
      </c>
      <c r="AR59" s="55">
        <f t="shared" si="13"/>
        <v>0.2770048115017909</v>
      </c>
    </row>
    <row r="60" spans="2:45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f>+'1월'!P60+'2월'!P60+'3월'!P60+'4월'!P60+'5월'!P60+'6월'!P60+'7월'!P60+'8월'!P60+'9월'!P60+'10월'!P60+'11월'!P60+'12월'!P60</f>
        <v>124662.61</v>
      </c>
      <c r="Q60" s="53">
        <f t="shared" si="41"/>
        <v>5.9907498991440458E-3</v>
      </c>
      <c r="R60" s="21"/>
      <c r="S60" s="29"/>
      <c r="T60" s="71"/>
      <c r="U60" s="71"/>
      <c r="V60" s="71"/>
      <c r="W60" s="71"/>
      <c r="X60" s="71"/>
      <c r="Y60" s="71"/>
      <c r="Z60" s="71"/>
      <c r="AA60" s="71"/>
      <c r="AB60" s="71"/>
      <c r="AC60" s="23">
        <f>+'1월'!AR60+'2월'!AR60+'3월'!AR60+'4월'!AR60+'5월'!AR60+'6월'!AR60+'7월'!AR60+'8월'!AR60+'9월'!AR60+'10월'!AR60+'11월'!AR60+'12월'!AR60</f>
        <v>-180316.5</v>
      </c>
      <c r="AD60" s="53">
        <f t="shared" si="42"/>
        <v>-7.9021111053399866E-3</v>
      </c>
      <c r="AE60" s="21"/>
      <c r="AG60" s="29"/>
      <c r="AH60" s="71"/>
      <c r="AI60" s="71"/>
      <c r="AJ60" s="71"/>
      <c r="AK60" s="71"/>
      <c r="AL60" s="71"/>
      <c r="AM60" s="71"/>
      <c r="AN60" s="71"/>
      <c r="AO60" s="71"/>
      <c r="AP60" s="71"/>
      <c r="AQ60" s="29">
        <f t="shared" si="40"/>
        <v>-304979.11</v>
      </c>
      <c r="AR60" s="55">
        <f t="shared" si="13"/>
        <v>-1.3892861004484032</v>
      </c>
    </row>
    <row r="61" spans="2:45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f>+'1월'!P61+'2월'!P61+'3월'!P61+'4월'!P61+'5월'!P61+'6월'!P61+'7월'!P61+'8월'!P61+'9월'!P61+'10월'!P61+'11월'!P61+'12월'!P61</f>
        <v>698476.71000000008</v>
      </c>
      <c r="Q61" s="53">
        <f t="shared" si="41"/>
        <v>3.3565792341320025E-2</v>
      </c>
      <c r="R61" s="21"/>
      <c r="S61" s="29"/>
      <c r="T61" s="71"/>
      <c r="U61" s="71"/>
      <c r="V61" s="71"/>
      <c r="W61" s="71"/>
      <c r="X61" s="71"/>
      <c r="Y61" s="71"/>
      <c r="Z61" s="71"/>
      <c r="AA61" s="71"/>
      <c r="AB61" s="71"/>
      <c r="AC61" s="23">
        <f>+'1월'!AR61+'2월'!AR61+'3월'!AR61+'4월'!AR61+'5월'!AR61+'6월'!AR61+'7월'!AR61+'8월'!AR61+'9월'!AR61+'10월'!AR61+'11월'!AR61+'12월'!AR61</f>
        <v>1037190.7500000001</v>
      </c>
      <c r="AD61" s="53">
        <f t="shared" si="42"/>
        <v>4.5453391918825567E-2</v>
      </c>
      <c r="AE61" s="21"/>
      <c r="AG61" s="29"/>
      <c r="AH61" s="71"/>
      <c r="AI61" s="71"/>
      <c r="AJ61" s="71"/>
      <c r="AK61" s="71"/>
      <c r="AL61" s="71"/>
      <c r="AM61" s="71"/>
      <c r="AN61" s="71"/>
      <c r="AO61" s="71"/>
      <c r="AP61" s="71"/>
      <c r="AQ61" s="29">
        <f t="shared" si="40"/>
        <v>338714.04000000004</v>
      </c>
      <c r="AR61" s="55">
        <f t="shared" si="13"/>
        <v>1.1887599577505541</v>
      </c>
    </row>
    <row r="62" spans="2:45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f>+'1월'!P62+'2월'!P62+'3월'!P62+'4월'!P62+'5월'!P62+'6월'!P62+'7월'!P62+'8월'!P62+'9월'!P62+'10월'!P62+'11월'!P62+'12월'!P62</f>
        <v>496215.98000000004</v>
      </c>
      <c r="Q62" s="53">
        <f t="shared" si="41"/>
        <v>2.3846009899348843E-2</v>
      </c>
      <c r="R62" s="21"/>
      <c r="S62" s="29"/>
      <c r="T62" s="71"/>
      <c r="U62" s="71"/>
      <c r="V62" s="71"/>
      <c r="W62" s="71"/>
      <c r="X62" s="71"/>
      <c r="Y62" s="71"/>
      <c r="Z62" s="71"/>
      <c r="AA62" s="71"/>
      <c r="AB62" s="71"/>
      <c r="AC62" s="23">
        <f>+'1월'!AR62+'2월'!AR62+'3월'!AR62+'4월'!AR62+'5월'!AR62+'6월'!AR62+'7월'!AR62+'8월'!AR62+'9월'!AR62+'10월'!AR62+'11월'!AR62+'12월'!AR62</f>
        <v>0</v>
      </c>
      <c r="AD62" s="53">
        <f t="shared" si="42"/>
        <v>0</v>
      </c>
      <c r="AE62" s="21"/>
      <c r="AG62" s="29"/>
      <c r="AH62" s="71"/>
      <c r="AI62" s="71"/>
      <c r="AJ62" s="71"/>
      <c r="AK62" s="71"/>
      <c r="AL62" s="71"/>
      <c r="AM62" s="71"/>
      <c r="AN62" s="71"/>
      <c r="AO62" s="71"/>
      <c r="AP62" s="71"/>
      <c r="AQ62" s="29">
        <f t="shared" si="40"/>
        <v>-496215.98000000004</v>
      </c>
      <c r="AR62" s="55">
        <f t="shared" si="13"/>
        <v>-2.3846009899348841</v>
      </c>
    </row>
    <row r="63" spans="2:45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f>+'1월'!P63+'2월'!P63+'3월'!P63+'4월'!P63+'5월'!P63+'6월'!P63+'7월'!P63+'8월'!P63+'9월'!P63+'10월'!P63+'11월'!P63+'12월'!P63</f>
        <v>0</v>
      </c>
      <c r="Q63" s="53">
        <f t="shared" si="41"/>
        <v>0</v>
      </c>
      <c r="R63" s="21"/>
      <c r="S63" s="29"/>
      <c r="T63" s="71"/>
      <c r="U63" s="71"/>
      <c r="V63" s="71"/>
      <c r="W63" s="71"/>
      <c r="X63" s="71"/>
      <c r="Y63" s="71"/>
      <c r="Z63" s="71"/>
      <c r="AA63" s="71"/>
      <c r="AB63" s="71"/>
      <c r="AC63" s="23">
        <f>+'1월'!AR63+'2월'!AR63+'3월'!AR63+'4월'!AR63+'5월'!AR63+'6월'!AR63+'7월'!AR63+'8월'!AR63+'9월'!AR63+'10월'!AR63+'11월'!AR63+'12월'!AR63</f>
        <v>0</v>
      </c>
      <c r="AD63" s="53">
        <f t="shared" si="42"/>
        <v>0</v>
      </c>
      <c r="AE63" s="21"/>
      <c r="AG63" s="29"/>
      <c r="AH63" s="71"/>
      <c r="AI63" s="71"/>
      <c r="AJ63" s="71"/>
      <c r="AK63" s="71"/>
      <c r="AL63" s="71"/>
      <c r="AM63" s="71"/>
      <c r="AN63" s="71"/>
      <c r="AO63" s="71"/>
      <c r="AP63" s="71"/>
      <c r="AQ63" s="29">
        <f t="shared" si="40"/>
        <v>0</v>
      </c>
      <c r="AR63" s="55">
        <f t="shared" si="13"/>
        <v>0</v>
      </c>
    </row>
    <row r="64" spans="2:45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f>+'1월'!P64+'2월'!P64+'3월'!P64+'4월'!P64+'5월'!P64+'6월'!P64+'7월'!P64+'8월'!P64+'9월'!P64+'10월'!P64+'11월'!P64+'12월'!P64</f>
        <v>21666.660000000003</v>
      </c>
      <c r="Q64" s="53">
        <f t="shared" si="41"/>
        <v>1.041206671429295E-3</v>
      </c>
      <c r="R64" s="21"/>
      <c r="S64" s="29"/>
      <c r="T64" s="71"/>
      <c r="U64" s="71"/>
      <c r="V64" s="71"/>
      <c r="W64" s="71"/>
      <c r="X64" s="71"/>
      <c r="Y64" s="71"/>
      <c r="Z64" s="71"/>
      <c r="AA64" s="71"/>
      <c r="AB64" s="71"/>
      <c r="AC64" s="23">
        <f>+'1월'!AR64+'2월'!AR64+'3월'!AR64+'4월'!AR64+'5월'!AR64+'6월'!AR64+'7월'!AR64+'8월'!AR64+'9월'!AR64+'10월'!AR64+'11월'!AR64+'12월'!AR64</f>
        <v>0</v>
      </c>
      <c r="AD64" s="53">
        <f t="shared" si="42"/>
        <v>0</v>
      </c>
      <c r="AE64" s="21"/>
      <c r="AG64" s="29"/>
      <c r="AH64" s="71"/>
      <c r="AI64" s="71"/>
      <c r="AJ64" s="71"/>
      <c r="AK64" s="71"/>
      <c r="AL64" s="71"/>
      <c r="AM64" s="71"/>
      <c r="AN64" s="71"/>
      <c r="AO64" s="71"/>
      <c r="AP64" s="71"/>
      <c r="AQ64" s="29">
        <f t="shared" si="40"/>
        <v>-21666.660000000003</v>
      </c>
      <c r="AR64" s="55">
        <f t="shared" si="13"/>
        <v>-0.1041206671429295</v>
      </c>
    </row>
    <row r="65" spans="2:44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f>+'1월'!P65+'2월'!P65+'3월'!P65+'4월'!P65+'5월'!P65+'6월'!P65+'7월'!P65+'8월'!P65+'9월'!P65+'10월'!P65+'11월'!P65+'12월'!P65</f>
        <v>0</v>
      </c>
      <c r="Q65" s="53">
        <f t="shared" si="41"/>
        <v>0</v>
      </c>
      <c r="R65" s="21"/>
      <c r="S65" s="29"/>
      <c r="T65" s="71"/>
      <c r="U65" s="71"/>
      <c r="V65" s="71"/>
      <c r="W65" s="71"/>
      <c r="X65" s="71"/>
      <c r="Y65" s="71"/>
      <c r="Z65" s="71"/>
      <c r="AA65" s="71"/>
      <c r="AB65" s="71"/>
      <c r="AC65" s="23">
        <f>+'1월'!AR65+'2월'!AR65+'3월'!AR65+'4월'!AR65+'5월'!AR65+'6월'!AR65+'7월'!AR65+'8월'!AR65+'9월'!AR65+'10월'!AR65+'11월'!AR65+'12월'!AR65</f>
        <v>0</v>
      </c>
      <c r="AD65" s="53">
        <f t="shared" si="42"/>
        <v>0</v>
      </c>
      <c r="AE65" s="21"/>
      <c r="AG65" s="29"/>
      <c r="AH65" s="71"/>
      <c r="AI65" s="71"/>
      <c r="AJ65" s="71"/>
      <c r="AK65" s="71"/>
      <c r="AL65" s="71"/>
      <c r="AM65" s="71"/>
      <c r="AN65" s="71"/>
      <c r="AO65" s="71"/>
      <c r="AP65" s="71"/>
      <c r="AQ65" s="29">
        <f t="shared" si="40"/>
        <v>0</v>
      </c>
      <c r="AR65" s="55">
        <f t="shared" si="13"/>
        <v>0</v>
      </c>
    </row>
    <row r="66" spans="2:44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f>+'1월'!P66+'2월'!P66+'3월'!P66+'4월'!P66+'5월'!P66+'6월'!P66+'7월'!P66+'8월'!P66+'9월'!P66+'10월'!P66+'11월'!P66+'12월'!P66</f>
        <v>13473.22</v>
      </c>
      <c r="Q66" s="53">
        <f t="shared" si="41"/>
        <v>6.4746511689547915E-4</v>
      </c>
      <c r="R66" s="21"/>
      <c r="S66" s="29"/>
      <c r="T66" s="71"/>
      <c r="U66" s="71"/>
      <c r="V66" s="71"/>
      <c r="W66" s="71"/>
      <c r="X66" s="71"/>
      <c r="Y66" s="71"/>
      <c r="Z66" s="71"/>
      <c r="AA66" s="71"/>
      <c r="AB66" s="71"/>
      <c r="AC66" s="23">
        <f>+'1월'!AR66+'2월'!AR66+'3월'!AR66+'4월'!AR66+'5월'!AR66+'6월'!AR66+'7월'!AR66+'8월'!AR66+'9월'!AR66+'10월'!AR66+'11월'!AR66+'12월'!AR66</f>
        <v>0</v>
      </c>
      <c r="AD66" s="53">
        <f t="shared" si="42"/>
        <v>0</v>
      </c>
      <c r="AE66" s="21"/>
      <c r="AG66" s="29"/>
      <c r="AH66" s="71"/>
      <c r="AI66" s="71"/>
      <c r="AJ66" s="71"/>
      <c r="AK66" s="71"/>
      <c r="AL66" s="71"/>
      <c r="AM66" s="71"/>
      <c r="AN66" s="71"/>
      <c r="AO66" s="71"/>
      <c r="AP66" s="71"/>
      <c r="AQ66" s="29">
        <f t="shared" si="40"/>
        <v>-13473.22</v>
      </c>
      <c r="AR66" s="55">
        <f t="shared" si="13"/>
        <v>-6.4746511689547911E-2</v>
      </c>
    </row>
    <row r="67" spans="2:44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f>+'1월'!P67+'2월'!P67+'3월'!P67+'4월'!P67+'5월'!P67+'6월'!P67+'7월'!P67+'8월'!P67+'9월'!P67+'10월'!P67+'11월'!P67+'12월'!P67</f>
        <v>75425</v>
      </c>
      <c r="Q67" s="53">
        <f t="shared" si="41"/>
        <v>3.6246017241492027E-3</v>
      </c>
      <c r="R67" s="21"/>
      <c r="S67" s="29"/>
      <c r="T67" s="71"/>
      <c r="U67" s="71"/>
      <c r="V67" s="71"/>
      <c r="W67" s="71"/>
      <c r="X67" s="71"/>
      <c r="Y67" s="71"/>
      <c r="Z67" s="71"/>
      <c r="AA67" s="71"/>
      <c r="AB67" s="71"/>
      <c r="AC67" s="23">
        <f>+'1월'!AR67+'2월'!AR67+'3월'!AR67+'4월'!AR67+'5월'!AR67+'6월'!AR67+'7월'!AR67+'8월'!AR67+'9월'!AR67+'10월'!AR67+'11월'!AR67+'12월'!AR67</f>
        <v>0</v>
      </c>
      <c r="AD67" s="53">
        <f t="shared" si="42"/>
        <v>0</v>
      </c>
      <c r="AE67" s="21"/>
      <c r="AG67" s="29"/>
      <c r="AH67" s="71"/>
      <c r="AI67" s="71"/>
      <c r="AJ67" s="71"/>
      <c r="AK67" s="71"/>
      <c r="AL67" s="71"/>
      <c r="AM67" s="71"/>
      <c r="AN67" s="71"/>
      <c r="AO67" s="71"/>
      <c r="AP67" s="71"/>
      <c r="AQ67" s="29">
        <f t="shared" si="40"/>
        <v>-75425</v>
      </c>
      <c r="AR67" s="55">
        <f t="shared" si="13"/>
        <v>-0.36246017241492029</v>
      </c>
    </row>
    <row r="68" spans="2:44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f>+'1월'!P68+'2월'!P68+'3월'!P68+'4월'!P68+'5월'!P68+'6월'!P68+'7월'!P68+'8월'!P68+'9월'!P68+'10월'!P68+'11월'!P68+'12월'!P68</f>
        <v>82402.650000000009</v>
      </c>
      <c r="Q68" s="53">
        <f t="shared" si="41"/>
        <v>3.9599176302878795E-3</v>
      </c>
      <c r="R68" s="21"/>
      <c r="S68" s="29"/>
      <c r="T68" s="71"/>
      <c r="U68" s="71"/>
      <c r="V68" s="71"/>
      <c r="W68" s="71"/>
      <c r="X68" s="71"/>
      <c r="Y68" s="71"/>
      <c r="Z68" s="71"/>
      <c r="AA68" s="71"/>
      <c r="AB68" s="71"/>
      <c r="AC68" s="23">
        <f>+'1월'!AR68+'2월'!AR68+'3월'!AR68+'4월'!AR68+'5월'!AR68+'6월'!AR68+'7월'!AR68+'8월'!AR68+'9월'!AR68+'10월'!AR68+'11월'!AR68+'12월'!AR68</f>
        <v>0</v>
      </c>
      <c r="AD68" s="53">
        <f t="shared" si="42"/>
        <v>0</v>
      </c>
      <c r="AE68" s="21"/>
      <c r="AG68" s="29"/>
      <c r="AH68" s="71"/>
      <c r="AI68" s="71"/>
      <c r="AJ68" s="71"/>
      <c r="AK68" s="71"/>
      <c r="AL68" s="71"/>
      <c r="AM68" s="71"/>
      <c r="AN68" s="71"/>
      <c r="AO68" s="71"/>
      <c r="AP68" s="71"/>
      <c r="AQ68" s="29">
        <f t="shared" si="40"/>
        <v>-82402.650000000009</v>
      </c>
      <c r="AR68" s="55">
        <f t="shared" si="13"/>
        <v>-0.39599176302878797</v>
      </c>
    </row>
    <row r="69" spans="2:44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f>+'1월'!P69+'2월'!P69+'3월'!P69+'4월'!P69+'5월'!P69+'6월'!P69+'7월'!P69+'8월'!P69+'9월'!P69+'10월'!P69+'11월'!P69+'12월'!P69</f>
        <v>9293.2000000000007</v>
      </c>
      <c r="Q69" s="53">
        <f t="shared" si="41"/>
        <v>4.4659129920932543E-4</v>
      </c>
      <c r="R69" s="21"/>
      <c r="S69" s="29"/>
      <c r="T69" s="71"/>
      <c r="U69" s="71"/>
      <c r="V69" s="71"/>
      <c r="W69" s="71"/>
      <c r="X69" s="71"/>
      <c r="Y69" s="71"/>
      <c r="Z69" s="71"/>
      <c r="AA69" s="71"/>
      <c r="AB69" s="71"/>
      <c r="AC69" s="23">
        <f>+'1월'!AR69+'2월'!AR69+'3월'!AR69+'4월'!AR69+'5월'!AR69+'6월'!AR69+'7월'!AR69+'8월'!AR69+'9월'!AR69+'10월'!AR69+'11월'!AR69+'12월'!AR69</f>
        <v>0</v>
      </c>
      <c r="AD69" s="53">
        <f t="shared" si="42"/>
        <v>0</v>
      </c>
      <c r="AE69" s="21"/>
      <c r="AG69" s="29"/>
      <c r="AH69" s="71"/>
      <c r="AI69" s="71"/>
      <c r="AJ69" s="71"/>
      <c r="AK69" s="71"/>
      <c r="AL69" s="71"/>
      <c r="AM69" s="71"/>
      <c r="AN69" s="71"/>
      <c r="AO69" s="71"/>
      <c r="AP69" s="71"/>
      <c r="AQ69" s="29">
        <f t="shared" si="40"/>
        <v>-9293.2000000000007</v>
      </c>
      <c r="AR69" s="55">
        <f t="shared" si="13"/>
        <v>-4.4659129920932544E-2</v>
      </c>
    </row>
    <row r="70" spans="2:44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f>+'1월'!P70+'2월'!P70+'3월'!P70+'4월'!P70+'5월'!P70+'6월'!P70+'7월'!P70+'8월'!P70+'9월'!P70+'10월'!P70+'11월'!P70+'12월'!P70</f>
        <v>1094694.4399999997</v>
      </c>
      <c r="Q70" s="53">
        <f t="shared" si="41"/>
        <v>5.2606315606768907E-2</v>
      </c>
      <c r="R70" s="21"/>
      <c r="S70" s="29"/>
      <c r="T70" s="71"/>
      <c r="U70" s="71"/>
      <c r="V70" s="71"/>
      <c r="W70" s="71"/>
      <c r="X70" s="71"/>
      <c r="Y70" s="71"/>
      <c r="Z70" s="71"/>
      <c r="AA70" s="71"/>
      <c r="AB70" s="71"/>
      <c r="AC70" s="23">
        <f>+'1월'!AR70+'2월'!AR70+'3월'!AR70+'4월'!AR70+'5월'!AR70+'6월'!AR70+'7월'!AR70+'8월'!AR70+'9월'!AR70+'10월'!AR70+'11월'!AR70+'12월'!AR70</f>
        <v>1258119.6800000002</v>
      </c>
      <c r="AD70" s="53">
        <f t="shared" si="42"/>
        <v>5.5135284320485319E-2</v>
      </c>
      <c r="AE70" s="21"/>
      <c r="AG70" s="29"/>
      <c r="AH70" s="71"/>
      <c r="AI70" s="71"/>
      <c r="AJ70" s="71"/>
      <c r="AK70" s="71"/>
      <c r="AL70" s="71"/>
      <c r="AM70" s="71"/>
      <c r="AN70" s="71"/>
      <c r="AO70" s="71"/>
      <c r="AP70" s="71"/>
      <c r="AQ70" s="29">
        <f t="shared" si="40"/>
        <v>163425.24000000046</v>
      </c>
      <c r="AR70" s="55">
        <f t="shared" si="13"/>
        <v>0.25289687137164119</v>
      </c>
    </row>
    <row r="71" spans="2:44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f>+'1월'!P71+'2월'!P71+'3월'!P71+'4월'!P71+'5월'!P71+'6월'!P71+'7월'!P71+'8월'!P71+'9월'!P71+'10월'!P71+'11월'!P71+'12월'!P71</f>
        <v>136164.59</v>
      </c>
      <c r="Q71" s="53">
        <f t="shared" si="41"/>
        <v>6.5434856835541169E-3</v>
      </c>
      <c r="R71" s="21"/>
      <c r="S71" s="29"/>
      <c r="T71" s="71"/>
      <c r="U71" s="71"/>
      <c r="V71" s="71"/>
      <c r="W71" s="71"/>
      <c r="X71" s="71"/>
      <c r="Y71" s="71"/>
      <c r="Z71" s="71"/>
      <c r="AA71" s="71"/>
      <c r="AB71" s="71"/>
      <c r="AC71" s="23">
        <f>+'1월'!AR71+'2월'!AR71+'3월'!AR71+'4월'!AR71+'5월'!AR71+'6월'!AR71+'7월'!AR71+'8월'!AR71+'9월'!AR71+'10월'!AR71+'11월'!AR71+'12월'!AR71</f>
        <v>67586.23</v>
      </c>
      <c r="AD71" s="53">
        <f t="shared" si="42"/>
        <v>2.9618692612770462E-3</v>
      </c>
      <c r="AE71" s="21"/>
      <c r="AG71" s="29"/>
      <c r="AH71" s="71"/>
      <c r="AI71" s="71"/>
      <c r="AJ71" s="71"/>
      <c r="AK71" s="71"/>
      <c r="AL71" s="71"/>
      <c r="AM71" s="71"/>
      <c r="AN71" s="71"/>
      <c r="AO71" s="71"/>
      <c r="AP71" s="71"/>
      <c r="AQ71" s="29">
        <f t="shared" si="40"/>
        <v>-68578.36</v>
      </c>
      <c r="AR71" s="55">
        <f t="shared" si="13"/>
        <v>-0.35816164222770708</v>
      </c>
    </row>
    <row r="72" spans="2:44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f>+'1월'!P72+'2월'!P72+'3월'!P72+'4월'!P72+'5월'!P72+'6월'!P72+'7월'!P72+'8월'!P72+'9월'!P72+'10월'!P72+'11월'!P72+'12월'!P72</f>
        <v>295377.55</v>
      </c>
      <c r="Q72" s="53">
        <f t="shared" si="41"/>
        <v>1.4194577089890185E-2</v>
      </c>
      <c r="R72" s="21"/>
      <c r="S72" s="29"/>
      <c r="T72" s="71"/>
      <c r="U72" s="71"/>
      <c r="V72" s="71"/>
      <c r="W72" s="71"/>
      <c r="X72" s="71"/>
      <c r="Y72" s="71"/>
      <c r="Z72" s="71"/>
      <c r="AA72" s="71"/>
      <c r="AB72" s="71"/>
      <c r="AC72" s="23">
        <f>+'1월'!AR72+'2월'!AR72+'3월'!AR72+'4월'!AR72+'5월'!AR72+'6월'!AR72+'7월'!AR72+'8월'!AR72+'9월'!AR72+'10월'!AR72+'11월'!AR72+'12월'!AR72</f>
        <v>295941.65999999992</v>
      </c>
      <c r="AD72" s="53">
        <f t="shared" si="42"/>
        <v>1.296921733739702E-2</v>
      </c>
      <c r="AE72" s="21"/>
      <c r="AG72" s="29"/>
      <c r="AH72" s="71"/>
      <c r="AI72" s="71"/>
      <c r="AJ72" s="71"/>
      <c r="AK72" s="71"/>
      <c r="AL72" s="71"/>
      <c r="AM72" s="71"/>
      <c r="AN72" s="71"/>
      <c r="AO72" s="71"/>
      <c r="AP72" s="71"/>
      <c r="AQ72" s="29">
        <f t="shared" si="40"/>
        <v>564.10999999992782</v>
      </c>
      <c r="AR72" s="55">
        <f t="shared" si="13"/>
        <v>-0.12253597524931656</v>
      </c>
    </row>
    <row r="73" spans="2:44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f>+'1월'!P73+'2월'!P73+'3월'!P73+'4월'!P73+'5월'!P73+'6월'!P73+'7월'!P73+'8월'!P73+'9월'!P73+'10월'!P73+'11월'!P73+'12월'!P73</f>
        <v>158714.57</v>
      </c>
      <c r="Q73" s="53">
        <f t="shared" si="41"/>
        <v>7.6271409223679061E-3</v>
      </c>
      <c r="R73" s="21"/>
      <c r="S73" s="29"/>
      <c r="T73" s="71"/>
      <c r="U73" s="71"/>
      <c r="V73" s="71"/>
      <c r="W73" s="71"/>
      <c r="X73" s="71"/>
      <c r="Y73" s="71"/>
      <c r="Z73" s="71"/>
      <c r="AA73" s="71"/>
      <c r="AB73" s="71"/>
      <c r="AC73" s="23">
        <f>+'1월'!AR73+'2월'!AR73+'3월'!AR73+'4월'!AR73+'5월'!AR73+'6월'!AR73+'7월'!AR73+'8월'!AR73+'9월'!AR73+'10월'!AR73+'11월'!AR73+'12월'!AR73</f>
        <v>152321.34999999998</v>
      </c>
      <c r="AD73" s="53">
        <f t="shared" si="42"/>
        <v>6.6752639465350021E-3</v>
      </c>
      <c r="AE73" s="21"/>
      <c r="AG73" s="29"/>
      <c r="AH73" s="71"/>
      <c r="AI73" s="71"/>
      <c r="AJ73" s="71"/>
      <c r="AK73" s="71"/>
      <c r="AL73" s="71"/>
      <c r="AM73" s="71"/>
      <c r="AN73" s="71"/>
      <c r="AO73" s="71"/>
      <c r="AP73" s="71"/>
      <c r="AQ73" s="29">
        <f t="shared" si="40"/>
        <v>-6393.2200000000303</v>
      </c>
      <c r="AR73" s="55">
        <f t="shared" si="13"/>
        <v>-9.5187697583290404E-2</v>
      </c>
    </row>
    <row r="74" spans="2:44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f>+'1월'!P74+'2월'!P74+'3월'!P74+'4월'!P74+'5월'!P74+'6월'!P74+'7월'!P74+'8월'!P74+'9월'!P74+'10월'!P74+'11월'!P74+'12월'!P74</f>
        <v>47549.62</v>
      </c>
      <c r="Q74" s="53">
        <f t="shared" si="41"/>
        <v>2.2850306216060912E-3</v>
      </c>
      <c r="R74" s="21"/>
      <c r="S74" s="29"/>
      <c r="T74" s="71"/>
      <c r="U74" s="71"/>
      <c r="V74" s="71"/>
      <c r="W74" s="71"/>
      <c r="X74" s="71"/>
      <c r="Y74" s="71"/>
      <c r="Z74" s="71"/>
      <c r="AA74" s="71"/>
      <c r="AB74" s="71"/>
      <c r="AC74" s="23">
        <f>+'1월'!AR74+'2월'!AR74+'3월'!AR74+'4월'!AR74+'5월'!AR74+'6월'!AR74+'7월'!AR74+'8월'!AR74+'9월'!AR74+'10월'!AR74+'11월'!AR74+'12월'!AR74</f>
        <v>45456.060000000005</v>
      </c>
      <c r="AD74" s="53">
        <f t="shared" si="42"/>
        <v>1.9920464102342315E-3</v>
      </c>
      <c r="AE74" s="21"/>
      <c r="AG74" s="29"/>
      <c r="AH74" s="71"/>
      <c r="AI74" s="71"/>
      <c r="AJ74" s="71"/>
      <c r="AK74" s="71"/>
      <c r="AL74" s="71"/>
      <c r="AM74" s="71"/>
      <c r="AN74" s="71"/>
      <c r="AO74" s="71"/>
      <c r="AP74" s="71"/>
      <c r="AQ74" s="29">
        <f t="shared" si="40"/>
        <v>-2093.5599999999977</v>
      </c>
      <c r="AR74" s="55">
        <f t="shared" si="13"/>
        <v>-2.9298421137185972E-2</v>
      </c>
    </row>
    <row r="75" spans="2:44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f>+'1월'!P75+'2월'!P75+'3월'!P75+'4월'!P75+'5월'!P75+'6월'!P75+'7월'!P75+'8월'!P75+'9월'!P75+'10월'!P75+'11월'!P75+'12월'!P75</f>
        <v>518200.57999999996</v>
      </c>
      <c r="Q75" s="53">
        <f t="shared" si="41"/>
        <v>2.4902495402361505E-2</v>
      </c>
      <c r="R75" s="21"/>
      <c r="S75" s="29"/>
      <c r="T75" s="71"/>
      <c r="U75" s="71"/>
      <c r="V75" s="71"/>
      <c r="W75" s="71"/>
      <c r="X75" s="71"/>
      <c r="Y75" s="71"/>
      <c r="Z75" s="71"/>
      <c r="AA75" s="71"/>
      <c r="AB75" s="71"/>
      <c r="AC75" s="23">
        <f>+'1월'!AR75+'2월'!AR75+'3월'!AR75+'4월'!AR75+'5월'!AR75+'6월'!AR75+'7월'!AR75+'8월'!AR75+'9월'!AR75+'10월'!AR75+'11월'!AR75+'12월'!AR75</f>
        <v>110083.24000000002</v>
      </c>
      <c r="AD75" s="53">
        <f t="shared" si="42"/>
        <v>4.8242395638547061E-3</v>
      </c>
      <c r="AE75" s="21"/>
      <c r="AG75" s="29"/>
      <c r="AH75" s="71"/>
      <c r="AI75" s="71"/>
      <c r="AJ75" s="71"/>
      <c r="AK75" s="71"/>
      <c r="AL75" s="71"/>
      <c r="AM75" s="71"/>
      <c r="AN75" s="71"/>
      <c r="AO75" s="71"/>
      <c r="AP75" s="71"/>
      <c r="AQ75" s="29">
        <f t="shared" si="40"/>
        <v>-408117.33999999997</v>
      </c>
      <c r="AR75" s="55">
        <f t="shared" si="13"/>
        <v>-2.0078255838506798</v>
      </c>
    </row>
    <row r="76" spans="2:44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f>SUM(P56,P61,P70:P75)</f>
        <v>7068918.7599999998</v>
      </c>
      <c r="Q76" s="36">
        <f t="shared" si="41"/>
        <v>0.33970189095613712</v>
      </c>
      <c r="R76" s="21"/>
      <c r="S76" s="35">
        <f t="shared" ref="S76:Z76" si="43">SUM(S57:S75)</f>
        <v>0</v>
      </c>
      <c r="T76" s="37">
        <f t="shared" si="43"/>
        <v>0</v>
      </c>
      <c r="U76" s="37">
        <f t="shared" si="43"/>
        <v>0</v>
      </c>
      <c r="V76" s="37">
        <f t="shared" si="43"/>
        <v>0</v>
      </c>
      <c r="W76" s="37">
        <f t="shared" si="43"/>
        <v>0</v>
      </c>
      <c r="X76" s="37">
        <f t="shared" si="43"/>
        <v>0</v>
      </c>
      <c r="Y76" s="37">
        <f t="shared" si="43"/>
        <v>0</v>
      </c>
      <c r="Z76" s="37">
        <f t="shared" si="43"/>
        <v>0</v>
      </c>
      <c r="AA76" s="37"/>
      <c r="AB76" s="37"/>
      <c r="AC76" s="35">
        <f>SUM(AC56,AC61,AC70:AC75)</f>
        <v>7104035.4400000004</v>
      </c>
      <c r="AD76" s="36">
        <f t="shared" si="42"/>
        <v>0.3113241292014477</v>
      </c>
      <c r="AE76" s="21"/>
      <c r="AG76" s="38">
        <f t="shared" ref="AG76:AN76" si="44">SUM(AG57:AG75)</f>
        <v>0</v>
      </c>
      <c r="AH76" s="73">
        <f t="shared" si="44"/>
        <v>0</v>
      </c>
      <c r="AI76" s="73">
        <f t="shared" si="44"/>
        <v>0</v>
      </c>
      <c r="AJ76" s="73">
        <f t="shared" si="44"/>
        <v>0</v>
      </c>
      <c r="AK76" s="73">
        <f t="shared" si="44"/>
        <v>0</v>
      </c>
      <c r="AL76" s="73">
        <f t="shared" si="44"/>
        <v>0</v>
      </c>
      <c r="AM76" s="73">
        <f t="shared" si="44"/>
        <v>0</v>
      </c>
      <c r="AN76" s="73">
        <f t="shared" si="44"/>
        <v>0</v>
      </c>
      <c r="AO76" s="73"/>
      <c r="AP76" s="73"/>
      <c r="AQ76" s="38">
        <f t="shared" si="40"/>
        <v>35116.680000000633</v>
      </c>
      <c r="AR76" s="39">
        <f t="shared" si="13"/>
        <v>-2.8377761754689423</v>
      </c>
    </row>
    <row r="77" spans="2:44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S77" s="23"/>
      <c r="T77" s="32"/>
      <c r="U77" s="32"/>
      <c r="V77" s="32"/>
      <c r="W77" s="32"/>
      <c r="X77" s="32"/>
      <c r="Y77" s="32"/>
      <c r="Z77" s="32"/>
      <c r="AA77" s="32"/>
      <c r="AB77" s="32"/>
      <c r="AC77" s="23"/>
      <c r="AD77" s="53"/>
      <c r="AE77" s="21"/>
      <c r="AG77" s="29"/>
      <c r="AH77" s="71"/>
      <c r="AI77" s="71"/>
      <c r="AJ77" s="71"/>
      <c r="AK77" s="71"/>
      <c r="AL77" s="71"/>
      <c r="AM77" s="71"/>
      <c r="AN77" s="71"/>
      <c r="AO77" s="71"/>
      <c r="AP77" s="71"/>
      <c r="AQ77" s="29">
        <f t="shared" si="40"/>
        <v>0</v>
      </c>
      <c r="AR77" s="55">
        <f t="shared" si="13"/>
        <v>0</v>
      </c>
    </row>
    <row r="78" spans="2:44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f>P53-P76</f>
        <v>82457.809999998659</v>
      </c>
      <c r="Q78" s="36">
        <f t="shared" si="41"/>
        <v>3.9625683831032484E-3</v>
      </c>
      <c r="R78" s="21"/>
      <c r="S78" s="35"/>
      <c r="T78" s="37"/>
      <c r="U78" s="37"/>
      <c r="V78" s="37"/>
      <c r="W78" s="37"/>
      <c r="X78" s="37"/>
      <c r="Y78" s="37"/>
      <c r="Z78" s="37"/>
      <c r="AA78" s="37"/>
      <c r="AB78" s="37"/>
      <c r="AC78" s="35">
        <f>AC53-AC76</f>
        <v>-1926651.1000000024</v>
      </c>
      <c r="AD78" s="36">
        <f t="shared" si="42"/>
        <v>-8.4432711667681654E-2</v>
      </c>
      <c r="AE78" s="21"/>
      <c r="AG78" s="38"/>
      <c r="AH78" s="73"/>
      <c r="AI78" s="73"/>
      <c r="AJ78" s="73"/>
      <c r="AK78" s="73"/>
      <c r="AL78" s="73"/>
      <c r="AM78" s="73"/>
      <c r="AN78" s="73"/>
      <c r="AO78" s="73"/>
      <c r="AP78" s="73"/>
      <c r="AQ78" s="38">
        <f t="shared" si="40"/>
        <v>-2009108.9100000011</v>
      </c>
      <c r="AR78" s="39">
        <f t="shared" si="13"/>
        <v>-8.8395280050784901</v>
      </c>
    </row>
    <row r="122" spans="19:22">
      <c r="T122" s="2" t="s">
        <v>157</v>
      </c>
      <c r="U122" s="2" t="s">
        <v>158</v>
      </c>
      <c r="V122" s="2" t="s">
        <v>159</v>
      </c>
    </row>
    <row r="123" spans="19:22">
      <c r="S123" s="2">
        <v>25</v>
      </c>
      <c r="T123" s="2">
        <v>16924170.670000002</v>
      </c>
      <c r="U123" s="95">
        <v>3153353.6700000009</v>
      </c>
      <c r="V123" s="97">
        <f>+U123/T123</f>
        <v>0.18632249292957528</v>
      </c>
    </row>
    <row r="124" spans="19:22">
      <c r="S124" s="2">
        <v>24</v>
      </c>
      <c r="T124" s="2">
        <f>+H29+J29</f>
        <v>17087064.799999997</v>
      </c>
      <c r="U124" s="95">
        <f>+H49+J49</f>
        <v>3145130.7700000005</v>
      </c>
      <c r="V124" s="97">
        <f>+U124/T124</f>
        <v>0.18406501097836306</v>
      </c>
    </row>
    <row r="125" spans="19:22">
      <c r="S125" s="2" t="s">
        <v>154</v>
      </c>
      <c r="T125" s="96">
        <f>+T123/T124</f>
        <v>0.99046681616142784</v>
      </c>
      <c r="U125" s="96">
        <f>+U123/U124</f>
        <v>1.0026144858835235</v>
      </c>
    </row>
  </sheetData>
  <phoneticPr fontId="15" type="noConversion"/>
  <conditionalFormatting sqref="S33:S34 U33:U34 W33:W34 Y33:Y34">
    <cfRule type="cellIs" dxfId="745" priority="63" operator="greaterThanOrEqual">
      <formula>1</formula>
    </cfRule>
    <cfRule type="cellIs" dxfId="744" priority="62" operator="lessThanOrEqual">
      <formula>-1</formula>
    </cfRule>
  </conditionalFormatting>
  <conditionalFormatting sqref="T33:T34 X33:X34 Z33:Z34 AB33:AB34">
    <cfRule type="cellIs" dxfId="743" priority="59" operator="greaterThanOrEqual">
      <formula>0.0001</formula>
    </cfRule>
    <cfRule type="cellIs" dxfId="742" priority="58" operator="lessThanOrEqual">
      <formula>-0.0001</formula>
    </cfRule>
  </conditionalFormatting>
  <conditionalFormatting sqref="V33:V34">
    <cfRule type="cellIs" dxfId="741" priority="43" operator="greaterThanOrEqual">
      <formula>0.0001</formula>
    </cfRule>
    <cfRule type="cellIs" dxfId="740" priority="42" operator="lessThanOrEqual">
      <formula>-0.0001</formula>
    </cfRule>
  </conditionalFormatting>
  <conditionalFormatting sqref="AA33:AA34">
    <cfRule type="cellIs" dxfId="739" priority="60" operator="lessThanOrEqual">
      <formula>-1</formula>
    </cfRule>
    <cfRule type="cellIs" dxfId="738" priority="61" operator="greaterThanOrEqual">
      <formula>1</formula>
    </cfRule>
  </conditionalFormatting>
  <conditionalFormatting sqref="AC33:AC34">
    <cfRule type="cellIs" dxfId="737" priority="57" operator="greaterThanOrEqual">
      <formula>1</formula>
    </cfRule>
    <cfRule type="cellIs" dxfId="736" priority="56" operator="lessThanOrEqual">
      <formula>-1</formula>
    </cfRule>
  </conditionalFormatting>
  <conditionalFormatting sqref="AD33:AD34">
    <cfRule type="cellIs" dxfId="735" priority="54" operator="lessThanOrEqual">
      <formula>-0.0001</formula>
    </cfRule>
    <cfRule type="cellIs" dxfId="734" priority="55" operator="greaterThanOrEqual">
      <formula>0.0001</formula>
    </cfRule>
  </conditionalFormatting>
  <conditionalFormatting sqref="AG27:AG29 AI27:AI29 AK27:AK29 AM27:AM29 AQ27:AQ29 AG40 AI40 AK40 AM40 AQ40">
    <cfRule type="cellIs" dxfId="733" priority="31" operator="greaterThanOrEqual">
      <formula>0.000001</formula>
    </cfRule>
  </conditionalFormatting>
  <conditionalFormatting sqref="AG27:AG29 AI27:AI29 AK27:AK29 AM27:AM29 AQ27:AQ29">
    <cfRule type="cellIs" dxfId="732" priority="30" operator="lessThanOrEqual">
      <formula>-0.000001</formula>
    </cfRule>
  </conditionalFormatting>
  <conditionalFormatting sqref="AG33:AG34 AI33:AI34 AK33:AK34 AM33:AM34">
    <cfRule type="cellIs" dxfId="731" priority="41" operator="greaterThanOrEqual">
      <formula>1</formula>
    </cfRule>
    <cfRule type="cellIs" dxfId="730" priority="40" operator="lessThanOrEqual">
      <formula>-1</formula>
    </cfRule>
  </conditionalFormatting>
  <conditionalFormatting sqref="AG36 AI36 AK36 AM36 AO36 AQ36 AI43:AI51 AK43:AK51 AO43:AO51 AQ43:AQ51 AG43:AG52">
    <cfRule type="cellIs" dxfId="729" priority="29" operator="greaterThanOrEqual">
      <formula>0.00001</formula>
    </cfRule>
    <cfRule type="cellIs" dxfId="728" priority="28" operator="lessThanOrEqual">
      <formula>-0.000001</formula>
    </cfRule>
  </conditionalFormatting>
  <conditionalFormatting sqref="AG39 AI39 AK39 AQ39">
    <cfRule type="cellIs" dxfId="727" priority="14" operator="lessThanOrEqual">
      <formula>-0.00001</formula>
    </cfRule>
    <cfRule type="cellIs" dxfId="726" priority="15" operator="greaterThanOrEqual">
      <formula>0.00001</formula>
    </cfRule>
  </conditionalFormatting>
  <conditionalFormatting sqref="AG40:AM40 AO40:AR40">
    <cfRule type="cellIs" dxfId="725" priority="18" operator="lessThanOrEqual">
      <formula>-0.000001</formula>
    </cfRule>
  </conditionalFormatting>
  <conditionalFormatting sqref="AG53:AM53 AO53:AR53 AQ78:AR78">
    <cfRule type="cellIs" dxfId="724" priority="20" operator="lessThanOrEqual">
      <formula>-0.000001</formula>
    </cfRule>
    <cfRule type="cellIs" dxfId="723" priority="21" operator="greaterThanOrEqual">
      <formula>0.000001</formula>
    </cfRule>
  </conditionalFormatting>
  <conditionalFormatting sqref="AH29 AJ29 AL29 AN29 AP29 AR29">
    <cfRule type="cellIs" dxfId="722" priority="24" operator="lessThanOrEqual">
      <formula>-0.000001</formula>
    </cfRule>
    <cfRule type="cellIs" dxfId="721" priority="25" operator="greaterThanOrEqual">
      <formula>0.000001</formula>
    </cfRule>
  </conditionalFormatting>
  <conditionalFormatting sqref="AH33:AH34 AL33:AL34 AN33:AN34 AP33:AP34">
    <cfRule type="cellIs" dxfId="720" priority="38" operator="lessThanOrEqual">
      <formula>-0.0001</formula>
    </cfRule>
    <cfRule type="cellIs" dxfId="719" priority="39" operator="greaterThanOrEqual">
      <formula>0.0001</formula>
    </cfRule>
  </conditionalFormatting>
  <conditionalFormatting sqref="AH36 AJ36 AL36 AR36">
    <cfRule type="cellIs" dxfId="718" priority="12" operator="lessThanOrEqual">
      <formula>-0.00001</formula>
    </cfRule>
    <cfRule type="cellIs" dxfId="717" priority="13" operator="greaterThanOrEqual">
      <formula>0.000001</formula>
    </cfRule>
  </conditionalFormatting>
  <conditionalFormatting sqref="AH39 AJ39 AL39 AN39 AP39 AR39">
    <cfRule type="cellIs" dxfId="716" priority="17" operator="greaterThanOrEqual">
      <formula>0.000001</formula>
    </cfRule>
    <cfRule type="cellIs" dxfId="715" priority="16" operator="lessThanOrEqual">
      <formula>-0.00001</formula>
    </cfRule>
  </conditionalFormatting>
  <conditionalFormatting sqref="AH40 AJ40 AL40 AR40">
    <cfRule type="cellIs" dxfId="714" priority="19" operator="greaterThanOrEqual">
      <formula>0.0000001</formula>
    </cfRule>
  </conditionalFormatting>
  <conditionalFormatting sqref="AH43:AH51 AJ43:AJ51 AL43:AL51 AR43:AR51 AR56:AR76">
    <cfRule type="cellIs" dxfId="713" priority="22" operator="lessThanOrEqual">
      <formula>-0.0000001</formula>
    </cfRule>
    <cfRule type="cellIs" dxfId="712" priority="23" operator="greaterThanOrEqual">
      <formula>0.000001</formula>
    </cfRule>
  </conditionalFormatting>
  <conditionalFormatting sqref="AJ33:AJ34">
    <cfRule type="cellIs" dxfId="711" priority="33" operator="greaterThanOrEqual">
      <formula>0.0001</formula>
    </cfRule>
    <cfRule type="cellIs" dxfId="710" priority="32" operator="lessThanOrEqual">
      <formula>-0.0001</formula>
    </cfRule>
  </conditionalFormatting>
  <conditionalFormatting sqref="AO27:AO29 AO40">
    <cfRule type="cellIs" dxfId="709" priority="9" operator="greaterThanOrEqual">
      <formula>0.000001</formula>
    </cfRule>
  </conditionalFormatting>
  <conditionalFormatting sqref="AO27:AO29">
    <cfRule type="cellIs" dxfId="708" priority="8" operator="lessThanOrEqual">
      <formula>-0.000001</formula>
    </cfRule>
  </conditionalFormatting>
  <conditionalFormatting sqref="AO33:AO34">
    <cfRule type="cellIs" dxfId="707" priority="11" operator="greaterThanOrEqual">
      <formula>1</formula>
    </cfRule>
    <cfRule type="cellIs" dxfId="706" priority="10" operator="lessThanOrEqual">
      <formula>-1</formula>
    </cfRule>
  </conditionalFormatting>
  <conditionalFormatting sqref="AO39">
    <cfRule type="cellIs" dxfId="705" priority="4" operator="greaterThanOrEqual">
      <formula>0.00001</formula>
    </cfRule>
    <cfRule type="cellIs" dxfId="704" priority="3" operator="lessThanOrEqual">
      <formula>-0.00001</formula>
    </cfRule>
  </conditionalFormatting>
  <conditionalFormatting sqref="AP36">
    <cfRule type="cellIs" dxfId="703" priority="2" operator="greaterThanOrEqual">
      <formula>0.000001</formula>
    </cfRule>
    <cfRule type="cellIs" dxfId="702" priority="1" operator="lessThanOrEqual">
      <formula>-0.00001</formula>
    </cfRule>
  </conditionalFormatting>
  <conditionalFormatting sqref="AP40">
    <cfRule type="cellIs" dxfId="701" priority="5" operator="greaterThanOrEqual">
      <formula>0.0000001</formula>
    </cfRule>
  </conditionalFormatting>
  <conditionalFormatting sqref="AP43:AP51">
    <cfRule type="cellIs" dxfId="700" priority="6" operator="lessThanOrEqual">
      <formula>-0.0000001</formula>
    </cfRule>
    <cfRule type="cellIs" dxfId="699" priority="7" operator="greaterThanOrEqual">
      <formula>0.000001</formula>
    </cfRule>
  </conditionalFormatting>
  <conditionalFormatting sqref="AQ33:AQ34">
    <cfRule type="cellIs" dxfId="698" priority="37" operator="greaterThanOrEqual">
      <formula>1</formula>
    </cfRule>
    <cfRule type="cellIs" dxfId="697" priority="36" operator="lessThanOrEqual">
      <formula>-1</formula>
    </cfRule>
  </conditionalFormatting>
  <conditionalFormatting sqref="AQ56:AQ76">
    <cfRule type="cellIs" dxfId="696" priority="26" operator="lessThanOrEqual">
      <formula>-0.000001</formula>
    </cfRule>
    <cfRule type="cellIs" dxfId="695" priority="27" operator="greaterThanOrEqual">
      <formula>0.00001</formula>
    </cfRule>
  </conditionalFormatting>
  <conditionalFormatting sqref="AR33:AR34">
    <cfRule type="cellIs" dxfId="694" priority="34" operator="lessThanOrEqual">
      <formula>-0.0001</formula>
    </cfRule>
    <cfRule type="cellIs" dxfId="693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B403-7668-494F-84C9-757A85D74219}">
  <sheetPr>
    <tabColor theme="4" tint="0.79998168889431442"/>
  </sheetPr>
  <dimension ref="C4:AA11"/>
  <sheetViews>
    <sheetView workbookViewId="0">
      <selection activeCell="G24" sqref="G24"/>
    </sheetView>
  </sheetViews>
  <sheetFormatPr defaultRowHeight="16.5"/>
  <cols>
    <col min="4" max="25" width="11.875" customWidth="1"/>
  </cols>
  <sheetData>
    <row r="4" spans="3:27">
      <c r="D4" s="76" t="s">
        <v>128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6" t="s">
        <v>128</v>
      </c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</row>
    <row r="6" spans="3:27">
      <c r="C6" s="78" t="s">
        <v>129</v>
      </c>
      <c r="D6" s="79">
        <v>45292</v>
      </c>
      <c r="E6" s="79">
        <f>EDATE(D6,1)</f>
        <v>45323</v>
      </c>
      <c r="F6" s="79">
        <f t="shared" ref="F6:AA6" si="0">EDATE(E6,1)</f>
        <v>45352</v>
      </c>
      <c r="G6" s="79">
        <f t="shared" si="0"/>
        <v>45383</v>
      </c>
      <c r="H6" s="79">
        <f t="shared" si="0"/>
        <v>45413</v>
      </c>
      <c r="I6" s="79">
        <f t="shared" si="0"/>
        <v>45444</v>
      </c>
      <c r="J6" s="79">
        <f t="shared" si="0"/>
        <v>45474</v>
      </c>
      <c r="K6" s="79">
        <f t="shared" si="0"/>
        <v>45505</v>
      </c>
      <c r="L6" s="79">
        <f t="shared" si="0"/>
        <v>45536</v>
      </c>
      <c r="M6" s="79">
        <f t="shared" si="0"/>
        <v>45566</v>
      </c>
      <c r="N6" s="79">
        <f t="shared" si="0"/>
        <v>45597</v>
      </c>
      <c r="O6" s="79">
        <f t="shared" si="0"/>
        <v>45627</v>
      </c>
      <c r="P6" s="79">
        <f t="shared" si="0"/>
        <v>45658</v>
      </c>
      <c r="Q6" s="79">
        <f t="shared" si="0"/>
        <v>45689</v>
      </c>
      <c r="R6" s="79">
        <f t="shared" si="0"/>
        <v>45717</v>
      </c>
      <c r="S6" s="79">
        <f t="shared" si="0"/>
        <v>45748</v>
      </c>
      <c r="T6" s="79">
        <f t="shared" si="0"/>
        <v>45778</v>
      </c>
      <c r="U6" s="79">
        <f t="shared" si="0"/>
        <v>45809</v>
      </c>
      <c r="V6" s="79">
        <f t="shared" si="0"/>
        <v>45839</v>
      </c>
      <c r="W6" s="79">
        <f t="shared" si="0"/>
        <v>45870</v>
      </c>
      <c r="X6" s="79">
        <f t="shared" si="0"/>
        <v>45901</v>
      </c>
      <c r="Y6" s="79">
        <f t="shared" si="0"/>
        <v>45931</v>
      </c>
      <c r="Z6" s="79">
        <f t="shared" si="0"/>
        <v>45962</v>
      </c>
      <c r="AA6" s="79">
        <f t="shared" si="0"/>
        <v>45992</v>
      </c>
    </row>
    <row r="7" spans="3:27">
      <c r="C7" t="s">
        <v>130</v>
      </c>
      <c r="D7" s="80">
        <v>180352</v>
      </c>
      <c r="E7" s="81">
        <v>157449</v>
      </c>
      <c r="F7" s="81">
        <v>167469</v>
      </c>
      <c r="G7" s="81">
        <v>224326</v>
      </c>
      <c r="H7" s="81">
        <v>215504</v>
      </c>
      <c r="I7" s="81">
        <v>171530</v>
      </c>
      <c r="J7" s="81">
        <v>157507</v>
      </c>
      <c r="K7" s="81">
        <v>161389</v>
      </c>
      <c r="L7" s="81">
        <v>214522</v>
      </c>
      <c r="M7" s="81">
        <v>203444</v>
      </c>
      <c r="N7" s="81">
        <v>199692</v>
      </c>
      <c r="O7" s="82">
        <v>225205</v>
      </c>
      <c r="P7" s="80">
        <v>129378</v>
      </c>
      <c r="Q7" s="81">
        <v>117896</v>
      </c>
      <c r="R7" s="81">
        <v>145387</v>
      </c>
      <c r="S7" s="81">
        <v>137621</v>
      </c>
      <c r="T7" s="81">
        <v>121769</v>
      </c>
      <c r="U7" s="81">
        <v>114510</v>
      </c>
      <c r="V7" s="81">
        <v>172090</v>
      </c>
      <c r="W7" s="81">
        <v>75984</v>
      </c>
      <c r="X7" s="81">
        <v>52689</v>
      </c>
      <c r="Y7" s="82">
        <v>82108</v>
      </c>
      <c r="Z7" s="81">
        <v>0</v>
      </c>
      <c r="AA7" s="82">
        <v>0</v>
      </c>
    </row>
    <row r="8" spans="3:27">
      <c r="C8" t="s">
        <v>131</v>
      </c>
      <c r="D8" s="80">
        <v>1525290</v>
      </c>
      <c r="E8" s="81">
        <v>1765020</v>
      </c>
      <c r="F8" s="81">
        <v>1786154</v>
      </c>
      <c r="G8" s="81">
        <v>2018677</v>
      </c>
      <c r="H8" s="81">
        <v>2128892</v>
      </c>
      <c r="I8" s="81">
        <v>1902379</v>
      </c>
      <c r="J8" s="81">
        <v>1408747</v>
      </c>
      <c r="K8" s="81">
        <v>2038406</v>
      </c>
      <c r="L8" s="81">
        <v>1744721</v>
      </c>
      <c r="M8" s="81">
        <v>2050944</v>
      </c>
      <c r="N8" s="81">
        <v>2828446</v>
      </c>
      <c r="O8" s="82">
        <v>3163654</v>
      </c>
      <c r="P8" s="80">
        <v>1732286</v>
      </c>
      <c r="Q8" s="81">
        <v>1641273</v>
      </c>
      <c r="R8" s="81">
        <v>2161964</v>
      </c>
      <c r="S8" s="81">
        <v>1868116</v>
      </c>
      <c r="T8" s="81">
        <v>2182779</v>
      </c>
      <c r="U8" s="81">
        <v>2431420</v>
      </c>
      <c r="V8" s="81">
        <v>2705268</v>
      </c>
      <c r="W8" s="81">
        <v>2458769</v>
      </c>
      <c r="X8" s="81">
        <v>2735265</v>
      </c>
      <c r="Y8" s="82">
        <v>3265535</v>
      </c>
      <c r="Z8" s="81">
        <v>0</v>
      </c>
      <c r="AA8" s="82">
        <v>0</v>
      </c>
    </row>
    <row r="9" spans="3:27">
      <c r="C9" t="s">
        <v>56</v>
      </c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2"/>
      <c r="P9" s="80"/>
      <c r="Q9" s="81"/>
      <c r="R9" s="81"/>
      <c r="S9" s="81"/>
      <c r="T9" s="81"/>
      <c r="U9" s="81"/>
      <c r="V9" s="81"/>
      <c r="W9" s="81">
        <v>382948</v>
      </c>
      <c r="X9" s="81"/>
      <c r="Y9" s="82"/>
      <c r="Z9" s="81"/>
      <c r="AA9" s="82"/>
    </row>
    <row r="10" spans="3:27">
      <c r="C10" t="s">
        <v>2</v>
      </c>
      <c r="D10" s="80">
        <v>606280</v>
      </c>
      <c r="E10" s="81">
        <v>723694</v>
      </c>
      <c r="F10" s="81">
        <v>823502</v>
      </c>
      <c r="G10" s="81">
        <v>815968</v>
      </c>
      <c r="H10" s="81">
        <v>511352</v>
      </c>
      <c r="I10" s="81">
        <v>190928</v>
      </c>
      <c r="J10" s="81">
        <v>239669</v>
      </c>
      <c r="K10" s="81">
        <v>957253</v>
      </c>
      <c r="L10" s="81">
        <v>945416</v>
      </c>
      <c r="M10" s="81">
        <v>468854</v>
      </c>
      <c r="N10" s="81">
        <v>113185</v>
      </c>
      <c r="O10" s="82">
        <v>184688</v>
      </c>
      <c r="P10" s="80">
        <v>255066</v>
      </c>
      <c r="Q10" s="81">
        <v>450064</v>
      </c>
      <c r="R10" s="81">
        <v>656647</v>
      </c>
      <c r="S10" s="81">
        <v>509987</v>
      </c>
      <c r="T10" s="81">
        <v>236300</v>
      </c>
      <c r="U10" s="81">
        <v>165965</v>
      </c>
      <c r="V10" s="81">
        <v>220259</v>
      </c>
      <c r="W10" s="81">
        <v>475437</v>
      </c>
      <c r="X10" s="81">
        <v>417600</v>
      </c>
      <c r="Y10" s="82">
        <v>563572</v>
      </c>
      <c r="Z10" s="81">
        <v>0</v>
      </c>
      <c r="AA10" s="82">
        <v>0</v>
      </c>
    </row>
    <row r="11" spans="3:27">
      <c r="C11" s="83" t="s">
        <v>132</v>
      </c>
      <c r="D11" s="84">
        <f>SUM(D7:D10)</f>
        <v>2311922</v>
      </c>
      <c r="E11" s="85">
        <f t="shared" ref="E11:AA11" si="1">SUM(E7:E10)</f>
        <v>2646163</v>
      </c>
      <c r="F11" s="85">
        <f t="shared" si="1"/>
        <v>2777125</v>
      </c>
      <c r="G11" s="85">
        <f t="shared" si="1"/>
        <v>3058971</v>
      </c>
      <c r="H11" s="85">
        <f t="shared" si="1"/>
        <v>2855748</v>
      </c>
      <c r="I11" s="85">
        <f t="shared" si="1"/>
        <v>2264837</v>
      </c>
      <c r="J11" s="85">
        <f t="shared" si="1"/>
        <v>1805923</v>
      </c>
      <c r="K11" s="85">
        <f t="shared" si="1"/>
        <v>3157048</v>
      </c>
      <c r="L11" s="85">
        <f t="shared" si="1"/>
        <v>2904659</v>
      </c>
      <c r="M11" s="85">
        <f t="shared" si="1"/>
        <v>2723242</v>
      </c>
      <c r="N11" s="85">
        <f t="shared" si="1"/>
        <v>3141323</v>
      </c>
      <c r="O11" s="86">
        <f t="shared" si="1"/>
        <v>3573547</v>
      </c>
      <c r="P11" s="84">
        <f t="shared" si="1"/>
        <v>2116730</v>
      </c>
      <c r="Q11" s="85">
        <f t="shared" si="1"/>
        <v>2209233</v>
      </c>
      <c r="R11" s="85">
        <f t="shared" si="1"/>
        <v>2963998</v>
      </c>
      <c r="S11" s="85">
        <f t="shared" si="1"/>
        <v>2515724</v>
      </c>
      <c r="T11" s="85">
        <f t="shared" si="1"/>
        <v>2540848</v>
      </c>
      <c r="U11" s="85">
        <f t="shared" si="1"/>
        <v>2711895</v>
      </c>
      <c r="V11" s="85">
        <f t="shared" si="1"/>
        <v>3097617</v>
      </c>
      <c r="W11" s="85">
        <f t="shared" si="1"/>
        <v>3393138</v>
      </c>
      <c r="X11" s="85">
        <f t="shared" si="1"/>
        <v>3205554</v>
      </c>
      <c r="Y11" s="86">
        <f t="shared" si="1"/>
        <v>3911215</v>
      </c>
      <c r="Z11" s="85">
        <f t="shared" si="1"/>
        <v>0</v>
      </c>
      <c r="AA11" s="86">
        <f t="shared" si="1"/>
        <v>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2EB5-3C98-43C9-943C-FA5532F57F27}">
  <sheetPr>
    <tabColor theme="4" tint="0.79998168889431442"/>
  </sheetPr>
  <dimension ref="C4:O22"/>
  <sheetViews>
    <sheetView workbookViewId="0">
      <selection activeCell="M14" sqref="M14"/>
    </sheetView>
  </sheetViews>
  <sheetFormatPr defaultRowHeight="16.5"/>
  <cols>
    <col min="3" max="3" width="13.375" customWidth="1"/>
  </cols>
  <sheetData>
    <row r="4" spans="3:15">
      <c r="C4" t="s">
        <v>139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</row>
    <row r="5" spans="3:15">
      <c r="C5" t="s">
        <v>134</v>
      </c>
      <c r="D5" s="87">
        <f>+'1월'!G29</f>
        <v>0.59216220228277372</v>
      </c>
      <c r="E5" s="87">
        <f>+'2월'!G29</f>
        <v>0.59298170221115565</v>
      </c>
      <c r="F5" s="87">
        <f>+'3월'!G29</f>
        <v>0.60599169158059119</v>
      </c>
      <c r="G5" s="87">
        <f>+'4월'!G29</f>
        <v>0.60550493401702032</v>
      </c>
      <c r="H5" s="87">
        <f>+'5월'!G29</f>
        <v>0.66853865830191339</v>
      </c>
      <c r="I5" s="87">
        <f>+'6월'!G29</f>
        <v>0.70084393069638817</v>
      </c>
      <c r="J5" s="87">
        <f>+'7월'!G29</f>
        <v>0.63288931818466299</v>
      </c>
      <c r="K5" s="87">
        <f>+'8월'!G29</f>
        <v>0.58639079741719269</v>
      </c>
      <c r="L5" s="87">
        <f>+'9월'!G29</f>
        <v>0.58955634345092522</v>
      </c>
      <c r="M5" s="87">
        <f>+'10월'!G29</f>
        <v>0.62584578568168348</v>
      </c>
    </row>
    <row r="6" spans="3:15">
      <c r="C6" t="s">
        <v>136</v>
      </c>
      <c r="D6" s="87">
        <f>+'1월'!I29</f>
        <v>0.24512349127051258</v>
      </c>
      <c r="E6" s="87">
        <f>+'2월'!I29</f>
        <v>0.3865675913020814</v>
      </c>
      <c r="F6" s="87">
        <f>+'3월'!I29</f>
        <v>0.28042424113486286</v>
      </c>
      <c r="G6" s="87">
        <f>+'4월'!I29</f>
        <v>0.33569395202897734</v>
      </c>
      <c r="H6" s="87">
        <f>+'5월'!I29</f>
        <v>0.38154190066945626</v>
      </c>
      <c r="I6" s="87">
        <f>+'6월'!I29</f>
        <v>0.39296799428505047</v>
      </c>
      <c r="J6" s="87">
        <f>+'7월'!I29</f>
        <v>0.38477199951446217</v>
      </c>
      <c r="K6" s="87">
        <f>+'8월'!I29</f>
        <v>0.451644191588918</v>
      </c>
      <c r="L6" s="87">
        <f>+'9월'!I29</f>
        <v>0.37960202806064702</v>
      </c>
      <c r="M6" s="87">
        <f>+'10월'!I29</f>
        <v>0.38753481811302504</v>
      </c>
    </row>
    <row r="7" spans="3:15">
      <c r="C7" t="s">
        <v>138</v>
      </c>
      <c r="D7" s="87">
        <f>+'1월'!K29</f>
        <v>0.16501973917672097</v>
      </c>
      <c r="E7" s="87">
        <f>+'2월'!K29</f>
        <v>0.22843752580200583</v>
      </c>
      <c r="F7" s="87">
        <f>+'3월'!K29</f>
        <v>5.8081197117078043E-3</v>
      </c>
      <c r="G7" s="87">
        <f>+'4월'!K29</f>
        <v>8.8784358478286141E-2</v>
      </c>
      <c r="H7" s="87">
        <f>+'5월'!K29</f>
        <v>0.18101014366322665</v>
      </c>
      <c r="I7" s="87">
        <f>+'6월'!K29</f>
        <v>0.23761085524398073</v>
      </c>
      <c r="J7" s="87">
        <f>+'7월'!K29</f>
        <v>0.20908010437631341</v>
      </c>
      <c r="K7" s="87">
        <f>+'8월'!K29</f>
        <v>0.27446381104040551</v>
      </c>
      <c r="L7" s="87">
        <f>+'9월'!K29</f>
        <v>0.22956032481517052</v>
      </c>
      <c r="M7" s="87">
        <f>+'10월'!K29</f>
        <v>0.26904229173630079</v>
      </c>
    </row>
    <row r="8" spans="3:15">
      <c r="C8" t="s">
        <v>155</v>
      </c>
      <c r="D8" s="87">
        <f>+'1월'!Q29</f>
        <v>0.32195703378012341</v>
      </c>
      <c r="E8" s="87">
        <f>+'2월'!Q29</f>
        <v>0.41821617564445246</v>
      </c>
      <c r="F8" s="87">
        <f>+'3월'!Q29</f>
        <v>0.35316744561962155</v>
      </c>
      <c r="G8" s="87">
        <f>+'4월'!Q29</f>
        <v>0.37669823802073776</v>
      </c>
      <c r="H8" s="87">
        <f>+'5월'!Q29</f>
        <v>0.3865301956197803</v>
      </c>
      <c r="I8" s="87">
        <f>+'6월'!Q29</f>
        <v>0.39734596241349818</v>
      </c>
      <c r="J8" s="87">
        <f>+'7월'!Q29</f>
        <v>0.37722957564837922</v>
      </c>
      <c r="K8" s="87">
        <f>+'8월'!Q29</f>
        <v>0.46808193354509009</v>
      </c>
      <c r="L8" s="87">
        <f>+'9월'!Q29</f>
        <v>0.42348105537057212</v>
      </c>
      <c r="M8" s="87">
        <f>+'10월'!Q29</f>
        <v>0.40484910293948617</v>
      </c>
    </row>
    <row r="12" spans="3:15">
      <c r="C12" t="s">
        <v>153</v>
      </c>
      <c r="D12" t="s">
        <v>140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</row>
    <row r="13" spans="3:15">
      <c r="C13" t="s">
        <v>133</v>
      </c>
      <c r="D13" s="87">
        <f>+'1월'!AI29</f>
        <v>0.64995158115938623</v>
      </c>
      <c r="E13" s="87">
        <f>+'2월'!AI29</f>
        <v>0.60484675512815955</v>
      </c>
      <c r="F13" s="87">
        <f>+'3월'!AI29</f>
        <v>0.58294547907779981</v>
      </c>
      <c r="G13" s="87">
        <f>+'4월'!AI29</f>
        <v>0.58773272652047992</v>
      </c>
      <c r="H13" s="87">
        <f>+'5월'!AI29</f>
        <v>0.69105835801946669</v>
      </c>
      <c r="I13" s="87">
        <f>+'6월'!AI29</f>
        <v>0.77649094688639175</v>
      </c>
      <c r="J13" s="87">
        <f>+'7월'!AI29</f>
        <v>0.71564430965363501</v>
      </c>
      <c r="K13" s="87">
        <f>+'8월'!AI29</f>
        <v>0.65005090053992431</v>
      </c>
      <c r="L13" s="87">
        <f>+'9월'!AI29</f>
        <v>0.58887763409961691</v>
      </c>
      <c r="M13" s="87">
        <f>+'10월'!AI29</f>
        <v>0.6418360032081083</v>
      </c>
    </row>
    <row r="14" spans="3:15">
      <c r="C14" t="s">
        <v>135</v>
      </c>
      <c r="D14" s="87">
        <f>+'1월'!AK29</f>
        <v>0.38318238443305563</v>
      </c>
      <c r="E14" s="87">
        <f>+'2월'!AK29</f>
        <v>0.4167222881263507</v>
      </c>
      <c r="F14" s="87">
        <f>+'3월'!AK29</f>
        <v>0.36497645196682282</v>
      </c>
      <c r="G14" s="87">
        <f>+'4월'!AK29</f>
        <v>0.32159264199867676</v>
      </c>
      <c r="H14" s="87">
        <f>+'5월'!AK29</f>
        <v>0.31778559350259461</v>
      </c>
      <c r="I14" s="87">
        <f>+'6월'!AK29</f>
        <v>0.35863602750655998</v>
      </c>
      <c r="J14" s="87">
        <f>+'7월'!AK29</f>
        <v>0.48784755151800108</v>
      </c>
      <c r="K14" s="87">
        <f>+'8월'!AK29</f>
        <v>0.50132808328069856</v>
      </c>
      <c r="L14" s="87">
        <f>+'9월'!AK29</f>
        <v>0.4897867665472998</v>
      </c>
      <c r="M14" s="87">
        <f>+'10월'!AK29</f>
        <v>0.50533147248460053</v>
      </c>
    </row>
    <row r="15" spans="3:15">
      <c r="C15" t="s">
        <v>137</v>
      </c>
      <c r="D15" s="87">
        <f>+'1월'!AM29</f>
        <v>0.30672927391055671</v>
      </c>
      <c r="E15" s="87">
        <f>+'2월'!AM29</f>
        <v>0.4526790561172559</v>
      </c>
      <c r="F15" s="87">
        <f>+'3월'!AM29</f>
        <v>0.40275141518842816</v>
      </c>
      <c r="G15" s="87">
        <f>+'4월'!AM29</f>
        <v>0.31725150958065995</v>
      </c>
      <c r="H15" s="87">
        <f>+'5월'!AM29</f>
        <v>0.3199544218971988</v>
      </c>
      <c r="I15" s="87">
        <f>+'6월'!AM29</f>
        <v>0.39541681949174734</v>
      </c>
      <c r="J15" s="87">
        <f>+'7월'!AM29</f>
        <v>0.49435156023011217</v>
      </c>
      <c r="K15" s="87">
        <f>+'8월'!AM29</f>
        <v>0.44245459570435886</v>
      </c>
      <c r="L15" s="87">
        <f>+'9월'!AM29</f>
        <v>0.42784907665736682</v>
      </c>
      <c r="M15" s="87">
        <f>+'10월'!AM29</f>
        <v>0.41685219467043411</v>
      </c>
    </row>
    <row r="16" spans="3:15">
      <c r="C16" t="s">
        <v>155</v>
      </c>
      <c r="D16" s="87">
        <f>+'1월'!AS29</f>
        <v>0.39416272215721881</v>
      </c>
      <c r="E16" s="87">
        <f>+'2월'!AS29</f>
        <v>0.44759729211983834</v>
      </c>
      <c r="F16" s="87">
        <f>+'3월'!AS29</f>
        <v>0.40377875309872369</v>
      </c>
      <c r="G16" s="87">
        <f>+'4월'!AS29</f>
        <v>0.36629097908709074</v>
      </c>
      <c r="H16" s="87">
        <f>+'5월'!AS29</f>
        <v>0.34562337053535386</v>
      </c>
      <c r="I16" s="87">
        <f>+'6월'!AS29</f>
        <v>0.38096615165703507</v>
      </c>
      <c r="J16" s="87">
        <f>+'7월'!AS29</f>
        <v>0.4891992621345066</v>
      </c>
      <c r="K16" s="87">
        <f>+'8월'!AS29</f>
        <v>0.49766903821137354</v>
      </c>
      <c r="L16" s="87">
        <f>+'9월'!AS29</f>
        <v>0.4869239445769431</v>
      </c>
      <c r="M16" s="87">
        <f>+'10월'!AS29</f>
        <v>0.51388880524126435</v>
      </c>
    </row>
    <row r="19" spans="3:15">
      <c r="C19" t="s">
        <v>154</v>
      </c>
      <c r="D19" t="s">
        <v>140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151</v>
      </c>
      <c r="O19" t="s">
        <v>152</v>
      </c>
    </row>
    <row r="20" spans="3:15">
      <c r="C20" t="s">
        <v>133</v>
      </c>
    </row>
    <row r="21" spans="3:15">
      <c r="C21" t="s">
        <v>135</v>
      </c>
    </row>
    <row r="22" spans="3:15">
      <c r="C22" t="s">
        <v>137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9A66-DE6B-49BF-A81D-8B0EB8934501}">
  <sheetPr>
    <tabColor theme="4" tint="0.79998168889431442"/>
  </sheetPr>
  <dimension ref="A1:BI83"/>
  <sheetViews>
    <sheetView topLeftCell="J27" zoomScale="115" zoomScaleNormal="115" workbookViewId="0">
      <selection activeCell="AJ54" sqref="AJ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6.5">
      <c r="E17" s="16"/>
      <c r="F17" s="18" t="s">
        <v>121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122</v>
      </c>
      <c r="Q17" s="20"/>
      <c r="R17" s="21"/>
      <c r="T17" s="18" t="str">
        <f>"STO"&amp;" "&amp;RIGHT(YEAR($E$5),2)&amp;"년"&amp;" "&amp;MONTH($E$5)&amp;"월 당월 계획"</f>
        <v>STO 25년 10월 당월 계획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tr">
        <f>"STO"&amp;" "&amp;RIGHT(YEAR($E$5),2)&amp;"년"&amp;" "&amp;MONTH($E$5)&amp;"월 당월 계획"</f>
        <v>STO 25년 10월 당월 계획</v>
      </c>
      <c r="AE17" s="20"/>
      <c r="AF17" s="21"/>
      <c r="AH17" s="18" t="s">
        <v>123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123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606280</v>
      </c>
      <c r="G27" s="24"/>
      <c r="H27" s="27">
        <v>1525290</v>
      </c>
      <c r="I27" s="24"/>
      <c r="J27" s="27">
        <v>180352</v>
      </c>
      <c r="K27" s="24"/>
      <c r="L27" s="27">
        <v>56910.080000000002</v>
      </c>
      <c r="M27" s="24"/>
      <c r="N27" s="28">
        <v>0</v>
      </c>
      <c r="O27" s="16"/>
      <c r="P27" s="23">
        <v>2368832.08</v>
      </c>
      <c r="Q27" s="24"/>
      <c r="R27" s="21"/>
      <c r="T27" s="27">
        <v>255066</v>
      </c>
      <c r="U27" s="24"/>
      <c r="V27" s="27">
        <v>1732286</v>
      </c>
      <c r="W27" s="24"/>
      <c r="X27" s="27">
        <v>129378</v>
      </c>
      <c r="Y27" s="24"/>
      <c r="Z27" s="27">
        <v>88567.46</v>
      </c>
      <c r="AA27" s="24"/>
      <c r="AB27" s="28">
        <v>0</v>
      </c>
      <c r="AC27" s="16"/>
      <c r="AD27" s="23">
        <v>2205297.46</v>
      </c>
      <c r="AE27" s="24"/>
      <c r="AF27" s="21"/>
      <c r="AH27" s="27">
        <v>255066</v>
      </c>
      <c r="AI27" s="24"/>
      <c r="AJ27" s="27">
        <v>1732286</v>
      </c>
      <c r="AK27" s="24"/>
      <c r="AL27" s="27">
        <v>129378</v>
      </c>
      <c r="AM27" s="24"/>
      <c r="AN27" s="27">
        <v>88567.46</v>
      </c>
      <c r="AO27" s="24"/>
      <c r="AP27" s="28">
        <v>0</v>
      </c>
      <c r="AQ27" s="16"/>
      <c r="AR27" s="23">
        <v>2205297.46</v>
      </c>
      <c r="AS27" s="24"/>
      <c r="AT27" s="21"/>
      <c r="AV27" s="29">
        <f>AH27-T27</f>
        <v>0</v>
      </c>
      <c r="AW27" s="30"/>
      <c r="AX27" s="29">
        <f t="shared" ref="AX27:AX29" si="0">AJ27-V27</f>
        <v>0</v>
      </c>
      <c r="AY27" s="30"/>
      <c r="AZ27" s="29">
        <f t="shared" ref="AZ27:AZ29" si="1">AL27-X27</f>
        <v>0</v>
      </c>
      <c r="BA27" s="30"/>
      <c r="BB27" s="29">
        <f t="shared" ref="BB27:BB29" si="2">AN27-Z27</f>
        <v>0</v>
      </c>
      <c r="BC27" s="30"/>
      <c r="BD27" s="29">
        <f t="shared" ref="BD27:BD29" si="3">AP27-AB27</f>
        <v>0</v>
      </c>
      <c r="BE27" s="30"/>
      <c r="BF27" s="29">
        <f t="shared" ref="BF27:BF29" si="4">AR27-AD27</f>
        <v>0</v>
      </c>
      <c r="BG27" s="30"/>
    </row>
    <row r="28" spans="3:59">
      <c r="E28" s="26" t="s">
        <v>29</v>
      </c>
      <c r="F28" s="23">
        <v>359016.1</v>
      </c>
      <c r="G28" s="31"/>
      <c r="H28" s="23">
        <v>373884.41000000015</v>
      </c>
      <c r="I28" s="31"/>
      <c r="J28" s="23">
        <v>29761.639999999985</v>
      </c>
      <c r="K28" s="31"/>
      <c r="L28" s="23">
        <v>0</v>
      </c>
      <c r="M28" s="31"/>
      <c r="N28" s="32">
        <v>0</v>
      </c>
      <c r="O28" s="32"/>
      <c r="P28" s="23">
        <v>762662.15000000014</v>
      </c>
      <c r="Q28" s="31"/>
      <c r="R28" s="21"/>
      <c r="T28" s="23">
        <v>165780.54999999999</v>
      </c>
      <c r="U28" s="31"/>
      <c r="V28" s="23">
        <v>663781.48000000021</v>
      </c>
      <c r="W28" s="31"/>
      <c r="X28" s="23">
        <v>39684.020000000004</v>
      </c>
      <c r="Y28" s="31"/>
      <c r="Z28" s="23">
        <v>0</v>
      </c>
      <c r="AA28" s="31"/>
      <c r="AB28" s="32">
        <v>0</v>
      </c>
      <c r="AC28" s="32"/>
      <c r="AD28" s="23">
        <v>869246.05000000028</v>
      </c>
      <c r="AE28" s="31"/>
      <c r="AF28" s="21"/>
      <c r="AH28" s="23">
        <v>165780.54999999999</v>
      </c>
      <c r="AI28" s="31"/>
      <c r="AJ28" s="23">
        <v>663781.48000000021</v>
      </c>
      <c r="AK28" s="31"/>
      <c r="AL28" s="23">
        <v>39684.020000000004</v>
      </c>
      <c r="AM28" s="31"/>
      <c r="AN28" s="23">
        <v>0</v>
      </c>
      <c r="AO28" s="31"/>
      <c r="AP28" s="32">
        <v>0</v>
      </c>
      <c r="AQ28" s="32"/>
      <c r="AR28" s="23">
        <v>869246.05000000028</v>
      </c>
      <c r="AS28" s="31"/>
      <c r="AT28" s="21"/>
      <c r="AV28" s="29">
        <f t="shared" ref="AV28:AV29" si="5">AH28-T28</f>
        <v>0</v>
      </c>
      <c r="AW28" s="33"/>
      <c r="AX28" s="29">
        <f t="shared" si="0"/>
        <v>0</v>
      </c>
      <c r="AY28" s="33"/>
      <c r="AZ28" s="29">
        <f t="shared" si="1"/>
        <v>0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0</v>
      </c>
      <c r="BG28" s="33"/>
    </row>
    <row r="29" spans="3:59" ht="15">
      <c r="C29" s="16" t="s">
        <v>30</v>
      </c>
      <c r="E29" s="34" t="s">
        <v>31</v>
      </c>
      <c r="F29" s="35">
        <v>247263.9</v>
      </c>
      <c r="G29" s="36">
        <v>0.59216220228277372</v>
      </c>
      <c r="H29" s="35">
        <v>1151405.5899999999</v>
      </c>
      <c r="I29" s="36">
        <v>0.24512349127051258</v>
      </c>
      <c r="J29" s="35">
        <v>150590.36000000002</v>
      </c>
      <c r="K29" s="36">
        <v>0.16501973917672097</v>
      </c>
      <c r="L29" s="35">
        <v>56910.080000000002</v>
      </c>
      <c r="M29" s="36">
        <v>0</v>
      </c>
      <c r="N29" s="37">
        <v>0</v>
      </c>
      <c r="O29" s="36">
        <v>0</v>
      </c>
      <c r="P29" s="35">
        <v>1606169.93</v>
      </c>
      <c r="Q29" s="36">
        <v>0.32195703378012341</v>
      </c>
      <c r="R29" s="21"/>
      <c r="T29" s="35">
        <v>89285.45</v>
      </c>
      <c r="U29" s="36">
        <v>0.64995158115938623</v>
      </c>
      <c r="V29" s="35">
        <v>1068504.5199999998</v>
      </c>
      <c r="W29" s="36">
        <v>0.38318238443305563</v>
      </c>
      <c r="X29" s="35">
        <v>89693.98</v>
      </c>
      <c r="Y29" s="36">
        <v>0.30672927391055671</v>
      </c>
      <c r="Z29" s="35">
        <v>88567.46</v>
      </c>
      <c r="AA29" s="36">
        <v>0</v>
      </c>
      <c r="AB29" s="37">
        <v>0</v>
      </c>
      <c r="AC29" s="36">
        <v>0</v>
      </c>
      <c r="AD29" s="35">
        <v>1336051.4099999997</v>
      </c>
      <c r="AE29" s="36">
        <v>0.39416272215721881</v>
      </c>
      <c r="AF29" s="21"/>
      <c r="AH29" s="35">
        <v>89285.45</v>
      </c>
      <c r="AI29" s="36">
        <v>0.64995158115938623</v>
      </c>
      <c r="AJ29" s="35">
        <v>1068504.5199999998</v>
      </c>
      <c r="AK29" s="36">
        <v>0.38318238443305563</v>
      </c>
      <c r="AL29" s="35">
        <v>89693.98</v>
      </c>
      <c r="AM29" s="36">
        <v>0.30672927391055671</v>
      </c>
      <c r="AN29" s="35">
        <v>88567.46</v>
      </c>
      <c r="AO29" s="36">
        <v>0</v>
      </c>
      <c r="AP29" s="37">
        <v>0</v>
      </c>
      <c r="AQ29" s="36">
        <v>0</v>
      </c>
      <c r="AR29" s="35">
        <v>1336051.4099999997</v>
      </c>
      <c r="AS29" s="36">
        <v>0.39416272215721881</v>
      </c>
      <c r="AT29" s="21"/>
      <c r="AV29" s="38">
        <f t="shared" si="5"/>
        <v>0</v>
      </c>
      <c r="AW29" s="39">
        <f>(AI29-U29)*100</f>
        <v>0</v>
      </c>
      <c r="AX29" s="38">
        <f t="shared" si="0"/>
        <v>0</v>
      </c>
      <c r="AY29" s="39">
        <f>(AK29-W29)*100</f>
        <v>0</v>
      </c>
      <c r="AZ29" s="38">
        <f t="shared" si="1"/>
        <v>0</v>
      </c>
      <c r="BA29" s="39">
        <f>(AM29-Y29)*100</f>
        <v>0</v>
      </c>
      <c r="BB29" s="38">
        <f t="shared" si="2"/>
        <v>0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0</v>
      </c>
      <c r="BG29" s="39">
        <f>(AS29-AE29)*100</f>
        <v>0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0</v>
      </c>
      <c r="AI33" s="51">
        <v>0</v>
      </c>
      <c r="AJ33" s="41">
        <v>0</v>
      </c>
      <c r="AK33" s="51">
        <v>0</v>
      </c>
      <c r="AL33" s="41">
        <v>0</v>
      </c>
      <c r="AM33" s="51">
        <v>0</v>
      </c>
      <c r="AN33" s="41">
        <v>0</v>
      </c>
      <c r="AO33" s="51">
        <v>0</v>
      </c>
      <c r="AP33" s="41">
        <v>0</v>
      </c>
      <c r="AQ33" s="51">
        <v>0</v>
      </c>
      <c r="AR33" s="41">
        <v>0</v>
      </c>
      <c r="AS33" s="51">
        <v>0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-157978.45000000001</v>
      </c>
      <c r="U34" s="51">
        <v>-0.63890624551339681</v>
      </c>
      <c r="V34" s="41">
        <v>-82901.070000000065</v>
      </c>
      <c r="W34" s="51">
        <v>-7.1999884940631587E-2</v>
      </c>
      <c r="X34" s="41">
        <v>-60896.380000000019</v>
      </c>
      <c r="Y34" s="51">
        <v>-0.40438431782751572</v>
      </c>
      <c r="Z34" s="41">
        <v>31657.380000000005</v>
      </c>
      <c r="AA34" s="51">
        <v>0.55627017217336538</v>
      </c>
      <c r="AB34" s="41">
        <v>0</v>
      </c>
      <c r="AC34" s="51">
        <v>0</v>
      </c>
      <c r="AD34" s="41">
        <v>-270118.52000000025</v>
      </c>
      <c r="AE34" s="51">
        <v>-0.16817555537227635</v>
      </c>
      <c r="AF34" s="49"/>
      <c r="AH34" s="41">
        <v>-157978.45000000001</v>
      </c>
      <c r="AI34" s="51">
        <v>-0.63890624551339681</v>
      </c>
      <c r="AJ34" s="41">
        <v>-82901.070000000065</v>
      </c>
      <c r="AK34" s="51">
        <v>-7.1999884940631587E-2</v>
      </c>
      <c r="AL34" s="41">
        <v>-60896.380000000019</v>
      </c>
      <c r="AM34" s="51">
        <v>-0.40438431782751572</v>
      </c>
      <c r="AN34" s="41">
        <v>31657.380000000005</v>
      </c>
      <c r="AO34" s="51">
        <v>0.55627017217336538</v>
      </c>
      <c r="AP34" s="41">
        <v>0</v>
      </c>
      <c r="AQ34" s="51">
        <v>0</v>
      </c>
      <c r="AR34" s="41">
        <v>-270118.52000000025</v>
      </c>
      <c r="AS34" s="51">
        <v>-0.16817555537227635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107402.76</v>
      </c>
      <c r="G36" s="53">
        <v>0.43436490324709753</v>
      </c>
      <c r="H36" s="23">
        <v>345142.08</v>
      </c>
      <c r="I36" s="53">
        <v>0.2997571689746617</v>
      </c>
      <c r="J36" s="23">
        <v>37225.1</v>
      </c>
      <c r="K36" s="53">
        <v>0.24719444192842088</v>
      </c>
      <c r="L36" s="23">
        <v>0</v>
      </c>
      <c r="M36" s="53">
        <v>0</v>
      </c>
      <c r="N36" s="32">
        <v>0</v>
      </c>
      <c r="O36" s="54">
        <v>0</v>
      </c>
      <c r="P36" s="23">
        <v>489769.94</v>
      </c>
      <c r="Q36" s="54">
        <v>0.30493033822392629</v>
      </c>
      <c r="R36" s="21"/>
      <c r="T36" s="23">
        <v>39955.21</v>
      </c>
      <c r="U36" s="53">
        <v>0.44749967659904272</v>
      </c>
      <c r="V36" s="23">
        <v>365096.35</v>
      </c>
      <c r="W36" s="53">
        <v>0.3416891020732416</v>
      </c>
      <c r="X36" s="23">
        <v>26831.89</v>
      </c>
      <c r="Y36" s="53">
        <v>0.29914928515826816</v>
      </c>
      <c r="Z36" s="23">
        <v>0</v>
      </c>
      <c r="AA36" s="53">
        <v>0</v>
      </c>
      <c r="AB36" s="32">
        <v>-49448.72</v>
      </c>
      <c r="AC36" s="54">
        <v>0</v>
      </c>
      <c r="AD36" s="23">
        <v>382434.73</v>
      </c>
      <c r="AE36" s="54">
        <v>0.28624252565251218</v>
      </c>
      <c r="AF36" s="21"/>
      <c r="AH36" s="23">
        <v>39955.210000000006</v>
      </c>
      <c r="AI36" s="53">
        <v>0.44749967659904283</v>
      </c>
      <c r="AJ36" s="23">
        <v>365096.35</v>
      </c>
      <c r="AK36" s="53">
        <v>0.3416891020732416</v>
      </c>
      <c r="AL36" s="23">
        <v>26831.89</v>
      </c>
      <c r="AM36" s="53">
        <v>0.29914928515826816</v>
      </c>
      <c r="AN36" s="23">
        <v>0</v>
      </c>
      <c r="AO36" s="53">
        <v>0</v>
      </c>
      <c r="AP36" s="32">
        <v>-49448.72</v>
      </c>
      <c r="AQ36" s="54">
        <v>0</v>
      </c>
      <c r="AR36" s="23">
        <v>382434.73</v>
      </c>
      <c r="AS36" s="53">
        <v>0.28624252565251218</v>
      </c>
      <c r="AT36" s="21"/>
      <c r="AV36" s="29">
        <f t="shared" ref="AV36:AV38" si="6">AH36-T36</f>
        <v>0</v>
      </c>
      <c r="AW36" s="55">
        <f t="shared" ref="AW36:AW38" si="7">(AI36-U36)*100</f>
        <v>1.1102230246251565E-14</v>
      </c>
      <c r="AX36" s="29">
        <f t="shared" ref="AX36:AX38" si="8">AJ36-V36</f>
        <v>0</v>
      </c>
      <c r="AY36" s="55">
        <f t="shared" ref="AY36:AY38" si="9">(AK36-W36)*100</f>
        <v>0</v>
      </c>
      <c r="AZ36" s="29">
        <f t="shared" ref="AZ36:AZ38" si="10">AL36-X36</f>
        <v>0</v>
      </c>
      <c r="BA36" s="55">
        <f t="shared" ref="BA36:BA38" si="11">(AM36-Y36)*100</f>
        <v>0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0</v>
      </c>
      <c r="BG36" s="55">
        <f t="shared" ref="BG36:BG38" si="17">(AS36-AE36)*100</f>
        <v>0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0.17715042554595237</v>
      </c>
      <c r="G39" s="59">
        <v>5.6449201119226355</v>
      </c>
      <c r="H39" s="58">
        <v>0.22627964518222765</v>
      </c>
      <c r="I39" s="59">
        <v>4.419310447453987</v>
      </c>
      <c r="J39" s="58">
        <v>0.20640247959545777</v>
      </c>
      <c r="K39" s="59">
        <v>4.8449030358548404</v>
      </c>
      <c r="L39" s="58">
        <v>0</v>
      </c>
      <c r="M39" s="59">
        <v>0</v>
      </c>
      <c r="N39" s="60">
        <v>0</v>
      </c>
      <c r="O39" s="61">
        <v>0</v>
      </c>
      <c r="P39" s="62">
        <v>0.20675587101978118</v>
      </c>
      <c r="Q39" s="61">
        <v>4.8366220270684641</v>
      </c>
      <c r="R39" s="49"/>
      <c r="T39" s="58">
        <v>0.15664655422518092</v>
      </c>
      <c r="U39" s="59">
        <v>6.3837982580995076</v>
      </c>
      <c r="V39" s="58">
        <v>0.21075985720602716</v>
      </c>
      <c r="W39" s="59">
        <v>4.7447365606366656</v>
      </c>
      <c r="X39" s="58">
        <v>0.20739144213081048</v>
      </c>
      <c r="Y39" s="59">
        <v>4.8217997315880474</v>
      </c>
      <c r="Z39" s="58">
        <v>0</v>
      </c>
      <c r="AA39" s="63">
        <v>0</v>
      </c>
      <c r="AB39" s="60">
        <v>0</v>
      </c>
      <c r="AC39" s="61">
        <v>0</v>
      </c>
      <c r="AD39" s="62">
        <v>0.17341639254416044</v>
      </c>
      <c r="AE39" s="61">
        <v>5.7664675485931944</v>
      </c>
      <c r="AF39" s="49"/>
      <c r="AH39" s="58">
        <v>0.15664655422518095</v>
      </c>
      <c r="AI39" s="59">
        <v>6.3837982580995059</v>
      </c>
      <c r="AJ39" s="58">
        <v>0.21075985720602716</v>
      </c>
      <c r="AK39" s="59">
        <v>4.7447365606366656</v>
      </c>
      <c r="AL39" s="58">
        <v>0.20739144213081048</v>
      </c>
      <c r="AM39" s="59">
        <v>4.8217997315880474</v>
      </c>
      <c r="AN39" s="58">
        <v>0</v>
      </c>
      <c r="AO39" s="59">
        <v>0</v>
      </c>
      <c r="AP39" s="60">
        <v>0</v>
      </c>
      <c r="AQ39" s="61">
        <v>0</v>
      </c>
      <c r="AR39" s="62">
        <v>0.17341639254416044</v>
      </c>
      <c r="AS39" s="59">
        <v>5.7664675485931944</v>
      </c>
      <c r="AT39" s="49"/>
      <c r="AV39" s="64">
        <f>(AH39-T39)*100</f>
        <v>2.7755575615628914E-15</v>
      </c>
      <c r="AW39" s="65">
        <f>(AI39-U39)</f>
        <v>-1.7763568394002505E-15</v>
      </c>
      <c r="AX39" s="64">
        <f>(AJ39-V39)*100</f>
        <v>0</v>
      </c>
      <c r="AY39" s="65">
        <f>(AK39-W39)</f>
        <v>0</v>
      </c>
      <c r="AZ39" s="64">
        <f>(AL39-X39)*100</f>
        <v>0</v>
      </c>
      <c r="BA39" s="65">
        <f>(AM39-Y39)</f>
        <v>0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</v>
      </c>
      <c r="BG39" s="65">
        <f>(AS39-AE39)</f>
        <v>0</v>
      </c>
    </row>
    <row r="40" spans="1:61" ht="15">
      <c r="E40" s="34" t="s">
        <v>42</v>
      </c>
      <c r="F40" s="35">
        <v>139861.14000000001</v>
      </c>
      <c r="G40" s="36">
        <v>0.56563509675290258</v>
      </c>
      <c r="H40" s="35">
        <v>806263.50999999978</v>
      </c>
      <c r="I40" s="36">
        <v>0.70024283102533824</v>
      </c>
      <c r="J40" s="35">
        <v>113365.26000000001</v>
      </c>
      <c r="K40" s="36">
        <v>0.75280555807157912</v>
      </c>
      <c r="L40" s="35">
        <v>56910.080000000002</v>
      </c>
      <c r="M40" s="36">
        <v>1</v>
      </c>
      <c r="N40" s="37">
        <v>0</v>
      </c>
      <c r="O40" s="36">
        <v>0</v>
      </c>
      <c r="P40" s="35">
        <v>1116399.99</v>
      </c>
      <c r="Q40" s="36">
        <v>0.69506966177607377</v>
      </c>
      <c r="R40" s="21"/>
      <c r="T40" s="35">
        <v>49330.239999999998</v>
      </c>
      <c r="U40" s="36">
        <v>0.55250032340095723</v>
      </c>
      <c r="V40" s="35">
        <v>703408.16999999981</v>
      </c>
      <c r="W40" s="36">
        <v>0.65831089792675834</v>
      </c>
      <c r="X40" s="35">
        <v>62862.09</v>
      </c>
      <c r="Y40" s="36">
        <v>0.70085071484173189</v>
      </c>
      <c r="Z40" s="35">
        <v>88567.46</v>
      </c>
      <c r="AA40" s="36">
        <v>1</v>
      </c>
      <c r="AB40" s="37">
        <v>49448.72</v>
      </c>
      <c r="AC40" s="36">
        <v>0</v>
      </c>
      <c r="AD40" s="35">
        <v>953616.6799999997</v>
      </c>
      <c r="AE40" s="36">
        <v>0.71375747434748782</v>
      </c>
      <c r="AF40" s="21"/>
      <c r="AH40" s="35">
        <v>49330.239999999991</v>
      </c>
      <c r="AI40" s="36">
        <v>0.55250032340095723</v>
      </c>
      <c r="AJ40" s="35">
        <v>703408.16999999981</v>
      </c>
      <c r="AK40" s="36">
        <v>0.65831089792675834</v>
      </c>
      <c r="AL40" s="35">
        <v>62862.09</v>
      </c>
      <c r="AM40" s="36">
        <v>0.70085071484173189</v>
      </c>
      <c r="AN40" s="35">
        <v>88567.46</v>
      </c>
      <c r="AO40" s="36">
        <v>1</v>
      </c>
      <c r="AP40" s="37">
        <v>49448.72</v>
      </c>
      <c r="AQ40" s="36">
        <v>0</v>
      </c>
      <c r="AR40" s="35">
        <v>953616.6799999997</v>
      </c>
      <c r="AS40" s="36">
        <v>0.71375747434748782</v>
      </c>
      <c r="AT40" s="21"/>
      <c r="AV40" s="38">
        <f t="shared" ref="AV40" si="18">AH40-T40</f>
        <v>0</v>
      </c>
      <c r="AW40" s="39">
        <f>(AI40-U40)*100</f>
        <v>0</v>
      </c>
      <c r="AX40" s="38">
        <f t="shared" ref="AX40" si="19">AJ40-V40</f>
        <v>0</v>
      </c>
      <c r="AY40" s="39">
        <f>(AK40-W40)*100</f>
        <v>0</v>
      </c>
      <c r="AZ40" s="38">
        <f t="shared" ref="AZ40" si="20">AL40-X40</f>
        <v>0</v>
      </c>
      <c r="BA40" s="39">
        <f>(AM40-Y40)*100</f>
        <v>0</v>
      </c>
      <c r="BB40" s="38">
        <f t="shared" si="12"/>
        <v>0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0</v>
      </c>
      <c r="BG40" s="39">
        <f>(AS40-AE40)*100</f>
        <v>0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35880.80999999999</v>
      </c>
      <c r="G43" s="53">
        <v>0.14511139717524471</v>
      </c>
      <c r="H43" s="23">
        <v>150457.19999999992</v>
      </c>
      <c r="I43" s="53">
        <v>0.13067263291643386</v>
      </c>
      <c r="J43" s="23">
        <v>27043.849999999995</v>
      </c>
      <c r="K43" s="53">
        <v>0.1795855325666264</v>
      </c>
      <c r="L43" s="23">
        <v>0</v>
      </c>
      <c r="M43" s="53">
        <v>0</v>
      </c>
      <c r="N43" s="32">
        <v>0</v>
      </c>
      <c r="O43" s="54">
        <v>0</v>
      </c>
      <c r="P43" s="23">
        <v>213381.85999999993</v>
      </c>
      <c r="Q43" s="54">
        <v>0.13285136025426644</v>
      </c>
      <c r="R43" s="21"/>
      <c r="T43" s="23">
        <v>3895.5499999999997</v>
      </c>
      <c r="U43" s="53">
        <v>4.3630289145655872E-2</v>
      </c>
      <c r="V43" s="23">
        <v>121533.96999999997</v>
      </c>
      <c r="W43" s="53">
        <v>0.11374212062294317</v>
      </c>
      <c r="X43" s="23">
        <v>15441.720000000001</v>
      </c>
      <c r="Y43" s="53">
        <v>0.17216004909136601</v>
      </c>
      <c r="Z43" s="23">
        <v>0</v>
      </c>
      <c r="AA43" s="53">
        <v>0</v>
      </c>
      <c r="AB43" s="32">
        <v>0</v>
      </c>
      <c r="AC43" s="54">
        <v>0</v>
      </c>
      <c r="AD43" s="23">
        <v>140871.24</v>
      </c>
      <c r="AE43" s="54">
        <v>0.10543848758035443</v>
      </c>
      <c r="AF43" s="21"/>
      <c r="AH43" s="23">
        <v>6642.0299999999988</v>
      </c>
      <c r="AI43" s="53">
        <v>7.4390956197230337E-2</v>
      </c>
      <c r="AJ43" s="23">
        <v>122851.96999999999</v>
      </c>
      <c r="AK43" s="53">
        <v>0.11497562031838668</v>
      </c>
      <c r="AL43" s="23">
        <v>15503.02</v>
      </c>
      <c r="AM43" s="53">
        <v>0.17284348403315364</v>
      </c>
      <c r="AN43" s="23">
        <v>0</v>
      </c>
      <c r="AO43" s="53">
        <v>0</v>
      </c>
      <c r="AP43" s="32">
        <v>0</v>
      </c>
      <c r="AQ43" s="54">
        <v>0</v>
      </c>
      <c r="AR43" s="23">
        <v>144997.01999999999</v>
      </c>
      <c r="AS43" s="53">
        <v>0.1085265274335514</v>
      </c>
      <c r="AT43" s="21"/>
      <c r="AV43" s="29">
        <f t="shared" ref="AV43:AV51" si="22">AH43-T43</f>
        <v>2746.4799999999991</v>
      </c>
      <c r="AW43" s="55">
        <f t="shared" ref="AW43:AW50" si="23">(AI43-U43)*100</f>
        <v>3.0760667051574466</v>
      </c>
      <c r="AX43" s="29">
        <f t="shared" ref="AX43:AX51" si="24">AJ43-V43</f>
        <v>1318.0000000000146</v>
      </c>
      <c r="AY43" s="55">
        <f t="shared" ref="AY43:AY50" si="25">(AK43-W43)*100</f>
        <v>0.12334996954435073</v>
      </c>
      <c r="AZ43" s="29">
        <f t="shared" ref="AZ43:AZ51" si="26">AL43-X43</f>
        <v>61.299999999999272</v>
      </c>
      <c r="BA43" s="55">
        <f t="shared" ref="BA43:BA50" si="27">(AM43-Y43)*100</f>
        <v>6.8343494178763065E-2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4125.7799999999988</v>
      </c>
      <c r="BG43" s="55">
        <f t="shared" ref="BG43:BG50" si="33">(AS43-AE43)*100</f>
        <v>0.30880398531969722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2051.1199999999908</v>
      </c>
      <c r="G44" s="53">
        <v>8.2952667170581341E-3</v>
      </c>
      <c r="H44" s="27">
        <v>10539.599999999911</v>
      </c>
      <c r="I44" s="53">
        <v>9.1536814581557775E-3</v>
      </c>
      <c r="J44" s="27">
        <v>17616.469999999994</v>
      </c>
      <c r="K44" s="53">
        <v>0.11698272054067732</v>
      </c>
      <c r="L44" s="27">
        <v>0</v>
      </c>
      <c r="M44" s="53">
        <v>0</v>
      </c>
      <c r="N44" s="27">
        <v>0</v>
      </c>
      <c r="O44" s="54">
        <v>0</v>
      </c>
      <c r="P44" s="23">
        <v>30207.189999999897</v>
      </c>
      <c r="Q44" s="54">
        <v>1.8806970193994292E-2</v>
      </c>
      <c r="R44" s="21"/>
      <c r="T44" s="27">
        <v>-786.65</v>
      </c>
      <c r="U44" s="53">
        <v>-8.8105060790979947E-3</v>
      </c>
      <c r="V44" s="27">
        <v>66495.799999999988</v>
      </c>
      <c r="W44" s="53">
        <v>6.2232586531313881E-2</v>
      </c>
      <c r="X44" s="27">
        <v>6623.4800000000005</v>
      </c>
      <c r="Y44" s="53">
        <v>7.3845312695456272E-2</v>
      </c>
      <c r="Z44" s="27">
        <v>0</v>
      </c>
      <c r="AA44" s="53">
        <v>0</v>
      </c>
      <c r="AB44" s="27">
        <v>0</v>
      </c>
      <c r="AC44" s="54">
        <v>0</v>
      </c>
      <c r="AD44" s="23">
        <v>72332.62999999999</v>
      </c>
      <c r="AE44" s="54">
        <v>5.4139106817753371E-2</v>
      </c>
      <c r="AF44" s="21"/>
      <c r="AH44" s="23">
        <v>1959.83</v>
      </c>
      <c r="AI44" s="53">
        <v>2.1950160972476478E-2</v>
      </c>
      <c r="AJ44" s="23">
        <v>67813.799999999988</v>
      </c>
      <c r="AK44" s="53">
        <v>6.3466086226757382E-2</v>
      </c>
      <c r="AL44" s="23">
        <v>6684.78</v>
      </c>
      <c r="AM44" s="53">
        <v>7.4528747637243889E-2</v>
      </c>
      <c r="AN44" s="23">
        <v>0</v>
      </c>
      <c r="AO44" s="53">
        <v>0</v>
      </c>
      <c r="AP44" s="32">
        <v>0</v>
      </c>
      <c r="AQ44" s="54">
        <v>0</v>
      </c>
      <c r="AR44" s="23">
        <v>76458.409999999989</v>
      </c>
      <c r="AS44" s="53">
        <v>5.7227146670950337E-2</v>
      </c>
      <c r="AT44" s="21"/>
      <c r="AV44" s="29">
        <f t="shared" si="22"/>
        <v>2746.48</v>
      </c>
      <c r="AW44" s="55">
        <f t="shared" si="23"/>
        <v>3.0760667051574471</v>
      </c>
      <c r="AX44" s="29">
        <f t="shared" si="24"/>
        <v>1318</v>
      </c>
      <c r="AY44" s="55">
        <f t="shared" si="25"/>
        <v>0.12334996954435004</v>
      </c>
      <c r="AZ44" s="29">
        <f t="shared" si="26"/>
        <v>61.299999999999272</v>
      </c>
      <c r="BA44" s="55">
        <f t="shared" si="27"/>
        <v>6.8343494178761677E-2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4125.7799999999988</v>
      </c>
      <c r="BG44" s="55">
        <f t="shared" si="33"/>
        <v>0.30880398531969655</v>
      </c>
      <c r="BH44" s="57"/>
    </row>
    <row r="45" spans="1:61" outlineLevel="1">
      <c r="B45" s="26" t="s">
        <v>47</v>
      </c>
      <c r="E45" s="69" t="s">
        <v>47</v>
      </c>
      <c r="F45" s="27">
        <v>20453.52</v>
      </c>
      <c r="G45" s="53">
        <v>8.2719394137195118E-2</v>
      </c>
      <c r="H45" s="27">
        <v>21703.97</v>
      </c>
      <c r="I45" s="53">
        <v>1.8849977964758711E-2</v>
      </c>
      <c r="J45" s="27">
        <v>3215.9</v>
      </c>
      <c r="K45" s="53">
        <v>2.1355284627780954E-2</v>
      </c>
      <c r="L45" s="27">
        <v>0</v>
      </c>
      <c r="M45" s="53">
        <v>0</v>
      </c>
      <c r="N45" s="27">
        <v>0</v>
      </c>
      <c r="O45" s="54">
        <v>0</v>
      </c>
      <c r="P45" s="23">
        <v>45373.390000000007</v>
      </c>
      <c r="Q45" s="54">
        <v>2.8249433109484256E-2</v>
      </c>
      <c r="R45" s="21"/>
      <c r="T45" s="27">
        <v>1977.7599999999998</v>
      </c>
      <c r="U45" s="53">
        <v>2.2150977566893597E-2</v>
      </c>
      <c r="V45" s="27">
        <v>19001.759999999998</v>
      </c>
      <c r="W45" s="53">
        <v>1.7783509235880447E-2</v>
      </c>
      <c r="X45" s="27">
        <v>1594.64</v>
      </c>
      <c r="Y45" s="53">
        <v>1.7778673663494476E-2</v>
      </c>
      <c r="Z45" s="27">
        <v>0</v>
      </c>
      <c r="AA45" s="53">
        <v>0</v>
      </c>
      <c r="AB45" s="27">
        <v>0</v>
      </c>
      <c r="AC45" s="54">
        <v>0</v>
      </c>
      <c r="AD45" s="23">
        <v>22574.159999999996</v>
      </c>
      <c r="AE45" s="54">
        <v>1.6896176173340518E-2</v>
      </c>
      <c r="AF45" s="21"/>
      <c r="AH45" s="23">
        <v>1977.7599999999998</v>
      </c>
      <c r="AI45" s="53">
        <v>2.2150977566893597E-2</v>
      </c>
      <c r="AJ45" s="23">
        <v>19001.759999999998</v>
      </c>
      <c r="AK45" s="53">
        <v>1.7783509235880447E-2</v>
      </c>
      <c r="AL45" s="23">
        <v>1594.64</v>
      </c>
      <c r="AM45" s="53">
        <v>1.7778673663494476E-2</v>
      </c>
      <c r="AN45" s="23">
        <v>0</v>
      </c>
      <c r="AO45" s="53">
        <v>0</v>
      </c>
      <c r="AP45" s="32">
        <v>0</v>
      </c>
      <c r="AQ45" s="54">
        <v>0</v>
      </c>
      <c r="AR45" s="23">
        <v>22574.159999999996</v>
      </c>
      <c r="AS45" s="53">
        <v>1.6896176173340518E-2</v>
      </c>
      <c r="AT45" s="21"/>
      <c r="AV45" s="29">
        <f t="shared" si="22"/>
        <v>0</v>
      </c>
      <c r="AW45" s="55">
        <f t="shared" si="23"/>
        <v>0</v>
      </c>
      <c r="AX45" s="29">
        <f t="shared" si="24"/>
        <v>0</v>
      </c>
      <c r="AY45" s="55">
        <f t="shared" si="25"/>
        <v>0</v>
      </c>
      <c r="AZ45" s="29">
        <f t="shared" si="26"/>
        <v>0</v>
      </c>
      <c r="BA45" s="55">
        <f t="shared" si="27"/>
        <v>0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0</v>
      </c>
      <c r="BG45" s="55">
        <f t="shared" si="33"/>
        <v>0</v>
      </c>
      <c r="BH45" s="57"/>
    </row>
    <row r="46" spans="1:61" outlineLevel="1">
      <c r="B46" s="26" t="s">
        <v>48</v>
      </c>
      <c r="E46" s="69" t="s">
        <v>48</v>
      </c>
      <c r="F46" s="27">
        <v>13376.169999999998</v>
      </c>
      <c r="G46" s="53">
        <v>5.4096736320991455E-2</v>
      </c>
      <c r="H46" s="27">
        <v>118213.63</v>
      </c>
      <c r="I46" s="53">
        <v>0.10266897349351936</v>
      </c>
      <c r="J46" s="27">
        <v>6211.4800000000005</v>
      </c>
      <c r="K46" s="53">
        <v>4.1247527398168116E-2</v>
      </c>
      <c r="L46" s="27">
        <v>0</v>
      </c>
      <c r="M46" s="53">
        <v>0</v>
      </c>
      <c r="N46" s="27">
        <v>0</v>
      </c>
      <c r="O46" s="54">
        <v>0</v>
      </c>
      <c r="P46" s="23">
        <v>137801.28</v>
      </c>
      <c r="Q46" s="54">
        <v>8.5794956950787898E-2</v>
      </c>
      <c r="R46" s="21"/>
      <c r="T46" s="27">
        <v>2704.44</v>
      </c>
      <c r="U46" s="53">
        <v>3.028981765786027E-2</v>
      </c>
      <c r="V46" s="27">
        <v>36036.409999999996</v>
      </c>
      <c r="W46" s="53">
        <v>3.3726024855748861E-2</v>
      </c>
      <c r="X46" s="27">
        <v>7223.6</v>
      </c>
      <c r="Y46" s="53">
        <v>8.0536062732415273E-2</v>
      </c>
      <c r="Z46" s="27">
        <v>0</v>
      </c>
      <c r="AA46" s="53">
        <v>0</v>
      </c>
      <c r="AB46" s="27">
        <v>0</v>
      </c>
      <c r="AC46" s="54">
        <v>0</v>
      </c>
      <c r="AD46" s="23">
        <v>45964.45</v>
      </c>
      <c r="AE46" s="54">
        <v>3.4403204589260536E-2</v>
      </c>
      <c r="AF46" s="21"/>
      <c r="AH46" s="23">
        <v>2704.4399999999996</v>
      </c>
      <c r="AI46" s="53">
        <v>3.0289817657860263E-2</v>
      </c>
      <c r="AJ46" s="23">
        <v>36036.410000000003</v>
      </c>
      <c r="AK46" s="53">
        <v>3.3726024855748868E-2</v>
      </c>
      <c r="AL46" s="23">
        <v>7223.6</v>
      </c>
      <c r="AM46" s="53">
        <v>8.0536062732415273E-2</v>
      </c>
      <c r="AN46" s="23">
        <v>0</v>
      </c>
      <c r="AO46" s="53">
        <v>0</v>
      </c>
      <c r="AP46" s="32">
        <v>0</v>
      </c>
      <c r="AQ46" s="54">
        <v>0</v>
      </c>
      <c r="AR46" s="23">
        <v>45964.450000000004</v>
      </c>
      <c r="AS46" s="53">
        <v>3.4403204589260543E-2</v>
      </c>
      <c r="AT46" s="21"/>
      <c r="AV46" s="29">
        <f t="shared" si="22"/>
        <v>0</v>
      </c>
      <c r="AW46" s="55">
        <f t="shared" si="23"/>
        <v>-6.9388939039072284E-16</v>
      </c>
      <c r="AX46" s="29">
        <f t="shared" si="24"/>
        <v>0</v>
      </c>
      <c r="AY46" s="55">
        <f t="shared" si="25"/>
        <v>6.9388939039072284E-16</v>
      </c>
      <c r="AZ46" s="29">
        <f t="shared" si="26"/>
        <v>0</v>
      </c>
      <c r="BA46" s="55">
        <f t="shared" si="27"/>
        <v>0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0</v>
      </c>
      <c r="BG46" s="55">
        <f t="shared" si="33"/>
        <v>6.9388939039072284E-16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1570.4499999999998</v>
      </c>
      <c r="G47" s="53">
        <v>6.3513112912964645E-3</v>
      </c>
      <c r="H47" s="23">
        <v>61033.800000000017</v>
      </c>
      <c r="I47" s="53">
        <v>5.3008080323806682E-2</v>
      </c>
      <c r="J47" s="23">
        <v>4823.26</v>
      </c>
      <c r="K47" s="53">
        <v>3.2029009028200738E-2</v>
      </c>
      <c r="L47" s="23">
        <v>0</v>
      </c>
      <c r="M47" s="53">
        <v>0</v>
      </c>
      <c r="N47" s="32">
        <v>0</v>
      </c>
      <c r="O47" s="54">
        <v>0</v>
      </c>
      <c r="P47" s="23">
        <v>67427.510000000009</v>
      </c>
      <c r="Q47" s="54">
        <v>4.1980309019980226E-2</v>
      </c>
      <c r="R47" s="21"/>
      <c r="T47" s="23">
        <v>2397.86</v>
      </c>
      <c r="U47" s="53">
        <v>2.6856111494090024E-2</v>
      </c>
      <c r="V47" s="23">
        <v>66883.670000000013</v>
      </c>
      <c r="W47" s="53">
        <v>6.2595589207240815E-2</v>
      </c>
      <c r="X47" s="23">
        <v>5071.0599999999995</v>
      </c>
      <c r="Y47" s="53">
        <v>5.6537350667235413E-2</v>
      </c>
      <c r="Z47" s="23">
        <v>0</v>
      </c>
      <c r="AA47" s="53">
        <v>0</v>
      </c>
      <c r="AB47" s="23">
        <v>0</v>
      </c>
      <c r="AC47" s="54">
        <v>0</v>
      </c>
      <c r="AD47" s="23">
        <v>74352.590000000011</v>
      </c>
      <c r="AE47" s="54">
        <v>5.5650994747275501E-2</v>
      </c>
      <c r="AF47" s="21"/>
      <c r="AH47" s="23">
        <v>2397.86</v>
      </c>
      <c r="AI47" s="53">
        <v>2.6856111494090024E-2</v>
      </c>
      <c r="AJ47" s="23">
        <v>66883.820000000007</v>
      </c>
      <c r="AK47" s="53">
        <v>6.2595729590362442E-2</v>
      </c>
      <c r="AL47" s="23">
        <v>5071.0599999999995</v>
      </c>
      <c r="AM47" s="53">
        <v>5.6537350667235413E-2</v>
      </c>
      <c r="AN47" s="23">
        <v>0</v>
      </c>
      <c r="AO47" s="53">
        <v>0</v>
      </c>
      <c r="AP47" s="32">
        <v>0</v>
      </c>
      <c r="AQ47" s="54">
        <v>0</v>
      </c>
      <c r="AR47" s="23">
        <v>74352.740000000005</v>
      </c>
      <c r="AS47" s="53">
        <v>5.5651107018404346E-2</v>
      </c>
      <c r="AT47" s="21"/>
      <c r="AV47" s="29">
        <f t="shared" si="22"/>
        <v>0</v>
      </c>
      <c r="AW47" s="55">
        <f t="shared" si="23"/>
        <v>0</v>
      </c>
      <c r="AX47" s="29">
        <f t="shared" si="24"/>
        <v>0.14999999999417923</v>
      </c>
      <c r="AY47" s="55">
        <f t="shared" si="25"/>
        <v>1.4038312162734101E-5</v>
      </c>
      <c r="AZ47" s="29">
        <f t="shared" si="26"/>
        <v>0</v>
      </c>
      <c r="BA47" s="55">
        <f t="shared" si="27"/>
        <v>0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0.14999999999417923</v>
      </c>
      <c r="BG47" s="55">
        <f t="shared" si="33"/>
        <v>1.1227112884509838E-5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1230.77</v>
      </c>
      <c r="G48" s="53">
        <v>4.9775563679129867E-3</v>
      </c>
      <c r="H48" s="23">
        <v>35943.69</v>
      </c>
      <c r="I48" s="53">
        <v>3.1217227284783294E-2</v>
      </c>
      <c r="J48" s="23">
        <v>10356.83</v>
      </c>
      <c r="K48" s="53">
        <v>6.877485384854648E-2</v>
      </c>
      <c r="L48" s="23">
        <v>0</v>
      </c>
      <c r="M48" s="53">
        <v>0</v>
      </c>
      <c r="N48" s="32">
        <v>0</v>
      </c>
      <c r="O48" s="54">
        <v>0</v>
      </c>
      <c r="P48" s="23">
        <v>47531.29</v>
      </c>
      <c r="Q48" s="54">
        <v>2.9592939770700353E-2</v>
      </c>
      <c r="R48" s="21"/>
      <c r="T48" s="23">
        <v>2170.3200000000002</v>
      </c>
      <c r="U48" s="53">
        <v>2.4307655950661616E-2</v>
      </c>
      <c r="V48" s="23">
        <v>63248.959999999999</v>
      </c>
      <c r="W48" s="53">
        <v>5.9193909633625148E-2</v>
      </c>
      <c r="X48" s="23">
        <v>5196.25</v>
      </c>
      <c r="Y48" s="53">
        <v>5.7933096513277708E-2</v>
      </c>
      <c r="Z48" s="23">
        <v>0</v>
      </c>
      <c r="AA48" s="53">
        <v>0</v>
      </c>
      <c r="AB48" s="23">
        <v>0</v>
      </c>
      <c r="AC48" s="54">
        <v>0</v>
      </c>
      <c r="AD48" s="23">
        <v>70615.53</v>
      </c>
      <c r="AE48" s="54">
        <v>5.285390178211781E-2</v>
      </c>
      <c r="AF48" s="21"/>
      <c r="AH48" s="23">
        <v>2170.3200000000002</v>
      </c>
      <c r="AI48" s="53">
        <v>2.4307655950661616E-2</v>
      </c>
      <c r="AJ48" s="23">
        <v>63248.81</v>
      </c>
      <c r="AK48" s="53">
        <v>5.9193769250503507E-2</v>
      </c>
      <c r="AL48" s="23">
        <v>5196.25</v>
      </c>
      <c r="AM48" s="53">
        <v>5.7933096513277708E-2</v>
      </c>
      <c r="AN48" s="23">
        <v>0</v>
      </c>
      <c r="AO48" s="53">
        <v>0</v>
      </c>
      <c r="AP48" s="23">
        <v>0</v>
      </c>
      <c r="AQ48" s="54">
        <v>0</v>
      </c>
      <c r="AR48" s="23">
        <v>70615.38</v>
      </c>
      <c r="AS48" s="53">
        <v>5.2853789510988972E-2</v>
      </c>
      <c r="AT48" s="21"/>
      <c r="AV48" s="29">
        <f t="shared" si="22"/>
        <v>0</v>
      </c>
      <c r="AW48" s="55">
        <f t="shared" si="23"/>
        <v>0</v>
      </c>
      <c r="AX48" s="29">
        <f t="shared" si="24"/>
        <v>-0.15000000000145519</v>
      </c>
      <c r="AY48" s="55">
        <f t="shared" si="25"/>
        <v>-1.403831216412188E-5</v>
      </c>
      <c r="AZ48" s="29">
        <f t="shared" si="26"/>
        <v>0</v>
      </c>
      <c r="BA48" s="55">
        <f t="shared" si="27"/>
        <v>0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-0.14999999999417923</v>
      </c>
      <c r="BG48" s="55">
        <f t="shared" si="33"/>
        <v>-1.1227112883815948E-5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179265.17551630354</v>
      </c>
      <c r="I49" s="53">
        <v>0.15569246586366109</v>
      </c>
      <c r="J49" s="23">
        <v>23445.78448369644</v>
      </c>
      <c r="K49" s="53">
        <v>0.15569246586366112</v>
      </c>
      <c r="L49" s="23">
        <v>0</v>
      </c>
      <c r="M49" s="53">
        <v>0</v>
      </c>
      <c r="N49" s="32">
        <v>0</v>
      </c>
      <c r="O49" s="54">
        <v>0</v>
      </c>
      <c r="P49" s="23">
        <v>202710.96</v>
      </c>
      <c r="Q49" s="54">
        <v>0.12620766720492643</v>
      </c>
      <c r="R49" s="21"/>
      <c r="T49" s="23">
        <v>0</v>
      </c>
      <c r="U49" s="53">
        <v>0</v>
      </c>
      <c r="V49" s="23">
        <v>177488.77000000002</v>
      </c>
      <c r="W49" s="53">
        <v>0.16610951725314185</v>
      </c>
      <c r="X49" s="23">
        <v>16064.23</v>
      </c>
      <c r="Y49" s="53">
        <v>0.17910042569189147</v>
      </c>
      <c r="Z49" s="23">
        <v>0</v>
      </c>
      <c r="AA49" s="53">
        <v>0</v>
      </c>
      <c r="AB49" s="23">
        <v>0</v>
      </c>
      <c r="AC49" s="54">
        <v>0</v>
      </c>
      <c r="AD49" s="23">
        <v>193553.00000000003</v>
      </c>
      <c r="AE49" s="54">
        <v>0.14486942534643937</v>
      </c>
      <c r="AF49" s="21"/>
      <c r="AH49" s="23">
        <v>0</v>
      </c>
      <c r="AI49" s="53">
        <v>0</v>
      </c>
      <c r="AJ49" s="23">
        <v>177488.77000000002</v>
      </c>
      <c r="AK49" s="53">
        <v>0.16610951725314185</v>
      </c>
      <c r="AL49" s="23">
        <v>16064.23</v>
      </c>
      <c r="AM49" s="53">
        <v>0.17910042569189147</v>
      </c>
      <c r="AN49" s="23">
        <v>0</v>
      </c>
      <c r="AO49" s="53">
        <v>0</v>
      </c>
      <c r="AP49" s="32">
        <v>0</v>
      </c>
      <c r="AQ49" s="54">
        <v>0</v>
      </c>
      <c r="AR49" s="23">
        <v>193553.00000000003</v>
      </c>
      <c r="AS49" s="53">
        <v>0.14486942534643937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0</v>
      </c>
      <c r="AY49" s="55">
        <f t="shared" si="25"/>
        <v>0</v>
      </c>
      <c r="AZ49" s="29">
        <f t="shared" si="26"/>
        <v>0</v>
      </c>
      <c r="BA49" s="55">
        <f t="shared" si="27"/>
        <v>0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0</v>
      </c>
      <c r="BG49" s="55">
        <f t="shared" si="33"/>
        <v>0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38682.029999999992</v>
      </c>
      <c r="G51" s="36">
        <v>0.15644026483445417</v>
      </c>
      <c r="H51" s="35">
        <v>426699.86551630346</v>
      </c>
      <c r="I51" s="36">
        <v>0.3705904063886849</v>
      </c>
      <c r="J51" s="35">
        <v>65669.724483696438</v>
      </c>
      <c r="K51" s="36">
        <v>0.43608186130703475</v>
      </c>
      <c r="L51" s="35">
        <v>0</v>
      </c>
      <c r="M51" s="36">
        <v>0</v>
      </c>
      <c r="N51" s="37">
        <v>0</v>
      </c>
      <c r="O51" s="70">
        <v>0</v>
      </c>
      <c r="P51" s="35">
        <v>531051.61999999988</v>
      </c>
      <c r="Q51" s="70">
        <v>0.33063227624987346</v>
      </c>
      <c r="R51" s="21"/>
      <c r="T51" s="35">
        <v>8463.73</v>
      </c>
      <c r="U51" s="36">
        <v>9.4794056590407502E-2</v>
      </c>
      <c r="V51" s="35">
        <v>429155.37</v>
      </c>
      <c r="W51" s="36">
        <v>0.40164113671695095</v>
      </c>
      <c r="X51" s="35">
        <v>41773.26</v>
      </c>
      <c r="Y51" s="36">
        <v>0.46573092196377064</v>
      </c>
      <c r="Z51" s="35">
        <v>0</v>
      </c>
      <c r="AA51" s="36">
        <v>0</v>
      </c>
      <c r="AB51" s="37">
        <v>0</v>
      </c>
      <c r="AC51" s="70">
        <v>0</v>
      </c>
      <c r="AD51" s="35">
        <v>479392.36</v>
      </c>
      <c r="AE51" s="70">
        <v>0.3588128094561871</v>
      </c>
      <c r="AF51" s="21"/>
      <c r="AH51" s="35">
        <v>11210.21</v>
      </c>
      <c r="AI51" s="36">
        <v>0.12555472364198197</v>
      </c>
      <c r="AJ51" s="35">
        <v>430473.37</v>
      </c>
      <c r="AK51" s="36">
        <v>0.40287463641239446</v>
      </c>
      <c r="AL51" s="35">
        <v>41834.559999999998</v>
      </c>
      <c r="AM51" s="36">
        <v>0.46641435690555821</v>
      </c>
      <c r="AN51" s="35">
        <v>0</v>
      </c>
      <c r="AO51" s="36">
        <v>0</v>
      </c>
      <c r="AP51" s="37">
        <v>0</v>
      </c>
      <c r="AQ51" s="70">
        <v>0</v>
      </c>
      <c r="AR51" s="35">
        <v>483518.14</v>
      </c>
      <c r="AS51" s="36">
        <v>0.3619008493093841</v>
      </c>
      <c r="AT51" s="21"/>
      <c r="AV51" s="38">
        <f t="shared" si="22"/>
        <v>2746.4799999999996</v>
      </c>
      <c r="AW51" s="39">
        <f>(AI51-U51)*100</f>
        <v>3.0760667051574471</v>
      </c>
      <c r="AX51" s="38">
        <f t="shared" si="24"/>
        <v>1318</v>
      </c>
      <c r="AY51" s="39">
        <f>(AK51-W51)*100</f>
        <v>0.12334996954435073</v>
      </c>
      <c r="AZ51" s="38">
        <f t="shared" si="26"/>
        <v>61.299999999995634</v>
      </c>
      <c r="BA51" s="39">
        <f>(AM51-Y51)*100</f>
        <v>6.8343494178757513E-2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4125.7800000000279</v>
      </c>
      <c r="BG51" s="39">
        <f>(AS51-AE51)*100</f>
        <v>0.30880398531969999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101179.11000000002</v>
      </c>
      <c r="G53" s="36">
        <v>0.40919483191844835</v>
      </c>
      <c r="H53" s="35">
        <v>379563.64448369632</v>
      </c>
      <c r="I53" s="36">
        <v>0.32965242463665334</v>
      </c>
      <c r="J53" s="35">
        <v>47695.535516303571</v>
      </c>
      <c r="K53" s="36">
        <v>0.31672369676454432</v>
      </c>
      <c r="L53" s="35">
        <v>56910.080000000002</v>
      </c>
      <c r="M53" s="36">
        <v>1</v>
      </c>
      <c r="N53" s="37">
        <v>0</v>
      </c>
      <c r="O53" s="70">
        <v>0</v>
      </c>
      <c r="P53" s="35">
        <v>585348.37000000011</v>
      </c>
      <c r="Q53" s="70">
        <v>0.36443738552620031</v>
      </c>
      <c r="R53" s="21"/>
      <c r="T53" s="35">
        <v>40866.509999999995</v>
      </c>
      <c r="U53" s="36">
        <v>0.45770626681054971</v>
      </c>
      <c r="V53" s="35">
        <v>274252.79999999981</v>
      </c>
      <c r="W53" s="36">
        <v>0.25666976120980739</v>
      </c>
      <c r="X53" s="35">
        <v>21088.829999999994</v>
      </c>
      <c r="Y53" s="36">
        <v>0.23511979287796123</v>
      </c>
      <c r="Z53" s="35">
        <v>88567.46</v>
      </c>
      <c r="AA53" s="36">
        <v>1</v>
      </c>
      <c r="AB53" s="37">
        <v>49448.72</v>
      </c>
      <c r="AC53" s="70">
        <v>0</v>
      </c>
      <c r="AD53" s="35">
        <v>474224.31999999972</v>
      </c>
      <c r="AE53" s="70">
        <v>0.35494466489130072</v>
      </c>
      <c r="AF53" s="21"/>
      <c r="AH53" s="35">
        <v>38120.029999999992</v>
      </c>
      <c r="AI53" s="36">
        <v>0.42694559975897522</v>
      </c>
      <c r="AJ53" s="35">
        <v>272934.79999999981</v>
      </c>
      <c r="AK53" s="36">
        <v>0.25543626151436388</v>
      </c>
      <c r="AL53" s="35">
        <v>21027.53</v>
      </c>
      <c r="AM53" s="36">
        <v>0.23443635793617365</v>
      </c>
      <c r="AN53" s="35">
        <v>88567.46</v>
      </c>
      <c r="AO53" s="36">
        <v>1</v>
      </c>
      <c r="AP53" s="37">
        <v>49448.72</v>
      </c>
      <c r="AQ53" s="70">
        <v>0</v>
      </c>
      <c r="AR53" s="35">
        <v>470098.53999999969</v>
      </c>
      <c r="AS53" s="36">
        <v>0.35185662503810372</v>
      </c>
      <c r="AT53" s="21"/>
      <c r="AV53" s="38">
        <f t="shared" ref="AV53" si="34">AH53-T53</f>
        <v>-2746.4800000000032</v>
      </c>
      <c r="AW53" s="39">
        <f>(AI53-U53)*100</f>
        <v>-3.0760667051574488</v>
      </c>
      <c r="AX53" s="38">
        <f t="shared" ref="AX53" si="35">AJ53-V53</f>
        <v>-1318</v>
      </c>
      <c r="AY53" s="39">
        <f>(AK53-W53)*100</f>
        <v>-0.12334996954435073</v>
      </c>
      <c r="AZ53" s="38">
        <f t="shared" ref="AZ53" si="36">AL53-X53</f>
        <v>-61.299999999995634</v>
      </c>
      <c r="BA53" s="39">
        <f>(AM53-Y53)*100</f>
        <v>-6.8343494178757513E-2</v>
      </c>
      <c r="BB53" s="38">
        <f>AN53-Z53</f>
        <v>0</v>
      </c>
      <c r="BC53" s="39">
        <f>(AO53-AA53)*100</f>
        <v>0</v>
      </c>
      <c r="BD53" s="38">
        <f t="shared" ref="BD53" si="37">AP53-AB53</f>
        <v>0</v>
      </c>
      <c r="BE53" s="39">
        <f>(AQ53-AC53)*100</f>
        <v>0</v>
      </c>
      <c r="BF53" s="38">
        <f t="shared" ref="BF53" si="38">AR53-AD53</f>
        <v>-4125.7800000000279</v>
      </c>
      <c r="BG53" s="39">
        <f>(AS53-AE53)*100</f>
        <v>-0.30880398531969999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1.7750767840526871E-2</v>
      </c>
      <c r="AJ54" s="92"/>
      <c r="AK54" s="92">
        <f>+AK53-I53</f>
        <v>-7.4216163122289458E-2</v>
      </c>
      <c r="AL54" s="92"/>
      <c r="AM54" s="92">
        <f>+AM53-K53</f>
        <v>-8.2287338828370665E-2</v>
      </c>
      <c r="AN54" s="94"/>
      <c r="AO54" s="94">
        <f>+AO53-M53</f>
        <v>0</v>
      </c>
      <c r="AP54" s="94"/>
      <c r="AQ54" s="94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94"/>
      <c r="AJ55" s="94"/>
      <c r="AK55" s="94"/>
      <c r="AL55" s="94"/>
      <c r="AM55" s="94"/>
      <c r="AN55" s="94"/>
      <c r="AO55" s="94"/>
      <c r="AP55" s="94"/>
      <c r="AQ55" s="94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381657.95</v>
      </c>
      <c r="Q56" s="53">
        <v>0.23761990737804439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380784.07</v>
      </c>
      <c r="AE56" s="53">
        <v>0.28500704924221448</v>
      </c>
      <c r="AF56" s="21"/>
      <c r="AH56" s="29"/>
      <c r="AI56" s="94"/>
      <c r="AJ56" s="94"/>
      <c r="AK56" s="94"/>
      <c r="AL56" s="94"/>
      <c r="AM56" s="94"/>
      <c r="AN56" s="94"/>
      <c r="AO56" s="94"/>
      <c r="AP56" s="94"/>
      <c r="AQ56" s="94"/>
      <c r="AR56" s="23">
        <v>380784.07</v>
      </c>
      <c r="AS56" s="53">
        <v>0.28500704924221448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0</v>
      </c>
      <c r="BG56" s="55">
        <f t="shared" ref="BG56:BG78" si="40">(AS56-AE56)*100</f>
        <v>0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243986.01</v>
      </c>
      <c r="Q57" s="53">
        <v>0.15190547739864613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275739.46999999997</v>
      </c>
      <c r="AE57" s="53">
        <v>0.20638387709945985</v>
      </c>
      <c r="AF57" s="21"/>
      <c r="AH57" s="29"/>
      <c r="AI57" s="94"/>
      <c r="AJ57" s="94"/>
      <c r="AK57" s="94"/>
      <c r="AL57" s="94"/>
      <c r="AM57" s="94"/>
      <c r="AN57" s="94"/>
      <c r="AO57" s="94"/>
      <c r="AP57" s="94"/>
      <c r="AQ57" s="94"/>
      <c r="AR57" s="23">
        <v>275739.46999999997</v>
      </c>
      <c r="AS57" s="53">
        <v>0.20638387709945985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0</v>
      </c>
      <c r="BG57" s="55">
        <f t="shared" si="40"/>
        <v>0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29472.799999999999</v>
      </c>
      <c r="Q58" s="53">
        <v>1.8349739619393821E-2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43705.33</v>
      </c>
      <c r="AE58" s="53">
        <v>3.2712311571902769E-2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43705.33</v>
      </c>
      <c r="AS58" s="53">
        <v>3.2712311571902769E-2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0</v>
      </c>
      <c r="BG58" s="55">
        <f t="shared" si="40"/>
        <v>0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59636.939999999995</v>
      </c>
      <c r="Q59" s="53">
        <v>3.7129906920869822E-2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61339.27</v>
      </c>
      <c r="AE59" s="53">
        <v>4.5910860570851843E-2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61339.27</v>
      </c>
      <c r="AS59" s="53">
        <v>4.5910860570851843E-2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0</v>
      </c>
      <c r="BG59" s="55">
        <f t="shared" si="40"/>
        <v>0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48562.2</v>
      </c>
      <c r="Q60" s="53">
        <v>3.0234783439134612E-2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-15427.710000000001</v>
      </c>
      <c r="Q61" s="53">
        <v>-9.6052788138052125E-3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118210.21</v>
      </c>
      <c r="AE61" s="53">
        <v>8.8477291453926937E-2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118210.20999999999</v>
      </c>
      <c r="AS61" s="53">
        <v>8.8477291453926923E-2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0</v>
      </c>
      <c r="BG61" s="55">
        <f t="shared" si="40"/>
        <v>-1.3877787807814457E-15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71.94</v>
      </c>
      <c r="Q62" s="53">
        <v>4.4789781365163524E-5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2916.67</v>
      </c>
      <c r="Q64" s="53">
        <v>1.8159162025900958E-3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4425</v>
      </c>
      <c r="Q67" s="53">
        <v>2.7550011473568056E-3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4958.68</v>
      </c>
      <c r="Q68" s="53">
        <v>3.0872698507062703E-3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-27800</v>
      </c>
      <c r="Q69" s="53">
        <v>-1.7308255795823548E-2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74248.110000000015</v>
      </c>
      <c r="Q70" s="53">
        <v>4.6226808641598727E-2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52659.67</v>
      </c>
      <c r="AE70" s="53">
        <v>3.9414403971176536E-2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52659.67</v>
      </c>
      <c r="AS70" s="53">
        <v>3.9414403971176536E-2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0</v>
      </c>
      <c r="BG70" s="55">
        <f t="shared" si="40"/>
        <v>0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8476.25</v>
      </c>
      <c r="Q71" s="53">
        <v>5.2773058701204795E-3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4954.1500000000005</v>
      </c>
      <c r="AE71" s="53">
        <v>3.7080534198904828E-3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4954.1499999999996</v>
      </c>
      <c r="AS71" s="53">
        <v>3.7080534198904824E-3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0</v>
      </c>
      <c r="BG71" s="55">
        <f t="shared" si="40"/>
        <v>-4.3368086899420177E-17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33913.350000000006</v>
      </c>
      <c r="Q72" s="53">
        <v>2.1114422183211964E-2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24649.53</v>
      </c>
      <c r="AE72" s="53">
        <v>1.8449537057859178E-2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24649.530000000002</v>
      </c>
      <c r="AS72" s="53">
        <v>1.8449537057859178E-2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0</v>
      </c>
      <c r="BG72" s="55">
        <f t="shared" si="40"/>
        <v>0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6774.8</v>
      </c>
      <c r="Q73" s="53">
        <v>4.2179845814944378E-3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38117.170000000006</v>
      </c>
      <c r="AE73" s="53">
        <v>2.8529718029338416E-2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38117.17</v>
      </c>
      <c r="AS73" s="53">
        <v>2.8529718029338413E-2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0</v>
      </c>
      <c r="BG73" s="55">
        <f t="shared" si="40"/>
        <v>-3.4694469519536142E-16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3647.09</v>
      </c>
      <c r="Q74" s="53">
        <v>2.270675058647126E-3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4311.46</v>
      </c>
      <c r="AE74" s="53">
        <v>3.227016541227258E-3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4311.46</v>
      </c>
      <c r="AS74" s="53">
        <v>3.227016541227258E-3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0</v>
      </c>
      <c r="BG74" s="55">
        <f t="shared" si="40"/>
        <v>0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-3735.2399999999989</v>
      </c>
      <c r="Q75" s="53">
        <v>-2.3255571718989901E-3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8123.0499999999993</v>
      </c>
      <c r="AE75" s="53">
        <v>6.079893287938674E-3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8123.0500000000011</v>
      </c>
      <c r="AS75" s="53">
        <v>6.0798932879386749E-3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0</v>
      </c>
      <c r="BG75" s="55">
        <f t="shared" si="40"/>
        <v>8.6736173798840355E-17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489554.6</v>
      </c>
      <c r="Q76" s="36">
        <v>0.30479626772741286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631809.31000000017</v>
      </c>
      <c r="AE76" s="36">
        <v>0.47289296300357209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631809.31000000017</v>
      </c>
      <c r="AS76" s="36">
        <v>0.47289296300357209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0</v>
      </c>
      <c r="BG76" s="39">
        <f t="shared" si="40"/>
        <v>0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95793.770000000135</v>
      </c>
      <c r="Q78" s="36">
        <v>5.9641117798787419E-2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-157584.99000000046</v>
      </c>
      <c r="AE78" s="36">
        <v>-0.11794829811227137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-161710.77000000048</v>
      </c>
      <c r="AS78" s="36">
        <v>-0.12103633796546835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-4125.7800000000279</v>
      </c>
      <c r="BG78" s="39">
        <f t="shared" si="40"/>
        <v>-0.3088039853196986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692" priority="53" operator="greaterThanOrEqual">
      <formula>1</formula>
    </cfRule>
    <cfRule type="cellIs" dxfId="691" priority="52" operator="lessThanOrEqual">
      <formula>-1</formula>
    </cfRule>
  </conditionalFormatting>
  <conditionalFormatting sqref="U33:U34 Y33:Y34 AA33:AA34 AC33:AC34">
    <cfRule type="cellIs" dxfId="690" priority="49" operator="greaterThanOrEqual">
      <formula>0.0001</formula>
    </cfRule>
    <cfRule type="cellIs" dxfId="689" priority="48" operator="lessThanOrEqual">
      <formula>-0.0001</formula>
    </cfRule>
  </conditionalFormatting>
  <conditionalFormatting sqref="AB33:AB34">
    <cfRule type="cellIs" dxfId="688" priority="51" operator="greaterThanOrEqual">
      <formula>1</formula>
    </cfRule>
    <cfRule type="cellIs" dxfId="687" priority="50" operator="lessThanOrEqual">
      <formula>-1</formula>
    </cfRule>
  </conditionalFormatting>
  <conditionalFormatting sqref="AD33:AD34">
    <cfRule type="cellIs" dxfId="686" priority="47" operator="greaterThanOrEqual">
      <formula>1</formula>
    </cfRule>
    <cfRule type="cellIs" dxfId="685" priority="46" operator="lessThanOrEqual">
      <formula>-1</formula>
    </cfRule>
  </conditionalFormatting>
  <conditionalFormatting sqref="AE33:AE34">
    <cfRule type="cellIs" dxfId="684" priority="45" operator="greaterThanOrEqual">
      <formula>0.0001</formula>
    </cfRule>
    <cfRule type="cellIs" dxfId="683" priority="44" operator="lessThanOrEqual">
      <formula>-0.0001</formula>
    </cfRule>
  </conditionalFormatting>
  <conditionalFormatting sqref="AH33:AH34 AJ33:AJ34 AL33:AL34 AN33:AN34">
    <cfRule type="cellIs" dxfId="682" priority="63" operator="greaterThanOrEqual">
      <formula>1</formula>
    </cfRule>
    <cfRule type="cellIs" dxfId="681" priority="62" operator="lessThanOrEqual">
      <formula>-1</formula>
    </cfRule>
  </conditionalFormatting>
  <conditionalFormatting sqref="AI33:AI34 AM33:AM34 AO33:AO34 AQ33:AQ34">
    <cfRule type="cellIs" dxfId="680" priority="59" operator="greaterThanOrEqual">
      <formula>0.0001</formula>
    </cfRule>
    <cfRule type="cellIs" dxfId="679" priority="58" operator="lessThanOrEqual">
      <formula>-0.0001</formula>
    </cfRule>
  </conditionalFormatting>
  <conditionalFormatting sqref="AK33:AK34">
    <cfRule type="cellIs" dxfId="678" priority="43" operator="greaterThanOrEqual">
      <formula>0.0001</formula>
    </cfRule>
    <cfRule type="cellIs" dxfId="677" priority="42" operator="lessThanOrEqual">
      <formula>-0.0001</formula>
    </cfRule>
  </conditionalFormatting>
  <conditionalFormatting sqref="AP33:AP34">
    <cfRule type="cellIs" dxfId="676" priority="60" operator="lessThanOrEqual">
      <formula>-1</formula>
    </cfRule>
    <cfRule type="cellIs" dxfId="675" priority="61" operator="greaterThanOrEqual">
      <formula>1</formula>
    </cfRule>
  </conditionalFormatting>
  <conditionalFormatting sqref="AR33:AR34">
    <cfRule type="cellIs" dxfId="674" priority="56" operator="lessThanOrEqual">
      <formula>-1</formula>
    </cfRule>
    <cfRule type="cellIs" dxfId="673" priority="57" operator="greaterThanOrEqual">
      <formula>1</formula>
    </cfRule>
  </conditionalFormatting>
  <conditionalFormatting sqref="AS33:AS34">
    <cfRule type="cellIs" dxfId="672" priority="55" operator="greaterThanOrEqual">
      <formula>0.0001</formula>
    </cfRule>
    <cfRule type="cellIs" dxfId="671" priority="54" operator="lessThanOrEqual">
      <formula>-0.0001</formula>
    </cfRule>
  </conditionalFormatting>
  <conditionalFormatting sqref="AV27:AV29 AX27:AX29 AZ27:AZ29 BB27:BB29 BF27:BF29 AV40 AX40 AZ40 BB40 BF40">
    <cfRule type="cellIs" dxfId="670" priority="31" operator="greaterThanOrEqual">
      <formula>0.000001</formula>
    </cfRule>
  </conditionalFormatting>
  <conditionalFormatting sqref="AV27:AV29 AX27:AX29 AZ27:AZ29 BB27:BB29 BF27:BF29">
    <cfRule type="cellIs" dxfId="669" priority="30" operator="lessThanOrEqual">
      <formula>-0.000001</formula>
    </cfRule>
  </conditionalFormatting>
  <conditionalFormatting sqref="AV33:AV34 AX33:AX34 AZ33:AZ34 BB33:BB34">
    <cfRule type="cellIs" dxfId="668" priority="41" operator="greaterThanOrEqual">
      <formula>1</formula>
    </cfRule>
    <cfRule type="cellIs" dxfId="667" priority="40" operator="lessThanOrEqual">
      <formula>-1</formula>
    </cfRule>
  </conditionalFormatting>
  <conditionalFormatting sqref="AV36 AX36 AZ36 BB36 BD36 BF36 AX43:AX51 AZ43:AZ51 BD43:BD51 BF43:BF51 AV43:AV52">
    <cfRule type="cellIs" dxfId="666" priority="28" operator="lessThanOrEqual">
      <formula>-0.000001</formula>
    </cfRule>
    <cfRule type="cellIs" dxfId="665" priority="29" operator="greaterThanOrEqual">
      <formula>0.00001</formula>
    </cfRule>
  </conditionalFormatting>
  <conditionalFormatting sqref="AV39 AX39 AZ39 BF39">
    <cfRule type="cellIs" dxfId="664" priority="14" operator="lessThanOrEqual">
      <formula>-0.00001</formula>
    </cfRule>
    <cfRule type="cellIs" dxfId="663" priority="15" operator="greaterThanOrEqual">
      <formula>0.00001</formula>
    </cfRule>
  </conditionalFormatting>
  <conditionalFormatting sqref="AV40:BB40 BD40:BG40">
    <cfRule type="cellIs" dxfId="662" priority="18" operator="lessThanOrEqual">
      <formula>-0.000001</formula>
    </cfRule>
  </conditionalFormatting>
  <conditionalFormatting sqref="AV53:BB53 BD53:BG53 BF78:BG78">
    <cfRule type="cellIs" dxfId="661" priority="21" operator="greaterThanOrEqual">
      <formula>0.000001</formula>
    </cfRule>
    <cfRule type="cellIs" dxfId="660" priority="20" operator="lessThanOrEqual">
      <formula>-0.000001</formula>
    </cfRule>
  </conditionalFormatting>
  <conditionalFormatting sqref="AW29 AY29 BA29 BC29 BE29 BG29">
    <cfRule type="cellIs" dxfId="659" priority="24" operator="lessThanOrEqual">
      <formula>-0.000001</formula>
    </cfRule>
    <cfRule type="cellIs" dxfId="658" priority="25" operator="greaterThanOrEqual">
      <formula>0.000001</formula>
    </cfRule>
  </conditionalFormatting>
  <conditionalFormatting sqref="AW33:AW34 BA33:BA34 BC33:BC34 BE33:BE34">
    <cfRule type="cellIs" dxfId="657" priority="39" operator="greaterThanOrEqual">
      <formula>0.0001</formula>
    </cfRule>
    <cfRule type="cellIs" dxfId="656" priority="38" operator="lessThanOrEqual">
      <formula>-0.0001</formula>
    </cfRule>
  </conditionalFormatting>
  <conditionalFormatting sqref="AW36 AY36 BA36 BG36">
    <cfRule type="cellIs" dxfId="655" priority="13" operator="greaterThanOrEqual">
      <formula>0.000001</formula>
    </cfRule>
    <cfRule type="cellIs" dxfId="654" priority="12" operator="lessThanOrEqual">
      <formula>-0.00001</formula>
    </cfRule>
  </conditionalFormatting>
  <conditionalFormatting sqref="AW39 AY39 BA39 BC39 BE39 BG39">
    <cfRule type="cellIs" dxfId="653" priority="17" operator="greaterThanOrEqual">
      <formula>0.000001</formula>
    </cfRule>
    <cfRule type="cellIs" dxfId="652" priority="16" operator="lessThanOrEqual">
      <formula>-0.00001</formula>
    </cfRule>
  </conditionalFormatting>
  <conditionalFormatting sqref="AW40 AY40 BA40 BG40">
    <cfRule type="cellIs" dxfId="651" priority="19" operator="greaterThanOrEqual">
      <formula>0.0000001</formula>
    </cfRule>
  </conditionalFormatting>
  <conditionalFormatting sqref="AW43:AW51 AY43:AY51 BA43:BA51 BG43:BG51 BG56:BG76">
    <cfRule type="cellIs" dxfId="650" priority="23" operator="greaterThanOrEqual">
      <formula>0.000001</formula>
    </cfRule>
    <cfRule type="cellIs" dxfId="649" priority="22" operator="lessThanOrEqual">
      <formula>-0.0000001</formula>
    </cfRule>
  </conditionalFormatting>
  <conditionalFormatting sqref="AY33:AY34">
    <cfRule type="cellIs" dxfId="648" priority="33" operator="greaterThanOrEqual">
      <formula>0.0001</formula>
    </cfRule>
    <cfRule type="cellIs" dxfId="647" priority="32" operator="lessThanOrEqual">
      <formula>-0.0001</formula>
    </cfRule>
  </conditionalFormatting>
  <conditionalFormatting sqref="BD27:BD29 BD40">
    <cfRule type="cellIs" dxfId="646" priority="9" operator="greaterThanOrEqual">
      <formula>0.000001</formula>
    </cfRule>
  </conditionalFormatting>
  <conditionalFormatting sqref="BD27:BD29">
    <cfRule type="cellIs" dxfId="645" priority="8" operator="lessThanOrEqual">
      <formula>-0.000001</formula>
    </cfRule>
  </conditionalFormatting>
  <conditionalFormatting sqref="BD33:BD34">
    <cfRule type="cellIs" dxfId="644" priority="11" operator="greaterThanOrEqual">
      <formula>1</formula>
    </cfRule>
    <cfRule type="cellIs" dxfId="643" priority="10" operator="lessThanOrEqual">
      <formula>-1</formula>
    </cfRule>
  </conditionalFormatting>
  <conditionalFormatting sqref="BD39">
    <cfRule type="cellIs" dxfId="642" priority="4" operator="greaterThanOrEqual">
      <formula>0.00001</formula>
    </cfRule>
    <cfRule type="cellIs" dxfId="641" priority="3" operator="lessThanOrEqual">
      <formula>-0.00001</formula>
    </cfRule>
  </conditionalFormatting>
  <conditionalFormatting sqref="BE36">
    <cfRule type="cellIs" dxfId="640" priority="1" operator="lessThanOrEqual">
      <formula>-0.00001</formula>
    </cfRule>
    <cfRule type="cellIs" dxfId="639" priority="2" operator="greaterThanOrEqual">
      <formula>0.000001</formula>
    </cfRule>
  </conditionalFormatting>
  <conditionalFormatting sqref="BE40">
    <cfRule type="cellIs" dxfId="638" priority="5" operator="greaterThanOrEqual">
      <formula>0.0000001</formula>
    </cfRule>
  </conditionalFormatting>
  <conditionalFormatting sqref="BE43:BE51">
    <cfRule type="cellIs" dxfId="637" priority="7" operator="greaterThanOrEqual">
      <formula>0.000001</formula>
    </cfRule>
    <cfRule type="cellIs" dxfId="636" priority="6" operator="lessThanOrEqual">
      <formula>-0.0000001</formula>
    </cfRule>
  </conditionalFormatting>
  <conditionalFormatting sqref="BF33:BF34">
    <cfRule type="cellIs" dxfId="635" priority="36" operator="lessThanOrEqual">
      <formula>-1</formula>
    </cfRule>
    <cfRule type="cellIs" dxfId="634" priority="37" operator="greaterThanOrEqual">
      <formula>1</formula>
    </cfRule>
  </conditionalFormatting>
  <conditionalFormatting sqref="BF56:BF76">
    <cfRule type="cellIs" dxfId="633" priority="27" operator="greaterThanOrEqual">
      <formula>0.00001</formula>
    </cfRule>
    <cfRule type="cellIs" dxfId="632" priority="26" operator="lessThanOrEqual">
      <formula>-0.000001</formula>
    </cfRule>
  </conditionalFormatting>
  <conditionalFormatting sqref="BG33:BG34">
    <cfRule type="cellIs" dxfId="631" priority="34" operator="lessThanOrEqual">
      <formula>-0.0001</formula>
    </cfRule>
    <cfRule type="cellIs" dxfId="630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C08E-9688-4F85-A6C8-F215DECF2D56}">
  <sheetPr>
    <tabColor theme="4" tint="0.79998168889431442"/>
  </sheetPr>
  <dimension ref="A1:BI83"/>
  <sheetViews>
    <sheetView topLeftCell="I18" zoomScaleNormal="100" workbookViewId="0">
      <selection activeCell="AM54" sqref="AH54: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94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94</v>
      </c>
      <c r="Q17" s="20"/>
      <c r="R17" s="21"/>
      <c r="T17" s="18" t="s">
        <v>95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95</v>
      </c>
      <c r="AE17" s="20"/>
      <c r="AF17" s="21"/>
      <c r="AH17" s="18" t="s">
        <v>96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96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723694</v>
      </c>
      <c r="G27" s="24"/>
      <c r="H27" s="27">
        <v>1765020</v>
      </c>
      <c r="I27" s="24"/>
      <c r="J27" s="27">
        <v>157449</v>
      </c>
      <c r="K27" s="24"/>
      <c r="L27" s="27">
        <v>56910.080000000002</v>
      </c>
      <c r="M27" s="24"/>
      <c r="N27" s="28">
        <v>40493.9</v>
      </c>
      <c r="O27" s="16"/>
      <c r="P27" s="23">
        <v>2743566.98</v>
      </c>
      <c r="Q27" s="24"/>
      <c r="R27" s="21"/>
      <c r="T27" s="27">
        <v>450064</v>
      </c>
      <c r="U27" s="24"/>
      <c r="V27" s="27">
        <v>1641273</v>
      </c>
      <c r="W27" s="24"/>
      <c r="X27" s="27">
        <v>117896</v>
      </c>
      <c r="Y27" s="24"/>
      <c r="Z27" s="27">
        <v>46240.52</v>
      </c>
      <c r="AA27" s="24"/>
      <c r="AB27" s="28">
        <v>0</v>
      </c>
      <c r="AC27" s="16"/>
      <c r="AD27" s="23">
        <v>2255473.52</v>
      </c>
      <c r="AE27" s="24"/>
      <c r="AF27" s="21"/>
      <c r="AH27" s="27">
        <v>450064</v>
      </c>
      <c r="AI27" s="24"/>
      <c r="AJ27" s="27">
        <v>1641273</v>
      </c>
      <c r="AK27" s="24"/>
      <c r="AL27" s="27">
        <v>117896</v>
      </c>
      <c r="AM27" s="24"/>
      <c r="AN27" s="27">
        <v>46240.52</v>
      </c>
      <c r="AO27" s="24"/>
      <c r="AP27" s="28">
        <v>0</v>
      </c>
      <c r="AQ27" s="16"/>
      <c r="AR27" s="23">
        <v>2255473.52</v>
      </c>
      <c r="AS27" s="24"/>
      <c r="AT27" s="21"/>
      <c r="AV27" s="29">
        <f>AH27-T27</f>
        <v>0</v>
      </c>
      <c r="AW27" s="30"/>
      <c r="AX27" s="29">
        <f t="shared" ref="AX27:AX29" si="0">AJ27-V27</f>
        <v>0</v>
      </c>
      <c r="AY27" s="30"/>
      <c r="AZ27" s="29">
        <f t="shared" ref="AZ27:AZ29" si="1">AL27-X27</f>
        <v>0</v>
      </c>
      <c r="BA27" s="30"/>
      <c r="BB27" s="29">
        <f t="shared" ref="BB27:BB29" si="2">AN27-Z27</f>
        <v>0</v>
      </c>
      <c r="BC27" s="30"/>
      <c r="BD27" s="29">
        <f t="shared" ref="BD27:BD29" si="3">AP27-AB27</f>
        <v>0</v>
      </c>
      <c r="BE27" s="30"/>
      <c r="BF27" s="29">
        <f t="shared" ref="BF27:BF29" si="4">AR27-AD27</f>
        <v>0</v>
      </c>
      <c r="BG27" s="30"/>
    </row>
    <row r="28" spans="3:59">
      <c r="E28" s="26" t="s">
        <v>29</v>
      </c>
      <c r="F28" s="23">
        <v>429137.30000000005</v>
      </c>
      <c r="G28" s="31"/>
      <c r="H28" s="23">
        <v>682299.5299999998</v>
      </c>
      <c r="I28" s="31"/>
      <c r="J28" s="23">
        <v>35967.260000000009</v>
      </c>
      <c r="K28" s="31"/>
      <c r="L28" s="23">
        <v>0</v>
      </c>
      <c r="M28" s="31"/>
      <c r="N28" s="32">
        <v>0</v>
      </c>
      <c r="O28" s="32"/>
      <c r="P28" s="23">
        <v>1147404.0899999999</v>
      </c>
      <c r="Q28" s="31"/>
      <c r="R28" s="21"/>
      <c r="T28" s="23">
        <v>272219.75</v>
      </c>
      <c r="U28" s="31"/>
      <c r="V28" s="23">
        <v>683955.03999999992</v>
      </c>
      <c r="W28" s="31"/>
      <c r="X28" s="23">
        <v>53369.05</v>
      </c>
      <c r="Y28" s="31"/>
      <c r="Z28" s="23">
        <v>0</v>
      </c>
      <c r="AA28" s="31"/>
      <c r="AB28" s="32">
        <v>0</v>
      </c>
      <c r="AC28" s="32"/>
      <c r="AD28" s="23">
        <v>1009543.84</v>
      </c>
      <c r="AE28" s="31"/>
      <c r="AF28" s="21"/>
      <c r="AH28" s="23">
        <v>272219.75</v>
      </c>
      <c r="AI28" s="31"/>
      <c r="AJ28" s="23">
        <v>683955.03999999992</v>
      </c>
      <c r="AK28" s="31"/>
      <c r="AL28" s="23">
        <v>53369.05</v>
      </c>
      <c r="AM28" s="31"/>
      <c r="AN28" s="23">
        <v>0</v>
      </c>
      <c r="AO28" s="31"/>
      <c r="AP28" s="32">
        <v>0</v>
      </c>
      <c r="AQ28" s="32"/>
      <c r="AR28" s="23">
        <v>1009543.84</v>
      </c>
      <c r="AS28" s="31"/>
      <c r="AT28" s="21"/>
      <c r="AV28" s="29">
        <f t="shared" ref="AV28:AV29" si="5">AH28-T28</f>
        <v>0</v>
      </c>
      <c r="AW28" s="33"/>
      <c r="AX28" s="29">
        <f t="shared" si="0"/>
        <v>0</v>
      </c>
      <c r="AY28" s="33"/>
      <c r="AZ28" s="29">
        <f t="shared" si="1"/>
        <v>0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0</v>
      </c>
      <c r="BG28" s="33"/>
    </row>
    <row r="29" spans="3:59" ht="15">
      <c r="C29" s="16" t="s">
        <v>30</v>
      </c>
      <c r="E29" s="34" t="s">
        <v>31</v>
      </c>
      <c r="F29" s="35">
        <v>294556.69999999995</v>
      </c>
      <c r="G29" s="36">
        <v>0.59298170221115565</v>
      </c>
      <c r="H29" s="35">
        <v>1082720.4700000002</v>
      </c>
      <c r="I29" s="36">
        <v>0.3865675913020814</v>
      </c>
      <c r="J29" s="35">
        <v>121481.73999999999</v>
      </c>
      <c r="K29" s="36">
        <v>0.22843752580200583</v>
      </c>
      <c r="L29" s="35">
        <v>56910.080000000002</v>
      </c>
      <c r="M29" s="36">
        <v>0</v>
      </c>
      <c r="N29" s="37">
        <v>40493.9</v>
      </c>
      <c r="O29" s="36">
        <v>0</v>
      </c>
      <c r="P29" s="35">
        <v>1596162.8900000001</v>
      </c>
      <c r="Q29" s="36">
        <v>0.41821617564445246</v>
      </c>
      <c r="R29" s="21"/>
      <c r="T29" s="35">
        <v>177844.25</v>
      </c>
      <c r="U29" s="36">
        <v>0.60484675512815955</v>
      </c>
      <c r="V29" s="35">
        <v>957317.96000000008</v>
      </c>
      <c r="W29" s="36">
        <v>0.4167222881263507</v>
      </c>
      <c r="X29" s="35">
        <v>64526.95</v>
      </c>
      <c r="Y29" s="36">
        <v>0.4526790561172559</v>
      </c>
      <c r="Z29" s="35">
        <v>46240.52</v>
      </c>
      <c r="AA29" s="36">
        <v>0</v>
      </c>
      <c r="AB29" s="37">
        <v>0</v>
      </c>
      <c r="AC29" s="36">
        <v>0</v>
      </c>
      <c r="AD29" s="35">
        <v>1245929.68</v>
      </c>
      <c r="AE29" s="36">
        <v>0.44759729211983834</v>
      </c>
      <c r="AF29" s="21"/>
      <c r="AH29" s="35">
        <v>177844.25</v>
      </c>
      <c r="AI29" s="36">
        <v>0.60484675512815955</v>
      </c>
      <c r="AJ29" s="35">
        <v>957317.96000000008</v>
      </c>
      <c r="AK29" s="36">
        <v>0.4167222881263507</v>
      </c>
      <c r="AL29" s="35">
        <v>64526.95</v>
      </c>
      <c r="AM29" s="36">
        <v>0.4526790561172559</v>
      </c>
      <c r="AN29" s="35">
        <v>46240.52</v>
      </c>
      <c r="AO29" s="36">
        <v>0</v>
      </c>
      <c r="AP29" s="37">
        <v>0</v>
      </c>
      <c r="AQ29" s="36">
        <v>0</v>
      </c>
      <c r="AR29" s="35">
        <v>1245929.68</v>
      </c>
      <c r="AS29" s="36">
        <v>0.44759729211983834</v>
      </c>
      <c r="AT29" s="21"/>
      <c r="AV29" s="38">
        <f t="shared" si="5"/>
        <v>0</v>
      </c>
      <c r="AW29" s="39">
        <f>(AI29-U29)*100</f>
        <v>0</v>
      </c>
      <c r="AX29" s="38">
        <f t="shared" si="0"/>
        <v>0</v>
      </c>
      <c r="AY29" s="39">
        <f>(AK29-W29)*100</f>
        <v>0</v>
      </c>
      <c r="AZ29" s="38">
        <f t="shared" si="1"/>
        <v>0</v>
      </c>
      <c r="BA29" s="39">
        <f>(AM29-Y29)*100</f>
        <v>0</v>
      </c>
      <c r="BB29" s="38">
        <f t="shared" si="2"/>
        <v>0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0</v>
      </c>
      <c r="BG29" s="39">
        <f>(AS29-AE29)*100</f>
        <v>0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0</v>
      </c>
      <c r="AI33" s="51">
        <v>0</v>
      </c>
      <c r="AJ33" s="41">
        <v>0</v>
      </c>
      <c r="AK33" s="51">
        <v>0</v>
      </c>
      <c r="AL33" s="41">
        <v>0</v>
      </c>
      <c r="AM33" s="51">
        <v>0</v>
      </c>
      <c r="AN33" s="41">
        <v>0</v>
      </c>
      <c r="AO33" s="51">
        <v>0</v>
      </c>
      <c r="AP33" s="41">
        <v>0</v>
      </c>
      <c r="AQ33" s="51">
        <v>0</v>
      </c>
      <c r="AR33" s="41">
        <v>0</v>
      </c>
      <c r="AS33" s="51">
        <v>0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-116712.44999999995</v>
      </c>
      <c r="U34" s="51">
        <v>-0.39623084451991741</v>
      </c>
      <c r="V34" s="41">
        <v>-125402.51000000013</v>
      </c>
      <c r="W34" s="51">
        <v>-0.11582168572096929</v>
      </c>
      <c r="X34" s="41">
        <v>-56954.789999999994</v>
      </c>
      <c r="Y34" s="51">
        <v>-0.46883416388339516</v>
      </c>
      <c r="Z34" s="41">
        <v>-10669.560000000005</v>
      </c>
      <c r="AA34" s="51">
        <v>-0.18748102269404654</v>
      </c>
      <c r="AB34" s="41">
        <v>-40493.9</v>
      </c>
      <c r="AC34" s="51">
        <v>-1</v>
      </c>
      <c r="AD34" s="41">
        <v>-350233.2100000002</v>
      </c>
      <c r="AE34" s="51">
        <v>-0.21942197265343022</v>
      </c>
      <c r="AF34" s="49"/>
      <c r="AH34" s="41">
        <v>-116712.44999999995</v>
      </c>
      <c r="AI34" s="51">
        <v>-0.39623084451991741</v>
      </c>
      <c r="AJ34" s="41">
        <v>-125402.51000000013</v>
      </c>
      <c r="AK34" s="51">
        <v>-0.11582168572096929</v>
      </c>
      <c r="AL34" s="41">
        <v>-56954.789999999994</v>
      </c>
      <c r="AM34" s="51">
        <v>-0.46883416388339516</v>
      </c>
      <c r="AN34" s="41">
        <v>-10669.560000000005</v>
      </c>
      <c r="AO34" s="51">
        <v>-0.18748102269404654</v>
      </c>
      <c r="AP34" s="41">
        <v>-40493.9</v>
      </c>
      <c r="AQ34" s="51">
        <v>-1</v>
      </c>
      <c r="AR34" s="41">
        <v>-350233.2100000002</v>
      </c>
      <c r="AS34" s="51">
        <v>-0.21942197265343022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126926.84999999999</v>
      </c>
      <c r="G36" s="53">
        <v>0.43090803909739622</v>
      </c>
      <c r="H36" s="23">
        <v>359519.62</v>
      </c>
      <c r="I36" s="53">
        <v>0.33205211313682831</v>
      </c>
      <c r="J36" s="23">
        <v>32349.33</v>
      </c>
      <c r="K36" s="53">
        <v>0.26628964978605019</v>
      </c>
      <c r="L36" s="23">
        <v>0</v>
      </c>
      <c r="M36" s="53">
        <v>0</v>
      </c>
      <c r="N36" s="32">
        <v>81130.22</v>
      </c>
      <c r="O36" s="54">
        <v>2.0035170729418503</v>
      </c>
      <c r="P36" s="23">
        <v>599926.02</v>
      </c>
      <c r="Q36" s="54">
        <v>0.3758551359379117</v>
      </c>
      <c r="R36" s="21"/>
      <c r="T36" s="23">
        <v>83936.44</v>
      </c>
      <c r="U36" s="53">
        <v>0.47196600396133137</v>
      </c>
      <c r="V36" s="23">
        <v>326402.14999999997</v>
      </c>
      <c r="W36" s="53">
        <v>0.34095479625181163</v>
      </c>
      <c r="X36" s="23">
        <v>25299.74</v>
      </c>
      <c r="Y36" s="53">
        <v>0.39208020834705504</v>
      </c>
      <c r="Z36" s="23">
        <v>0</v>
      </c>
      <c r="AA36" s="53">
        <v>0</v>
      </c>
      <c r="AB36" s="32">
        <v>-45644.97</v>
      </c>
      <c r="AC36" s="54">
        <v>0</v>
      </c>
      <c r="AD36" s="23">
        <v>389993.36</v>
      </c>
      <c r="AE36" s="54">
        <v>0.31301394152517503</v>
      </c>
      <c r="AF36" s="21"/>
      <c r="AH36" s="23">
        <v>83936.44</v>
      </c>
      <c r="AI36" s="53">
        <v>0.47196600396133137</v>
      </c>
      <c r="AJ36" s="23">
        <v>326402.14999999997</v>
      </c>
      <c r="AK36" s="53">
        <v>0.34095479625181163</v>
      </c>
      <c r="AL36" s="23">
        <v>25299.74</v>
      </c>
      <c r="AM36" s="53">
        <v>0.39208020834705504</v>
      </c>
      <c r="AN36" s="23">
        <v>0</v>
      </c>
      <c r="AO36" s="53">
        <v>0</v>
      </c>
      <c r="AP36" s="32">
        <v>-45644.97</v>
      </c>
      <c r="AQ36" s="54">
        <v>0</v>
      </c>
      <c r="AR36" s="23">
        <v>389993.36</v>
      </c>
      <c r="AS36" s="53">
        <v>0.31301394152517503</v>
      </c>
      <c r="AT36" s="21"/>
      <c r="AV36" s="29">
        <f t="shared" ref="AV36:AV38" si="6">AH36-T36</f>
        <v>0</v>
      </c>
      <c r="AW36" s="55">
        <f t="shared" ref="AW36:AW38" si="7">(AI36-U36)*100</f>
        <v>0</v>
      </c>
      <c r="AX36" s="29">
        <f t="shared" ref="AX36:AX38" si="8">AJ36-V36</f>
        <v>0</v>
      </c>
      <c r="AY36" s="55">
        <f t="shared" ref="AY36:AY38" si="9">(AK36-W36)*100</f>
        <v>0</v>
      </c>
      <c r="AZ36" s="29">
        <f t="shared" ref="AZ36:AZ38" si="10">AL36-X36</f>
        <v>0</v>
      </c>
      <c r="BA36" s="55">
        <f t="shared" ref="BA36:BA38" si="11">(AM36-Y36)*100</f>
        <v>0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0</v>
      </c>
      <c r="BG36" s="55">
        <f t="shared" ref="BG36:BG38" si="17">(AS36-AE36)*100</f>
        <v>0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0.17538745657695101</v>
      </c>
      <c r="G39" s="59">
        <v>5.70166202028964</v>
      </c>
      <c r="H39" s="58">
        <v>0.20369152757475836</v>
      </c>
      <c r="I39" s="59">
        <v>4.9093843612763051</v>
      </c>
      <c r="J39" s="58">
        <v>0.20545910104224227</v>
      </c>
      <c r="K39" s="59">
        <v>4.8671487168358656</v>
      </c>
      <c r="L39" s="58">
        <v>0</v>
      </c>
      <c r="M39" s="59">
        <v>0</v>
      </c>
      <c r="N39" s="60">
        <v>2.0035170729418503</v>
      </c>
      <c r="O39" s="61">
        <v>0.49912227527547692</v>
      </c>
      <c r="P39" s="62">
        <v>0.21866643838963248</v>
      </c>
      <c r="Q39" s="61">
        <v>4.5731755058732073</v>
      </c>
      <c r="R39" s="49"/>
      <c r="T39" s="58">
        <v>0.18649889793451599</v>
      </c>
      <c r="U39" s="59">
        <v>5.3619619798028122</v>
      </c>
      <c r="V39" s="58">
        <v>0.19887133341010299</v>
      </c>
      <c r="W39" s="59">
        <v>5.0283768045032797</v>
      </c>
      <c r="X39" s="58">
        <v>0.21459370971025313</v>
      </c>
      <c r="Y39" s="59">
        <v>4.6599688376244179</v>
      </c>
      <c r="Z39" s="58">
        <v>0</v>
      </c>
      <c r="AA39" s="63">
        <v>0</v>
      </c>
      <c r="AB39" s="60">
        <v>0</v>
      </c>
      <c r="AC39" s="61">
        <v>0</v>
      </c>
      <c r="AD39" s="62">
        <v>0.17290974890274924</v>
      </c>
      <c r="AE39" s="61">
        <v>5.7833639013751421</v>
      </c>
      <c r="AF39" s="49"/>
      <c r="AH39" s="58">
        <v>0.18649889793451599</v>
      </c>
      <c r="AI39" s="59">
        <v>5.3619619798028122</v>
      </c>
      <c r="AJ39" s="58">
        <v>0.19887133341010299</v>
      </c>
      <c r="AK39" s="59">
        <v>5.0283768045032797</v>
      </c>
      <c r="AL39" s="58">
        <v>0.21459370971025313</v>
      </c>
      <c r="AM39" s="59">
        <v>4.6599688376244179</v>
      </c>
      <c r="AN39" s="58">
        <v>0</v>
      </c>
      <c r="AO39" s="59">
        <v>0</v>
      </c>
      <c r="AP39" s="60">
        <v>0</v>
      </c>
      <c r="AQ39" s="61">
        <v>0</v>
      </c>
      <c r="AR39" s="62">
        <v>0.17290974890274924</v>
      </c>
      <c r="AS39" s="59">
        <v>5.7833639013751421</v>
      </c>
      <c r="AT39" s="49"/>
      <c r="AV39" s="64">
        <f>(AH39-T39)*100</f>
        <v>0</v>
      </c>
      <c r="AW39" s="65">
        <f>(AI39-U39)</f>
        <v>0</v>
      </c>
      <c r="AX39" s="64">
        <f>(AJ39-V39)*100</f>
        <v>0</v>
      </c>
      <c r="AY39" s="65">
        <f>(AK39-W39)</f>
        <v>0</v>
      </c>
      <c r="AZ39" s="64">
        <f>(AL39-X39)*100</f>
        <v>0</v>
      </c>
      <c r="BA39" s="65">
        <f>(AM39-Y39)</f>
        <v>0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</v>
      </c>
      <c r="BG39" s="65">
        <f>(AS39-AE39)</f>
        <v>0</v>
      </c>
    </row>
    <row r="40" spans="1:61" ht="15">
      <c r="E40" s="34" t="s">
        <v>42</v>
      </c>
      <c r="F40" s="35">
        <v>167629.84999999998</v>
      </c>
      <c r="G40" s="36">
        <v>0.56909196090260383</v>
      </c>
      <c r="H40" s="35">
        <v>723200.85000000021</v>
      </c>
      <c r="I40" s="36">
        <v>0.66794788686317164</v>
      </c>
      <c r="J40" s="35">
        <v>89132.409999999989</v>
      </c>
      <c r="K40" s="36">
        <v>0.73371035021394981</v>
      </c>
      <c r="L40" s="35">
        <v>56910.080000000002</v>
      </c>
      <c r="M40" s="36">
        <v>1</v>
      </c>
      <c r="N40" s="37">
        <v>-40636.32</v>
      </c>
      <c r="O40" s="36">
        <v>-1.0035170729418506</v>
      </c>
      <c r="P40" s="35">
        <v>996236.87000000011</v>
      </c>
      <c r="Q40" s="36">
        <v>0.62414486406208836</v>
      </c>
      <c r="R40" s="21"/>
      <c r="T40" s="35">
        <v>93907.81</v>
      </c>
      <c r="U40" s="36">
        <v>0.52803399603866863</v>
      </c>
      <c r="V40" s="35">
        <v>630915.81000000006</v>
      </c>
      <c r="W40" s="36">
        <v>0.65904520374818831</v>
      </c>
      <c r="X40" s="35">
        <v>39227.209999999992</v>
      </c>
      <c r="Y40" s="36">
        <v>0.60791979165294496</v>
      </c>
      <c r="Z40" s="35">
        <v>46240.52</v>
      </c>
      <c r="AA40" s="36">
        <v>1</v>
      </c>
      <c r="AB40" s="37">
        <v>45644.97</v>
      </c>
      <c r="AC40" s="36">
        <v>0</v>
      </c>
      <c r="AD40" s="35">
        <v>855936.32</v>
      </c>
      <c r="AE40" s="36">
        <v>0.68698605847482497</v>
      </c>
      <c r="AF40" s="21"/>
      <c r="AH40" s="35">
        <v>93907.81</v>
      </c>
      <c r="AI40" s="36">
        <v>0.52803399603866863</v>
      </c>
      <c r="AJ40" s="35">
        <v>630915.81000000006</v>
      </c>
      <c r="AK40" s="36">
        <v>0.65904520374818831</v>
      </c>
      <c r="AL40" s="35">
        <v>39227.209999999992</v>
      </c>
      <c r="AM40" s="36">
        <v>0.60791979165294496</v>
      </c>
      <c r="AN40" s="35">
        <v>46240.52</v>
      </c>
      <c r="AO40" s="36">
        <v>1</v>
      </c>
      <c r="AP40" s="37">
        <v>45644.97</v>
      </c>
      <c r="AQ40" s="36">
        <v>0</v>
      </c>
      <c r="AR40" s="35">
        <v>855936.32</v>
      </c>
      <c r="AS40" s="36">
        <v>0.68698605847482497</v>
      </c>
      <c r="AT40" s="21"/>
      <c r="AV40" s="38">
        <f t="shared" ref="AV40" si="18">AH40-T40</f>
        <v>0</v>
      </c>
      <c r="AW40" s="39">
        <f>(AI40-U40)*100</f>
        <v>0</v>
      </c>
      <c r="AX40" s="38">
        <f t="shared" ref="AX40" si="19">AJ40-V40</f>
        <v>0</v>
      </c>
      <c r="AY40" s="39">
        <f>(AK40-W40)*100</f>
        <v>0</v>
      </c>
      <c r="AZ40" s="38">
        <f t="shared" ref="AZ40" si="20">AL40-X40</f>
        <v>0</v>
      </c>
      <c r="BA40" s="39">
        <f>(AM40-Y40)*100</f>
        <v>0</v>
      </c>
      <c r="BB40" s="38">
        <f t="shared" si="12"/>
        <v>0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0</v>
      </c>
      <c r="BG40" s="39">
        <f>(AS40-AE40)*100</f>
        <v>0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24266.662000000004</v>
      </c>
      <c r="G43" s="53">
        <v>8.238367010494077E-2</v>
      </c>
      <c r="H43" s="23">
        <v>121492.04600000003</v>
      </c>
      <c r="I43" s="53">
        <v>0.11220998343182706</v>
      </c>
      <c r="J43" s="23">
        <v>25528.362000000008</v>
      </c>
      <c r="K43" s="53">
        <v>0.21014155707680851</v>
      </c>
      <c r="L43" s="23">
        <v>0</v>
      </c>
      <c r="M43" s="53">
        <v>0</v>
      </c>
      <c r="N43" s="32">
        <v>0</v>
      </c>
      <c r="O43" s="54">
        <v>0</v>
      </c>
      <c r="P43" s="23">
        <v>171287.07000000007</v>
      </c>
      <c r="Q43" s="54">
        <v>0.10731177317372669</v>
      </c>
      <c r="R43" s="21"/>
      <c r="T43" s="23">
        <v>8676.5</v>
      </c>
      <c r="U43" s="53">
        <v>4.8787070709342586E-2</v>
      </c>
      <c r="V43" s="23">
        <v>105677.88</v>
      </c>
      <c r="W43" s="53">
        <v>0.11038953034997902</v>
      </c>
      <c r="X43" s="23">
        <v>11236.619999999999</v>
      </c>
      <c r="Y43" s="53">
        <v>0.17413840263641781</v>
      </c>
      <c r="Z43" s="23">
        <v>0</v>
      </c>
      <c r="AA43" s="53">
        <v>0</v>
      </c>
      <c r="AB43" s="32">
        <v>0</v>
      </c>
      <c r="AC43" s="54">
        <v>0</v>
      </c>
      <c r="AD43" s="23">
        <v>125591</v>
      </c>
      <c r="AE43" s="54">
        <v>0.10080103397167649</v>
      </c>
      <c r="AF43" s="21"/>
      <c r="AH43" s="23">
        <v>8676.5</v>
      </c>
      <c r="AI43" s="53">
        <v>4.8787070709342586E-2</v>
      </c>
      <c r="AJ43" s="23">
        <v>105677.88</v>
      </c>
      <c r="AK43" s="53">
        <v>0.11038953034997902</v>
      </c>
      <c r="AL43" s="23">
        <v>11236.619999999999</v>
      </c>
      <c r="AM43" s="53">
        <v>0.17413840263641781</v>
      </c>
      <c r="AN43" s="23">
        <v>0</v>
      </c>
      <c r="AO43" s="53">
        <v>0</v>
      </c>
      <c r="AP43" s="32">
        <v>0</v>
      </c>
      <c r="AQ43" s="54">
        <v>0</v>
      </c>
      <c r="AR43" s="23">
        <v>125591</v>
      </c>
      <c r="AS43" s="53">
        <v>0.10080103397167649</v>
      </c>
      <c r="AT43" s="21"/>
      <c r="AV43" s="29">
        <f t="shared" ref="AV43:AV51" si="22">AH43-T43</f>
        <v>0</v>
      </c>
      <c r="AW43" s="55">
        <f t="shared" ref="AW43:AW50" si="23">(AI43-U43)*100</f>
        <v>0</v>
      </c>
      <c r="AX43" s="29">
        <f t="shared" ref="AX43:AX51" si="24">AJ43-V43</f>
        <v>0</v>
      </c>
      <c r="AY43" s="55">
        <f t="shared" ref="AY43:AY50" si="25">(AK43-W43)*100</f>
        <v>0</v>
      </c>
      <c r="AZ43" s="29">
        <f t="shared" ref="AZ43:AZ51" si="26">AL43-X43</f>
        <v>0</v>
      </c>
      <c r="BA43" s="55">
        <f t="shared" ref="BA43:BA50" si="27">(AM43-Y43)*100</f>
        <v>0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0</v>
      </c>
      <c r="BG43" s="55">
        <f t="shared" ref="BG43:BG50" si="33">(AS43-AE43)*100</f>
        <v>0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-4668.1079999999947</v>
      </c>
      <c r="G44" s="53">
        <v>-1.5847909757272523E-2</v>
      </c>
      <c r="H44" s="27">
        <v>64825.196000000033</v>
      </c>
      <c r="I44" s="53">
        <v>5.9872513539898274E-2</v>
      </c>
      <c r="J44" s="27">
        <v>18437.44200000001</v>
      </c>
      <c r="K44" s="53">
        <v>0.15177130324277552</v>
      </c>
      <c r="L44" s="27">
        <v>0</v>
      </c>
      <c r="M44" s="53">
        <v>0</v>
      </c>
      <c r="N44" s="27">
        <v>0</v>
      </c>
      <c r="O44" s="54">
        <v>0</v>
      </c>
      <c r="P44" s="23">
        <v>78594.530000000057</v>
      </c>
      <c r="Q44" s="54">
        <v>4.9239667512881502E-2</v>
      </c>
      <c r="R44" s="21"/>
      <c r="T44" s="27">
        <v>-2194.9700000000003</v>
      </c>
      <c r="U44" s="53">
        <v>-1.2342091464863217E-2</v>
      </c>
      <c r="V44" s="27">
        <v>54051.320000000007</v>
      </c>
      <c r="W44" s="53">
        <v>5.6461199161039456E-2</v>
      </c>
      <c r="X44" s="27">
        <v>4038.73</v>
      </c>
      <c r="Y44" s="53">
        <v>6.2589817122923067E-2</v>
      </c>
      <c r="Z44" s="27">
        <v>0</v>
      </c>
      <c r="AA44" s="53">
        <v>0</v>
      </c>
      <c r="AB44" s="27">
        <v>0</v>
      </c>
      <c r="AC44" s="54">
        <v>0</v>
      </c>
      <c r="AD44" s="23">
        <v>55895.080000000009</v>
      </c>
      <c r="AE44" s="54">
        <v>4.4862146634150342E-2</v>
      </c>
      <c r="AF44" s="21"/>
      <c r="AH44" s="23">
        <v>-2194.9700000000003</v>
      </c>
      <c r="AI44" s="53">
        <v>-1.2342091464863217E-2</v>
      </c>
      <c r="AJ44" s="23">
        <v>54051.320000000007</v>
      </c>
      <c r="AK44" s="53">
        <v>5.6461199161039456E-2</v>
      </c>
      <c r="AL44" s="23">
        <v>4038.73</v>
      </c>
      <c r="AM44" s="53">
        <v>6.2589817122923067E-2</v>
      </c>
      <c r="AN44" s="23">
        <v>0</v>
      </c>
      <c r="AO44" s="53">
        <v>0</v>
      </c>
      <c r="AP44" s="32">
        <v>0</v>
      </c>
      <c r="AQ44" s="54">
        <v>0</v>
      </c>
      <c r="AR44" s="23">
        <v>55895.080000000009</v>
      </c>
      <c r="AS44" s="53">
        <v>4.4862146634150342E-2</v>
      </c>
      <c r="AT44" s="21"/>
      <c r="AV44" s="29">
        <f t="shared" si="22"/>
        <v>0</v>
      </c>
      <c r="AW44" s="55">
        <f t="shared" si="23"/>
        <v>0</v>
      </c>
      <c r="AX44" s="29">
        <f t="shared" si="24"/>
        <v>0</v>
      </c>
      <c r="AY44" s="55">
        <f t="shared" si="25"/>
        <v>0</v>
      </c>
      <c r="AZ44" s="29">
        <f t="shared" si="26"/>
        <v>0</v>
      </c>
      <c r="BA44" s="55">
        <f t="shared" si="27"/>
        <v>0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0</v>
      </c>
      <c r="BG44" s="55">
        <f t="shared" si="33"/>
        <v>0</v>
      </c>
      <c r="BH44" s="57"/>
    </row>
    <row r="45" spans="1:61" outlineLevel="1">
      <c r="B45" s="26" t="s">
        <v>47</v>
      </c>
      <c r="E45" s="69" t="s">
        <v>47</v>
      </c>
      <c r="F45" s="27">
        <v>17472.48</v>
      </c>
      <c r="G45" s="53">
        <v>5.9317883449943598E-2</v>
      </c>
      <c r="H45" s="27">
        <v>21246.6</v>
      </c>
      <c r="I45" s="53">
        <v>1.962334747397913E-2</v>
      </c>
      <c r="J45" s="27">
        <v>2910.16</v>
      </c>
      <c r="K45" s="53">
        <v>2.3955534387307919E-2</v>
      </c>
      <c r="L45" s="27">
        <v>0</v>
      </c>
      <c r="M45" s="53">
        <v>0</v>
      </c>
      <c r="N45" s="27">
        <v>0</v>
      </c>
      <c r="O45" s="54">
        <v>0</v>
      </c>
      <c r="P45" s="23">
        <v>41629.240000000005</v>
      </c>
      <c r="Q45" s="54">
        <v>2.6080821863989082E-2</v>
      </c>
      <c r="R45" s="21"/>
      <c r="T45" s="27">
        <v>5712.24</v>
      </c>
      <c r="U45" s="53">
        <v>3.2119340377886829E-2</v>
      </c>
      <c r="V45" s="27">
        <v>19202.689999999999</v>
      </c>
      <c r="W45" s="53">
        <v>2.0058842309821492E-2</v>
      </c>
      <c r="X45" s="27">
        <v>1294.3399999999999</v>
      </c>
      <c r="Y45" s="53">
        <v>2.0058905620054877E-2</v>
      </c>
      <c r="Z45" s="27">
        <v>0</v>
      </c>
      <c r="AA45" s="53">
        <v>0</v>
      </c>
      <c r="AB45" s="27">
        <v>0</v>
      </c>
      <c r="AC45" s="54">
        <v>0</v>
      </c>
      <c r="AD45" s="23">
        <v>26209.27</v>
      </c>
      <c r="AE45" s="54">
        <v>2.1035914322227241E-2</v>
      </c>
      <c r="AF45" s="21"/>
      <c r="AH45" s="23">
        <v>5712.24</v>
      </c>
      <c r="AI45" s="53">
        <v>3.2119340377886829E-2</v>
      </c>
      <c r="AJ45" s="23">
        <v>19202.689999999999</v>
      </c>
      <c r="AK45" s="53">
        <v>2.0058842309821492E-2</v>
      </c>
      <c r="AL45" s="23">
        <v>1294.3399999999999</v>
      </c>
      <c r="AM45" s="53">
        <v>2.0058905620054877E-2</v>
      </c>
      <c r="AN45" s="23">
        <v>0</v>
      </c>
      <c r="AO45" s="53">
        <v>0</v>
      </c>
      <c r="AP45" s="32">
        <v>0</v>
      </c>
      <c r="AQ45" s="54">
        <v>0</v>
      </c>
      <c r="AR45" s="23">
        <v>26209.27</v>
      </c>
      <c r="AS45" s="53">
        <v>2.1035914322227241E-2</v>
      </c>
      <c r="AT45" s="21"/>
      <c r="AV45" s="29">
        <f t="shared" si="22"/>
        <v>0</v>
      </c>
      <c r="AW45" s="55">
        <f t="shared" si="23"/>
        <v>0</v>
      </c>
      <c r="AX45" s="29">
        <f t="shared" si="24"/>
        <v>0</v>
      </c>
      <c r="AY45" s="55">
        <f t="shared" si="25"/>
        <v>0</v>
      </c>
      <c r="AZ45" s="29">
        <f t="shared" si="26"/>
        <v>0</v>
      </c>
      <c r="BA45" s="55">
        <f t="shared" si="27"/>
        <v>0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0</v>
      </c>
      <c r="BG45" s="55">
        <f t="shared" si="33"/>
        <v>0</v>
      </c>
      <c r="BH45" s="57"/>
    </row>
    <row r="46" spans="1:61" outlineLevel="1">
      <c r="B46" s="26" t="s">
        <v>48</v>
      </c>
      <c r="E46" s="69" t="s">
        <v>48</v>
      </c>
      <c r="F46" s="27">
        <v>11462.29</v>
      </c>
      <c r="G46" s="53">
        <v>3.8913696412269702E-2</v>
      </c>
      <c r="H46" s="27">
        <v>35420.25</v>
      </c>
      <c r="I46" s="53">
        <v>3.2714122417949659E-2</v>
      </c>
      <c r="J46" s="27">
        <v>4180.76</v>
      </c>
      <c r="K46" s="53">
        <v>3.4414719446725084E-2</v>
      </c>
      <c r="L46" s="27">
        <v>0</v>
      </c>
      <c r="M46" s="53">
        <v>0</v>
      </c>
      <c r="N46" s="27">
        <v>0</v>
      </c>
      <c r="O46" s="54">
        <v>0</v>
      </c>
      <c r="P46" s="23">
        <v>51063.3</v>
      </c>
      <c r="Q46" s="54">
        <v>3.1991283796856097E-2</v>
      </c>
      <c r="R46" s="21"/>
      <c r="T46" s="27">
        <v>5159.2299999999996</v>
      </c>
      <c r="U46" s="53">
        <v>2.9009821796318967E-2</v>
      </c>
      <c r="V46" s="27">
        <v>32423.869999999995</v>
      </c>
      <c r="W46" s="53">
        <v>3.3869488879118066E-2</v>
      </c>
      <c r="X46" s="27">
        <v>5903.55</v>
      </c>
      <c r="Y46" s="53">
        <v>9.1489679893439882E-2</v>
      </c>
      <c r="Z46" s="27">
        <v>0</v>
      </c>
      <c r="AA46" s="53">
        <v>0</v>
      </c>
      <c r="AB46" s="27">
        <v>0</v>
      </c>
      <c r="AC46" s="54">
        <v>0</v>
      </c>
      <c r="AD46" s="23">
        <v>43486.649999999994</v>
      </c>
      <c r="AE46" s="54">
        <v>3.4902973015298905E-2</v>
      </c>
      <c r="AF46" s="21"/>
      <c r="AH46" s="23">
        <v>5159.2299999999996</v>
      </c>
      <c r="AI46" s="53">
        <v>2.9009821796318967E-2</v>
      </c>
      <c r="AJ46" s="23">
        <v>32423.87</v>
      </c>
      <c r="AK46" s="53">
        <v>3.3869488879118066E-2</v>
      </c>
      <c r="AL46" s="23">
        <v>5903.5499999999993</v>
      </c>
      <c r="AM46" s="53">
        <v>9.1489679893439868E-2</v>
      </c>
      <c r="AN46" s="23">
        <v>0</v>
      </c>
      <c r="AO46" s="53">
        <v>0</v>
      </c>
      <c r="AP46" s="32">
        <v>0</v>
      </c>
      <c r="AQ46" s="54">
        <v>0</v>
      </c>
      <c r="AR46" s="23">
        <v>43486.649999999994</v>
      </c>
      <c r="AS46" s="53">
        <v>3.4902973015298905E-2</v>
      </c>
      <c r="AT46" s="21"/>
      <c r="AV46" s="29">
        <f t="shared" si="22"/>
        <v>0</v>
      </c>
      <c r="AW46" s="55">
        <f t="shared" si="23"/>
        <v>0</v>
      </c>
      <c r="AX46" s="29">
        <f t="shared" si="24"/>
        <v>0</v>
      </c>
      <c r="AY46" s="55">
        <f t="shared" si="25"/>
        <v>0</v>
      </c>
      <c r="AZ46" s="29">
        <f t="shared" si="26"/>
        <v>0</v>
      </c>
      <c r="BA46" s="55">
        <f t="shared" si="27"/>
        <v>-1.3877787807814457E-15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0</v>
      </c>
      <c r="BG46" s="55">
        <f t="shared" si="33"/>
        <v>0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1531.75</v>
      </c>
      <c r="G47" s="53">
        <v>5.2001872644553675E-3</v>
      </c>
      <c r="H47" s="23">
        <v>57378.05</v>
      </c>
      <c r="I47" s="53">
        <v>5.2994333800671554E-2</v>
      </c>
      <c r="J47" s="23">
        <v>5202.239999999998</v>
      </c>
      <c r="K47" s="53">
        <v>4.2823225943256972E-2</v>
      </c>
      <c r="L47" s="23">
        <v>0</v>
      </c>
      <c r="M47" s="53">
        <v>0</v>
      </c>
      <c r="N47" s="32">
        <v>0</v>
      </c>
      <c r="O47" s="54">
        <v>0</v>
      </c>
      <c r="P47" s="23">
        <v>64112.04</v>
      </c>
      <c r="Q47" s="54">
        <v>4.0166351693591874E-2</v>
      </c>
      <c r="R47" s="21"/>
      <c r="T47" s="23">
        <v>1397.76</v>
      </c>
      <c r="U47" s="53">
        <v>7.8594612982989323E-3</v>
      </c>
      <c r="V47" s="23">
        <v>71283.239999999991</v>
      </c>
      <c r="W47" s="53">
        <v>7.4461404651804494E-2</v>
      </c>
      <c r="X47" s="23">
        <v>9808.0499999999993</v>
      </c>
      <c r="Y47" s="53">
        <v>0.15199928092060758</v>
      </c>
      <c r="Z47" s="23">
        <v>0</v>
      </c>
      <c r="AA47" s="53">
        <v>0</v>
      </c>
      <c r="AB47" s="23">
        <v>0</v>
      </c>
      <c r="AC47" s="54">
        <v>0</v>
      </c>
      <c r="AD47" s="23">
        <v>82489.049999999988</v>
      </c>
      <c r="AE47" s="54">
        <v>6.6206826375626582E-2</v>
      </c>
      <c r="AF47" s="21"/>
      <c r="AH47" s="23">
        <v>1397.76</v>
      </c>
      <c r="AI47" s="53">
        <v>7.8594612982989323E-3</v>
      </c>
      <c r="AJ47" s="23">
        <v>71283.67</v>
      </c>
      <c r="AK47" s="53">
        <v>7.4461853823362928E-2</v>
      </c>
      <c r="AL47" s="23">
        <v>9808.0499999999993</v>
      </c>
      <c r="AM47" s="53">
        <v>0.15199928092060758</v>
      </c>
      <c r="AN47" s="23">
        <v>0</v>
      </c>
      <c r="AO47" s="53">
        <v>0</v>
      </c>
      <c r="AP47" s="32">
        <v>0</v>
      </c>
      <c r="AQ47" s="54">
        <v>0</v>
      </c>
      <c r="AR47" s="23">
        <v>82489.48</v>
      </c>
      <c r="AS47" s="53">
        <v>6.6207171499438069E-2</v>
      </c>
      <c r="AT47" s="21"/>
      <c r="AV47" s="29">
        <f t="shared" si="22"/>
        <v>0</v>
      </c>
      <c r="AW47" s="55">
        <f t="shared" si="23"/>
        <v>0</v>
      </c>
      <c r="AX47" s="29">
        <f t="shared" si="24"/>
        <v>0.430000000007567</v>
      </c>
      <c r="AY47" s="55">
        <f t="shared" si="25"/>
        <v>4.4917155843371415E-5</v>
      </c>
      <c r="AZ47" s="29">
        <f t="shared" si="26"/>
        <v>0</v>
      </c>
      <c r="BA47" s="55">
        <f t="shared" si="27"/>
        <v>0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0.430000000007567</v>
      </c>
      <c r="BG47" s="55">
        <f t="shared" si="33"/>
        <v>3.4512381148765758E-5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5450.26</v>
      </c>
      <c r="G48" s="53">
        <v>1.8503262699507434E-2</v>
      </c>
      <c r="H48" s="23">
        <v>36276.720000000001</v>
      </c>
      <c r="I48" s="53">
        <v>3.3505157614688856E-2</v>
      </c>
      <c r="J48" s="23">
        <v>14206.45</v>
      </c>
      <c r="K48" s="53">
        <v>0.11694308955403505</v>
      </c>
      <c r="L48" s="23">
        <v>0</v>
      </c>
      <c r="M48" s="53">
        <v>0</v>
      </c>
      <c r="N48" s="32">
        <v>0</v>
      </c>
      <c r="O48" s="54">
        <v>0</v>
      </c>
      <c r="P48" s="23">
        <v>55933.430000000008</v>
      </c>
      <c r="Q48" s="54">
        <v>3.5042432292107732E-2</v>
      </c>
      <c r="R48" s="21"/>
      <c r="T48" s="23">
        <v>1784.61</v>
      </c>
      <c r="U48" s="53">
        <v>1.0034679220722625E-2</v>
      </c>
      <c r="V48" s="23">
        <v>41099.1</v>
      </c>
      <c r="W48" s="53">
        <v>4.2931504178611662E-2</v>
      </c>
      <c r="X48" s="23">
        <v>3834.04</v>
      </c>
      <c r="Y48" s="53">
        <v>5.9417654173953678E-2</v>
      </c>
      <c r="Z48" s="23">
        <v>0</v>
      </c>
      <c r="AA48" s="53">
        <v>0</v>
      </c>
      <c r="AB48" s="23">
        <v>0</v>
      </c>
      <c r="AC48" s="54">
        <v>0</v>
      </c>
      <c r="AD48" s="23">
        <v>46717.75</v>
      </c>
      <c r="AE48" s="54">
        <v>3.7496297543854966E-2</v>
      </c>
      <c r="AF48" s="21"/>
      <c r="AH48" s="23">
        <v>1784.61</v>
      </c>
      <c r="AI48" s="53">
        <v>1.0034679220722625E-2</v>
      </c>
      <c r="AJ48" s="23">
        <v>41098.67</v>
      </c>
      <c r="AK48" s="53">
        <v>4.2931055007053243E-2</v>
      </c>
      <c r="AL48" s="23">
        <v>3834.04</v>
      </c>
      <c r="AM48" s="53">
        <v>5.9417654173953678E-2</v>
      </c>
      <c r="AN48" s="23">
        <v>0</v>
      </c>
      <c r="AO48" s="53">
        <v>0</v>
      </c>
      <c r="AP48" s="23">
        <v>0</v>
      </c>
      <c r="AQ48" s="54">
        <v>0</v>
      </c>
      <c r="AR48" s="23">
        <v>46717.32</v>
      </c>
      <c r="AS48" s="53">
        <v>3.7495952420043485E-2</v>
      </c>
      <c r="AT48" s="21"/>
      <c r="AV48" s="29">
        <f t="shared" si="22"/>
        <v>0</v>
      </c>
      <c r="AW48" s="55">
        <f t="shared" si="23"/>
        <v>0</v>
      </c>
      <c r="AX48" s="29">
        <f t="shared" si="24"/>
        <v>-0.43000000000029104</v>
      </c>
      <c r="AY48" s="55">
        <f t="shared" si="25"/>
        <v>-4.4917155841983636E-5</v>
      </c>
      <c r="AZ48" s="29">
        <f t="shared" si="26"/>
        <v>0</v>
      </c>
      <c r="BA48" s="55">
        <f t="shared" si="27"/>
        <v>0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-0.43000000000029104</v>
      </c>
      <c r="BG48" s="55">
        <f t="shared" si="33"/>
        <v>-3.4512381148071869E-5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139866.38643035394</v>
      </c>
      <c r="I49" s="53">
        <v>0.12918051362818875</v>
      </c>
      <c r="J49" s="23">
        <v>15693.07356964608</v>
      </c>
      <c r="K49" s="53">
        <v>0.12918051362818875</v>
      </c>
      <c r="L49" s="23">
        <v>0</v>
      </c>
      <c r="M49" s="53">
        <v>0</v>
      </c>
      <c r="N49" s="32">
        <v>0</v>
      </c>
      <c r="O49" s="54">
        <v>0</v>
      </c>
      <c r="P49" s="23">
        <v>155559.46000000002</v>
      </c>
      <c r="Q49" s="54">
        <v>9.7458386593613888E-2</v>
      </c>
      <c r="R49" s="21"/>
      <c r="T49" s="23">
        <v>0</v>
      </c>
      <c r="U49" s="53">
        <v>0</v>
      </c>
      <c r="V49" s="23">
        <v>160911.85</v>
      </c>
      <c r="W49" s="53">
        <v>0.16808610798443602</v>
      </c>
      <c r="X49" s="23">
        <v>25333.38</v>
      </c>
      <c r="Y49" s="53">
        <v>0.39260154090655147</v>
      </c>
      <c r="Z49" s="23">
        <v>0</v>
      </c>
      <c r="AA49" s="53">
        <v>0</v>
      </c>
      <c r="AB49" s="23">
        <v>0</v>
      </c>
      <c r="AC49" s="54">
        <v>0</v>
      </c>
      <c r="AD49" s="23">
        <v>186245.23</v>
      </c>
      <c r="AE49" s="54">
        <v>0.14948293871609192</v>
      </c>
      <c r="AF49" s="21"/>
      <c r="AH49" s="23">
        <v>0</v>
      </c>
      <c r="AI49" s="53">
        <v>0</v>
      </c>
      <c r="AJ49" s="23">
        <v>160911.85</v>
      </c>
      <c r="AK49" s="53">
        <v>0.16808610798443602</v>
      </c>
      <c r="AL49" s="23">
        <v>25333.38</v>
      </c>
      <c r="AM49" s="53">
        <v>0.39260154090655147</v>
      </c>
      <c r="AN49" s="23">
        <v>0</v>
      </c>
      <c r="AO49" s="53">
        <v>0</v>
      </c>
      <c r="AP49" s="32">
        <v>0</v>
      </c>
      <c r="AQ49" s="54">
        <v>0</v>
      </c>
      <c r="AR49" s="23">
        <v>186245.23</v>
      </c>
      <c r="AS49" s="53">
        <v>0.14948293871609192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0</v>
      </c>
      <c r="AY49" s="55">
        <f t="shared" si="25"/>
        <v>0</v>
      </c>
      <c r="AZ49" s="29">
        <f t="shared" si="26"/>
        <v>0</v>
      </c>
      <c r="BA49" s="55">
        <f t="shared" si="27"/>
        <v>0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0</v>
      </c>
      <c r="BG49" s="55">
        <f t="shared" si="33"/>
        <v>0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31248.672000000006</v>
      </c>
      <c r="G51" s="36">
        <v>0.10608712006890358</v>
      </c>
      <c r="H51" s="35">
        <v>355013.20243035397</v>
      </c>
      <c r="I51" s="36">
        <v>0.3278899884753762</v>
      </c>
      <c r="J51" s="35">
        <v>60630.125569646087</v>
      </c>
      <c r="K51" s="36">
        <v>0.49908838620228924</v>
      </c>
      <c r="L51" s="35">
        <v>0</v>
      </c>
      <c r="M51" s="36">
        <v>0</v>
      </c>
      <c r="N51" s="37">
        <v>0</v>
      </c>
      <c r="O51" s="70">
        <v>0</v>
      </c>
      <c r="P51" s="35">
        <v>446892.00000000012</v>
      </c>
      <c r="Q51" s="70">
        <v>0.27997894375304017</v>
      </c>
      <c r="R51" s="21"/>
      <c r="T51" s="35">
        <v>11858.869999999999</v>
      </c>
      <c r="U51" s="36">
        <v>6.6681211228364137E-2</v>
      </c>
      <c r="V51" s="35">
        <v>378972.07</v>
      </c>
      <c r="W51" s="36">
        <v>0.39586854716483116</v>
      </c>
      <c r="X51" s="35">
        <v>50212.09</v>
      </c>
      <c r="Y51" s="36">
        <v>0.77815687863753047</v>
      </c>
      <c r="Z51" s="35">
        <v>0</v>
      </c>
      <c r="AA51" s="36">
        <v>0</v>
      </c>
      <c r="AB51" s="37">
        <v>0</v>
      </c>
      <c r="AC51" s="70">
        <v>0</v>
      </c>
      <c r="AD51" s="35">
        <v>441043.03</v>
      </c>
      <c r="AE51" s="70">
        <v>0.35398709660724997</v>
      </c>
      <c r="AF51" s="21"/>
      <c r="AH51" s="35">
        <v>11858.869999999999</v>
      </c>
      <c r="AI51" s="36">
        <v>6.6681211228364137E-2</v>
      </c>
      <c r="AJ51" s="35">
        <v>378972.07</v>
      </c>
      <c r="AK51" s="36">
        <v>0.39586854716483116</v>
      </c>
      <c r="AL51" s="35">
        <v>50212.09</v>
      </c>
      <c r="AM51" s="36">
        <v>0.77815687863753047</v>
      </c>
      <c r="AN51" s="35">
        <v>0</v>
      </c>
      <c r="AO51" s="36">
        <v>0</v>
      </c>
      <c r="AP51" s="37">
        <v>0</v>
      </c>
      <c r="AQ51" s="70">
        <v>0</v>
      </c>
      <c r="AR51" s="35">
        <v>441043.03</v>
      </c>
      <c r="AS51" s="36">
        <v>0.35398709660724997</v>
      </c>
      <c r="AT51" s="21"/>
      <c r="AV51" s="38">
        <f t="shared" si="22"/>
        <v>0</v>
      </c>
      <c r="AW51" s="39">
        <f>(AI51-U51)*100</f>
        <v>0</v>
      </c>
      <c r="AX51" s="38">
        <f t="shared" si="24"/>
        <v>0</v>
      </c>
      <c r="AY51" s="39">
        <f>(AK51-W51)*100</f>
        <v>0</v>
      </c>
      <c r="AZ51" s="38">
        <f t="shared" si="26"/>
        <v>0</v>
      </c>
      <c r="BA51" s="39">
        <f>(AM51-Y51)*100</f>
        <v>0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0</v>
      </c>
      <c r="BG51" s="39">
        <f>(AS51-AE51)*100</f>
        <v>0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136381.17799999996</v>
      </c>
      <c r="G53" s="36">
        <v>0.46300484083370019</v>
      </c>
      <c r="H53" s="35">
        <v>368187.64756964624</v>
      </c>
      <c r="I53" s="36">
        <v>0.34005789838779549</v>
      </c>
      <c r="J53" s="35">
        <v>28502.284430353902</v>
      </c>
      <c r="K53" s="36">
        <v>0.23462196401166055</v>
      </c>
      <c r="L53" s="35">
        <v>56910.080000000002</v>
      </c>
      <c r="M53" s="36">
        <v>1</v>
      </c>
      <c r="N53" s="37">
        <v>-40636.32</v>
      </c>
      <c r="O53" s="70">
        <v>-1.0035170729418506</v>
      </c>
      <c r="P53" s="35">
        <v>549344.87</v>
      </c>
      <c r="Q53" s="70">
        <v>0.34416592030904813</v>
      </c>
      <c r="R53" s="21"/>
      <c r="T53" s="35">
        <v>82048.94</v>
      </c>
      <c r="U53" s="36">
        <v>0.46135278481030456</v>
      </c>
      <c r="V53" s="35">
        <v>251943.74000000005</v>
      </c>
      <c r="W53" s="36">
        <v>0.26317665658335715</v>
      </c>
      <c r="X53" s="35">
        <v>-10984.880000000005</v>
      </c>
      <c r="Y53" s="36">
        <v>-0.17023708698458559</v>
      </c>
      <c r="Z53" s="35">
        <v>46240.52</v>
      </c>
      <c r="AA53" s="36">
        <v>1</v>
      </c>
      <c r="AB53" s="37">
        <v>45644.97</v>
      </c>
      <c r="AC53" s="70">
        <v>0</v>
      </c>
      <c r="AD53" s="35">
        <v>414893.28999999992</v>
      </c>
      <c r="AE53" s="70">
        <v>0.33299896186757499</v>
      </c>
      <c r="AF53" s="21"/>
      <c r="AH53" s="35">
        <v>82048.94</v>
      </c>
      <c r="AI53" s="36">
        <v>0.46135278481030456</v>
      </c>
      <c r="AJ53" s="35">
        <v>251943.74000000005</v>
      </c>
      <c r="AK53" s="36">
        <v>0.26317665658335715</v>
      </c>
      <c r="AL53" s="35">
        <v>-10984.880000000005</v>
      </c>
      <c r="AM53" s="36">
        <v>-0.17023708698458559</v>
      </c>
      <c r="AN53" s="35">
        <v>46240.52</v>
      </c>
      <c r="AO53" s="36">
        <v>1</v>
      </c>
      <c r="AP53" s="37">
        <v>45644.97</v>
      </c>
      <c r="AQ53" s="70">
        <v>0</v>
      </c>
      <c r="AR53" s="35">
        <v>414893.28999999992</v>
      </c>
      <c r="AS53" s="36">
        <v>0.33299896186757499</v>
      </c>
      <c r="AT53" s="21"/>
      <c r="AV53" s="38">
        <f t="shared" ref="AV53" si="34">AH53-T53</f>
        <v>0</v>
      </c>
      <c r="AW53" s="39">
        <f>(AI53-U53)*100</f>
        <v>0</v>
      </c>
      <c r="AX53" s="38">
        <f t="shared" ref="AX53" si="35">AJ53-V53</f>
        <v>0</v>
      </c>
      <c r="AY53" s="39">
        <f>(AK53-W53)*100</f>
        <v>0</v>
      </c>
      <c r="AZ53" s="38">
        <f t="shared" ref="AZ53" si="36">AL53-X53</f>
        <v>0</v>
      </c>
      <c r="BA53" s="39">
        <f>(AM53-Y53)*100</f>
        <v>0</v>
      </c>
      <c r="BB53" s="38">
        <f>AN53-Z53</f>
        <v>0</v>
      </c>
      <c r="BC53" s="39">
        <f>(AO53-AA53)*100</f>
        <v>0</v>
      </c>
      <c r="BD53" s="38">
        <f t="shared" ref="BD53" si="37">AP53-AB53</f>
        <v>0</v>
      </c>
      <c r="BE53" s="39">
        <f>(AQ53-AC53)*100</f>
        <v>0</v>
      </c>
      <c r="BF53" s="38">
        <f t="shared" ref="BF53" si="38">AR53-AD53</f>
        <v>0</v>
      </c>
      <c r="BG53" s="39">
        <f>(AS53-AE53)*100</f>
        <v>0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-1.6520560233956316E-3</v>
      </c>
      <c r="AJ54" s="92"/>
      <c r="AK54" s="92">
        <f>+AK53-I53</f>
        <v>-7.6881241804438338E-2</v>
      </c>
      <c r="AL54" s="92"/>
      <c r="AM54" s="92">
        <f>+AM53-K53</f>
        <v>-0.40485905099624614</v>
      </c>
      <c r="AN54" s="92"/>
      <c r="AO54" s="92">
        <f>+AO53-M53</f>
        <v>0</v>
      </c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311388.78000000003</v>
      </c>
      <c r="Q56" s="53">
        <v>0.19508584114494731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320839.76999999996</v>
      </c>
      <c r="AE56" s="53">
        <v>0.25751033557527897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320839.76999999996</v>
      </c>
      <c r="AS56" s="53">
        <v>0.25751033557527897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0</v>
      </c>
      <c r="BG56" s="55">
        <f t="shared" ref="BG56:BG78" si="40">(AS56-AE56)*100</f>
        <v>0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204890.76</v>
      </c>
      <c r="Q57" s="53">
        <v>0.12836456810495073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228343.66</v>
      </c>
      <c r="AE57" s="53">
        <v>0.18327170759749459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228343.66</v>
      </c>
      <c r="AS57" s="53">
        <v>0.18327170759749459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0</v>
      </c>
      <c r="BG57" s="55">
        <f t="shared" si="40"/>
        <v>0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12087.5</v>
      </c>
      <c r="Q58" s="53">
        <v>7.5728486583220836E-3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41458.629999999997</v>
      </c>
      <c r="AE58" s="53">
        <v>3.3275256754458242E-2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41458.629999999997</v>
      </c>
      <c r="AS58" s="53">
        <v>3.3275256754458242E-2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0</v>
      </c>
      <c r="BG58" s="55">
        <f t="shared" si="40"/>
        <v>0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45848.32</v>
      </c>
      <c r="Q59" s="53">
        <v>2.8724085923335804E-2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51037.479999999996</v>
      </c>
      <c r="AE59" s="53">
        <v>4.0963371223326182E-2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51037.479999999996</v>
      </c>
      <c r="AS59" s="53">
        <v>4.0963371223326182E-2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0</v>
      </c>
      <c r="BG59" s="55">
        <f t="shared" si="40"/>
        <v>0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48562.2</v>
      </c>
      <c r="Q60" s="53">
        <v>3.0424338458338668E-2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6973.77</v>
      </c>
      <c r="Q61" s="53">
        <v>4.3690841603265191E-3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70499.5</v>
      </c>
      <c r="AE61" s="53">
        <v>5.6583851505969424E-2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70499.5</v>
      </c>
      <c r="AS61" s="53">
        <v>5.6583851505969424E-2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0</v>
      </c>
      <c r="BG61" s="55">
        <f t="shared" si="40"/>
        <v>0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5298</v>
      </c>
      <c r="Q62" s="53">
        <v>3.3192101089381922E-3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-2916.67</v>
      </c>
      <c r="Q64" s="53">
        <v>-1.8273009717698673E-3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272.81</v>
      </c>
      <c r="Q66" s="53">
        <v>1.7091614001876713E-4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1740</v>
      </c>
      <c r="Q67" s="53">
        <v>1.0901143053137891E-3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2579.63</v>
      </c>
      <c r="Q68" s="53">
        <v>1.6161445778256377E-3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55464.179999999993</v>
      </c>
      <c r="Q70" s="53">
        <v>3.4748446006033877E-2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81730.590000000011</v>
      </c>
      <c r="AE70" s="53">
        <v>6.5598076128983468E-2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81730.59</v>
      </c>
      <c r="AS70" s="53">
        <v>6.5598076128983454E-2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0</v>
      </c>
      <c r="BG70" s="55">
        <f t="shared" si="40"/>
        <v>-1.3877787807814457E-15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8270.880000000001</v>
      </c>
      <c r="Q71" s="53">
        <v>5.1817267847894897E-3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4505.18</v>
      </c>
      <c r="AE71" s="53">
        <v>3.6159183558417203E-3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4505.18</v>
      </c>
      <c r="AS71" s="53">
        <v>3.6159183558417203E-3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0</v>
      </c>
      <c r="BG71" s="55">
        <f t="shared" si="40"/>
        <v>0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33915.440000000002</v>
      </c>
      <c r="Q72" s="53">
        <v>2.1248107077592813E-2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24651.739999999998</v>
      </c>
      <c r="AE72" s="53">
        <v>1.978581969409381E-2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24651.739999999994</v>
      </c>
      <c r="AS72" s="53">
        <v>1.9785819694093806E-2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0</v>
      </c>
      <c r="BG72" s="55">
        <f t="shared" si="40"/>
        <v>-3.4694469519536142E-16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44201.07</v>
      </c>
      <c r="Q73" s="53">
        <v>2.7692079722515035E-2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5126.6699999999992</v>
      </c>
      <c r="AE73" s="53">
        <v>4.1147346293251476E-3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5126.67</v>
      </c>
      <c r="AS73" s="53">
        <v>4.1147346293251476E-3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0</v>
      </c>
      <c r="BG73" s="55">
        <f t="shared" si="40"/>
        <v>0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3663.7200000000003</v>
      </c>
      <c r="Q74" s="53">
        <v>2.2953296452093309E-3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4317.45</v>
      </c>
      <c r="AE74" s="53">
        <v>3.4652437206568513E-3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4317.45</v>
      </c>
      <c r="AS74" s="53">
        <v>3.4652437206568513E-3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0</v>
      </c>
      <c r="BG74" s="55">
        <f t="shared" si="40"/>
        <v>0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10831.16</v>
      </c>
      <c r="Q75" s="53">
        <v>6.7857485397370687E-3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12141.339999999998</v>
      </c>
      <c r="AE75" s="53">
        <v>9.7448035751102734E-3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12141.339999999997</v>
      </c>
      <c r="AS75" s="53">
        <v>9.7448035751102717E-3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0</v>
      </c>
      <c r="BG75" s="55">
        <f t="shared" si="40"/>
        <v>-1.7347234759768071E-16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474709</v>
      </c>
      <c r="Q76" s="36">
        <v>0.29740636308115143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523812.24</v>
      </c>
      <c r="AE76" s="36">
        <v>0.42041878318525971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523812.24</v>
      </c>
      <c r="AS76" s="36">
        <v>0.42041878318525971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0</v>
      </c>
      <c r="BG76" s="39">
        <f t="shared" si="40"/>
        <v>0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74635.87</v>
      </c>
      <c r="Q78" s="36">
        <v>4.6759557227896702E-2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-108918.95000000007</v>
      </c>
      <c r="AE78" s="36">
        <v>-8.7419821317684693E-2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-108918.95000000007</v>
      </c>
      <c r="AS78" s="36">
        <v>-8.7419821317684693E-2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0</v>
      </c>
      <c r="BG78" s="39">
        <f t="shared" si="40"/>
        <v>0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629" priority="53" operator="greaterThanOrEqual">
      <formula>1</formula>
    </cfRule>
    <cfRule type="cellIs" dxfId="628" priority="52" operator="lessThanOrEqual">
      <formula>-1</formula>
    </cfRule>
  </conditionalFormatting>
  <conditionalFormatting sqref="U33:U34 Y33:Y34 AA33:AA34 AC33:AC34">
    <cfRule type="cellIs" dxfId="627" priority="49" operator="greaterThanOrEqual">
      <formula>0.0001</formula>
    </cfRule>
    <cfRule type="cellIs" dxfId="626" priority="48" operator="lessThanOrEqual">
      <formula>-0.0001</formula>
    </cfRule>
  </conditionalFormatting>
  <conditionalFormatting sqref="AB33:AB34">
    <cfRule type="cellIs" dxfId="625" priority="51" operator="greaterThanOrEqual">
      <formula>1</formula>
    </cfRule>
    <cfRule type="cellIs" dxfId="624" priority="50" operator="lessThanOrEqual">
      <formula>-1</formula>
    </cfRule>
  </conditionalFormatting>
  <conditionalFormatting sqref="AD33:AD34">
    <cfRule type="cellIs" dxfId="623" priority="47" operator="greaterThanOrEqual">
      <formula>1</formula>
    </cfRule>
    <cfRule type="cellIs" dxfId="622" priority="46" operator="lessThanOrEqual">
      <formula>-1</formula>
    </cfRule>
  </conditionalFormatting>
  <conditionalFormatting sqref="AE33:AE34">
    <cfRule type="cellIs" dxfId="621" priority="45" operator="greaterThanOrEqual">
      <formula>0.0001</formula>
    </cfRule>
    <cfRule type="cellIs" dxfId="620" priority="44" operator="lessThanOrEqual">
      <formula>-0.0001</formula>
    </cfRule>
  </conditionalFormatting>
  <conditionalFormatting sqref="AH33:AH34 AJ33:AJ34 AL33:AL34 AN33:AN34">
    <cfRule type="cellIs" dxfId="619" priority="63" operator="greaterThanOrEqual">
      <formula>1</formula>
    </cfRule>
    <cfRule type="cellIs" dxfId="618" priority="62" operator="lessThanOrEqual">
      <formula>-1</formula>
    </cfRule>
  </conditionalFormatting>
  <conditionalFormatting sqref="AI33:AI34 AM33:AM34 AO33:AO34 AQ33:AQ34">
    <cfRule type="cellIs" dxfId="617" priority="59" operator="greaterThanOrEqual">
      <formula>0.0001</formula>
    </cfRule>
    <cfRule type="cellIs" dxfId="616" priority="58" operator="lessThanOrEqual">
      <formula>-0.0001</formula>
    </cfRule>
  </conditionalFormatting>
  <conditionalFormatting sqref="AK33:AK34">
    <cfRule type="cellIs" dxfId="615" priority="43" operator="greaterThanOrEqual">
      <formula>0.0001</formula>
    </cfRule>
    <cfRule type="cellIs" dxfId="614" priority="42" operator="lessThanOrEqual">
      <formula>-0.0001</formula>
    </cfRule>
  </conditionalFormatting>
  <conditionalFormatting sqref="AP33:AP34">
    <cfRule type="cellIs" dxfId="613" priority="60" operator="lessThanOrEqual">
      <formula>-1</formula>
    </cfRule>
    <cfRule type="cellIs" dxfId="612" priority="61" operator="greaterThanOrEqual">
      <formula>1</formula>
    </cfRule>
  </conditionalFormatting>
  <conditionalFormatting sqref="AR33:AR34">
    <cfRule type="cellIs" dxfId="611" priority="56" operator="lessThanOrEqual">
      <formula>-1</formula>
    </cfRule>
    <cfRule type="cellIs" dxfId="610" priority="57" operator="greaterThanOrEqual">
      <formula>1</formula>
    </cfRule>
  </conditionalFormatting>
  <conditionalFormatting sqref="AS33:AS34">
    <cfRule type="cellIs" dxfId="609" priority="55" operator="greaterThanOrEqual">
      <formula>0.0001</formula>
    </cfRule>
    <cfRule type="cellIs" dxfId="608" priority="54" operator="lessThanOrEqual">
      <formula>-0.0001</formula>
    </cfRule>
  </conditionalFormatting>
  <conditionalFormatting sqref="AV27:AV29 AX27:AX29 AZ27:AZ29 BB27:BB29 BF27:BF29 AV40 AX40 AZ40 BB40 BF40">
    <cfRule type="cellIs" dxfId="607" priority="31" operator="greaterThanOrEqual">
      <formula>0.000001</formula>
    </cfRule>
  </conditionalFormatting>
  <conditionalFormatting sqref="AV27:AV29 AX27:AX29 AZ27:AZ29 BB27:BB29 BF27:BF29">
    <cfRule type="cellIs" dxfId="606" priority="30" operator="lessThanOrEqual">
      <formula>-0.000001</formula>
    </cfRule>
  </conditionalFormatting>
  <conditionalFormatting sqref="AV33:AV34 AX33:AX34 AZ33:AZ34 BB33:BB34">
    <cfRule type="cellIs" dxfId="605" priority="41" operator="greaterThanOrEqual">
      <formula>1</formula>
    </cfRule>
    <cfRule type="cellIs" dxfId="604" priority="40" operator="lessThanOrEqual">
      <formula>-1</formula>
    </cfRule>
  </conditionalFormatting>
  <conditionalFormatting sqref="AV36 AX36 AZ36 BB36 BD36 BF36 AX43:AX51 AZ43:AZ51 BD43:BD51 BF43:BF51 AV43:AV52">
    <cfRule type="cellIs" dxfId="603" priority="28" operator="lessThanOrEqual">
      <formula>-0.000001</formula>
    </cfRule>
    <cfRule type="cellIs" dxfId="602" priority="29" operator="greaterThanOrEqual">
      <formula>0.00001</formula>
    </cfRule>
  </conditionalFormatting>
  <conditionalFormatting sqref="AV39 AX39 AZ39 BF39">
    <cfRule type="cellIs" dxfId="601" priority="14" operator="lessThanOrEqual">
      <formula>-0.00001</formula>
    </cfRule>
    <cfRule type="cellIs" dxfId="600" priority="15" operator="greaterThanOrEqual">
      <formula>0.00001</formula>
    </cfRule>
  </conditionalFormatting>
  <conditionalFormatting sqref="AV40:BB40 BD40:BG40">
    <cfRule type="cellIs" dxfId="599" priority="18" operator="lessThanOrEqual">
      <formula>-0.000001</formula>
    </cfRule>
  </conditionalFormatting>
  <conditionalFormatting sqref="AV53:BB53 BD53:BG53 BF78:BG78">
    <cfRule type="cellIs" dxfId="598" priority="21" operator="greaterThanOrEqual">
      <formula>0.000001</formula>
    </cfRule>
    <cfRule type="cellIs" dxfId="597" priority="20" operator="lessThanOrEqual">
      <formula>-0.000001</formula>
    </cfRule>
  </conditionalFormatting>
  <conditionalFormatting sqref="AW29 AY29 BA29 BC29 BE29 BG29">
    <cfRule type="cellIs" dxfId="596" priority="24" operator="lessThanOrEqual">
      <formula>-0.000001</formula>
    </cfRule>
    <cfRule type="cellIs" dxfId="595" priority="25" operator="greaterThanOrEqual">
      <formula>0.000001</formula>
    </cfRule>
  </conditionalFormatting>
  <conditionalFormatting sqref="AW33:AW34 BA33:BA34 BC33:BC34 BE33:BE34">
    <cfRule type="cellIs" dxfId="594" priority="39" operator="greaterThanOrEqual">
      <formula>0.0001</formula>
    </cfRule>
    <cfRule type="cellIs" dxfId="593" priority="38" operator="lessThanOrEqual">
      <formula>-0.0001</formula>
    </cfRule>
  </conditionalFormatting>
  <conditionalFormatting sqref="AW36 AY36 BA36 BG36">
    <cfRule type="cellIs" dxfId="592" priority="13" operator="greaterThanOrEqual">
      <formula>0.000001</formula>
    </cfRule>
    <cfRule type="cellIs" dxfId="591" priority="12" operator="lessThanOrEqual">
      <formula>-0.00001</formula>
    </cfRule>
  </conditionalFormatting>
  <conditionalFormatting sqref="AW39 AY39 BA39 BC39 BE39 BG39">
    <cfRule type="cellIs" dxfId="590" priority="17" operator="greaterThanOrEqual">
      <formula>0.000001</formula>
    </cfRule>
    <cfRule type="cellIs" dxfId="589" priority="16" operator="lessThanOrEqual">
      <formula>-0.00001</formula>
    </cfRule>
  </conditionalFormatting>
  <conditionalFormatting sqref="AW40 AY40 BA40 BG40">
    <cfRule type="cellIs" dxfId="588" priority="19" operator="greaterThanOrEqual">
      <formula>0.0000001</formula>
    </cfRule>
  </conditionalFormatting>
  <conditionalFormatting sqref="AW43:AW51 AY43:AY51 BA43:BA51 BG43:BG51 BG56:BG76">
    <cfRule type="cellIs" dxfId="587" priority="23" operator="greaterThanOrEqual">
      <formula>0.000001</formula>
    </cfRule>
    <cfRule type="cellIs" dxfId="586" priority="22" operator="lessThanOrEqual">
      <formula>-0.0000001</formula>
    </cfRule>
  </conditionalFormatting>
  <conditionalFormatting sqref="AY33:AY34">
    <cfRule type="cellIs" dxfId="585" priority="33" operator="greaterThanOrEqual">
      <formula>0.0001</formula>
    </cfRule>
    <cfRule type="cellIs" dxfId="584" priority="32" operator="lessThanOrEqual">
      <formula>-0.0001</formula>
    </cfRule>
  </conditionalFormatting>
  <conditionalFormatting sqref="BD27:BD29 BD40">
    <cfRule type="cellIs" dxfId="583" priority="9" operator="greaterThanOrEqual">
      <formula>0.000001</formula>
    </cfRule>
  </conditionalFormatting>
  <conditionalFormatting sqref="BD27:BD29">
    <cfRule type="cellIs" dxfId="582" priority="8" operator="lessThanOrEqual">
      <formula>-0.000001</formula>
    </cfRule>
  </conditionalFormatting>
  <conditionalFormatting sqref="BD33:BD34">
    <cfRule type="cellIs" dxfId="581" priority="11" operator="greaterThanOrEqual">
      <formula>1</formula>
    </cfRule>
    <cfRule type="cellIs" dxfId="580" priority="10" operator="lessThanOrEqual">
      <formula>-1</formula>
    </cfRule>
  </conditionalFormatting>
  <conditionalFormatting sqref="BD39">
    <cfRule type="cellIs" dxfId="579" priority="4" operator="greaterThanOrEqual">
      <formula>0.00001</formula>
    </cfRule>
    <cfRule type="cellIs" dxfId="578" priority="3" operator="lessThanOrEqual">
      <formula>-0.00001</formula>
    </cfRule>
  </conditionalFormatting>
  <conditionalFormatting sqref="BE36">
    <cfRule type="cellIs" dxfId="577" priority="1" operator="lessThanOrEqual">
      <formula>-0.00001</formula>
    </cfRule>
    <cfRule type="cellIs" dxfId="576" priority="2" operator="greaterThanOrEqual">
      <formula>0.000001</formula>
    </cfRule>
  </conditionalFormatting>
  <conditionalFormatting sqref="BE40">
    <cfRule type="cellIs" dxfId="575" priority="5" operator="greaterThanOrEqual">
      <formula>0.0000001</formula>
    </cfRule>
  </conditionalFormatting>
  <conditionalFormatting sqref="BE43:BE51">
    <cfRule type="cellIs" dxfId="574" priority="7" operator="greaterThanOrEqual">
      <formula>0.000001</formula>
    </cfRule>
    <cfRule type="cellIs" dxfId="573" priority="6" operator="lessThanOrEqual">
      <formula>-0.0000001</formula>
    </cfRule>
  </conditionalFormatting>
  <conditionalFormatting sqref="BF33:BF34">
    <cfRule type="cellIs" dxfId="572" priority="36" operator="lessThanOrEqual">
      <formula>-1</formula>
    </cfRule>
    <cfRule type="cellIs" dxfId="571" priority="37" operator="greaterThanOrEqual">
      <formula>1</formula>
    </cfRule>
  </conditionalFormatting>
  <conditionalFormatting sqref="BF56:BF76">
    <cfRule type="cellIs" dxfId="570" priority="27" operator="greaterThanOrEqual">
      <formula>0.00001</formula>
    </cfRule>
    <cfRule type="cellIs" dxfId="569" priority="26" operator="lessThanOrEqual">
      <formula>-0.000001</formula>
    </cfRule>
  </conditionalFormatting>
  <conditionalFormatting sqref="BG33:BG34">
    <cfRule type="cellIs" dxfId="568" priority="34" operator="lessThanOrEqual">
      <formula>-0.0001</formula>
    </cfRule>
    <cfRule type="cellIs" dxfId="567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88D7-CD89-4FF4-B365-C65DBD2ECF17}">
  <sheetPr>
    <tabColor theme="4" tint="0.79998168889431442"/>
  </sheetPr>
  <dimension ref="A1:BI83"/>
  <sheetViews>
    <sheetView topLeftCell="M17" zoomScaleNormal="100" workbookViewId="0">
      <selection activeCell="AH54" sqref="AH54:AQ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97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97</v>
      </c>
      <c r="Q17" s="20"/>
      <c r="R17" s="21"/>
      <c r="T17" s="18" t="s">
        <v>98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98</v>
      </c>
      <c r="AE17" s="20"/>
      <c r="AF17" s="21"/>
      <c r="AH17" s="18" t="s">
        <v>99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99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823502</v>
      </c>
      <c r="G27" s="24"/>
      <c r="H27" s="27">
        <v>1786154</v>
      </c>
      <c r="I27" s="24"/>
      <c r="J27" s="27">
        <v>167469</v>
      </c>
      <c r="K27" s="24"/>
      <c r="L27" s="27">
        <v>56910.080000000002</v>
      </c>
      <c r="M27" s="24"/>
      <c r="N27" s="28">
        <v>0</v>
      </c>
      <c r="O27" s="16"/>
      <c r="P27" s="23">
        <v>2834035.08</v>
      </c>
      <c r="Q27" s="24"/>
      <c r="R27" s="21"/>
      <c r="T27" s="27">
        <v>656647</v>
      </c>
      <c r="U27" s="24"/>
      <c r="V27" s="27">
        <v>2161964</v>
      </c>
      <c r="W27" s="24"/>
      <c r="X27" s="27">
        <v>145387</v>
      </c>
      <c r="Y27" s="24"/>
      <c r="Z27" s="27">
        <v>83240.52</v>
      </c>
      <c r="AA27" s="24"/>
      <c r="AB27" s="28">
        <v>0</v>
      </c>
      <c r="AC27" s="16"/>
      <c r="AD27" s="23">
        <v>3047238.52</v>
      </c>
      <c r="AE27" s="24"/>
      <c r="AF27" s="21"/>
      <c r="AH27" s="27">
        <v>656647</v>
      </c>
      <c r="AI27" s="24"/>
      <c r="AJ27" s="27">
        <v>2161964</v>
      </c>
      <c r="AK27" s="24"/>
      <c r="AL27" s="27">
        <v>145387</v>
      </c>
      <c r="AM27" s="24"/>
      <c r="AN27" s="27">
        <v>83240.52</v>
      </c>
      <c r="AO27" s="24"/>
      <c r="AP27" s="28">
        <v>0</v>
      </c>
      <c r="AQ27" s="16"/>
      <c r="AR27" s="23">
        <v>3047238.52</v>
      </c>
      <c r="AS27" s="24"/>
      <c r="AT27" s="21"/>
      <c r="AV27" s="29">
        <f>AH27-T27</f>
        <v>0</v>
      </c>
      <c r="AW27" s="30"/>
      <c r="AX27" s="29">
        <f t="shared" ref="AX27:AX29" si="0">AJ27-V27</f>
        <v>0</v>
      </c>
      <c r="AY27" s="30"/>
      <c r="AZ27" s="29">
        <f t="shared" ref="AZ27:AZ29" si="1">AL27-X27</f>
        <v>0</v>
      </c>
      <c r="BA27" s="30"/>
      <c r="BB27" s="29">
        <f t="shared" ref="BB27:BB29" si="2">AN27-Z27</f>
        <v>0</v>
      </c>
      <c r="BC27" s="30"/>
      <c r="BD27" s="29">
        <f t="shared" ref="BD27:BD29" si="3">AP27-AB27</f>
        <v>0</v>
      </c>
      <c r="BE27" s="30"/>
      <c r="BF27" s="29">
        <f t="shared" ref="BF27:BF29" si="4">AR27-AD27</f>
        <v>0</v>
      </c>
      <c r="BG27" s="30"/>
    </row>
    <row r="28" spans="3:59">
      <c r="E28" s="26" t="s">
        <v>29</v>
      </c>
      <c r="F28" s="23">
        <v>499035.37</v>
      </c>
      <c r="G28" s="31"/>
      <c r="H28" s="23">
        <v>500880.87999999989</v>
      </c>
      <c r="I28" s="31"/>
      <c r="J28" s="23">
        <v>972.67999999999302</v>
      </c>
      <c r="K28" s="31"/>
      <c r="L28" s="23">
        <v>0</v>
      </c>
      <c r="M28" s="31"/>
      <c r="N28" s="32">
        <v>0</v>
      </c>
      <c r="O28" s="32"/>
      <c r="P28" s="23">
        <v>1000888.9299999999</v>
      </c>
      <c r="Q28" s="31"/>
      <c r="R28" s="21"/>
      <c r="T28" s="23">
        <v>382789.4</v>
      </c>
      <c r="U28" s="31"/>
      <c r="V28" s="23">
        <v>789065.95000000019</v>
      </c>
      <c r="W28" s="31"/>
      <c r="X28" s="23">
        <v>58554.820000000007</v>
      </c>
      <c r="Y28" s="31"/>
      <c r="Z28" s="23">
        <v>0</v>
      </c>
      <c r="AA28" s="31"/>
      <c r="AB28" s="32">
        <v>0</v>
      </c>
      <c r="AC28" s="32"/>
      <c r="AD28" s="23">
        <v>1230410.1700000002</v>
      </c>
      <c r="AE28" s="31"/>
      <c r="AF28" s="21"/>
      <c r="AH28" s="23">
        <v>382789.4</v>
      </c>
      <c r="AI28" s="31"/>
      <c r="AJ28" s="23">
        <v>789065.95000000019</v>
      </c>
      <c r="AK28" s="31"/>
      <c r="AL28" s="23">
        <v>58554.820000000007</v>
      </c>
      <c r="AM28" s="31"/>
      <c r="AN28" s="23">
        <v>0</v>
      </c>
      <c r="AO28" s="31"/>
      <c r="AP28" s="32">
        <v>0</v>
      </c>
      <c r="AQ28" s="32"/>
      <c r="AR28" s="23">
        <v>1230410.1700000002</v>
      </c>
      <c r="AS28" s="31"/>
      <c r="AT28" s="21"/>
      <c r="AV28" s="29">
        <f t="shared" ref="AV28:AV29" si="5">AH28-T28</f>
        <v>0</v>
      </c>
      <c r="AW28" s="33"/>
      <c r="AX28" s="29">
        <f t="shared" si="0"/>
        <v>0</v>
      </c>
      <c r="AY28" s="33"/>
      <c r="AZ28" s="29">
        <f t="shared" si="1"/>
        <v>0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0</v>
      </c>
      <c r="BG28" s="33"/>
    </row>
    <row r="29" spans="3:59" ht="15">
      <c r="C29" s="16" t="s">
        <v>30</v>
      </c>
      <c r="E29" s="34" t="s">
        <v>31</v>
      </c>
      <c r="F29" s="35">
        <v>324466.63</v>
      </c>
      <c r="G29" s="36">
        <v>0.60599169158059119</v>
      </c>
      <c r="H29" s="35">
        <v>1285273.1200000001</v>
      </c>
      <c r="I29" s="36">
        <v>0.28042424113486286</v>
      </c>
      <c r="J29" s="35">
        <v>166496.32000000001</v>
      </c>
      <c r="K29" s="36">
        <v>5.8081197117078043E-3</v>
      </c>
      <c r="L29" s="35">
        <v>56910.080000000002</v>
      </c>
      <c r="M29" s="36">
        <v>0</v>
      </c>
      <c r="N29" s="37">
        <v>0</v>
      </c>
      <c r="O29" s="36">
        <v>0</v>
      </c>
      <c r="P29" s="35">
        <v>1833146.1500000001</v>
      </c>
      <c r="Q29" s="36">
        <v>0.35316744561962155</v>
      </c>
      <c r="R29" s="21"/>
      <c r="T29" s="35">
        <v>273857.59999999998</v>
      </c>
      <c r="U29" s="36">
        <v>0.58294547907779981</v>
      </c>
      <c r="V29" s="35">
        <v>1372898.0499999998</v>
      </c>
      <c r="W29" s="36">
        <v>0.36497645196682282</v>
      </c>
      <c r="X29" s="35">
        <v>86832.18</v>
      </c>
      <c r="Y29" s="36">
        <v>0.40275141518842816</v>
      </c>
      <c r="Z29" s="35">
        <v>83240.52</v>
      </c>
      <c r="AA29" s="36">
        <v>0</v>
      </c>
      <c r="AB29" s="37">
        <v>0</v>
      </c>
      <c r="AC29" s="36">
        <v>0</v>
      </c>
      <c r="AD29" s="35">
        <v>1816828.3499999999</v>
      </c>
      <c r="AE29" s="36">
        <v>0.40377875309872369</v>
      </c>
      <c r="AF29" s="21"/>
      <c r="AH29" s="35">
        <v>273857.59999999998</v>
      </c>
      <c r="AI29" s="36">
        <v>0.58294547907779981</v>
      </c>
      <c r="AJ29" s="35">
        <v>1372898.0499999998</v>
      </c>
      <c r="AK29" s="36">
        <v>0.36497645196682282</v>
      </c>
      <c r="AL29" s="35">
        <v>86832.18</v>
      </c>
      <c r="AM29" s="36">
        <v>0.40275141518842816</v>
      </c>
      <c r="AN29" s="35">
        <v>83240.52</v>
      </c>
      <c r="AO29" s="36">
        <v>0</v>
      </c>
      <c r="AP29" s="37">
        <v>0</v>
      </c>
      <c r="AQ29" s="36">
        <v>0</v>
      </c>
      <c r="AR29" s="35">
        <v>1816828.3499999999</v>
      </c>
      <c r="AS29" s="36">
        <v>0.40377875309872369</v>
      </c>
      <c r="AT29" s="21"/>
      <c r="AV29" s="38">
        <f t="shared" si="5"/>
        <v>0</v>
      </c>
      <c r="AW29" s="39">
        <f>(AI29-U29)*100</f>
        <v>0</v>
      </c>
      <c r="AX29" s="38">
        <f t="shared" si="0"/>
        <v>0</v>
      </c>
      <c r="AY29" s="39">
        <f>(AK29-W29)*100</f>
        <v>0</v>
      </c>
      <c r="AZ29" s="38">
        <f t="shared" si="1"/>
        <v>0</v>
      </c>
      <c r="BA29" s="39">
        <f>(AM29-Y29)*100</f>
        <v>0</v>
      </c>
      <c r="BB29" s="38">
        <f t="shared" si="2"/>
        <v>0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0</v>
      </c>
      <c r="BG29" s="39">
        <f>(AS29-AE29)*100</f>
        <v>0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0</v>
      </c>
      <c r="AI33" s="51">
        <v>0</v>
      </c>
      <c r="AJ33" s="41">
        <v>0</v>
      </c>
      <c r="AK33" s="51">
        <v>0</v>
      </c>
      <c r="AL33" s="41">
        <v>0</v>
      </c>
      <c r="AM33" s="51">
        <v>0</v>
      </c>
      <c r="AN33" s="41">
        <v>0</v>
      </c>
      <c r="AO33" s="51">
        <v>0</v>
      </c>
      <c r="AP33" s="41">
        <v>0</v>
      </c>
      <c r="AQ33" s="51">
        <v>0</v>
      </c>
      <c r="AR33" s="41">
        <v>0</v>
      </c>
      <c r="AS33" s="51">
        <v>0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-50609.030000000028</v>
      </c>
      <c r="U34" s="51">
        <v>-0.15597607063629326</v>
      </c>
      <c r="V34" s="41">
        <v>87624.929999999702</v>
      </c>
      <c r="W34" s="51">
        <v>6.817611652844624E-2</v>
      </c>
      <c r="X34" s="41">
        <v>-79664.140000000014</v>
      </c>
      <c r="Y34" s="51">
        <v>-0.478473878581821</v>
      </c>
      <c r="Z34" s="41">
        <v>26330.440000000002</v>
      </c>
      <c r="AA34" s="51">
        <v>0.46266742201030109</v>
      </c>
      <c r="AB34" s="41">
        <v>0</v>
      </c>
      <c r="AC34" s="51">
        <v>0</v>
      </c>
      <c r="AD34" s="41">
        <v>-16317.800000000279</v>
      </c>
      <c r="AE34" s="51">
        <v>-8.9015270277278402E-3</v>
      </c>
      <c r="AF34" s="49"/>
      <c r="AH34" s="41">
        <v>-50609.030000000028</v>
      </c>
      <c r="AI34" s="51">
        <v>-0.15597607063629326</v>
      </c>
      <c r="AJ34" s="41">
        <v>87624.929999999702</v>
      </c>
      <c r="AK34" s="51">
        <v>6.817611652844624E-2</v>
      </c>
      <c r="AL34" s="41">
        <v>-79664.140000000014</v>
      </c>
      <c r="AM34" s="51">
        <v>-0.478473878581821</v>
      </c>
      <c r="AN34" s="41">
        <v>26330.440000000002</v>
      </c>
      <c r="AO34" s="51">
        <v>0.46266742201030109</v>
      </c>
      <c r="AP34" s="41">
        <v>0</v>
      </c>
      <c r="AQ34" s="51">
        <v>0</v>
      </c>
      <c r="AR34" s="41">
        <v>-16317.800000000279</v>
      </c>
      <c r="AS34" s="51">
        <v>-8.9015270277278402E-3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150677.72</v>
      </c>
      <c r="G36" s="53">
        <v>0.46438587536721421</v>
      </c>
      <c r="H36" s="23">
        <v>360073.82</v>
      </c>
      <c r="I36" s="53">
        <v>0.28015354432993977</v>
      </c>
      <c r="J36" s="23">
        <v>32688.63</v>
      </c>
      <c r="K36" s="53">
        <v>0.19633244746790801</v>
      </c>
      <c r="L36" s="23">
        <v>0</v>
      </c>
      <c r="M36" s="53">
        <v>0</v>
      </c>
      <c r="N36" s="32">
        <v>0</v>
      </c>
      <c r="O36" s="54">
        <v>0</v>
      </c>
      <c r="P36" s="23">
        <v>543440.17000000004</v>
      </c>
      <c r="Q36" s="54">
        <v>0.29645217867653378</v>
      </c>
      <c r="R36" s="21"/>
      <c r="T36" s="23">
        <v>129572.95</v>
      </c>
      <c r="U36" s="53">
        <v>0.47313987269296165</v>
      </c>
      <c r="V36" s="23">
        <v>473867.93</v>
      </c>
      <c r="W36" s="53">
        <v>0.34515886303429455</v>
      </c>
      <c r="X36" s="23">
        <v>34996.57</v>
      </c>
      <c r="Y36" s="53">
        <v>0.40303686951081963</v>
      </c>
      <c r="Z36" s="23">
        <v>0</v>
      </c>
      <c r="AA36" s="53">
        <v>0</v>
      </c>
      <c r="AB36" s="32">
        <v>-95093.68</v>
      </c>
      <c r="AC36" s="54">
        <v>0</v>
      </c>
      <c r="AD36" s="23">
        <v>543343.77</v>
      </c>
      <c r="AE36" s="54">
        <v>0.29906169727041088</v>
      </c>
      <c r="AF36" s="21"/>
      <c r="AH36" s="23">
        <v>129572.95</v>
      </c>
      <c r="AI36" s="53">
        <v>0.47313987269296165</v>
      </c>
      <c r="AJ36" s="23">
        <v>473867.93</v>
      </c>
      <c r="AK36" s="53">
        <v>0.34515886303429455</v>
      </c>
      <c r="AL36" s="23">
        <v>34996.57</v>
      </c>
      <c r="AM36" s="53">
        <v>0.40303686951081963</v>
      </c>
      <c r="AN36" s="23">
        <v>0</v>
      </c>
      <c r="AO36" s="53">
        <v>0</v>
      </c>
      <c r="AP36" s="32">
        <v>-95093.68</v>
      </c>
      <c r="AQ36" s="54">
        <v>0</v>
      </c>
      <c r="AR36" s="23">
        <v>543343.77</v>
      </c>
      <c r="AS36" s="53">
        <v>0.29906169727041088</v>
      </c>
      <c r="AT36" s="21"/>
      <c r="AV36" s="29">
        <f t="shared" ref="AV36:AV38" si="6">AH36-T36</f>
        <v>0</v>
      </c>
      <c r="AW36" s="55">
        <f t="shared" ref="AW36:AW38" si="7">(AI36-U36)*100</f>
        <v>0</v>
      </c>
      <c r="AX36" s="29">
        <f t="shared" ref="AX36:AX38" si="8">AJ36-V36</f>
        <v>0</v>
      </c>
      <c r="AY36" s="55">
        <f t="shared" ref="AY36:AY38" si="9">(AK36-W36)*100</f>
        <v>0</v>
      </c>
      <c r="AZ36" s="29">
        <f t="shared" ref="AZ36:AZ38" si="10">AL36-X36</f>
        <v>0</v>
      </c>
      <c r="BA36" s="55">
        <f t="shared" ref="BA36:BA38" si="11">(AM36-Y36)*100</f>
        <v>0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0</v>
      </c>
      <c r="BG36" s="55">
        <f t="shared" ref="BG36:BG38" si="17">(AS36-AE36)*100</f>
        <v>0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0.18297189320730248</v>
      </c>
      <c r="G39" s="59">
        <v>5.4653202875647438</v>
      </c>
      <c r="H39" s="58">
        <v>0.20159169925997422</v>
      </c>
      <c r="I39" s="59">
        <v>4.9605217063545473</v>
      </c>
      <c r="J39" s="58">
        <v>0.19519212510972181</v>
      </c>
      <c r="K39" s="59">
        <v>5.1231575015532922</v>
      </c>
      <c r="L39" s="58">
        <v>0</v>
      </c>
      <c r="M39" s="59">
        <v>0</v>
      </c>
      <c r="N39" s="60">
        <v>0</v>
      </c>
      <c r="O39" s="61">
        <v>0</v>
      </c>
      <c r="P39" s="62">
        <v>0.19175491998497068</v>
      </c>
      <c r="Q39" s="61">
        <v>5.2149900512507203</v>
      </c>
      <c r="R39" s="49"/>
      <c r="T39" s="58">
        <v>0.19732512293515389</v>
      </c>
      <c r="U39" s="59">
        <v>5.0677784213448875</v>
      </c>
      <c r="V39" s="58">
        <v>0.21918400583913517</v>
      </c>
      <c r="W39" s="59">
        <v>4.5623766942827295</v>
      </c>
      <c r="X39" s="58">
        <v>0.24071319994222318</v>
      </c>
      <c r="Y39" s="59">
        <v>4.1543214092123888</v>
      </c>
      <c r="Z39" s="58">
        <v>0</v>
      </c>
      <c r="AA39" s="63">
        <v>0</v>
      </c>
      <c r="AB39" s="60">
        <v>0</v>
      </c>
      <c r="AC39" s="61">
        <v>0</v>
      </c>
      <c r="AD39" s="62">
        <v>0.17830693804697639</v>
      </c>
      <c r="AE39" s="61">
        <v>5.6083067263290785</v>
      </c>
      <c r="AF39" s="49"/>
      <c r="AH39" s="58">
        <v>0.19732512293515389</v>
      </c>
      <c r="AI39" s="59">
        <v>5.0677784213448875</v>
      </c>
      <c r="AJ39" s="58">
        <v>0.21918400583913517</v>
      </c>
      <c r="AK39" s="59">
        <v>4.5623766942827295</v>
      </c>
      <c r="AL39" s="58">
        <v>0.24071319994222318</v>
      </c>
      <c r="AM39" s="59">
        <v>4.1543214092123888</v>
      </c>
      <c r="AN39" s="58">
        <v>0</v>
      </c>
      <c r="AO39" s="59">
        <v>0</v>
      </c>
      <c r="AP39" s="60">
        <v>0</v>
      </c>
      <c r="AQ39" s="61">
        <v>0</v>
      </c>
      <c r="AR39" s="62">
        <v>0.17830693804697639</v>
      </c>
      <c r="AS39" s="59">
        <v>5.6083067263290785</v>
      </c>
      <c r="AT39" s="49"/>
      <c r="AV39" s="64">
        <f>(AH39-T39)*100</f>
        <v>0</v>
      </c>
      <c r="AW39" s="65">
        <f>(AI39-U39)</f>
        <v>0</v>
      </c>
      <c r="AX39" s="64">
        <f>(AJ39-V39)*100</f>
        <v>0</v>
      </c>
      <c r="AY39" s="65">
        <f>(AK39-W39)</f>
        <v>0</v>
      </c>
      <c r="AZ39" s="64">
        <f>(AL39-X39)*100</f>
        <v>0</v>
      </c>
      <c r="BA39" s="65">
        <f>(AM39-Y39)</f>
        <v>0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</v>
      </c>
      <c r="BG39" s="65">
        <f>(AS39-AE39)</f>
        <v>0</v>
      </c>
    </row>
    <row r="40" spans="1:61" ht="15">
      <c r="E40" s="34" t="s">
        <v>42</v>
      </c>
      <c r="F40" s="35">
        <v>173788.91</v>
      </c>
      <c r="G40" s="36">
        <v>0.53561412463278579</v>
      </c>
      <c r="H40" s="35">
        <v>925199.3</v>
      </c>
      <c r="I40" s="36">
        <v>0.71984645567006023</v>
      </c>
      <c r="J40" s="35">
        <v>133807.69</v>
      </c>
      <c r="K40" s="36">
        <v>0.80366755253209199</v>
      </c>
      <c r="L40" s="35">
        <v>56910.080000000002</v>
      </c>
      <c r="M40" s="36">
        <v>1</v>
      </c>
      <c r="N40" s="37">
        <v>0</v>
      </c>
      <c r="O40" s="36">
        <v>0</v>
      </c>
      <c r="P40" s="35">
        <v>1289705.98</v>
      </c>
      <c r="Q40" s="36">
        <v>0.70354782132346616</v>
      </c>
      <c r="R40" s="21"/>
      <c r="T40" s="35">
        <v>144284.64999999997</v>
      </c>
      <c r="U40" s="36">
        <v>0.52686012730703835</v>
      </c>
      <c r="V40" s="35">
        <v>899030.11999999988</v>
      </c>
      <c r="W40" s="36">
        <v>0.65484113696570545</v>
      </c>
      <c r="X40" s="35">
        <v>51835.609999999993</v>
      </c>
      <c r="Y40" s="36">
        <v>0.59696313048918037</v>
      </c>
      <c r="Z40" s="35">
        <v>83240.52</v>
      </c>
      <c r="AA40" s="36">
        <v>1</v>
      </c>
      <c r="AB40" s="37">
        <v>95093.68</v>
      </c>
      <c r="AC40" s="36">
        <v>0</v>
      </c>
      <c r="AD40" s="35">
        <v>1273484.5799999998</v>
      </c>
      <c r="AE40" s="36">
        <v>0.70093830272958912</v>
      </c>
      <c r="AF40" s="21"/>
      <c r="AH40" s="35">
        <v>144284.64999999997</v>
      </c>
      <c r="AI40" s="36">
        <v>0.52686012730703835</v>
      </c>
      <c r="AJ40" s="35">
        <v>899030.11999999988</v>
      </c>
      <c r="AK40" s="36">
        <v>0.65484113696570545</v>
      </c>
      <c r="AL40" s="35">
        <v>51835.609999999993</v>
      </c>
      <c r="AM40" s="36">
        <v>0.59696313048918037</v>
      </c>
      <c r="AN40" s="35">
        <v>83240.52</v>
      </c>
      <c r="AO40" s="36">
        <v>1</v>
      </c>
      <c r="AP40" s="37">
        <v>95093.68</v>
      </c>
      <c r="AQ40" s="36">
        <v>0</v>
      </c>
      <c r="AR40" s="35">
        <v>1273484.5799999998</v>
      </c>
      <c r="AS40" s="36">
        <v>0.70093830272958912</v>
      </c>
      <c r="AT40" s="21"/>
      <c r="AV40" s="38">
        <f t="shared" ref="AV40" si="18">AH40-T40</f>
        <v>0</v>
      </c>
      <c r="AW40" s="39">
        <f>(AI40-U40)*100</f>
        <v>0</v>
      </c>
      <c r="AX40" s="38">
        <f t="shared" ref="AX40" si="19">AJ40-V40</f>
        <v>0</v>
      </c>
      <c r="AY40" s="39">
        <f>(AK40-W40)*100</f>
        <v>0</v>
      </c>
      <c r="AZ40" s="38">
        <f t="shared" ref="AZ40" si="20">AL40-X40</f>
        <v>0</v>
      </c>
      <c r="BA40" s="39">
        <f>(AM40-Y40)*100</f>
        <v>0</v>
      </c>
      <c r="BB40" s="38">
        <f t="shared" si="12"/>
        <v>0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0</v>
      </c>
      <c r="BG40" s="39">
        <f>(AS40-AE40)*100</f>
        <v>0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21350.895000000008</v>
      </c>
      <c r="G43" s="53">
        <v>6.5803053460382066E-2</v>
      </c>
      <c r="H43" s="23">
        <v>163276.06000000006</v>
      </c>
      <c r="I43" s="53">
        <v>0.12703608086038556</v>
      </c>
      <c r="J43" s="23">
        <v>55401.185000000012</v>
      </c>
      <c r="K43" s="53">
        <v>0.33274720426253274</v>
      </c>
      <c r="L43" s="23">
        <v>0</v>
      </c>
      <c r="M43" s="53">
        <v>0</v>
      </c>
      <c r="N43" s="32">
        <v>0</v>
      </c>
      <c r="O43" s="54">
        <v>0</v>
      </c>
      <c r="P43" s="23">
        <v>240028.14000000007</v>
      </c>
      <c r="Q43" s="54">
        <v>0.13093780875027344</v>
      </c>
      <c r="R43" s="21"/>
      <c r="T43" s="23">
        <v>12458.8</v>
      </c>
      <c r="U43" s="53">
        <v>4.5493716442413866E-2</v>
      </c>
      <c r="V43" s="23">
        <v>137967.05000000002</v>
      </c>
      <c r="W43" s="53">
        <v>0.10049329591516284</v>
      </c>
      <c r="X43" s="23">
        <v>15409.25</v>
      </c>
      <c r="Y43" s="53">
        <v>0.17746013056449811</v>
      </c>
      <c r="Z43" s="23">
        <v>0</v>
      </c>
      <c r="AA43" s="53">
        <v>0</v>
      </c>
      <c r="AB43" s="32">
        <v>0</v>
      </c>
      <c r="AC43" s="54">
        <v>0</v>
      </c>
      <c r="AD43" s="23">
        <v>165835.1</v>
      </c>
      <c r="AE43" s="54">
        <v>9.1277252471319056E-2</v>
      </c>
      <c r="AF43" s="21"/>
      <c r="AH43" s="23">
        <v>12458.8</v>
      </c>
      <c r="AI43" s="53">
        <v>4.5493716442413866E-2</v>
      </c>
      <c r="AJ43" s="23">
        <v>137967.05000000002</v>
      </c>
      <c r="AK43" s="53">
        <v>0.10049329591516284</v>
      </c>
      <c r="AL43" s="23">
        <v>15409.25</v>
      </c>
      <c r="AM43" s="53">
        <v>0.17746013056449811</v>
      </c>
      <c r="AN43" s="23">
        <v>0</v>
      </c>
      <c r="AO43" s="53">
        <v>0</v>
      </c>
      <c r="AP43" s="32">
        <v>0</v>
      </c>
      <c r="AQ43" s="54">
        <v>0</v>
      </c>
      <c r="AR43" s="23">
        <v>165835.1</v>
      </c>
      <c r="AS43" s="53">
        <v>9.1277252471319056E-2</v>
      </c>
      <c r="AT43" s="21"/>
      <c r="AV43" s="29">
        <f t="shared" ref="AV43:AV51" si="22">AH43-T43</f>
        <v>0</v>
      </c>
      <c r="AW43" s="55">
        <f t="shared" ref="AW43:AW50" si="23">(AI43-U43)*100</f>
        <v>0</v>
      </c>
      <c r="AX43" s="29">
        <f t="shared" ref="AX43:AX51" si="24">AJ43-V43</f>
        <v>0</v>
      </c>
      <c r="AY43" s="55">
        <f t="shared" ref="AY43:AY50" si="25">(AK43-W43)*100</f>
        <v>0</v>
      </c>
      <c r="AZ43" s="29">
        <f t="shared" ref="AZ43:AZ51" si="26">AL43-X43</f>
        <v>0</v>
      </c>
      <c r="BA43" s="55">
        <f t="shared" ref="BA43:BA50" si="27">(AM43-Y43)*100</f>
        <v>0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0</v>
      </c>
      <c r="BG43" s="55">
        <f t="shared" ref="BG43:BG50" si="33">(AS43-AE43)*100</f>
        <v>0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-7003.9649999999929</v>
      </c>
      <c r="G44" s="53">
        <v>-2.1586087296558025E-2</v>
      </c>
      <c r="H44" s="27">
        <v>107487.57000000005</v>
      </c>
      <c r="I44" s="53">
        <v>8.363013925009187E-2</v>
      </c>
      <c r="J44" s="27">
        <v>49017.785000000011</v>
      </c>
      <c r="K44" s="53">
        <v>0.29440761813834687</v>
      </c>
      <c r="L44" s="27">
        <v>0</v>
      </c>
      <c r="M44" s="53">
        <v>0</v>
      </c>
      <c r="N44" s="27">
        <v>0</v>
      </c>
      <c r="O44" s="54">
        <v>0</v>
      </c>
      <c r="P44" s="23">
        <v>149501.39000000007</v>
      </c>
      <c r="Q44" s="54">
        <v>8.1554539445750168E-2</v>
      </c>
      <c r="R44" s="21"/>
      <c r="T44" s="27">
        <v>-3626.6899999999996</v>
      </c>
      <c r="U44" s="53">
        <v>-1.3242977372181747E-2</v>
      </c>
      <c r="V44" s="27">
        <v>64174.680000000022</v>
      </c>
      <c r="W44" s="53">
        <v>4.6743951599319433E-2</v>
      </c>
      <c r="X44" s="27">
        <v>6363.96</v>
      </c>
      <c r="Y44" s="53">
        <v>7.3290340055956221E-2</v>
      </c>
      <c r="Z44" s="27">
        <v>0</v>
      </c>
      <c r="AA44" s="53">
        <v>0</v>
      </c>
      <c r="AB44" s="27">
        <v>0</v>
      </c>
      <c r="AC44" s="54">
        <v>0</v>
      </c>
      <c r="AD44" s="23">
        <v>66911.950000000026</v>
      </c>
      <c r="AE44" s="54">
        <v>3.6828988275089403E-2</v>
      </c>
      <c r="AF44" s="21"/>
      <c r="AH44" s="23">
        <v>-3626.6899999999996</v>
      </c>
      <c r="AI44" s="53">
        <v>-1.3242977372181747E-2</v>
      </c>
      <c r="AJ44" s="23">
        <v>64174.680000000022</v>
      </c>
      <c r="AK44" s="53">
        <v>4.6743951599319433E-2</v>
      </c>
      <c r="AL44" s="23">
        <v>6363.96</v>
      </c>
      <c r="AM44" s="53">
        <v>7.3290340055956221E-2</v>
      </c>
      <c r="AN44" s="23">
        <v>0</v>
      </c>
      <c r="AO44" s="53">
        <v>0</v>
      </c>
      <c r="AP44" s="32">
        <v>0</v>
      </c>
      <c r="AQ44" s="54">
        <v>0</v>
      </c>
      <c r="AR44" s="23">
        <v>66911.950000000026</v>
      </c>
      <c r="AS44" s="53">
        <v>3.6828988275089403E-2</v>
      </c>
      <c r="AT44" s="21"/>
      <c r="AV44" s="29">
        <f t="shared" si="22"/>
        <v>0</v>
      </c>
      <c r="AW44" s="55">
        <f t="shared" si="23"/>
        <v>0</v>
      </c>
      <c r="AX44" s="29">
        <f t="shared" si="24"/>
        <v>0</v>
      </c>
      <c r="AY44" s="55">
        <f t="shared" si="25"/>
        <v>0</v>
      </c>
      <c r="AZ44" s="29">
        <f t="shared" si="26"/>
        <v>0</v>
      </c>
      <c r="BA44" s="55">
        <f t="shared" si="27"/>
        <v>0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0</v>
      </c>
      <c r="BG44" s="55">
        <f t="shared" si="33"/>
        <v>0</v>
      </c>
      <c r="BH44" s="57"/>
    </row>
    <row r="45" spans="1:61" outlineLevel="1">
      <c r="B45" s="26" t="s">
        <v>47</v>
      </c>
      <c r="E45" s="69" t="s">
        <v>47</v>
      </c>
      <c r="F45" s="27">
        <v>16326.79</v>
      </c>
      <c r="G45" s="53">
        <v>5.0318857134861603E-2</v>
      </c>
      <c r="H45" s="27">
        <v>20495.57</v>
      </c>
      <c r="I45" s="53">
        <v>1.5946470583621943E-2</v>
      </c>
      <c r="J45" s="27">
        <v>2898.62</v>
      </c>
      <c r="K45" s="53">
        <v>1.7409513915983246E-2</v>
      </c>
      <c r="L45" s="27">
        <v>0</v>
      </c>
      <c r="M45" s="53">
        <v>0</v>
      </c>
      <c r="N45" s="27">
        <v>0</v>
      </c>
      <c r="O45" s="54">
        <v>0</v>
      </c>
      <c r="P45" s="23">
        <v>39720.980000000003</v>
      </c>
      <c r="Q45" s="54">
        <v>2.1668201414273489E-2</v>
      </c>
      <c r="R45" s="21"/>
      <c r="T45" s="27">
        <v>6079.74</v>
      </c>
      <c r="U45" s="53">
        <v>2.2200369827238681E-2</v>
      </c>
      <c r="V45" s="27">
        <v>24017.53</v>
      </c>
      <c r="W45" s="53">
        <v>1.7494037521577077E-2</v>
      </c>
      <c r="X45" s="27">
        <v>1519.05</v>
      </c>
      <c r="Y45" s="53">
        <v>1.7494090324577823E-2</v>
      </c>
      <c r="Z45" s="27">
        <v>0</v>
      </c>
      <c r="AA45" s="53">
        <v>0</v>
      </c>
      <c r="AB45" s="27">
        <v>0</v>
      </c>
      <c r="AC45" s="54">
        <v>0</v>
      </c>
      <c r="AD45" s="23">
        <v>31616.319999999996</v>
      </c>
      <c r="AE45" s="54">
        <v>1.7401930127301238E-2</v>
      </c>
      <c r="AF45" s="21"/>
      <c r="AH45" s="23">
        <v>6079.74</v>
      </c>
      <c r="AI45" s="53">
        <v>2.2200369827238681E-2</v>
      </c>
      <c r="AJ45" s="23">
        <v>24017.53</v>
      </c>
      <c r="AK45" s="53">
        <v>1.7494037521577077E-2</v>
      </c>
      <c r="AL45" s="23">
        <v>1519.05</v>
      </c>
      <c r="AM45" s="53">
        <v>1.7494090324577823E-2</v>
      </c>
      <c r="AN45" s="23">
        <v>0</v>
      </c>
      <c r="AO45" s="53">
        <v>0</v>
      </c>
      <c r="AP45" s="32">
        <v>0</v>
      </c>
      <c r="AQ45" s="54">
        <v>0</v>
      </c>
      <c r="AR45" s="23">
        <v>31616.319999999996</v>
      </c>
      <c r="AS45" s="53">
        <v>1.7401930127301238E-2</v>
      </c>
      <c r="AT45" s="21"/>
      <c r="AV45" s="29">
        <f t="shared" si="22"/>
        <v>0</v>
      </c>
      <c r="AW45" s="55">
        <f t="shared" si="23"/>
        <v>0</v>
      </c>
      <c r="AX45" s="29">
        <f t="shared" si="24"/>
        <v>0</v>
      </c>
      <c r="AY45" s="55">
        <f t="shared" si="25"/>
        <v>0</v>
      </c>
      <c r="AZ45" s="29">
        <f t="shared" si="26"/>
        <v>0</v>
      </c>
      <c r="BA45" s="55">
        <f t="shared" si="27"/>
        <v>0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0</v>
      </c>
      <c r="BG45" s="55">
        <f t="shared" si="33"/>
        <v>0</v>
      </c>
      <c r="BH45" s="57"/>
    </row>
    <row r="46" spans="1:61" outlineLevel="1">
      <c r="B46" s="26" t="s">
        <v>48</v>
      </c>
      <c r="E46" s="69" t="s">
        <v>48</v>
      </c>
      <c r="F46" s="27">
        <v>12028.07</v>
      </c>
      <c r="G46" s="53">
        <v>3.7070283622078481E-2</v>
      </c>
      <c r="H46" s="27">
        <v>35292.92</v>
      </c>
      <c r="I46" s="53">
        <v>2.7459471026671744E-2</v>
      </c>
      <c r="J46" s="27">
        <v>3484.7799999999997</v>
      </c>
      <c r="K46" s="53">
        <v>2.0930072208202557E-2</v>
      </c>
      <c r="L46" s="27">
        <v>0</v>
      </c>
      <c r="M46" s="53">
        <v>0</v>
      </c>
      <c r="N46" s="27">
        <v>0</v>
      </c>
      <c r="O46" s="54">
        <v>0</v>
      </c>
      <c r="P46" s="23">
        <v>50805.77</v>
      </c>
      <c r="Q46" s="54">
        <v>2.7715067890249773E-2</v>
      </c>
      <c r="R46" s="21"/>
      <c r="T46" s="27">
        <v>10005.75</v>
      </c>
      <c r="U46" s="53">
        <v>3.6536323987356935E-2</v>
      </c>
      <c r="V46" s="27">
        <v>49774.840000000004</v>
      </c>
      <c r="W46" s="53">
        <v>3.6255306794266341E-2</v>
      </c>
      <c r="X46" s="27">
        <v>7526.24</v>
      </c>
      <c r="Y46" s="53">
        <v>8.6675700183964061E-2</v>
      </c>
      <c r="Z46" s="27">
        <v>0</v>
      </c>
      <c r="AA46" s="53">
        <v>0</v>
      </c>
      <c r="AB46" s="27">
        <v>0</v>
      </c>
      <c r="AC46" s="54">
        <v>0</v>
      </c>
      <c r="AD46" s="23">
        <v>67306.83</v>
      </c>
      <c r="AE46" s="54">
        <v>3.7046334068928419E-2</v>
      </c>
      <c r="AF46" s="21"/>
      <c r="AH46" s="23">
        <v>10005.75</v>
      </c>
      <c r="AI46" s="53">
        <v>3.6536323987356935E-2</v>
      </c>
      <c r="AJ46" s="23">
        <v>49774.840000000004</v>
      </c>
      <c r="AK46" s="53">
        <v>3.6255306794266341E-2</v>
      </c>
      <c r="AL46" s="23">
        <v>7526.24</v>
      </c>
      <c r="AM46" s="53">
        <v>8.6675700183964061E-2</v>
      </c>
      <c r="AN46" s="23">
        <v>0</v>
      </c>
      <c r="AO46" s="53">
        <v>0</v>
      </c>
      <c r="AP46" s="32">
        <v>0</v>
      </c>
      <c r="AQ46" s="54">
        <v>0</v>
      </c>
      <c r="AR46" s="23">
        <v>67306.83</v>
      </c>
      <c r="AS46" s="53">
        <v>3.7046334068928419E-2</v>
      </c>
      <c r="AT46" s="21"/>
      <c r="AV46" s="29">
        <f t="shared" si="22"/>
        <v>0</v>
      </c>
      <c r="AW46" s="55">
        <f t="shared" si="23"/>
        <v>0</v>
      </c>
      <c r="AX46" s="29">
        <f t="shared" si="24"/>
        <v>0</v>
      </c>
      <c r="AY46" s="55">
        <f t="shared" si="25"/>
        <v>0</v>
      </c>
      <c r="AZ46" s="29">
        <f t="shared" si="26"/>
        <v>0</v>
      </c>
      <c r="BA46" s="55">
        <f t="shared" si="27"/>
        <v>0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0</v>
      </c>
      <c r="BG46" s="55">
        <f t="shared" si="33"/>
        <v>0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1572.3500000000004</v>
      </c>
      <c r="G47" s="53">
        <v>4.845952879653604E-3</v>
      </c>
      <c r="H47" s="23">
        <v>48742.679999999993</v>
      </c>
      <c r="I47" s="53">
        <v>3.7923986148562717E-2</v>
      </c>
      <c r="J47" s="23">
        <v>10882.019999999999</v>
      </c>
      <c r="K47" s="53">
        <v>6.5358922047045839E-2</v>
      </c>
      <c r="L47" s="23">
        <v>0</v>
      </c>
      <c r="M47" s="53">
        <v>0</v>
      </c>
      <c r="N47" s="32">
        <v>0</v>
      </c>
      <c r="O47" s="54">
        <v>0</v>
      </c>
      <c r="P47" s="23">
        <v>61197.049999999988</v>
      </c>
      <c r="Q47" s="54">
        <v>3.3383617558261781E-2</v>
      </c>
      <c r="R47" s="21"/>
      <c r="T47" s="23">
        <v>1398.46</v>
      </c>
      <c r="U47" s="53">
        <v>5.1065225138904316E-3</v>
      </c>
      <c r="V47" s="23">
        <v>94388.150000000009</v>
      </c>
      <c r="W47" s="53">
        <v>6.8751026341686491E-2</v>
      </c>
      <c r="X47" s="23">
        <v>5237.8200000000006</v>
      </c>
      <c r="Y47" s="53">
        <v>6.0321185072170262E-2</v>
      </c>
      <c r="Z47" s="23">
        <v>0</v>
      </c>
      <c r="AA47" s="53">
        <v>0</v>
      </c>
      <c r="AB47" s="23">
        <v>0</v>
      </c>
      <c r="AC47" s="54">
        <v>0</v>
      </c>
      <c r="AD47" s="23">
        <v>101024.43000000002</v>
      </c>
      <c r="AE47" s="54">
        <v>5.5604829151856876E-2</v>
      </c>
      <c r="AF47" s="21"/>
      <c r="AH47" s="23">
        <v>1398.46</v>
      </c>
      <c r="AI47" s="53">
        <v>5.1065225138904316E-3</v>
      </c>
      <c r="AJ47" s="23">
        <v>94388.510000000009</v>
      </c>
      <c r="AK47" s="53">
        <v>6.8751288560720172E-2</v>
      </c>
      <c r="AL47" s="23">
        <v>5237.8200000000006</v>
      </c>
      <c r="AM47" s="53">
        <v>6.0321185072170262E-2</v>
      </c>
      <c r="AN47" s="23">
        <v>0</v>
      </c>
      <c r="AO47" s="53">
        <v>0</v>
      </c>
      <c r="AP47" s="32">
        <v>0</v>
      </c>
      <c r="AQ47" s="54">
        <v>0</v>
      </c>
      <c r="AR47" s="23">
        <v>101024.79000000002</v>
      </c>
      <c r="AS47" s="53">
        <v>5.5605027299359365E-2</v>
      </c>
      <c r="AT47" s="21"/>
      <c r="AV47" s="29">
        <f t="shared" si="22"/>
        <v>0</v>
      </c>
      <c r="AW47" s="55">
        <f t="shared" si="23"/>
        <v>0</v>
      </c>
      <c r="AX47" s="29">
        <f t="shared" si="24"/>
        <v>0.36000000000058208</v>
      </c>
      <c r="AY47" s="55">
        <f t="shared" si="25"/>
        <v>2.6221903368095489E-5</v>
      </c>
      <c r="AZ47" s="29">
        <f t="shared" si="26"/>
        <v>0</v>
      </c>
      <c r="BA47" s="55">
        <f t="shared" si="27"/>
        <v>0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0.36000000000058208</v>
      </c>
      <c r="BG47" s="55">
        <f t="shared" si="33"/>
        <v>1.9814750248925428E-5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4275.97</v>
      </c>
      <c r="G48" s="53">
        <v>1.317845844424741E-2</v>
      </c>
      <c r="H48" s="23">
        <v>43239.59</v>
      </c>
      <c r="I48" s="53">
        <v>3.3642335879552197E-2</v>
      </c>
      <c r="J48" s="23">
        <v>13874.289999999999</v>
      </c>
      <c r="K48" s="53">
        <v>8.3330910857369087E-2</v>
      </c>
      <c r="L48" s="23">
        <v>0</v>
      </c>
      <c r="M48" s="53">
        <v>0</v>
      </c>
      <c r="N48" s="32">
        <v>0</v>
      </c>
      <c r="O48" s="54">
        <v>0</v>
      </c>
      <c r="P48" s="23">
        <v>61389.85</v>
      </c>
      <c r="Q48" s="54">
        <v>3.3488791932929078E-2</v>
      </c>
      <c r="R48" s="21"/>
      <c r="T48" s="23">
        <v>2381.4899999999998</v>
      </c>
      <c r="U48" s="53">
        <v>8.6960887702221892E-3</v>
      </c>
      <c r="V48" s="23">
        <v>52563.3</v>
      </c>
      <c r="W48" s="53">
        <v>3.8286382590462568E-2</v>
      </c>
      <c r="X48" s="23">
        <v>5038.8900000000003</v>
      </c>
      <c r="Y48" s="53">
        <v>5.8030214144111095E-2</v>
      </c>
      <c r="Z48" s="23">
        <v>0</v>
      </c>
      <c r="AA48" s="53">
        <v>0</v>
      </c>
      <c r="AB48" s="23">
        <v>0</v>
      </c>
      <c r="AC48" s="54">
        <v>0</v>
      </c>
      <c r="AD48" s="23">
        <v>59983.68</v>
      </c>
      <c r="AE48" s="54">
        <v>3.3015601061046854E-2</v>
      </c>
      <c r="AF48" s="21"/>
      <c r="AH48" s="23">
        <v>2381.4899999999998</v>
      </c>
      <c r="AI48" s="53">
        <v>8.6960887702221892E-3</v>
      </c>
      <c r="AJ48" s="23">
        <v>52562.94</v>
      </c>
      <c r="AK48" s="53">
        <v>3.8286120371428894E-2</v>
      </c>
      <c r="AL48" s="23">
        <v>5038.8900000000003</v>
      </c>
      <c r="AM48" s="53">
        <v>5.8030214144111095E-2</v>
      </c>
      <c r="AN48" s="23">
        <v>0</v>
      </c>
      <c r="AO48" s="53">
        <v>0</v>
      </c>
      <c r="AP48" s="23">
        <v>0</v>
      </c>
      <c r="AQ48" s="54">
        <v>0</v>
      </c>
      <c r="AR48" s="23">
        <v>59983.32</v>
      </c>
      <c r="AS48" s="53">
        <v>3.3015402913544364E-2</v>
      </c>
      <c r="AT48" s="21"/>
      <c r="AV48" s="29">
        <f t="shared" si="22"/>
        <v>0</v>
      </c>
      <c r="AW48" s="55">
        <f t="shared" si="23"/>
        <v>0</v>
      </c>
      <c r="AX48" s="29">
        <f t="shared" si="24"/>
        <v>-0.36000000000058208</v>
      </c>
      <c r="AY48" s="55">
        <f t="shared" si="25"/>
        <v>-2.62219033674016E-5</v>
      </c>
      <c r="AZ48" s="29">
        <f t="shared" si="26"/>
        <v>0</v>
      </c>
      <c r="BA48" s="55">
        <f t="shared" si="27"/>
        <v>0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-0.36000000000058208</v>
      </c>
      <c r="BG48" s="55">
        <f t="shared" si="33"/>
        <v>-1.9814750248925428E-5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227981.66345475795</v>
      </c>
      <c r="I49" s="53">
        <v>0.17737993575619004</v>
      </c>
      <c r="J49" s="23">
        <v>29533.106545242059</v>
      </c>
      <c r="K49" s="53">
        <v>0.17737993575619004</v>
      </c>
      <c r="L49" s="23">
        <v>0</v>
      </c>
      <c r="M49" s="53">
        <v>0</v>
      </c>
      <c r="N49" s="32">
        <v>0</v>
      </c>
      <c r="O49" s="54">
        <v>0</v>
      </c>
      <c r="P49" s="23">
        <v>257514.77000000002</v>
      </c>
      <c r="Q49" s="54">
        <v>0.14047694451421672</v>
      </c>
      <c r="R49" s="21"/>
      <c r="T49" s="23">
        <v>0</v>
      </c>
      <c r="U49" s="53">
        <v>0</v>
      </c>
      <c r="V49" s="23">
        <v>233332.27000000002</v>
      </c>
      <c r="W49" s="53">
        <v>0.16995600656581897</v>
      </c>
      <c r="X49" s="23">
        <v>25243.739999999998</v>
      </c>
      <c r="Y49" s="53">
        <v>0.29071871741559407</v>
      </c>
      <c r="Z49" s="23">
        <v>0</v>
      </c>
      <c r="AA49" s="53">
        <v>0</v>
      </c>
      <c r="AB49" s="23">
        <v>0</v>
      </c>
      <c r="AC49" s="54">
        <v>0</v>
      </c>
      <c r="AD49" s="23">
        <v>258576.01</v>
      </c>
      <c r="AE49" s="54">
        <v>0.14232275162372937</v>
      </c>
      <c r="AF49" s="21"/>
      <c r="AH49" s="23">
        <v>0</v>
      </c>
      <c r="AI49" s="53">
        <v>0</v>
      </c>
      <c r="AJ49" s="23">
        <v>233332.27000000002</v>
      </c>
      <c r="AK49" s="53">
        <v>0.16995600656581897</v>
      </c>
      <c r="AL49" s="23">
        <v>25243.739999999998</v>
      </c>
      <c r="AM49" s="53">
        <v>0.29071871741559407</v>
      </c>
      <c r="AN49" s="23">
        <v>0</v>
      </c>
      <c r="AO49" s="53">
        <v>0</v>
      </c>
      <c r="AP49" s="32">
        <v>0</v>
      </c>
      <c r="AQ49" s="54">
        <v>0</v>
      </c>
      <c r="AR49" s="23">
        <v>258576.01</v>
      </c>
      <c r="AS49" s="53">
        <v>0.14232275162372937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0</v>
      </c>
      <c r="AY49" s="55">
        <f t="shared" si="25"/>
        <v>0</v>
      </c>
      <c r="AZ49" s="29">
        <f t="shared" si="26"/>
        <v>0</v>
      </c>
      <c r="BA49" s="55">
        <f t="shared" si="27"/>
        <v>0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0</v>
      </c>
      <c r="BG49" s="55">
        <f t="shared" si="33"/>
        <v>0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27199.215000000007</v>
      </c>
      <c r="G51" s="36">
        <v>8.3827464784283073E-2</v>
      </c>
      <c r="H51" s="35">
        <v>483239.99345475796</v>
      </c>
      <c r="I51" s="36">
        <v>0.37598233864469049</v>
      </c>
      <c r="J51" s="35">
        <v>109690.60154524207</v>
      </c>
      <c r="K51" s="36">
        <v>0.65881697292313768</v>
      </c>
      <c r="L51" s="35">
        <v>0</v>
      </c>
      <c r="M51" s="36">
        <v>0</v>
      </c>
      <c r="N51" s="37">
        <v>0</v>
      </c>
      <c r="O51" s="70">
        <v>0</v>
      </c>
      <c r="P51" s="35">
        <v>620129.81000000006</v>
      </c>
      <c r="Q51" s="70">
        <v>0.33828716275568099</v>
      </c>
      <c r="R51" s="21"/>
      <c r="T51" s="35">
        <v>16238.75</v>
      </c>
      <c r="U51" s="36">
        <v>5.9296327726526495E-2</v>
      </c>
      <c r="V51" s="35">
        <v>518250.77</v>
      </c>
      <c r="W51" s="36">
        <v>0.37748671141313084</v>
      </c>
      <c r="X51" s="35">
        <v>50929.7</v>
      </c>
      <c r="Y51" s="36">
        <v>0.58653024719637348</v>
      </c>
      <c r="Z51" s="35">
        <v>0</v>
      </c>
      <c r="AA51" s="36">
        <v>0</v>
      </c>
      <c r="AB51" s="37">
        <v>0</v>
      </c>
      <c r="AC51" s="70">
        <v>0</v>
      </c>
      <c r="AD51" s="35">
        <v>585419.22</v>
      </c>
      <c r="AE51" s="70">
        <v>0.32222043430795211</v>
      </c>
      <c r="AF51" s="21"/>
      <c r="AH51" s="35">
        <v>16238.75</v>
      </c>
      <c r="AI51" s="36">
        <v>5.9296327726526495E-2</v>
      </c>
      <c r="AJ51" s="35">
        <v>518250.77</v>
      </c>
      <c r="AK51" s="36">
        <v>0.37748671141313084</v>
      </c>
      <c r="AL51" s="35">
        <v>50929.7</v>
      </c>
      <c r="AM51" s="36">
        <v>0.58653024719637348</v>
      </c>
      <c r="AN51" s="35">
        <v>0</v>
      </c>
      <c r="AO51" s="36">
        <v>0</v>
      </c>
      <c r="AP51" s="37">
        <v>0</v>
      </c>
      <c r="AQ51" s="70">
        <v>0</v>
      </c>
      <c r="AR51" s="35">
        <v>585419.22</v>
      </c>
      <c r="AS51" s="36">
        <v>0.32222043430795211</v>
      </c>
      <c r="AT51" s="21"/>
      <c r="AV51" s="38">
        <f t="shared" si="22"/>
        <v>0</v>
      </c>
      <c r="AW51" s="39">
        <f>(AI51-U51)*100</f>
        <v>0</v>
      </c>
      <c r="AX51" s="38">
        <f t="shared" si="24"/>
        <v>0</v>
      </c>
      <c r="AY51" s="39">
        <f>(AK51-W51)*100</f>
        <v>0</v>
      </c>
      <c r="AZ51" s="38">
        <f t="shared" si="26"/>
        <v>0</v>
      </c>
      <c r="BA51" s="39">
        <f>(AM51-Y51)*100</f>
        <v>0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0</v>
      </c>
      <c r="BG51" s="39">
        <f>(AS51-AE51)*100</f>
        <v>0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146589.69500000001</v>
      </c>
      <c r="G53" s="36">
        <v>0.45178665984850275</v>
      </c>
      <c r="H53" s="35">
        <v>441959.30654524209</v>
      </c>
      <c r="I53" s="36">
        <v>0.34386411702536973</v>
      </c>
      <c r="J53" s="35">
        <v>24117.088454757934</v>
      </c>
      <c r="K53" s="36">
        <v>0.14485057960895431</v>
      </c>
      <c r="L53" s="35">
        <v>56910.080000000002</v>
      </c>
      <c r="M53" s="36">
        <v>1</v>
      </c>
      <c r="N53" s="37">
        <v>0</v>
      </c>
      <c r="O53" s="70">
        <v>0</v>
      </c>
      <c r="P53" s="35">
        <v>669576.16999999993</v>
      </c>
      <c r="Q53" s="70">
        <v>0.36526065856778517</v>
      </c>
      <c r="R53" s="21"/>
      <c r="T53" s="35">
        <v>128045.89999999997</v>
      </c>
      <c r="U53" s="36">
        <v>0.46756379958051181</v>
      </c>
      <c r="V53" s="35">
        <v>380779.34999999986</v>
      </c>
      <c r="W53" s="36">
        <v>0.27735442555257467</v>
      </c>
      <c r="X53" s="35">
        <v>905.90999999999622</v>
      </c>
      <c r="Y53" s="36">
        <v>1.043288329280684E-2</v>
      </c>
      <c r="Z53" s="35">
        <v>83240.52</v>
      </c>
      <c r="AA53" s="36">
        <v>1</v>
      </c>
      <c r="AB53" s="37">
        <v>95093.68</v>
      </c>
      <c r="AC53" s="70">
        <v>0</v>
      </c>
      <c r="AD53" s="35">
        <v>688065.35999999987</v>
      </c>
      <c r="AE53" s="70">
        <v>0.37871786842163702</v>
      </c>
      <c r="AF53" s="21"/>
      <c r="AH53" s="35">
        <v>128045.89999999997</v>
      </c>
      <c r="AI53" s="36">
        <v>0.46756379958051181</v>
      </c>
      <c r="AJ53" s="35">
        <v>380779.34999999986</v>
      </c>
      <c r="AK53" s="36">
        <v>0.27735442555257467</v>
      </c>
      <c r="AL53" s="35">
        <v>905.90999999999622</v>
      </c>
      <c r="AM53" s="36">
        <v>1.043288329280684E-2</v>
      </c>
      <c r="AN53" s="35">
        <v>83240.52</v>
      </c>
      <c r="AO53" s="36">
        <v>1</v>
      </c>
      <c r="AP53" s="37">
        <v>95093.68</v>
      </c>
      <c r="AQ53" s="70">
        <v>0</v>
      </c>
      <c r="AR53" s="35">
        <v>688065.35999999987</v>
      </c>
      <c r="AS53" s="36">
        <v>0.37871786842163702</v>
      </c>
      <c r="AT53" s="21"/>
      <c r="AV53" s="38">
        <f t="shared" ref="AV53" si="34">AH53-T53</f>
        <v>0</v>
      </c>
      <c r="AW53" s="39">
        <f>(AI53-U53)*100</f>
        <v>0</v>
      </c>
      <c r="AX53" s="38">
        <f t="shared" ref="AX53" si="35">AJ53-V53</f>
        <v>0</v>
      </c>
      <c r="AY53" s="39">
        <f>(AK53-W53)*100</f>
        <v>0</v>
      </c>
      <c r="AZ53" s="38">
        <f t="shared" ref="AZ53" si="36">AL53-X53</f>
        <v>0</v>
      </c>
      <c r="BA53" s="39">
        <f>(AM53-Y53)*100</f>
        <v>0</v>
      </c>
      <c r="BB53" s="38">
        <f>AN53-Z53</f>
        <v>0</v>
      </c>
      <c r="BC53" s="39">
        <f>(AO53-AA53)*100</f>
        <v>0</v>
      </c>
      <c r="BD53" s="38">
        <f t="shared" ref="BD53" si="37">AP53-AB53</f>
        <v>0</v>
      </c>
      <c r="BE53" s="39">
        <f>(AQ53-AC53)*100</f>
        <v>0</v>
      </c>
      <c r="BF53" s="38">
        <f t="shared" ref="BF53" si="38">AR53-AD53</f>
        <v>0</v>
      </c>
      <c r="BG53" s="39">
        <f>(AS53-AE53)*100</f>
        <v>0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1.577713973200906E-2</v>
      </c>
      <c r="AJ54" s="92"/>
      <c r="AK54" s="92">
        <f>+AK53-I53</f>
        <v>-6.6509691472795063E-2</v>
      </c>
      <c r="AL54" s="92"/>
      <c r="AM54" s="92">
        <f>+AM53-K53</f>
        <v>-0.13441769631614747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92703.28</v>
      </c>
      <c r="Q56" s="53">
        <v>5.057058871165291E-2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365453.29000000004</v>
      </c>
      <c r="AE56" s="53">
        <v>0.20114904635872732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365453.29000000004</v>
      </c>
      <c r="AS56" s="53">
        <v>0.20114904635872732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0</v>
      </c>
      <c r="BG56" s="55">
        <f t="shared" ref="BG56:BG78" si="40">(AS56-AE56)*100</f>
        <v>0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223743.14</v>
      </c>
      <c r="Q57" s="53">
        <v>0.12205417445848493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245269.28</v>
      </c>
      <c r="AE57" s="53">
        <v>0.13499859796881747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245269.28</v>
      </c>
      <c r="AS57" s="53">
        <v>0.13499859796881747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0</v>
      </c>
      <c r="BG57" s="55">
        <f t="shared" si="40"/>
        <v>0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37193</v>
      </c>
      <c r="Q58" s="53">
        <v>2.0289162432575274E-2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41578.93</v>
      </c>
      <c r="AE58" s="53">
        <v>2.288544759883343E-2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41578.93</v>
      </c>
      <c r="AS58" s="53">
        <v>2.288544759883343E-2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0</v>
      </c>
      <c r="BG58" s="55">
        <f t="shared" si="40"/>
        <v>0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71978.8</v>
      </c>
      <c r="Q59" s="53">
        <v>3.9265172610487169E-2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78605.08</v>
      </c>
      <c r="AE59" s="53">
        <v>4.326500079107639E-2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78605.08</v>
      </c>
      <c r="AS59" s="53">
        <v>4.326500079107639E-2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0</v>
      </c>
      <c r="BG59" s="55">
        <f t="shared" si="40"/>
        <v>0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-240211.66</v>
      </c>
      <c r="Q60" s="53">
        <v>-0.13103792078989446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49370.03</v>
      </c>
      <c r="Q61" s="53">
        <v>2.6931857015328534E-2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122283.39</v>
      </c>
      <c r="AE61" s="53">
        <v>6.7305967567051678E-2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122283.39</v>
      </c>
      <c r="AS61" s="53">
        <v>6.7305967567051678E-2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0</v>
      </c>
      <c r="BG61" s="55">
        <f t="shared" si="40"/>
        <v>0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36250</v>
      </c>
      <c r="Q62" s="53">
        <v>1.977474627432188E-2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5006.8999999999996</v>
      </c>
      <c r="Q66" s="53">
        <v>2.7313152309214402E-3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2100</v>
      </c>
      <c r="Q67" s="53">
        <v>1.1455715083055434E-3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6013.13</v>
      </c>
      <c r="Q68" s="53">
        <v>3.2802240017796723E-3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163784.20999999993</v>
      </c>
      <c r="Q70" s="53">
        <v>8.9345964041110379E-2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56640.990000000005</v>
      </c>
      <c r="AE70" s="53">
        <v>3.1175751963579836E-2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56640.990000000005</v>
      </c>
      <c r="AS70" s="53">
        <v>3.1175751963579836E-2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0</v>
      </c>
      <c r="BG70" s="55">
        <f t="shared" si="40"/>
        <v>0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19581.609999999997</v>
      </c>
      <c r="Q71" s="53">
        <v>1.0681968810833765E-2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23731.360000000001</v>
      </c>
      <c r="AE71" s="53">
        <v>1.3061971429496905E-2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23731.360000000004</v>
      </c>
      <c r="AS71" s="53">
        <v>1.3061971429496907E-2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0</v>
      </c>
      <c r="BG71" s="55">
        <f t="shared" si="40"/>
        <v>1.7347234759768071E-16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33917.550000000003</v>
      </c>
      <c r="Q72" s="53">
        <v>1.8502370910251757E-2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24653.99</v>
      </c>
      <c r="AE72" s="53">
        <v>1.3569795957884521E-2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24653.99</v>
      </c>
      <c r="AS72" s="53">
        <v>1.3569795957884521E-2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0</v>
      </c>
      <c r="BG72" s="55">
        <f t="shared" si="40"/>
        <v>0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315.84000000000003</v>
      </c>
      <c r="Q73" s="53">
        <v>1.7229395484915375E-4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3228.46</v>
      </c>
      <c r="AE73" s="53">
        <v>1.7769757941084529E-3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3228.46</v>
      </c>
      <c r="AS73" s="53">
        <v>1.7769757941084529E-3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0</v>
      </c>
      <c r="BG73" s="55">
        <f t="shared" si="40"/>
        <v>0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3692.0400000000004</v>
      </c>
      <c r="Q74" s="53">
        <v>2.0140456340592377E-3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-269.21000000000026</v>
      </c>
      <c r="AE74" s="53">
        <v>-1.4817580317920528E-4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-269.20999999999987</v>
      </c>
      <c r="AS74" s="53">
        <v>-1.4817580317920507E-4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0</v>
      </c>
      <c r="BG74" s="55">
        <f t="shared" si="40"/>
        <v>2.1684043449710089E-17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-93316.11</v>
      </c>
      <c r="Q75" s="53">
        <v>-5.090489375328857E-2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97426.200000000012</v>
      </c>
      <c r="AE75" s="53">
        <v>5.3624328352207859E-2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97426.200000000012</v>
      </c>
      <c r="AS75" s="53">
        <v>5.3624328352207859E-2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0</v>
      </c>
      <c r="BG75" s="55">
        <f t="shared" si="40"/>
        <v>0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270048.4499999999</v>
      </c>
      <c r="Q76" s="36">
        <v>0.14731419532479714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693148.47</v>
      </c>
      <c r="AE76" s="36">
        <v>0.38151566161987732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693148.47</v>
      </c>
      <c r="AS76" s="36">
        <v>0.38151566161987732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0</v>
      </c>
      <c r="BG76" s="39">
        <f t="shared" si="40"/>
        <v>0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399527.72000000003</v>
      </c>
      <c r="Q78" s="36">
        <v>0.21794646324298803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-5083.1100000001024</v>
      </c>
      <c r="AE78" s="36">
        <v>-2.7977931982402756E-3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-5083.1100000001024</v>
      </c>
      <c r="AS78" s="36">
        <v>-2.7977931982402756E-3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0</v>
      </c>
      <c r="BG78" s="39">
        <f t="shared" si="40"/>
        <v>0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566" priority="53" operator="greaterThanOrEqual">
      <formula>1</formula>
    </cfRule>
    <cfRule type="cellIs" dxfId="565" priority="52" operator="lessThanOrEqual">
      <formula>-1</formula>
    </cfRule>
  </conditionalFormatting>
  <conditionalFormatting sqref="U33:U34 Y33:Y34 AA33:AA34 AC33:AC34">
    <cfRule type="cellIs" dxfId="564" priority="49" operator="greaterThanOrEqual">
      <formula>0.0001</formula>
    </cfRule>
    <cfRule type="cellIs" dxfId="563" priority="48" operator="lessThanOrEqual">
      <formula>-0.0001</formula>
    </cfRule>
  </conditionalFormatting>
  <conditionalFormatting sqref="AB33:AB34">
    <cfRule type="cellIs" dxfId="562" priority="51" operator="greaterThanOrEqual">
      <formula>1</formula>
    </cfRule>
    <cfRule type="cellIs" dxfId="561" priority="50" operator="lessThanOrEqual">
      <formula>-1</formula>
    </cfRule>
  </conditionalFormatting>
  <conditionalFormatting sqref="AD33:AD34">
    <cfRule type="cellIs" dxfId="560" priority="47" operator="greaterThanOrEqual">
      <formula>1</formula>
    </cfRule>
    <cfRule type="cellIs" dxfId="559" priority="46" operator="lessThanOrEqual">
      <formula>-1</formula>
    </cfRule>
  </conditionalFormatting>
  <conditionalFormatting sqref="AE33:AE34">
    <cfRule type="cellIs" dxfId="558" priority="45" operator="greaterThanOrEqual">
      <formula>0.0001</formula>
    </cfRule>
    <cfRule type="cellIs" dxfId="557" priority="44" operator="lessThanOrEqual">
      <formula>-0.0001</formula>
    </cfRule>
  </conditionalFormatting>
  <conditionalFormatting sqref="AH33:AH34 AJ33:AJ34 AL33:AL34 AN33:AN34">
    <cfRule type="cellIs" dxfId="556" priority="63" operator="greaterThanOrEqual">
      <formula>1</formula>
    </cfRule>
    <cfRule type="cellIs" dxfId="555" priority="62" operator="lessThanOrEqual">
      <formula>-1</formula>
    </cfRule>
  </conditionalFormatting>
  <conditionalFormatting sqref="AI33:AI34 AM33:AM34 AO33:AO34 AQ33:AQ34">
    <cfRule type="cellIs" dxfId="554" priority="59" operator="greaterThanOrEqual">
      <formula>0.0001</formula>
    </cfRule>
    <cfRule type="cellIs" dxfId="553" priority="58" operator="lessThanOrEqual">
      <formula>-0.0001</formula>
    </cfRule>
  </conditionalFormatting>
  <conditionalFormatting sqref="AK33:AK34">
    <cfRule type="cellIs" dxfId="552" priority="43" operator="greaterThanOrEqual">
      <formula>0.0001</formula>
    </cfRule>
    <cfRule type="cellIs" dxfId="551" priority="42" operator="lessThanOrEqual">
      <formula>-0.0001</formula>
    </cfRule>
  </conditionalFormatting>
  <conditionalFormatting sqref="AP33:AP34">
    <cfRule type="cellIs" dxfId="550" priority="60" operator="lessThanOrEqual">
      <formula>-1</formula>
    </cfRule>
    <cfRule type="cellIs" dxfId="549" priority="61" operator="greaterThanOrEqual">
      <formula>1</formula>
    </cfRule>
  </conditionalFormatting>
  <conditionalFormatting sqref="AR33:AR34">
    <cfRule type="cellIs" dxfId="548" priority="56" operator="lessThanOrEqual">
      <formula>-1</formula>
    </cfRule>
    <cfRule type="cellIs" dxfId="547" priority="57" operator="greaterThanOrEqual">
      <formula>1</formula>
    </cfRule>
  </conditionalFormatting>
  <conditionalFormatting sqref="AS33:AS34">
    <cfRule type="cellIs" dxfId="546" priority="55" operator="greaterThanOrEqual">
      <formula>0.0001</formula>
    </cfRule>
    <cfRule type="cellIs" dxfId="545" priority="54" operator="lessThanOrEqual">
      <formula>-0.0001</formula>
    </cfRule>
  </conditionalFormatting>
  <conditionalFormatting sqref="AV27:AV29 AX27:AX29 AZ27:AZ29 BB27:BB29 BF27:BF29 AV40 AX40 AZ40 BB40 BF40">
    <cfRule type="cellIs" dxfId="544" priority="31" operator="greaterThanOrEqual">
      <formula>0.000001</formula>
    </cfRule>
  </conditionalFormatting>
  <conditionalFormatting sqref="AV27:AV29 AX27:AX29 AZ27:AZ29 BB27:BB29 BF27:BF29">
    <cfRule type="cellIs" dxfId="543" priority="30" operator="lessThanOrEqual">
      <formula>-0.000001</formula>
    </cfRule>
  </conditionalFormatting>
  <conditionalFormatting sqref="AV33:AV34 AX33:AX34 AZ33:AZ34 BB33:BB34">
    <cfRule type="cellIs" dxfId="542" priority="41" operator="greaterThanOrEqual">
      <formula>1</formula>
    </cfRule>
    <cfRule type="cellIs" dxfId="541" priority="40" operator="lessThanOrEqual">
      <formula>-1</formula>
    </cfRule>
  </conditionalFormatting>
  <conditionalFormatting sqref="AV36 AX36 AZ36 BB36 BD36 BF36 AX43:AX51 AZ43:AZ51 BD43:BD51 BF43:BF51 AV43:AV52">
    <cfRule type="cellIs" dxfId="540" priority="28" operator="lessThanOrEqual">
      <formula>-0.000001</formula>
    </cfRule>
    <cfRule type="cellIs" dxfId="539" priority="29" operator="greaterThanOrEqual">
      <formula>0.00001</formula>
    </cfRule>
  </conditionalFormatting>
  <conditionalFormatting sqref="AV39 AX39 AZ39 BF39">
    <cfRule type="cellIs" dxfId="538" priority="14" operator="lessThanOrEqual">
      <formula>-0.00001</formula>
    </cfRule>
    <cfRule type="cellIs" dxfId="537" priority="15" operator="greaterThanOrEqual">
      <formula>0.00001</formula>
    </cfRule>
  </conditionalFormatting>
  <conditionalFormatting sqref="AV40:BB40 BD40:BG40">
    <cfRule type="cellIs" dxfId="536" priority="18" operator="lessThanOrEqual">
      <formula>-0.000001</formula>
    </cfRule>
  </conditionalFormatting>
  <conditionalFormatting sqref="AV53:BB53 BD53:BG53 BF78:BG78">
    <cfRule type="cellIs" dxfId="535" priority="21" operator="greaterThanOrEqual">
      <formula>0.000001</formula>
    </cfRule>
    <cfRule type="cellIs" dxfId="534" priority="20" operator="lessThanOrEqual">
      <formula>-0.000001</formula>
    </cfRule>
  </conditionalFormatting>
  <conditionalFormatting sqref="AW29 AY29 BA29 BC29 BE29 BG29">
    <cfRule type="cellIs" dxfId="533" priority="24" operator="lessThanOrEqual">
      <formula>-0.000001</formula>
    </cfRule>
    <cfRule type="cellIs" dxfId="532" priority="25" operator="greaterThanOrEqual">
      <formula>0.000001</formula>
    </cfRule>
  </conditionalFormatting>
  <conditionalFormatting sqref="AW33:AW34 BA33:BA34 BC33:BC34 BE33:BE34">
    <cfRule type="cellIs" dxfId="531" priority="39" operator="greaterThanOrEqual">
      <formula>0.0001</formula>
    </cfRule>
    <cfRule type="cellIs" dxfId="530" priority="38" operator="lessThanOrEqual">
      <formula>-0.0001</formula>
    </cfRule>
  </conditionalFormatting>
  <conditionalFormatting sqref="AW36 AY36 BA36 BG36">
    <cfRule type="cellIs" dxfId="529" priority="13" operator="greaterThanOrEqual">
      <formula>0.000001</formula>
    </cfRule>
    <cfRule type="cellIs" dxfId="528" priority="12" operator="lessThanOrEqual">
      <formula>-0.00001</formula>
    </cfRule>
  </conditionalFormatting>
  <conditionalFormatting sqref="AW39 AY39 BA39 BC39 BE39 BG39">
    <cfRule type="cellIs" dxfId="527" priority="17" operator="greaterThanOrEqual">
      <formula>0.000001</formula>
    </cfRule>
    <cfRule type="cellIs" dxfId="526" priority="16" operator="lessThanOrEqual">
      <formula>-0.00001</formula>
    </cfRule>
  </conditionalFormatting>
  <conditionalFormatting sqref="AW40 AY40 BA40 BG40">
    <cfRule type="cellIs" dxfId="525" priority="19" operator="greaterThanOrEqual">
      <formula>0.0000001</formula>
    </cfRule>
  </conditionalFormatting>
  <conditionalFormatting sqref="AW43:AW51 AY43:AY51 BA43:BA51 BG43:BG51 BG56:BG76">
    <cfRule type="cellIs" dxfId="524" priority="23" operator="greaterThanOrEqual">
      <formula>0.000001</formula>
    </cfRule>
    <cfRule type="cellIs" dxfId="523" priority="22" operator="lessThanOrEqual">
      <formula>-0.0000001</formula>
    </cfRule>
  </conditionalFormatting>
  <conditionalFormatting sqref="AY33:AY34">
    <cfRule type="cellIs" dxfId="522" priority="33" operator="greaterThanOrEqual">
      <formula>0.0001</formula>
    </cfRule>
    <cfRule type="cellIs" dxfId="521" priority="32" operator="lessThanOrEqual">
      <formula>-0.0001</formula>
    </cfRule>
  </conditionalFormatting>
  <conditionalFormatting sqref="BD27:BD29 BD40">
    <cfRule type="cellIs" dxfId="520" priority="9" operator="greaterThanOrEqual">
      <formula>0.000001</formula>
    </cfRule>
  </conditionalFormatting>
  <conditionalFormatting sqref="BD27:BD29">
    <cfRule type="cellIs" dxfId="519" priority="8" operator="lessThanOrEqual">
      <formula>-0.000001</formula>
    </cfRule>
  </conditionalFormatting>
  <conditionalFormatting sqref="BD33:BD34">
    <cfRule type="cellIs" dxfId="518" priority="11" operator="greaterThanOrEqual">
      <formula>1</formula>
    </cfRule>
    <cfRule type="cellIs" dxfId="517" priority="10" operator="lessThanOrEqual">
      <formula>-1</formula>
    </cfRule>
  </conditionalFormatting>
  <conditionalFormatting sqref="BD39">
    <cfRule type="cellIs" dxfId="516" priority="4" operator="greaterThanOrEqual">
      <formula>0.00001</formula>
    </cfRule>
    <cfRule type="cellIs" dxfId="515" priority="3" operator="lessThanOrEqual">
      <formula>-0.00001</formula>
    </cfRule>
  </conditionalFormatting>
  <conditionalFormatting sqref="BE36">
    <cfRule type="cellIs" dxfId="514" priority="1" operator="lessThanOrEqual">
      <formula>-0.00001</formula>
    </cfRule>
    <cfRule type="cellIs" dxfId="513" priority="2" operator="greaterThanOrEqual">
      <formula>0.000001</formula>
    </cfRule>
  </conditionalFormatting>
  <conditionalFormatting sqref="BE40">
    <cfRule type="cellIs" dxfId="512" priority="5" operator="greaterThanOrEqual">
      <formula>0.0000001</formula>
    </cfRule>
  </conditionalFormatting>
  <conditionalFormatting sqref="BE43:BE51">
    <cfRule type="cellIs" dxfId="511" priority="7" operator="greaterThanOrEqual">
      <formula>0.000001</formula>
    </cfRule>
    <cfRule type="cellIs" dxfId="510" priority="6" operator="lessThanOrEqual">
      <formula>-0.0000001</formula>
    </cfRule>
  </conditionalFormatting>
  <conditionalFormatting sqref="BF33:BF34">
    <cfRule type="cellIs" dxfId="509" priority="36" operator="lessThanOrEqual">
      <formula>-1</formula>
    </cfRule>
    <cfRule type="cellIs" dxfId="508" priority="37" operator="greaterThanOrEqual">
      <formula>1</formula>
    </cfRule>
  </conditionalFormatting>
  <conditionalFormatting sqref="BF56:BF76">
    <cfRule type="cellIs" dxfId="507" priority="27" operator="greaterThanOrEqual">
      <formula>0.00001</formula>
    </cfRule>
    <cfRule type="cellIs" dxfId="506" priority="26" operator="lessThanOrEqual">
      <formula>-0.000001</formula>
    </cfRule>
  </conditionalFormatting>
  <conditionalFormatting sqref="BG33:BG34">
    <cfRule type="cellIs" dxfId="505" priority="34" operator="lessThanOrEqual">
      <formula>-0.0001</formula>
    </cfRule>
    <cfRule type="cellIs" dxfId="504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81C4-9DE1-4CD1-A3ED-74869668382E}">
  <sheetPr>
    <tabColor theme="4" tint="0.79998168889431442"/>
  </sheetPr>
  <dimension ref="A1:BI83"/>
  <sheetViews>
    <sheetView topLeftCell="I4" zoomScale="85" zoomScaleNormal="85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100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100</v>
      </c>
      <c r="Q17" s="20"/>
      <c r="R17" s="21"/>
      <c r="T17" s="18" t="s">
        <v>101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101</v>
      </c>
      <c r="AE17" s="20"/>
      <c r="AF17" s="21"/>
      <c r="AH17" s="18" t="s">
        <v>102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102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815968</v>
      </c>
      <c r="G27" s="24"/>
      <c r="H27" s="27">
        <v>2018677</v>
      </c>
      <c r="I27" s="24"/>
      <c r="J27" s="27">
        <v>224326</v>
      </c>
      <c r="K27" s="24"/>
      <c r="L27" s="27">
        <v>104428.32</v>
      </c>
      <c r="M27" s="24"/>
      <c r="N27" s="28">
        <v>0</v>
      </c>
      <c r="O27" s="16"/>
      <c r="P27" s="23">
        <v>3163399.32</v>
      </c>
      <c r="Q27" s="24"/>
      <c r="R27" s="21"/>
      <c r="T27" s="27">
        <v>509987</v>
      </c>
      <c r="U27" s="24"/>
      <c r="V27" s="27">
        <v>1868116</v>
      </c>
      <c r="W27" s="24"/>
      <c r="X27" s="27">
        <v>137621</v>
      </c>
      <c r="Y27" s="24"/>
      <c r="Z27" s="27">
        <v>61923.1</v>
      </c>
      <c r="AA27" s="24"/>
      <c r="AB27" s="28">
        <v>0</v>
      </c>
      <c r="AC27" s="16"/>
      <c r="AD27" s="23">
        <v>2577647.1</v>
      </c>
      <c r="AE27" s="24"/>
      <c r="AF27" s="21"/>
      <c r="AH27" s="27">
        <v>509987</v>
      </c>
      <c r="AI27" s="24"/>
      <c r="AJ27" s="27">
        <v>1868116</v>
      </c>
      <c r="AK27" s="24"/>
      <c r="AL27" s="27">
        <v>137621</v>
      </c>
      <c r="AM27" s="24"/>
      <c r="AN27" s="27">
        <v>61923.1</v>
      </c>
      <c r="AO27" s="24"/>
      <c r="AP27" s="28">
        <v>0</v>
      </c>
      <c r="AQ27" s="16"/>
      <c r="AR27" s="23">
        <v>2577647.1</v>
      </c>
      <c r="AS27" s="24"/>
      <c r="AT27" s="21"/>
      <c r="AV27" s="29">
        <f>AH27-T27</f>
        <v>0</v>
      </c>
      <c r="AW27" s="30"/>
      <c r="AX27" s="29">
        <f t="shared" ref="AX27:AX29" si="0">AJ27-V27</f>
        <v>0</v>
      </c>
      <c r="AY27" s="30"/>
      <c r="AZ27" s="29">
        <f t="shared" ref="AZ27:AZ29" si="1">AL27-X27</f>
        <v>0</v>
      </c>
      <c r="BA27" s="30"/>
      <c r="BB27" s="29">
        <f t="shared" ref="BB27:BB29" si="2">AN27-Z27</f>
        <v>0</v>
      </c>
      <c r="BC27" s="30"/>
      <c r="BD27" s="29">
        <f t="shared" ref="BD27:BD29" si="3">AP27-AB27</f>
        <v>0</v>
      </c>
      <c r="BE27" s="30"/>
      <c r="BF27" s="29">
        <f t="shared" ref="BF27:BF29" si="4">AR27-AD27</f>
        <v>0</v>
      </c>
      <c r="BG27" s="30"/>
    </row>
    <row r="28" spans="3:59">
      <c r="E28" s="26" t="s">
        <v>29</v>
      </c>
      <c r="F28" s="23">
        <v>494072.65</v>
      </c>
      <c r="G28" s="31"/>
      <c r="H28" s="23">
        <v>677657.65999999992</v>
      </c>
      <c r="I28" s="31"/>
      <c r="J28" s="23">
        <v>19916.640000000014</v>
      </c>
      <c r="K28" s="31"/>
      <c r="L28" s="23">
        <v>0</v>
      </c>
      <c r="M28" s="31"/>
      <c r="N28" s="32">
        <v>0</v>
      </c>
      <c r="O28" s="32"/>
      <c r="P28" s="23">
        <v>1191646.9500000002</v>
      </c>
      <c r="Q28" s="31"/>
      <c r="R28" s="21"/>
      <c r="T28" s="23">
        <v>299736.05</v>
      </c>
      <c r="U28" s="31"/>
      <c r="V28" s="23">
        <v>600772.3600000001</v>
      </c>
      <c r="W28" s="31"/>
      <c r="X28" s="23">
        <v>43660.47</v>
      </c>
      <c r="Y28" s="31"/>
      <c r="Z28" s="23">
        <v>0</v>
      </c>
      <c r="AA28" s="31"/>
      <c r="AB28" s="32">
        <v>0</v>
      </c>
      <c r="AC28" s="32"/>
      <c r="AD28" s="23">
        <v>944168.88000000012</v>
      </c>
      <c r="AE28" s="31"/>
      <c r="AF28" s="21"/>
      <c r="AH28" s="23">
        <v>299736.05</v>
      </c>
      <c r="AI28" s="31"/>
      <c r="AJ28" s="23">
        <v>600772.3600000001</v>
      </c>
      <c r="AK28" s="31"/>
      <c r="AL28" s="23">
        <v>43660.47</v>
      </c>
      <c r="AM28" s="31"/>
      <c r="AN28" s="23">
        <v>0</v>
      </c>
      <c r="AO28" s="31"/>
      <c r="AP28" s="32">
        <v>0</v>
      </c>
      <c r="AQ28" s="32"/>
      <c r="AR28" s="23">
        <v>944168.88000000012</v>
      </c>
      <c r="AS28" s="31"/>
      <c r="AT28" s="21"/>
      <c r="AV28" s="29">
        <f t="shared" ref="AV28:AV29" si="5">AH28-T28</f>
        <v>0</v>
      </c>
      <c r="AW28" s="33"/>
      <c r="AX28" s="29">
        <f t="shared" si="0"/>
        <v>0</v>
      </c>
      <c r="AY28" s="33"/>
      <c r="AZ28" s="29">
        <f t="shared" si="1"/>
        <v>0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0</v>
      </c>
      <c r="BG28" s="33"/>
    </row>
    <row r="29" spans="3:59" ht="15">
      <c r="C29" s="16" t="s">
        <v>30</v>
      </c>
      <c r="E29" s="34" t="s">
        <v>31</v>
      </c>
      <c r="F29" s="35">
        <v>321895.34999999998</v>
      </c>
      <c r="G29" s="36">
        <v>0.60550493401702032</v>
      </c>
      <c r="H29" s="35">
        <v>1341019.3400000001</v>
      </c>
      <c r="I29" s="36">
        <v>0.33569395202897734</v>
      </c>
      <c r="J29" s="35">
        <v>204409.36</v>
      </c>
      <c r="K29" s="36">
        <v>8.8784358478286141E-2</v>
      </c>
      <c r="L29" s="35">
        <v>104428.32</v>
      </c>
      <c r="M29" s="36">
        <v>0</v>
      </c>
      <c r="N29" s="37">
        <v>0</v>
      </c>
      <c r="O29" s="36">
        <v>0</v>
      </c>
      <c r="P29" s="35">
        <v>1971752.3699999999</v>
      </c>
      <c r="Q29" s="36">
        <v>0.37669823802073776</v>
      </c>
      <c r="R29" s="21"/>
      <c r="T29" s="35">
        <v>210250.95</v>
      </c>
      <c r="U29" s="36">
        <v>0.58773272652047992</v>
      </c>
      <c r="V29" s="35">
        <v>1267343.6399999999</v>
      </c>
      <c r="W29" s="36">
        <v>0.32159264199867676</v>
      </c>
      <c r="X29" s="35">
        <v>93960.53</v>
      </c>
      <c r="Y29" s="36">
        <v>0.31725150958065995</v>
      </c>
      <c r="Z29" s="35">
        <v>61923.1</v>
      </c>
      <c r="AA29" s="36">
        <v>0</v>
      </c>
      <c r="AB29" s="37">
        <v>0</v>
      </c>
      <c r="AC29" s="36">
        <v>0</v>
      </c>
      <c r="AD29" s="35">
        <v>1633478.22</v>
      </c>
      <c r="AE29" s="36">
        <v>0.36629097908709074</v>
      </c>
      <c r="AF29" s="21"/>
      <c r="AH29" s="35">
        <v>210250.95</v>
      </c>
      <c r="AI29" s="36">
        <v>0.58773272652047992</v>
      </c>
      <c r="AJ29" s="35">
        <v>1267343.6399999999</v>
      </c>
      <c r="AK29" s="36">
        <v>0.32159264199867676</v>
      </c>
      <c r="AL29" s="35">
        <v>93960.53</v>
      </c>
      <c r="AM29" s="36">
        <v>0.31725150958065995</v>
      </c>
      <c r="AN29" s="35">
        <v>61923.1</v>
      </c>
      <c r="AO29" s="36">
        <v>0</v>
      </c>
      <c r="AP29" s="37">
        <v>0</v>
      </c>
      <c r="AQ29" s="36">
        <v>0</v>
      </c>
      <c r="AR29" s="35">
        <v>1633478.22</v>
      </c>
      <c r="AS29" s="36">
        <v>0.36629097908709074</v>
      </c>
      <c r="AT29" s="21"/>
      <c r="AV29" s="38">
        <f t="shared" si="5"/>
        <v>0</v>
      </c>
      <c r="AW29" s="39">
        <f>(AI29-U29)*100</f>
        <v>0</v>
      </c>
      <c r="AX29" s="38">
        <f t="shared" si="0"/>
        <v>0</v>
      </c>
      <c r="AY29" s="39">
        <f>(AK29-W29)*100</f>
        <v>0</v>
      </c>
      <c r="AZ29" s="38">
        <f t="shared" si="1"/>
        <v>0</v>
      </c>
      <c r="BA29" s="39">
        <f>(AM29-Y29)*100</f>
        <v>0</v>
      </c>
      <c r="BB29" s="38">
        <f t="shared" si="2"/>
        <v>0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0</v>
      </c>
      <c r="BG29" s="39">
        <f>(AS29-AE29)*100</f>
        <v>0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0</v>
      </c>
      <c r="AI33" s="51">
        <v>0</v>
      </c>
      <c r="AJ33" s="41">
        <v>0</v>
      </c>
      <c r="AK33" s="51">
        <v>0</v>
      </c>
      <c r="AL33" s="41">
        <v>0</v>
      </c>
      <c r="AM33" s="51">
        <v>0</v>
      </c>
      <c r="AN33" s="41">
        <v>0</v>
      </c>
      <c r="AO33" s="51">
        <v>0</v>
      </c>
      <c r="AP33" s="41">
        <v>0</v>
      </c>
      <c r="AQ33" s="51">
        <v>0</v>
      </c>
      <c r="AR33" s="41">
        <v>0</v>
      </c>
      <c r="AS33" s="51">
        <v>0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-111644.39999999997</v>
      </c>
      <c r="U34" s="51">
        <v>-0.34683446033004195</v>
      </c>
      <c r="V34" s="41">
        <v>-73675.700000000186</v>
      </c>
      <c r="W34" s="51">
        <v>-5.4940072676356921E-2</v>
      </c>
      <c r="X34" s="41">
        <v>-110448.82999999999</v>
      </c>
      <c r="Y34" s="51">
        <v>-0.54033156798690629</v>
      </c>
      <c r="Z34" s="41">
        <v>-42505.220000000008</v>
      </c>
      <c r="AA34" s="51">
        <v>-0.40702771049079411</v>
      </c>
      <c r="AB34" s="41">
        <v>0</v>
      </c>
      <c r="AC34" s="51">
        <v>0</v>
      </c>
      <c r="AD34" s="41">
        <v>-338274.14999999991</v>
      </c>
      <c r="AE34" s="51">
        <v>-0.17156015894632848</v>
      </c>
      <c r="AF34" s="49"/>
      <c r="AH34" s="41">
        <v>-111644.39999999997</v>
      </c>
      <c r="AI34" s="51">
        <v>-0.34683446033004195</v>
      </c>
      <c r="AJ34" s="41">
        <v>-73675.700000000186</v>
      </c>
      <c r="AK34" s="51">
        <v>-5.4940072676356921E-2</v>
      </c>
      <c r="AL34" s="41">
        <v>-110448.82999999999</v>
      </c>
      <c r="AM34" s="51">
        <v>-0.54033156798690629</v>
      </c>
      <c r="AN34" s="41">
        <v>-42505.220000000008</v>
      </c>
      <c r="AO34" s="51">
        <v>-0.40702771049079411</v>
      </c>
      <c r="AP34" s="41">
        <v>0</v>
      </c>
      <c r="AQ34" s="51">
        <v>0</v>
      </c>
      <c r="AR34" s="41">
        <v>-338274.14999999991</v>
      </c>
      <c r="AS34" s="51">
        <v>-0.17156015894632848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146090.19</v>
      </c>
      <c r="G36" s="53">
        <v>0.4538437414519968</v>
      </c>
      <c r="H36" s="23">
        <v>399331.28</v>
      </c>
      <c r="I36" s="53">
        <v>0.29778189477863909</v>
      </c>
      <c r="J36" s="23">
        <v>42895.89</v>
      </c>
      <c r="K36" s="53">
        <v>0.2098528658374548</v>
      </c>
      <c r="L36" s="23">
        <v>0</v>
      </c>
      <c r="M36" s="53">
        <v>0</v>
      </c>
      <c r="N36" s="32">
        <v>0</v>
      </c>
      <c r="O36" s="54">
        <v>0</v>
      </c>
      <c r="P36" s="23">
        <v>588317.36</v>
      </c>
      <c r="Q36" s="54">
        <v>0.2983728428332002</v>
      </c>
      <c r="R36" s="21"/>
      <c r="T36" s="23">
        <v>101063.06</v>
      </c>
      <c r="U36" s="53">
        <v>0.4806782561505667</v>
      </c>
      <c r="V36" s="23">
        <v>410320.83999999997</v>
      </c>
      <c r="W36" s="53">
        <v>0.32376446849096113</v>
      </c>
      <c r="X36" s="23">
        <v>26297.46</v>
      </c>
      <c r="Y36" s="53">
        <v>0.27987773163901908</v>
      </c>
      <c r="Z36" s="23">
        <v>0</v>
      </c>
      <c r="AA36" s="53">
        <v>0</v>
      </c>
      <c r="AB36" s="32">
        <v>0</v>
      </c>
      <c r="AC36" s="54">
        <v>0</v>
      </c>
      <c r="AD36" s="23">
        <v>537681.36</v>
      </c>
      <c r="AE36" s="54">
        <v>0.32916347057262874</v>
      </c>
      <c r="AF36" s="21"/>
      <c r="AH36" s="23">
        <v>101063.06</v>
      </c>
      <c r="AI36" s="53">
        <v>0.4806782561505667</v>
      </c>
      <c r="AJ36" s="23">
        <v>410320.83999999997</v>
      </c>
      <c r="AK36" s="53">
        <v>0.32376446849096113</v>
      </c>
      <c r="AL36" s="23">
        <v>26297.46</v>
      </c>
      <c r="AM36" s="53">
        <v>0.27987773163901908</v>
      </c>
      <c r="AN36" s="23">
        <v>0</v>
      </c>
      <c r="AO36" s="53">
        <v>0</v>
      </c>
      <c r="AP36" s="32">
        <v>0</v>
      </c>
      <c r="AQ36" s="54">
        <v>0</v>
      </c>
      <c r="AR36" s="23">
        <v>537681.36</v>
      </c>
      <c r="AS36" s="53">
        <v>0.32916347057262874</v>
      </c>
      <c r="AT36" s="21"/>
      <c r="AV36" s="29">
        <f t="shared" ref="AV36:AV38" si="6">AH36-T36</f>
        <v>0</v>
      </c>
      <c r="AW36" s="55">
        <f t="shared" ref="AW36:AW38" si="7">(AI36-U36)*100</f>
        <v>0</v>
      </c>
      <c r="AX36" s="29">
        <f t="shared" ref="AX36:AX38" si="8">AJ36-V36</f>
        <v>0</v>
      </c>
      <c r="AY36" s="55">
        <f t="shared" ref="AY36:AY38" si="9">(AK36-W36)*100</f>
        <v>0</v>
      </c>
      <c r="AZ36" s="29">
        <f t="shared" ref="AZ36:AZ38" si="10">AL36-X36</f>
        <v>0</v>
      </c>
      <c r="BA36" s="55">
        <f t="shared" ref="BA36:BA38" si="11">(AM36-Y36)*100</f>
        <v>0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0</v>
      </c>
      <c r="BG36" s="55">
        <f t="shared" ref="BG36:BG38" si="17">(AS36-AE36)*100</f>
        <v>0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0.17903911673006784</v>
      </c>
      <c r="G39" s="59">
        <v>5.5853716118789363</v>
      </c>
      <c r="H39" s="58">
        <v>0.19781831367772063</v>
      </c>
      <c r="I39" s="59">
        <v>5.0551436892196371</v>
      </c>
      <c r="J39" s="58">
        <v>0.19122121376924653</v>
      </c>
      <c r="K39" s="59">
        <v>5.229545301426314</v>
      </c>
      <c r="L39" s="58">
        <v>0</v>
      </c>
      <c r="M39" s="59">
        <v>0</v>
      </c>
      <c r="N39" s="60">
        <v>0</v>
      </c>
      <c r="O39" s="61">
        <v>0</v>
      </c>
      <c r="P39" s="62">
        <v>0.18597631866469516</v>
      </c>
      <c r="Q39" s="61">
        <v>5.3770286839742418</v>
      </c>
      <c r="R39" s="49"/>
      <c r="T39" s="58">
        <v>0.19816791408408449</v>
      </c>
      <c r="U39" s="59">
        <v>5.0462255941983152</v>
      </c>
      <c r="V39" s="58">
        <v>0.21964419768365559</v>
      </c>
      <c r="W39" s="59">
        <v>4.5528177413557653</v>
      </c>
      <c r="X39" s="58">
        <v>0.19108609877852945</v>
      </c>
      <c r="Y39" s="59">
        <v>5.2332430584550753</v>
      </c>
      <c r="Z39" s="58">
        <v>0</v>
      </c>
      <c r="AA39" s="63">
        <v>0</v>
      </c>
      <c r="AB39" s="60">
        <v>0</v>
      </c>
      <c r="AC39" s="61">
        <v>0</v>
      </c>
      <c r="AD39" s="62">
        <v>0.2085938606568758</v>
      </c>
      <c r="AE39" s="61">
        <v>4.79400494746554</v>
      </c>
      <c r="AF39" s="49"/>
      <c r="AH39" s="58">
        <v>0.19816791408408449</v>
      </c>
      <c r="AI39" s="59">
        <v>5.0462255941983152</v>
      </c>
      <c r="AJ39" s="58">
        <v>0.21964419768365559</v>
      </c>
      <c r="AK39" s="59">
        <v>4.5528177413557653</v>
      </c>
      <c r="AL39" s="58">
        <v>0.19108609877852945</v>
      </c>
      <c r="AM39" s="59">
        <v>5.2332430584550753</v>
      </c>
      <c r="AN39" s="58">
        <v>0</v>
      </c>
      <c r="AO39" s="59">
        <v>0</v>
      </c>
      <c r="AP39" s="60">
        <v>0</v>
      </c>
      <c r="AQ39" s="61">
        <v>0</v>
      </c>
      <c r="AR39" s="62">
        <v>0.2085938606568758</v>
      </c>
      <c r="AS39" s="59">
        <v>4.79400494746554</v>
      </c>
      <c r="AT39" s="49"/>
      <c r="AV39" s="64">
        <f>(AH39-T39)*100</f>
        <v>0</v>
      </c>
      <c r="AW39" s="65">
        <f>(AI39-U39)</f>
        <v>0</v>
      </c>
      <c r="AX39" s="64">
        <f>(AJ39-V39)*100</f>
        <v>0</v>
      </c>
      <c r="AY39" s="65">
        <f>(AK39-W39)</f>
        <v>0</v>
      </c>
      <c r="AZ39" s="64">
        <f>(AL39-X39)*100</f>
        <v>0</v>
      </c>
      <c r="BA39" s="65">
        <f>(AM39-Y39)</f>
        <v>0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</v>
      </c>
      <c r="BG39" s="65">
        <f>(AS39-AE39)</f>
        <v>0</v>
      </c>
    </row>
    <row r="40" spans="1:61" ht="15">
      <c r="E40" s="34" t="s">
        <v>42</v>
      </c>
      <c r="F40" s="35">
        <v>175805.15999999997</v>
      </c>
      <c r="G40" s="36">
        <v>0.5461562585480032</v>
      </c>
      <c r="H40" s="35">
        <v>941688.06</v>
      </c>
      <c r="I40" s="36">
        <v>0.70221810522136097</v>
      </c>
      <c r="J40" s="35">
        <v>161513.46999999997</v>
      </c>
      <c r="K40" s="36">
        <v>0.79014713416254512</v>
      </c>
      <c r="L40" s="35">
        <v>104428.32</v>
      </c>
      <c r="M40" s="36">
        <v>1</v>
      </c>
      <c r="N40" s="37">
        <v>0</v>
      </c>
      <c r="O40" s="36">
        <v>0</v>
      </c>
      <c r="P40" s="35">
        <v>1383435.0099999998</v>
      </c>
      <c r="Q40" s="36">
        <v>0.70162715716679969</v>
      </c>
      <c r="R40" s="21"/>
      <c r="T40" s="35">
        <v>109187.89000000001</v>
      </c>
      <c r="U40" s="36">
        <v>0.5193217438494333</v>
      </c>
      <c r="V40" s="35">
        <v>857022.79999999993</v>
      </c>
      <c r="W40" s="36">
        <v>0.67623553150903881</v>
      </c>
      <c r="X40" s="35">
        <v>67663.070000000007</v>
      </c>
      <c r="Y40" s="36">
        <v>0.72012226836098103</v>
      </c>
      <c r="Z40" s="35">
        <v>61923.1</v>
      </c>
      <c r="AA40" s="36">
        <v>1</v>
      </c>
      <c r="AB40" s="37">
        <v>0</v>
      </c>
      <c r="AC40" s="36">
        <v>0</v>
      </c>
      <c r="AD40" s="35">
        <v>1095796.8599999999</v>
      </c>
      <c r="AE40" s="36">
        <v>0.67083652942737115</v>
      </c>
      <c r="AF40" s="21"/>
      <c r="AH40" s="35">
        <v>109187.89000000001</v>
      </c>
      <c r="AI40" s="36">
        <v>0.5193217438494333</v>
      </c>
      <c r="AJ40" s="35">
        <v>857022.79999999993</v>
      </c>
      <c r="AK40" s="36">
        <v>0.67623553150903881</v>
      </c>
      <c r="AL40" s="35">
        <v>67663.070000000007</v>
      </c>
      <c r="AM40" s="36">
        <v>0.72012226836098103</v>
      </c>
      <c r="AN40" s="35">
        <v>61923.1</v>
      </c>
      <c r="AO40" s="36">
        <v>1</v>
      </c>
      <c r="AP40" s="37">
        <v>0</v>
      </c>
      <c r="AQ40" s="36">
        <v>0</v>
      </c>
      <c r="AR40" s="35">
        <v>1095796.8599999999</v>
      </c>
      <c r="AS40" s="36">
        <v>0.67083652942737115</v>
      </c>
      <c r="AT40" s="21"/>
      <c r="AV40" s="38">
        <f t="shared" ref="AV40" si="18">AH40-T40</f>
        <v>0</v>
      </c>
      <c r="AW40" s="39">
        <f>(AI40-U40)*100</f>
        <v>0</v>
      </c>
      <c r="AX40" s="38">
        <f t="shared" ref="AX40" si="19">AJ40-V40</f>
        <v>0</v>
      </c>
      <c r="AY40" s="39">
        <f>(AK40-W40)*100</f>
        <v>0</v>
      </c>
      <c r="AZ40" s="38">
        <f t="shared" ref="AZ40" si="20">AL40-X40</f>
        <v>0</v>
      </c>
      <c r="BA40" s="39">
        <f>(AM40-Y40)*100</f>
        <v>0</v>
      </c>
      <c r="BB40" s="38">
        <f t="shared" si="12"/>
        <v>0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0</v>
      </c>
      <c r="BG40" s="39">
        <f>(AS40-AE40)*100</f>
        <v>0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15992.442000000005</v>
      </c>
      <c r="G43" s="53">
        <v>4.9682115631679694E-2</v>
      </c>
      <c r="H43" s="23">
        <v>142034.61600000004</v>
      </c>
      <c r="I43" s="53">
        <v>0.1059154120775022</v>
      </c>
      <c r="J43" s="23">
        <v>22005.912000000004</v>
      </c>
      <c r="K43" s="53">
        <v>0.10765608776427853</v>
      </c>
      <c r="L43" s="23">
        <v>0</v>
      </c>
      <c r="M43" s="53">
        <v>0</v>
      </c>
      <c r="N43" s="32">
        <v>0</v>
      </c>
      <c r="O43" s="54">
        <v>0</v>
      </c>
      <c r="P43" s="23">
        <v>180032.97000000006</v>
      </c>
      <c r="Q43" s="54">
        <v>9.1306075113276056E-2</v>
      </c>
      <c r="R43" s="21"/>
      <c r="T43" s="23">
        <v>9588.94</v>
      </c>
      <c r="U43" s="53">
        <v>4.5607118540962596E-2</v>
      </c>
      <c r="V43" s="23">
        <v>147543.54</v>
      </c>
      <c r="W43" s="53">
        <v>0.11641952138569144</v>
      </c>
      <c r="X43" s="23">
        <v>19306.55</v>
      </c>
      <c r="Y43" s="53">
        <v>0.20547510747331885</v>
      </c>
      <c r="Z43" s="23">
        <v>0</v>
      </c>
      <c r="AA43" s="53">
        <v>0</v>
      </c>
      <c r="AB43" s="32">
        <v>0</v>
      </c>
      <c r="AC43" s="54">
        <v>0</v>
      </c>
      <c r="AD43" s="23">
        <v>176439.03</v>
      </c>
      <c r="AE43" s="54">
        <v>0.10801431438736905</v>
      </c>
      <c r="AF43" s="21"/>
      <c r="AH43" s="23">
        <v>9588.94</v>
      </c>
      <c r="AI43" s="53">
        <v>4.5607118540962596E-2</v>
      </c>
      <c r="AJ43" s="23">
        <v>147543.53999999998</v>
      </c>
      <c r="AK43" s="53">
        <v>0.11641952138569141</v>
      </c>
      <c r="AL43" s="23">
        <v>19306.55</v>
      </c>
      <c r="AM43" s="53">
        <v>0.20547510747331885</v>
      </c>
      <c r="AN43" s="23">
        <v>0</v>
      </c>
      <c r="AO43" s="53">
        <v>0</v>
      </c>
      <c r="AP43" s="32">
        <v>0</v>
      </c>
      <c r="AQ43" s="54">
        <v>0</v>
      </c>
      <c r="AR43" s="23">
        <v>176439.02999999997</v>
      </c>
      <c r="AS43" s="53">
        <v>0.10801431438736904</v>
      </c>
      <c r="AT43" s="21"/>
      <c r="AV43" s="29">
        <f t="shared" ref="AV43:AV51" si="22">AH43-T43</f>
        <v>0</v>
      </c>
      <c r="AW43" s="55">
        <f t="shared" ref="AW43:AW50" si="23">(AI43-U43)*100</f>
        <v>0</v>
      </c>
      <c r="AX43" s="29">
        <f t="shared" ref="AX43:AX51" si="24">AJ43-V43</f>
        <v>0</v>
      </c>
      <c r="AY43" s="55">
        <f t="shared" ref="AY43:AY50" si="25">(AK43-W43)*100</f>
        <v>-2.7755575615628914E-15</v>
      </c>
      <c r="AZ43" s="29">
        <f t="shared" ref="AZ43:AZ51" si="26">AL43-X43</f>
        <v>0</v>
      </c>
      <c r="BA43" s="55">
        <f t="shared" ref="BA43:BA50" si="27">(AM43-Y43)*100</f>
        <v>0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0</v>
      </c>
      <c r="BG43" s="55">
        <f t="shared" ref="BG43:BG50" si="33">(AS43-AE43)*100</f>
        <v>-1.3877787807814457E-15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-7727.7279999999937</v>
      </c>
      <c r="G44" s="53">
        <v>-2.4006957540703817E-2</v>
      </c>
      <c r="H44" s="27">
        <v>79953.56600000005</v>
      </c>
      <c r="I44" s="53">
        <v>5.9621486145009693E-2</v>
      </c>
      <c r="J44" s="27">
        <v>13533.822000000007</v>
      </c>
      <c r="K44" s="53">
        <v>6.620940450085068E-2</v>
      </c>
      <c r="L44" s="27">
        <v>0</v>
      </c>
      <c r="M44" s="53">
        <v>0</v>
      </c>
      <c r="N44" s="27">
        <v>0</v>
      </c>
      <c r="O44" s="54">
        <v>0</v>
      </c>
      <c r="P44" s="23">
        <v>85759.660000000062</v>
      </c>
      <c r="Q44" s="54">
        <v>4.3494133089339242E-2</v>
      </c>
      <c r="R44" s="21"/>
      <c r="T44" s="27">
        <v>-3504.3799999999997</v>
      </c>
      <c r="U44" s="53">
        <v>-1.6667606020329514E-2</v>
      </c>
      <c r="V44" s="27">
        <v>71907.7</v>
      </c>
      <c r="W44" s="53">
        <v>5.673891258096344E-2</v>
      </c>
      <c r="X44" s="27">
        <v>8592.08</v>
      </c>
      <c r="Y44" s="53">
        <v>9.1443502926175493E-2</v>
      </c>
      <c r="Z44" s="27">
        <v>0</v>
      </c>
      <c r="AA44" s="53">
        <v>0</v>
      </c>
      <c r="AB44" s="27">
        <v>0</v>
      </c>
      <c r="AC44" s="54">
        <v>0</v>
      </c>
      <c r="AD44" s="23">
        <v>76995.399999999994</v>
      </c>
      <c r="AE44" s="54">
        <v>4.7135859576995155E-2</v>
      </c>
      <c r="AF44" s="21"/>
      <c r="AH44" s="23">
        <v>-3504.3799999999997</v>
      </c>
      <c r="AI44" s="53">
        <v>-1.6667606020329514E-2</v>
      </c>
      <c r="AJ44" s="23">
        <v>71907.7</v>
      </c>
      <c r="AK44" s="53">
        <v>5.673891258096344E-2</v>
      </c>
      <c r="AL44" s="23">
        <v>8592.08</v>
      </c>
      <c r="AM44" s="53">
        <v>9.1443502926175493E-2</v>
      </c>
      <c r="AN44" s="23">
        <v>0</v>
      </c>
      <c r="AO44" s="53">
        <v>0</v>
      </c>
      <c r="AP44" s="32">
        <v>0</v>
      </c>
      <c r="AQ44" s="54">
        <v>0</v>
      </c>
      <c r="AR44" s="23">
        <v>76995.399999999994</v>
      </c>
      <c r="AS44" s="53">
        <v>4.7135859576995155E-2</v>
      </c>
      <c r="AT44" s="21"/>
      <c r="AV44" s="29">
        <f t="shared" si="22"/>
        <v>0</v>
      </c>
      <c r="AW44" s="55">
        <f t="shared" si="23"/>
        <v>0</v>
      </c>
      <c r="AX44" s="29">
        <f t="shared" si="24"/>
        <v>0</v>
      </c>
      <c r="AY44" s="55">
        <f t="shared" si="25"/>
        <v>0</v>
      </c>
      <c r="AZ44" s="29">
        <f t="shared" si="26"/>
        <v>0</v>
      </c>
      <c r="BA44" s="55">
        <f t="shared" si="27"/>
        <v>0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0</v>
      </c>
      <c r="BG44" s="55">
        <f t="shared" si="33"/>
        <v>0</v>
      </c>
      <c r="BH44" s="57"/>
    </row>
    <row r="45" spans="1:61" outlineLevel="1">
      <c r="B45" s="26" t="s">
        <v>47</v>
      </c>
      <c r="E45" s="69" t="s">
        <v>47</v>
      </c>
      <c r="F45" s="27">
        <v>13856.38</v>
      </c>
      <c r="G45" s="53">
        <v>4.3046226048310425E-2</v>
      </c>
      <c r="H45" s="27">
        <v>19290.16</v>
      </c>
      <c r="I45" s="53">
        <v>1.438469932879566E-2</v>
      </c>
      <c r="J45" s="27">
        <v>3295.85</v>
      </c>
      <c r="K45" s="53">
        <v>1.6123772414335626E-2</v>
      </c>
      <c r="L45" s="27">
        <v>0</v>
      </c>
      <c r="M45" s="53">
        <v>0</v>
      </c>
      <c r="N45" s="27">
        <v>0</v>
      </c>
      <c r="O45" s="54">
        <v>0</v>
      </c>
      <c r="P45" s="23">
        <v>36442.39</v>
      </c>
      <c r="Q45" s="54">
        <v>1.848223466316919E-2</v>
      </c>
      <c r="R45" s="21"/>
      <c r="T45" s="27">
        <v>5613.25</v>
      </c>
      <c r="U45" s="53">
        <v>2.6697857964494334E-2</v>
      </c>
      <c r="V45" s="27">
        <v>27502.899999999998</v>
      </c>
      <c r="W45" s="53">
        <v>2.1701217516663436E-2</v>
      </c>
      <c r="X45" s="27">
        <v>2039.06</v>
      </c>
      <c r="Y45" s="53">
        <v>2.1701239871678032E-2</v>
      </c>
      <c r="Z45" s="27">
        <v>0</v>
      </c>
      <c r="AA45" s="53">
        <v>0</v>
      </c>
      <c r="AB45" s="27">
        <v>0</v>
      </c>
      <c r="AC45" s="54">
        <v>0</v>
      </c>
      <c r="AD45" s="23">
        <v>35155.209999999992</v>
      </c>
      <c r="AE45" s="54">
        <v>2.152168885361691E-2</v>
      </c>
      <c r="AF45" s="21"/>
      <c r="AH45" s="23">
        <v>5613.25</v>
      </c>
      <c r="AI45" s="53">
        <v>2.6697857964494334E-2</v>
      </c>
      <c r="AJ45" s="23">
        <v>27502.899999999998</v>
      </c>
      <c r="AK45" s="53">
        <v>2.1701217516663436E-2</v>
      </c>
      <c r="AL45" s="23">
        <v>2039.06</v>
      </c>
      <c r="AM45" s="53">
        <v>2.1701239871678032E-2</v>
      </c>
      <c r="AN45" s="23">
        <v>0</v>
      </c>
      <c r="AO45" s="53">
        <v>0</v>
      </c>
      <c r="AP45" s="32">
        <v>0</v>
      </c>
      <c r="AQ45" s="54">
        <v>0</v>
      </c>
      <c r="AR45" s="23">
        <v>35155.209999999992</v>
      </c>
      <c r="AS45" s="53">
        <v>2.152168885361691E-2</v>
      </c>
      <c r="AT45" s="21"/>
      <c r="AV45" s="29">
        <f t="shared" si="22"/>
        <v>0</v>
      </c>
      <c r="AW45" s="55">
        <f t="shared" si="23"/>
        <v>0</v>
      </c>
      <c r="AX45" s="29">
        <f t="shared" si="24"/>
        <v>0</v>
      </c>
      <c r="AY45" s="55">
        <f t="shared" si="25"/>
        <v>0</v>
      </c>
      <c r="AZ45" s="29">
        <f t="shared" si="26"/>
        <v>0</v>
      </c>
      <c r="BA45" s="55">
        <f t="shared" si="27"/>
        <v>0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0</v>
      </c>
      <c r="BG45" s="55">
        <f t="shared" si="33"/>
        <v>0</v>
      </c>
      <c r="BH45" s="57"/>
    </row>
    <row r="46" spans="1:61" outlineLevel="1">
      <c r="B46" s="26" t="s">
        <v>48</v>
      </c>
      <c r="E46" s="69" t="s">
        <v>48</v>
      </c>
      <c r="F46" s="27">
        <v>9863.7899999999991</v>
      </c>
      <c r="G46" s="53">
        <v>3.0642847124073086E-2</v>
      </c>
      <c r="H46" s="27">
        <v>42790.89</v>
      </c>
      <c r="I46" s="53">
        <v>3.1909226603696855E-2</v>
      </c>
      <c r="J46" s="27">
        <v>5176.24</v>
      </c>
      <c r="K46" s="53">
        <v>2.5322910849092235E-2</v>
      </c>
      <c r="L46" s="27">
        <v>0</v>
      </c>
      <c r="M46" s="53">
        <v>0</v>
      </c>
      <c r="N46" s="27">
        <v>0</v>
      </c>
      <c r="O46" s="54">
        <v>0</v>
      </c>
      <c r="P46" s="23">
        <v>57830.92</v>
      </c>
      <c r="Q46" s="54">
        <v>2.9329707360767621E-2</v>
      </c>
      <c r="R46" s="21"/>
      <c r="T46" s="27">
        <v>7480.0700000000006</v>
      </c>
      <c r="U46" s="53">
        <v>3.5576866596797783E-2</v>
      </c>
      <c r="V46" s="27">
        <v>48132.94000000001</v>
      </c>
      <c r="W46" s="53">
        <v>3.7979391288064546E-2</v>
      </c>
      <c r="X46" s="27">
        <v>8675.41</v>
      </c>
      <c r="Y46" s="53">
        <v>9.2330364675465321E-2</v>
      </c>
      <c r="Z46" s="27">
        <v>0</v>
      </c>
      <c r="AA46" s="53">
        <v>0</v>
      </c>
      <c r="AB46" s="27">
        <v>0</v>
      </c>
      <c r="AC46" s="54">
        <v>0</v>
      </c>
      <c r="AD46" s="23">
        <v>64288.420000000013</v>
      </c>
      <c r="AE46" s="54">
        <v>3.9356765956756995E-2</v>
      </c>
      <c r="AF46" s="21"/>
      <c r="AH46" s="23">
        <v>7480.07</v>
      </c>
      <c r="AI46" s="53">
        <v>3.5576866596797777E-2</v>
      </c>
      <c r="AJ46" s="23">
        <v>48132.94</v>
      </c>
      <c r="AK46" s="53">
        <v>3.7979391288064546E-2</v>
      </c>
      <c r="AL46" s="23">
        <v>8675.41</v>
      </c>
      <c r="AM46" s="53">
        <v>9.2330364675465321E-2</v>
      </c>
      <c r="AN46" s="23">
        <v>0</v>
      </c>
      <c r="AO46" s="53">
        <v>0</v>
      </c>
      <c r="AP46" s="32">
        <v>0</v>
      </c>
      <c r="AQ46" s="54">
        <v>0</v>
      </c>
      <c r="AR46" s="23">
        <v>64288.42</v>
      </c>
      <c r="AS46" s="53">
        <v>3.9356765956756988E-2</v>
      </c>
      <c r="AT46" s="21"/>
      <c r="AV46" s="29">
        <f t="shared" si="22"/>
        <v>0</v>
      </c>
      <c r="AW46" s="55">
        <f t="shared" si="23"/>
        <v>-6.9388939039072284E-16</v>
      </c>
      <c r="AX46" s="29">
        <f t="shared" si="24"/>
        <v>0</v>
      </c>
      <c r="AY46" s="55">
        <f t="shared" si="25"/>
        <v>0</v>
      </c>
      <c r="AZ46" s="29">
        <f t="shared" si="26"/>
        <v>0</v>
      </c>
      <c r="BA46" s="55">
        <f t="shared" si="27"/>
        <v>0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0</v>
      </c>
      <c r="BG46" s="55">
        <f t="shared" si="33"/>
        <v>-6.9388939039072284E-16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4957.4400000000005</v>
      </c>
      <c r="G47" s="53">
        <v>1.5400781651552285E-2</v>
      </c>
      <c r="H47" s="23">
        <v>99385.180000000008</v>
      </c>
      <c r="I47" s="53">
        <v>7.4111667919718446E-2</v>
      </c>
      <c r="J47" s="23">
        <v>4083.739999999998</v>
      </c>
      <c r="K47" s="53">
        <v>1.9978243657726821E-2</v>
      </c>
      <c r="L47" s="23">
        <v>0</v>
      </c>
      <c r="M47" s="53">
        <v>0</v>
      </c>
      <c r="N47" s="32">
        <v>0</v>
      </c>
      <c r="O47" s="54">
        <v>0</v>
      </c>
      <c r="P47" s="23">
        <v>108426.36000000002</v>
      </c>
      <c r="Q47" s="54">
        <v>5.4989846417681759E-2</v>
      </c>
      <c r="R47" s="21"/>
      <c r="T47" s="23">
        <v>1410.6899999999996</v>
      </c>
      <c r="U47" s="53">
        <v>6.7095535121244375E-3</v>
      </c>
      <c r="V47" s="23">
        <v>87739.500000000015</v>
      </c>
      <c r="W47" s="53">
        <v>6.9231025611964273E-2</v>
      </c>
      <c r="X47" s="23">
        <v>4457.7000000000016</v>
      </c>
      <c r="Y47" s="53">
        <v>4.74422611281567E-2</v>
      </c>
      <c r="Z47" s="23">
        <v>0</v>
      </c>
      <c r="AA47" s="53">
        <v>0</v>
      </c>
      <c r="AB47" s="23">
        <v>0</v>
      </c>
      <c r="AC47" s="54">
        <v>0</v>
      </c>
      <c r="AD47" s="23">
        <v>93607.890000000014</v>
      </c>
      <c r="AE47" s="54">
        <v>5.7305869679731641E-2</v>
      </c>
      <c r="AF47" s="21"/>
      <c r="AH47" s="23">
        <v>1410.6899999999996</v>
      </c>
      <c r="AI47" s="53">
        <v>6.7095535121244375E-3</v>
      </c>
      <c r="AJ47" s="23">
        <v>87739.860000000015</v>
      </c>
      <c r="AK47" s="53">
        <v>6.9231309670674659E-2</v>
      </c>
      <c r="AL47" s="23">
        <v>4457.7000000000016</v>
      </c>
      <c r="AM47" s="53">
        <v>4.74422611281567E-2</v>
      </c>
      <c r="AN47" s="23">
        <v>0</v>
      </c>
      <c r="AO47" s="53">
        <v>0</v>
      </c>
      <c r="AP47" s="32">
        <v>0</v>
      </c>
      <c r="AQ47" s="54">
        <v>0</v>
      </c>
      <c r="AR47" s="23">
        <v>93608.250000000015</v>
      </c>
      <c r="AS47" s="53">
        <v>5.7306090068345091E-2</v>
      </c>
      <c r="AT47" s="21"/>
      <c r="AV47" s="29">
        <f t="shared" si="22"/>
        <v>0</v>
      </c>
      <c r="AW47" s="55">
        <f t="shared" si="23"/>
        <v>0</v>
      </c>
      <c r="AX47" s="29">
        <f t="shared" si="24"/>
        <v>0.36000000000058208</v>
      </c>
      <c r="AY47" s="55">
        <f t="shared" si="25"/>
        <v>2.8405871038694741E-5</v>
      </c>
      <c r="AZ47" s="29">
        <f t="shared" si="26"/>
        <v>0</v>
      </c>
      <c r="BA47" s="55">
        <f t="shared" si="27"/>
        <v>0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0.36000000000058208</v>
      </c>
      <c r="BG47" s="55">
        <f t="shared" si="33"/>
        <v>2.2038861344914062E-5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7432.85</v>
      </c>
      <c r="G48" s="53">
        <v>2.3090889632298203E-2</v>
      </c>
      <c r="H48" s="23">
        <v>44894.7</v>
      </c>
      <c r="I48" s="53">
        <v>3.3478040667183809E-2</v>
      </c>
      <c r="J48" s="23">
        <v>18118.530000000002</v>
      </c>
      <c r="K48" s="53">
        <v>8.8638455694983853E-2</v>
      </c>
      <c r="L48" s="23">
        <v>0</v>
      </c>
      <c r="M48" s="53">
        <v>0</v>
      </c>
      <c r="N48" s="32">
        <v>0</v>
      </c>
      <c r="O48" s="54">
        <v>0</v>
      </c>
      <c r="P48" s="23">
        <v>70446.080000000002</v>
      </c>
      <c r="Q48" s="54">
        <v>3.5727650729285042E-2</v>
      </c>
      <c r="R48" s="21"/>
      <c r="T48" s="23">
        <v>3747.66</v>
      </c>
      <c r="U48" s="53">
        <v>1.7824699484116479E-2</v>
      </c>
      <c r="V48" s="23">
        <v>57026.86</v>
      </c>
      <c r="W48" s="53">
        <v>4.4997156414498599E-2</v>
      </c>
      <c r="X48" s="23">
        <v>5881.46</v>
      </c>
      <c r="Y48" s="53">
        <v>6.2595006648004228E-2</v>
      </c>
      <c r="Z48" s="23">
        <v>0</v>
      </c>
      <c r="AA48" s="53">
        <v>0</v>
      </c>
      <c r="AB48" s="23">
        <v>0</v>
      </c>
      <c r="AC48" s="54">
        <v>0</v>
      </c>
      <c r="AD48" s="23">
        <v>66655.98000000001</v>
      </c>
      <c r="AE48" s="54">
        <v>4.0806163916896308E-2</v>
      </c>
      <c r="AF48" s="21"/>
      <c r="AH48" s="23">
        <v>3747.66</v>
      </c>
      <c r="AI48" s="53">
        <v>1.7824699484116479E-2</v>
      </c>
      <c r="AJ48" s="23">
        <v>57026.5</v>
      </c>
      <c r="AK48" s="53">
        <v>4.4996872355788212E-2</v>
      </c>
      <c r="AL48" s="23">
        <v>5881.46</v>
      </c>
      <c r="AM48" s="53">
        <v>6.2595006648004228E-2</v>
      </c>
      <c r="AN48" s="23">
        <v>0</v>
      </c>
      <c r="AO48" s="53">
        <v>0</v>
      </c>
      <c r="AP48" s="23">
        <v>0</v>
      </c>
      <c r="AQ48" s="54">
        <v>0</v>
      </c>
      <c r="AR48" s="23">
        <v>66655.62000000001</v>
      </c>
      <c r="AS48" s="53">
        <v>4.0805943528282866E-2</v>
      </c>
      <c r="AT48" s="21"/>
      <c r="AV48" s="29">
        <f t="shared" si="22"/>
        <v>0</v>
      </c>
      <c r="AW48" s="55">
        <f t="shared" si="23"/>
        <v>0</v>
      </c>
      <c r="AX48" s="29">
        <f t="shared" si="24"/>
        <v>-0.36000000000058208</v>
      </c>
      <c r="AY48" s="55">
        <f t="shared" si="25"/>
        <v>-2.8405871038694741E-5</v>
      </c>
      <c r="AZ48" s="29">
        <f t="shared" si="26"/>
        <v>0</v>
      </c>
      <c r="BA48" s="55">
        <f t="shared" si="27"/>
        <v>0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-0.36000000000058208</v>
      </c>
      <c r="BG48" s="55">
        <f t="shared" si="33"/>
        <v>-2.2038861344220173E-5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224729.67702553925</v>
      </c>
      <c r="I49" s="53">
        <v>0.16758123490265192</v>
      </c>
      <c r="J49" s="23">
        <v>34255.172974460736</v>
      </c>
      <c r="K49" s="53">
        <v>0.16758123490265192</v>
      </c>
      <c r="L49" s="23">
        <v>0</v>
      </c>
      <c r="M49" s="53">
        <v>0</v>
      </c>
      <c r="N49" s="32">
        <v>0</v>
      </c>
      <c r="O49" s="54">
        <v>0</v>
      </c>
      <c r="P49" s="23">
        <v>258984.84999999998</v>
      </c>
      <c r="Q49" s="54">
        <v>0.13134755354700042</v>
      </c>
      <c r="R49" s="21"/>
      <c r="T49" s="23">
        <v>0</v>
      </c>
      <c r="U49" s="53">
        <v>0</v>
      </c>
      <c r="V49" s="23">
        <v>229082.82</v>
      </c>
      <c r="W49" s="53">
        <v>0.18075825117171854</v>
      </c>
      <c r="X49" s="23">
        <v>23908.01</v>
      </c>
      <c r="Y49" s="53">
        <v>0.25444737274257606</v>
      </c>
      <c r="Z49" s="23">
        <v>0</v>
      </c>
      <c r="AA49" s="53">
        <v>0</v>
      </c>
      <c r="AB49" s="23">
        <v>0</v>
      </c>
      <c r="AC49" s="54">
        <v>0</v>
      </c>
      <c r="AD49" s="23">
        <v>252990.83000000002</v>
      </c>
      <c r="AE49" s="54">
        <v>0.15487860621735136</v>
      </c>
      <c r="AF49" s="21"/>
      <c r="AH49" s="23">
        <v>0</v>
      </c>
      <c r="AI49" s="53">
        <v>0</v>
      </c>
      <c r="AJ49" s="23">
        <v>229082.82</v>
      </c>
      <c r="AK49" s="53">
        <v>0.18075825117171854</v>
      </c>
      <c r="AL49" s="23">
        <v>23908.01</v>
      </c>
      <c r="AM49" s="53">
        <v>0.25444737274257606</v>
      </c>
      <c r="AN49" s="23">
        <v>0</v>
      </c>
      <c r="AO49" s="53">
        <v>0</v>
      </c>
      <c r="AP49" s="32">
        <v>0</v>
      </c>
      <c r="AQ49" s="54">
        <v>0</v>
      </c>
      <c r="AR49" s="23">
        <v>252990.83000000002</v>
      </c>
      <c r="AS49" s="53">
        <v>0.15487860621735136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0</v>
      </c>
      <c r="AY49" s="55">
        <f t="shared" si="25"/>
        <v>0</v>
      </c>
      <c r="AZ49" s="29">
        <f t="shared" si="26"/>
        <v>0</v>
      </c>
      <c r="BA49" s="55">
        <f t="shared" si="27"/>
        <v>0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0</v>
      </c>
      <c r="BG49" s="55">
        <f t="shared" si="33"/>
        <v>0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28382.732000000004</v>
      </c>
      <c r="G51" s="36">
        <v>8.817378691553017E-2</v>
      </c>
      <c r="H51" s="35">
        <v>511044.17302553926</v>
      </c>
      <c r="I51" s="36">
        <v>0.38108635556705633</v>
      </c>
      <c r="J51" s="35">
        <v>78463.35497446073</v>
      </c>
      <c r="K51" s="36">
        <v>0.38385402201964103</v>
      </c>
      <c r="L51" s="35">
        <v>0</v>
      </c>
      <c r="M51" s="36">
        <v>0</v>
      </c>
      <c r="N51" s="37">
        <v>0</v>
      </c>
      <c r="O51" s="70">
        <v>0</v>
      </c>
      <c r="P51" s="35">
        <v>617890.26</v>
      </c>
      <c r="Q51" s="70">
        <v>0.31337112580724324</v>
      </c>
      <c r="R51" s="21"/>
      <c r="T51" s="35">
        <v>14747.29</v>
      </c>
      <c r="U51" s="36">
        <v>7.0141371537203512E-2</v>
      </c>
      <c r="V51" s="35">
        <v>521392.72000000009</v>
      </c>
      <c r="W51" s="36">
        <v>0.41140595458387286</v>
      </c>
      <c r="X51" s="35">
        <v>53553.72</v>
      </c>
      <c r="Y51" s="36">
        <v>0.56995974799205584</v>
      </c>
      <c r="Z51" s="35">
        <v>0</v>
      </c>
      <c r="AA51" s="36">
        <v>0</v>
      </c>
      <c r="AB51" s="37">
        <v>0</v>
      </c>
      <c r="AC51" s="70">
        <v>0</v>
      </c>
      <c r="AD51" s="35">
        <v>589693.7300000001</v>
      </c>
      <c r="AE51" s="70">
        <v>0.36100495420134843</v>
      </c>
      <c r="AF51" s="21"/>
      <c r="AH51" s="35">
        <v>14747.29</v>
      </c>
      <c r="AI51" s="36">
        <v>7.0141371537203512E-2</v>
      </c>
      <c r="AJ51" s="35">
        <v>521392.72000000003</v>
      </c>
      <c r="AK51" s="36">
        <v>0.4114059545838728</v>
      </c>
      <c r="AL51" s="35">
        <v>53553.72</v>
      </c>
      <c r="AM51" s="36">
        <v>0.56995974799205584</v>
      </c>
      <c r="AN51" s="35">
        <v>0</v>
      </c>
      <c r="AO51" s="36">
        <v>0</v>
      </c>
      <c r="AP51" s="37">
        <v>0</v>
      </c>
      <c r="AQ51" s="70">
        <v>0</v>
      </c>
      <c r="AR51" s="35">
        <v>589693.73</v>
      </c>
      <c r="AS51" s="36">
        <v>0.36100495420134832</v>
      </c>
      <c r="AT51" s="21"/>
      <c r="AV51" s="38">
        <f t="shared" si="22"/>
        <v>0</v>
      </c>
      <c r="AW51" s="39">
        <f>(AI51-U51)*100</f>
        <v>0</v>
      </c>
      <c r="AX51" s="38">
        <f t="shared" si="24"/>
        <v>0</v>
      </c>
      <c r="AY51" s="39">
        <f>(AK51-W51)*100</f>
        <v>-5.5511151231257827E-15</v>
      </c>
      <c r="AZ51" s="38">
        <f t="shared" si="26"/>
        <v>0</v>
      </c>
      <c r="BA51" s="39">
        <f>(AM51-Y51)*100</f>
        <v>0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0</v>
      </c>
      <c r="BG51" s="39">
        <f>(AS51-AE51)*100</f>
        <v>-1.1102230246251565E-14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147422.42799999996</v>
      </c>
      <c r="G53" s="36">
        <v>0.45798247163247302</v>
      </c>
      <c r="H53" s="35">
        <v>430643.88697446079</v>
      </c>
      <c r="I53" s="36">
        <v>0.32113174965430458</v>
      </c>
      <c r="J53" s="35">
        <v>83050.115025539242</v>
      </c>
      <c r="K53" s="36">
        <v>0.40629311214290409</v>
      </c>
      <c r="L53" s="35">
        <v>104428.32</v>
      </c>
      <c r="M53" s="36">
        <v>1</v>
      </c>
      <c r="N53" s="37">
        <v>0</v>
      </c>
      <c r="O53" s="70">
        <v>0</v>
      </c>
      <c r="P53" s="35">
        <v>765544.74999999977</v>
      </c>
      <c r="Q53" s="70">
        <v>0.3882560313595565</v>
      </c>
      <c r="R53" s="21"/>
      <c r="T53" s="35">
        <v>94440.6</v>
      </c>
      <c r="U53" s="36">
        <v>0.44918037231222974</v>
      </c>
      <c r="V53" s="35">
        <v>335630.07999999984</v>
      </c>
      <c r="W53" s="36">
        <v>0.26482957692516601</v>
      </c>
      <c r="X53" s="35">
        <v>14109.350000000006</v>
      </c>
      <c r="Y53" s="36">
        <v>0.15016252036892519</v>
      </c>
      <c r="Z53" s="35">
        <v>61923.1</v>
      </c>
      <c r="AA53" s="36">
        <v>1</v>
      </c>
      <c r="AB53" s="37">
        <v>0</v>
      </c>
      <c r="AC53" s="70">
        <v>0</v>
      </c>
      <c r="AD53" s="35">
        <v>506103.12999999977</v>
      </c>
      <c r="AE53" s="70">
        <v>0.30983157522602278</v>
      </c>
      <c r="AF53" s="21"/>
      <c r="AH53" s="35">
        <v>94440.6</v>
      </c>
      <c r="AI53" s="36">
        <v>0.44918037231222974</v>
      </c>
      <c r="AJ53" s="35">
        <v>335630.0799999999</v>
      </c>
      <c r="AK53" s="36">
        <v>0.26482957692516601</v>
      </c>
      <c r="AL53" s="35">
        <v>14109.350000000006</v>
      </c>
      <c r="AM53" s="36">
        <v>0.15016252036892519</v>
      </c>
      <c r="AN53" s="35">
        <v>61923.1</v>
      </c>
      <c r="AO53" s="36">
        <v>1</v>
      </c>
      <c r="AP53" s="37">
        <v>0</v>
      </c>
      <c r="AQ53" s="70">
        <v>0</v>
      </c>
      <c r="AR53" s="35">
        <v>506103.12999999989</v>
      </c>
      <c r="AS53" s="36">
        <v>0.30983157522602284</v>
      </c>
      <c r="AT53" s="21"/>
      <c r="AV53" s="38">
        <f t="shared" ref="AV53" si="34">AH53-T53</f>
        <v>0</v>
      </c>
      <c r="AW53" s="39">
        <f>(AI53-U53)*100</f>
        <v>0</v>
      </c>
      <c r="AX53" s="38">
        <f t="shared" ref="AX53" si="35">AJ53-V53</f>
        <v>0</v>
      </c>
      <c r="AY53" s="39">
        <f>(AK53-W53)*100</f>
        <v>0</v>
      </c>
      <c r="AZ53" s="38">
        <f t="shared" ref="AZ53" si="36">AL53-X53</f>
        <v>0</v>
      </c>
      <c r="BA53" s="39">
        <f>(AM53-Y53)*100</f>
        <v>0</v>
      </c>
      <c r="BB53" s="38">
        <f>AN53-Z53</f>
        <v>0</v>
      </c>
      <c r="BC53" s="39">
        <f>(AO53-AA53)*100</f>
        <v>0</v>
      </c>
      <c r="BD53" s="38">
        <f t="shared" ref="BD53" si="37">AP53-AB53</f>
        <v>0</v>
      </c>
      <c r="BE53" s="39">
        <f>(AQ53-AC53)*100</f>
        <v>0</v>
      </c>
      <c r="BF53" s="38">
        <f t="shared" ref="BF53" si="38">AR53-AD53</f>
        <v>0</v>
      </c>
      <c r="BG53" s="39">
        <f>(AS53-AE53)*100</f>
        <v>5.5511151231257827E-15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-8.802099320243284E-3</v>
      </c>
      <c r="AJ54" s="92"/>
      <c r="AK54" s="92">
        <f>+AK53-I53</f>
        <v>-5.6302172729138567E-2</v>
      </c>
      <c r="AL54" s="92"/>
      <c r="AM54" s="92">
        <f>+AM53-K53</f>
        <v>-0.2561305917739789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343689.12</v>
      </c>
      <c r="Q56" s="53">
        <v>0.17430643179599678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361577.69999999995</v>
      </c>
      <c r="AE56" s="53">
        <v>0.22135446654440238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361577.69999999995</v>
      </c>
      <c r="AS56" s="53">
        <v>0.22135446654440238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0</v>
      </c>
      <c r="BG56" s="55">
        <f t="shared" ref="BG56:BG78" si="40">(AS56-AE56)*100</f>
        <v>0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233827.79</v>
      </c>
      <c r="Q57" s="53">
        <v>0.11858882157702187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249552.93</v>
      </c>
      <c r="AE57" s="53">
        <v>0.15277395617800157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249552.93</v>
      </c>
      <c r="AS57" s="53">
        <v>0.15277395617800157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0</v>
      </c>
      <c r="BG57" s="55">
        <f t="shared" si="40"/>
        <v>0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24630</v>
      </c>
      <c r="Q58" s="53">
        <v>1.2491426598361336E-2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40615.93</v>
      </c>
      <c r="AE58" s="53">
        <v>2.486469026810777E-2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40615.93</v>
      </c>
      <c r="AS58" s="53">
        <v>2.486469026810777E-2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0</v>
      </c>
      <c r="BG58" s="55">
        <f t="shared" si="40"/>
        <v>0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46293.83</v>
      </c>
      <c r="Q59" s="53">
        <v>2.3478521291190334E-2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71408.84</v>
      </c>
      <c r="AE59" s="53">
        <v>4.3715820098293078E-2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71408.84</v>
      </c>
      <c r="AS59" s="53">
        <v>4.3715820098293078E-2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0</v>
      </c>
      <c r="BG59" s="55">
        <f t="shared" si="40"/>
        <v>0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38937.5</v>
      </c>
      <c r="Q60" s="53">
        <v>1.9747662329423245E-2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38324.42</v>
      </c>
      <c r="Q61" s="53">
        <v>1.9436730789881083E-2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53581.1</v>
      </c>
      <c r="AE61" s="53">
        <v>3.2801845377528206E-2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53581.1</v>
      </c>
      <c r="AS61" s="53">
        <v>3.2801845377528206E-2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0</v>
      </c>
      <c r="BG61" s="55">
        <f t="shared" si="40"/>
        <v>0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36250</v>
      </c>
      <c r="Q62" s="53">
        <v>1.8384661558692585E-2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540</v>
      </c>
      <c r="Q67" s="53">
        <v>2.7386806183983439E-4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1534.42</v>
      </c>
      <c r="Q68" s="53">
        <v>7.7820116934866428E-4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75320.01999999999</v>
      </c>
      <c r="Q70" s="53">
        <v>3.8199533139143628E-2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89562.290000000008</v>
      </c>
      <c r="AE70" s="53">
        <v>5.4829191417073202E-2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89562.290000000008</v>
      </c>
      <c r="AS70" s="53">
        <v>5.4829191417073202E-2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0</v>
      </c>
      <c r="BG70" s="55">
        <f t="shared" si="40"/>
        <v>0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8317.4600000000028</v>
      </c>
      <c r="Q71" s="53">
        <v>4.2183086104265735E-3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4693.8699999999981</v>
      </c>
      <c r="AE71" s="53">
        <v>2.8735430583212785E-3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4693.8700000000008</v>
      </c>
      <c r="AS71" s="53">
        <v>2.8735430583212802E-3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0</v>
      </c>
      <c r="BG71" s="55">
        <f t="shared" si="40"/>
        <v>1.7347234759768071E-16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33919.67</v>
      </c>
      <c r="Q72" s="53">
        <v>1.7202804224345881E-2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24656.17</v>
      </c>
      <c r="AE72" s="53">
        <v>1.5094275331078488E-2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24656.170000000002</v>
      </c>
      <c r="AS72" s="53">
        <v>1.509427533107849E-2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0</v>
      </c>
      <c r="BG72" s="55">
        <f t="shared" si="40"/>
        <v>1.7347234759768071E-16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1154.31</v>
      </c>
      <c r="Q73" s="53">
        <v>5.8542341196729487E-4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19361.09</v>
      </c>
      <c r="AE73" s="53">
        <v>1.1852677166396501E-2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19361.09</v>
      </c>
      <c r="AS73" s="53">
        <v>1.1852677166396501E-2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0</v>
      </c>
      <c r="BG73" s="55">
        <f t="shared" si="40"/>
        <v>0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3699.1700000000005</v>
      </c>
      <c r="Q74" s="53">
        <v>1.8760824413260376E-3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5350.16</v>
      </c>
      <c r="AE74" s="53">
        <v>3.2753176225392218E-3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5350.1599999999989</v>
      </c>
      <c r="AS74" s="53">
        <v>3.2753176225392214E-3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0</v>
      </c>
      <c r="BG74" s="55">
        <f t="shared" si="40"/>
        <v>-4.3368086899420177E-17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27682.059999999998</v>
      </c>
      <c r="Q75" s="53">
        <v>1.4039318740618529E-2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6880.8899999999994</v>
      </c>
      <c r="AE75" s="53">
        <v>4.2124161288174377E-3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6880.8899999999994</v>
      </c>
      <c r="AS75" s="53">
        <v>4.2124161288174377E-3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0</v>
      </c>
      <c r="BG75" s="55">
        <f t="shared" si="40"/>
        <v>0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532106.23</v>
      </c>
      <c r="Q76" s="36">
        <v>0.26986463315370579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565663.27</v>
      </c>
      <c r="AE76" s="36">
        <v>0.34629373264615676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565663.27</v>
      </c>
      <c r="AS76" s="36">
        <v>0.34629373264615676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0</v>
      </c>
      <c r="BG76" s="39">
        <f t="shared" si="40"/>
        <v>0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233438.51999999979</v>
      </c>
      <c r="Q78" s="36">
        <v>0.11839139820585066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-59560.140000000247</v>
      </c>
      <c r="AE78" s="36">
        <v>-3.6462157420133978E-2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-59560.14000000013</v>
      </c>
      <c r="AS78" s="36">
        <v>-3.6462157420133909E-2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1.1641532182693481E-10</v>
      </c>
      <c r="BG78" s="39">
        <f t="shared" si="40"/>
        <v>6.9388939039072284E-15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503" priority="53" operator="greaterThanOrEqual">
      <formula>1</formula>
    </cfRule>
    <cfRule type="cellIs" dxfId="502" priority="52" operator="lessThanOrEqual">
      <formula>-1</formula>
    </cfRule>
  </conditionalFormatting>
  <conditionalFormatting sqref="U33:U34 Y33:Y34 AA33:AA34 AC33:AC34">
    <cfRule type="cellIs" dxfId="501" priority="49" operator="greaterThanOrEqual">
      <formula>0.0001</formula>
    </cfRule>
    <cfRule type="cellIs" dxfId="500" priority="48" operator="lessThanOrEqual">
      <formula>-0.0001</formula>
    </cfRule>
  </conditionalFormatting>
  <conditionalFormatting sqref="AB33:AB34">
    <cfRule type="cellIs" dxfId="499" priority="51" operator="greaterThanOrEqual">
      <formula>1</formula>
    </cfRule>
    <cfRule type="cellIs" dxfId="498" priority="50" operator="lessThanOrEqual">
      <formula>-1</formula>
    </cfRule>
  </conditionalFormatting>
  <conditionalFormatting sqref="AD33:AD34">
    <cfRule type="cellIs" dxfId="497" priority="47" operator="greaterThanOrEqual">
      <formula>1</formula>
    </cfRule>
    <cfRule type="cellIs" dxfId="496" priority="46" operator="lessThanOrEqual">
      <formula>-1</formula>
    </cfRule>
  </conditionalFormatting>
  <conditionalFormatting sqref="AE33:AE34">
    <cfRule type="cellIs" dxfId="495" priority="45" operator="greaterThanOrEqual">
      <formula>0.0001</formula>
    </cfRule>
    <cfRule type="cellIs" dxfId="494" priority="44" operator="lessThanOrEqual">
      <formula>-0.0001</formula>
    </cfRule>
  </conditionalFormatting>
  <conditionalFormatting sqref="AH33:AH34 AJ33:AJ34 AL33:AL34 AN33:AN34">
    <cfRule type="cellIs" dxfId="493" priority="63" operator="greaterThanOrEqual">
      <formula>1</formula>
    </cfRule>
    <cfRule type="cellIs" dxfId="492" priority="62" operator="lessThanOrEqual">
      <formula>-1</formula>
    </cfRule>
  </conditionalFormatting>
  <conditionalFormatting sqref="AI33:AI34 AM33:AM34 AO33:AO34 AQ33:AQ34">
    <cfRule type="cellIs" dxfId="491" priority="59" operator="greaterThanOrEqual">
      <formula>0.0001</formula>
    </cfRule>
    <cfRule type="cellIs" dxfId="490" priority="58" operator="lessThanOrEqual">
      <formula>-0.0001</formula>
    </cfRule>
  </conditionalFormatting>
  <conditionalFormatting sqref="AK33:AK34">
    <cfRule type="cellIs" dxfId="489" priority="43" operator="greaterThanOrEqual">
      <formula>0.0001</formula>
    </cfRule>
    <cfRule type="cellIs" dxfId="488" priority="42" operator="lessThanOrEqual">
      <formula>-0.0001</formula>
    </cfRule>
  </conditionalFormatting>
  <conditionalFormatting sqref="AP33:AP34">
    <cfRule type="cellIs" dxfId="487" priority="60" operator="lessThanOrEqual">
      <formula>-1</formula>
    </cfRule>
    <cfRule type="cellIs" dxfId="486" priority="61" operator="greaterThanOrEqual">
      <formula>1</formula>
    </cfRule>
  </conditionalFormatting>
  <conditionalFormatting sqref="AR33:AR34">
    <cfRule type="cellIs" dxfId="485" priority="56" operator="lessThanOrEqual">
      <formula>-1</formula>
    </cfRule>
    <cfRule type="cellIs" dxfId="484" priority="57" operator="greaterThanOrEqual">
      <formula>1</formula>
    </cfRule>
  </conditionalFormatting>
  <conditionalFormatting sqref="AS33:AS34">
    <cfRule type="cellIs" dxfId="483" priority="55" operator="greaterThanOrEqual">
      <formula>0.0001</formula>
    </cfRule>
    <cfRule type="cellIs" dxfId="482" priority="54" operator="lessThanOrEqual">
      <formula>-0.0001</formula>
    </cfRule>
  </conditionalFormatting>
  <conditionalFormatting sqref="AV27:AV29 AX27:AX29 AZ27:AZ29 BB27:BB29 BF27:BF29 AV40 AX40 AZ40 BB40 BF40">
    <cfRule type="cellIs" dxfId="481" priority="31" operator="greaterThanOrEqual">
      <formula>0.000001</formula>
    </cfRule>
  </conditionalFormatting>
  <conditionalFormatting sqref="AV27:AV29 AX27:AX29 AZ27:AZ29 BB27:BB29 BF27:BF29">
    <cfRule type="cellIs" dxfId="480" priority="30" operator="lessThanOrEqual">
      <formula>-0.000001</formula>
    </cfRule>
  </conditionalFormatting>
  <conditionalFormatting sqref="AV33:AV34 AX33:AX34 AZ33:AZ34 BB33:BB34">
    <cfRule type="cellIs" dxfId="479" priority="41" operator="greaterThanOrEqual">
      <formula>1</formula>
    </cfRule>
    <cfRule type="cellIs" dxfId="478" priority="40" operator="lessThanOrEqual">
      <formula>-1</formula>
    </cfRule>
  </conditionalFormatting>
  <conditionalFormatting sqref="AV36 AX36 AZ36 BB36 BD36 BF36 AX43:AX51 AZ43:AZ51 BD43:BD51 BF43:BF51 AV43:AV52">
    <cfRule type="cellIs" dxfId="477" priority="28" operator="lessThanOrEqual">
      <formula>-0.000001</formula>
    </cfRule>
    <cfRule type="cellIs" dxfId="476" priority="29" operator="greaterThanOrEqual">
      <formula>0.00001</formula>
    </cfRule>
  </conditionalFormatting>
  <conditionalFormatting sqref="AV39 AX39 AZ39 BF39">
    <cfRule type="cellIs" dxfId="475" priority="14" operator="lessThanOrEqual">
      <formula>-0.00001</formula>
    </cfRule>
    <cfRule type="cellIs" dxfId="474" priority="15" operator="greaterThanOrEqual">
      <formula>0.00001</formula>
    </cfRule>
  </conditionalFormatting>
  <conditionalFormatting sqref="AV40:BB40 BD40:BG40">
    <cfRule type="cellIs" dxfId="473" priority="18" operator="lessThanOrEqual">
      <formula>-0.000001</formula>
    </cfRule>
  </conditionalFormatting>
  <conditionalFormatting sqref="AV53:BB53 BD53:BG53 BF78:BG78">
    <cfRule type="cellIs" dxfId="472" priority="21" operator="greaterThanOrEqual">
      <formula>0.000001</formula>
    </cfRule>
    <cfRule type="cellIs" dxfId="471" priority="20" operator="lessThanOrEqual">
      <formula>-0.000001</formula>
    </cfRule>
  </conditionalFormatting>
  <conditionalFormatting sqref="AW29 AY29 BA29 BC29 BE29 BG29">
    <cfRule type="cellIs" dxfId="470" priority="24" operator="lessThanOrEqual">
      <formula>-0.000001</formula>
    </cfRule>
    <cfRule type="cellIs" dxfId="469" priority="25" operator="greaterThanOrEqual">
      <formula>0.000001</formula>
    </cfRule>
  </conditionalFormatting>
  <conditionalFormatting sqref="AW33:AW34 BA33:BA34 BC33:BC34 BE33:BE34">
    <cfRule type="cellIs" dxfId="468" priority="39" operator="greaterThanOrEqual">
      <formula>0.0001</formula>
    </cfRule>
    <cfRule type="cellIs" dxfId="467" priority="38" operator="lessThanOrEqual">
      <formula>-0.0001</formula>
    </cfRule>
  </conditionalFormatting>
  <conditionalFormatting sqref="AW36 AY36 BA36 BG36">
    <cfRule type="cellIs" dxfId="466" priority="13" operator="greaterThanOrEqual">
      <formula>0.000001</formula>
    </cfRule>
    <cfRule type="cellIs" dxfId="465" priority="12" operator="lessThanOrEqual">
      <formula>-0.00001</formula>
    </cfRule>
  </conditionalFormatting>
  <conditionalFormatting sqref="AW39 AY39 BA39 BC39 BE39 BG39">
    <cfRule type="cellIs" dxfId="464" priority="17" operator="greaterThanOrEqual">
      <formula>0.000001</formula>
    </cfRule>
    <cfRule type="cellIs" dxfId="463" priority="16" operator="lessThanOrEqual">
      <formula>-0.00001</formula>
    </cfRule>
  </conditionalFormatting>
  <conditionalFormatting sqref="AW40 AY40 BA40 BG40">
    <cfRule type="cellIs" dxfId="462" priority="19" operator="greaterThanOrEqual">
      <formula>0.0000001</formula>
    </cfRule>
  </conditionalFormatting>
  <conditionalFormatting sqref="AW43:AW51 AY43:AY51 BA43:BA51 BG43:BG51 BG56:BG76">
    <cfRule type="cellIs" dxfId="461" priority="23" operator="greaterThanOrEqual">
      <formula>0.000001</formula>
    </cfRule>
    <cfRule type="cellIs" dxfId="460" priority="22" operator="lessThanOrEqual">
      <formula>-0.0000001</formula>
    </cfRule>
  </conditionalFormatting>
  <conditionalFormatting sqref="AY33:AY34">
    <cfRule type="cellIs" dxfId="459" priority="33" operator="greaterThanOrEqual">
      <formula>0.0001</formula>
    </cfRule>
    <cfRule type="cellIs" dxfId="458" priority="32" operator="lessThanOrEqual">
      <formula>-0.0001</formula>
    </cfRule>
  </conditionalFormatting>
  <conditionalFormatting sqref="BD27:BD29 BD40">
    <cfRule type="cellIs" dxfId="457" priority="9" operator="greaterThanOrEqual">
      <formula>0.000001</formula>
    </cfRule>
  </conditionalFormatting>
  <conditionalFormatting sqref="BD27:BD29">
    <cfRule type="cellIs" dxfId="456" priority="8" operator="lessThanOrEqual">
      <formula>-0.000001</formula>
    </cfRule>
  </conditionalFormatting>
  <conditionalFormatting sqref="BD33:BD34">
    <cfRule type="cellIs" dxfId="455" priority="11" operator="greaterThanOrEqual">
      <formula>1</formula>
    </cfRule>
    <cfRule type="cellIs" dxfId="454" priority="10" operator="lessThanOrEqual">
      <formula>-1</formula>
    </cfRule>
  </conditionalFormatting>
  <conditionalFormatting sqref="BD39">
    <cfRule type="cellIs" dxfId="453" priority="4" operator="greaterThanOrEqual">
      <formula>0.00001</formula>
    </cfRule>
    <cfRule type="cellIs" dxfId="452" priority="3" operator="lessThanOrEqual">
      <formula>-0.00001</formula>
    </cfRule>
  </conditionalFormatting>
  <conditionalFormatting sqref="BE36">
    <cfRule type="cellIs" dxfId="451" priority="1" operator="lessThanOrEqual">
      <formula>-0.00001</formula>
    </cfRule>
    <cfRule type="cellIs" dxfId="450" priority="2" operator="greaterThanOrEqual">
      <formula>0.000001</formula>
    </cfRule>
  </conditionalFormatting>
  <conditionalFormatting sqref="BE40">
    <cfRule type="cellIs" dxfId="449" priority="5" operator="greaterThanOrEqual">
      <formula>0.0000001</formula>
    </cfRule>
  </conditionalFormatting>
  <conditionalFormatting sqref="BE43:BE51">
    <cfRule type="cellIs" dxfId="448" priority="7" operator="greaterThanOrEqual">
      <formula>0.000001</formula>
    </cfRule>
    <cfRule type="cellIs" dxfId="447" priority="6" operator="lessThanOrEqual">
      <formula>-0.0000001</formula>
    </cfRule>
  </conditionalFormatting>
  <conditionalFormatting sqref="BF33:BF34">
    <cfRule type="cellIs" dxfId="446" priority="36" operator="lessThanOrEqual">
      <formula>-1</formula>
    </cfRule>
    <cfRule type="cellIs" dxfId="445" priority="37" operator="greaterThanOrEqual">
      <formula>1</formula>
    </cfRule>
  </conditionalFormatting>
  <conditionalFormatting sqref="BF56:BF76">
    <cfRule type="cellIs" dxfId="444" priority="27" operator="greaterThanOrEqual">
      <formula>0.00001</formula>
    </cfRule>
    <cfRule type="cellIs" dxfId="443" priority="26" operator="lessThanOrEqual">
      <formula>-0.000001</formula>
    </cfRule>
  </conditionalFormatting>
  <conditionalFormatting sqref="BG33:BG34">
    <cfRule type="cellIs" dxfId="442" priority="34" operator="lessThanOrEqual">
      <formula>-0.0001</formula>
    </cfRule>
    <cfRule type="cellIs" dxfId="441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0E04-9818-4B2D-8416-B6573ECC613B}">
  <sheetPr>
    <tabColor theme="4" tint="0.79998168889431442"/>
  </sheetPr>
  <dimension ref="A1:BI83"/>
  <sheetViews>
    <sheetView topLeftCell="M28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6.5">
      <c r="E17" s="16"/>
      <c r="F17" s="18" t="s">
        <v>104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107</v>
      </c>
      <c r="Q17" s="20"/>
      <c r="R17" s="21"/>
      <c r="T17" s="18" t="str">
        <f>"STO"&amp;" "&amp;RIGHT(YEAR($E$5),2)&amp;"년"&amp;" "&amp;MONTH($E$5)&amp;"월 당월 계획"</f>
        <v>STO 25년 10월 당월 계획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tr">
        <f>"STO"&amp;" "&amp;RIGHT(YEAR($E$5),2)&amp;"년"&amp;" "&amp;MONTH($E$5)&amp;"월 당월 계획"</f>
        <v>STO 25년 10월 당월 계획</v>
      </c>
      <c r="AE17" s="20"/>
      <c r="AF17" s="21"/>
      <c r="AH17" s="18" t="s">
        <v>106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106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511352</v>
      </c>
      <c r="G27" s="24"/>
      <c r="H27" s="27">
        <v>2128892</v>
      </c>
      <c r="I27" s="24"/>
      <c r="J27" s="27">
        <v>215504</v>
      </c>
      <c r="K27" s="24"/>
      <c r="L27" s="27">
        <v>55547.9</v>
      </c>
      <c r="M27" s="24"/>
      <c r="N27" s="28">
        <v>175470.68</v>
      </c>
      <c r="O27" s="16"/>
      <c r="P27" s="23">
        <v>3086766.58</v>
      </c>
      <c r="Q27" s="24"/>
      <c r="R27" s="21"/>
      <c r="T27" s="27">
        <v>236300</v>
      </c>
      <c r="U27" s="24"/>
      <c r="V27" s="27">
        <v>2182779</v>
      </c>
      <c r="W27" s="24"/>
      <c r="X27" s="27">
        <v>121769</v>
      </c>
      <c r="Y27" s="24"/>
      <c r="Z27" s="27">
        <v>51318.55</v>
      </c>
      <c r="AA27" s="24"/>
      <c r="AB27" s="28">
        <v>0</v>
      </c>
      <c r="AC27" s="16"/>
      <c r="AD27" s="23">
        <v>2592166.5499999998</v>
      </c>
      <c r="AE27" s="24"/>
      <c r="AF27" s="21"/>
      <c r="AH27" s="27">
        <v>236300</v>
      </c>
      <c r="AI27" s="24"/>
      <c r="AJ27" s="27">
        <v>2182779</v>
      </c>
      <c r="AK27" s="24"/>
      <c r="AL27" s="27">
        <v>121769</v>
      </c>
      <c r="AM27" s="24"/>
      <c r="AN27" s="27">
        <v>51318.55</v>
      </c>
      <c r="AO27" s="24"/>
      <c r="AP27" s="28">
        <v>0</v>
      </c>
      <c r="AQ27" s="16"/>
      <c r="AR27" s="23">
        <v>2592166.5499999998</v>
      </c>
      <c r="AS27" s="24"/>
      <c r="AT27" s="21"/>
      <c r="AV27" s="29">
        <f>AH27-T27</f>
        <v>0</v>
      </c>
      <c r="AW27" s="30"/>
      <c r="AX27" s="29">
        <f t="shared" ref="AX27:AX29" si="0">AJ27-V27</f>
        <v>0</v>
      </c>
      <c r="AY27" s="30"/>
      <c r="AZ27" s="29">
        <f t="shared" ref="AZ27:AZ29" si="1">AL27-X27</f>
        <v>0</v>
      </c>
      <c r="BA27" s="30"/>
      <c r="BB27" s="29">
        <f t="shared" ref="BB27:BB29" si="2">AN27-Z27</f>
        <v>0</v>
      </c>
      <c r="BC27" s="30"/>
      <c r="BD27" s="29">
        <f t="shared" ref="BD27:BD29" si="3">AP27-AB27</f>
        <v>0</v>
      </c>
      <c r="BE27" s="30"/>
      <c r="BF27" s="29">
        <f t="shared" ref="BF27:BF29" si="4">AR27-AD27</f>
        <v>0</v>
      </c>
      <c r="BG27" s="30"/>
    </row>
    <row r="28" spans="3:59">
      <c r="E28" s="26" t="s">
        <v>29</v>
      </c>
      <c r="F28" s="23">
        <v>341858.58</v>
      </c>
      <c r="G28" s="31"/>
      <c r="H28" s="23">
        <v>812261.5</v>
      </c>
      <c r="I28" s="31"/>
      <c r="J28" s="23">
        <v>39008.410000000003</v>
      </c>
      <c r="K28" s="31"/>
      <c r="L28" s="23">
        <v>0</v>
      </c>
      <c r="M28" s="31"/>
      <c r="N28" s="32">
        <v>0</v>
      </c>
      <c r="O28" s="32"/>
      <c r="P28" s="23">
        <v>1193128.49</v>
      </c>
      <c r="Q28" s="31"/>
      <c r="R28" s="21"/>
      <c r="T28" s="23">
        <v>163297.09</v>
      </c>
      <c r="U28" s="31"/>
      <c r="V28" s="23">
        <v>693655.72</v>
      </c>
      <c r="W28" s="31"/>
      <c r="X28" s="23">
        <v>38960.53</v>
      </c>
      <c r="Y28" s="31"/>
      <c r="Z28" s="23">
        <v>0</v>
      </c>
      <c r="AA28" s="31"/>
      <c r="AB28" s="32">
        <v>0</v>
      </c>
      <c r="AC28" s="32"/>
      <c r="AD28" s="23">
        <v>895913.34</v>
      </c>
      <c r="AE28" s="31"/>
      <c r="AF28" s="21"/>
      <c r="AH28" s="23">
        <v>163297.09</v>
      </c>
      <c r="AI28" s="31"/>
      <c r="AJ28" s="23">
        <v>693655.72</v>
      </c>
      <c r="AK28" s="31"/>
      <c r="AL28" s="23">
        <v>38960.53</v>
      </c>
      <c r="AM28" s="31"/>
      <c r="AN28" s="23">
        <v>0</v>
      </c>
      <c r="AO28" s="31"/>
      <c r="AP28" s="32">
        <v>0</v>
      </c>
      <c r="AQ28" s="32"/>
      <c r="AR28" s="23">
        <v>895913.34</v>
      </c>
      <c r="AS28" s="31"/>
      <c r="AT28" s="21"/>
      <c r="AV28" s="29">
        <f t="shared" ref="AV28:AV29" si="5">AH28-T28</f>
        <v>0</v>
      </c>
      <c r="AW28" s="33"/>
      <c r="AX28" s="29">
        <f t="shared" si="0"/>
        <v>0</v>
      </c>
      <c r="AY28" s="33"/>
      <c r="AZ28" s="29">
        <f t="shared" si="1"/>
        <v>0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0</v>
      </c>
      <c r="BG28" s="33"/>
    </row>
    <row r="29" spans="3:59" ht="15">
      <c r="C29" s="16" t="s">
        <v>30</v>
      </c>
      <c r="E29" s="34" t="s">
        <v>31</v>
      </c>
      <c r="F29" s="35">
        <v>169493.41999999998</v>
      </c>
      <c r="G29" s="36">
        <v>0.66853865830191339</v>
      </c>
      <c r="H29" s="35">
        <v>1316630.5</v>
      </c>
      <c r="I29" s="36">
        <v>0.38154190066945626</v>
      </c>
      <c r="J29" s="35">
        <v>176495.59</v>
      </c>
      <c r="K29" s="36">
        <v>0.18101014366322665</v>
      </c>
      <c r="L29" s="35">
        <v>55547.9</v>
      </c>
      <c r="M29" s="36">
        <v>0</v>
      </c>
      <c r="N29" s="37">
        <v>175470.68</v>
      </c>
      <c r="O29" s="36">
        <v>0</v>
      </c>
      <c r="P29" s="35">
        <v>1893638.0899999999</v>
      </c>
      <c r="Q29" s="36">
        <v>0.3865301956197803</v>
      </c>
      <c r="R29" s="21"/>
      <c r="T29" s="35">
        <v>73002.91</v>
      </c>
      <c r="U29" s="36">
        <v>0.69105835801946669</v>
      </c>
      <c r="V29" s="35">
        <v>1489123.28</v>
      </c>
      <c r="W29" s="36">
        <v>0.31778559350259461</v>
      </c>
      <c r="X29" s="35">
        <v>82808.47</v>
      </c>
      <c r="Y29" s="36">
        <v>0.3199544218971988</v>
      </c>
      <c r="Z29" s="35">
        <v>51318.55</v>
      </c>
      <c r="AA29" s="36">
        <v>0</v>
      </c>
      <c r="AB29" s="37">
        <v>0</v>
      </c>
      <c r="AC29" s="36">
        <v>0</v>
      </c>
      <c r="AD29" s="35">
        <v>1696253.21</v>
      </c>
      <c r="AE29" s="36">
        <v>0.34562337053535386</v>
      </c>
      <c r="AF29" s="21"/>
      <c r="AH29" s="35">
        <v>73002.91</v>
      </c>
      <c r="AI29" s="36">
        <v>0.69105835801946669</v>
      </c>
      <c r="AJ29" s="35">
        <v>1489123.28</v>
      </c>
      <c r="AK29" s="36">
        <v>0.31778559350259461</v>
      </c>
      <c r="AL29" s="35">
        <v>82808.47</v>
      </c>
      <c r="AM29" s="36">
        <v>0.3199544218971988</v>
      </c>
      <c r="AN29" s="35">
        <v>51318.55</v>
      </c>
      <c r="AO29" s="36">
        <v>0</v>
      </c>
      <c r="AP29" s="37">
        <v>0</v>
      </c>
      <c r="AQ29" s="36">
        <v>0</v>
      </c>
      <c r="AR29" s="35">
        <v>1696253.21</v>
      </c>
      <c r="AS29" s="36">
        <v>0.34562337053535386</v>
      </c>
      <c r="AT29" s="21"/>
      <c r="AV29" s="38">
        <f t="shared" si="5"/>
        <v>0</v>
      </c>
      <c r="AW29" s="39">
        <f>(AI29-U29)*100</f>
        <v>0</v>
      </c>
      <c r="AX29" s="38">
        <f t="shared" si="0"/>
        <v>0</v>
      </c>
      <c r="AY29" s="39">
        <f>(AK29-W29)*100</f>
        <v>0</v>
      </c>
      <c r="AZ29" s="38">
        <f t="shared" si="1"/>
        <v>0</v>
      </c>
      <c r="BA29" s="39">
        <f>(AM29-Y29)*100</f>
        <v>0</v>
      </c>
      <c r="BB29" s="38">
        <f t="shared" si="2"/>
        <v>0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0</v>
      </c>
      <c r="BG29" s="39">
        <f>(AS29-AE29)*100</f>
        <v>0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0</v>
      </c>
      <c r="AI33" s="51">
        <v>0</v>
      </c>
      <c r="AJ33" s="41">
        <v>0</v>
      </c>
      <c r="AK33" s="51">
        <v>0</v>
      </c>
      <c r="AL33" s="41">
        <v>0</v>
      </c>
      <c r="AM33" s="51">
        <v>0</v>
      </c>
      <c r="AN33" s="41">
        <v>0</v>
      </c>
      <c r="AO33" s="51">
        <v>0</v>
      </c>
      <c r="AP33" s="41">
        <v>0</v>
      </c>
      <c r="AQ33" s="51">
        <v>0</v>
      </c>
      <c r="AR33" s="41">
        <v>0</v>
      </c>
      <c r="AS33" s="51">
        <v>0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-96490.50999999998</v>
      </c>
      <c r="U34" s="51">
        <v>-0.5692876455026985</v>
      </c>
      <c r="V34" s="41">
        <v>172492.78000000003</v>
      </c>
      <c r="W34" s="51">
        <v>0.13101077333390054</v>
      </c>
      <c r="X34" s="41">
        <v>-93687.12</v>
      </c>
      <c r="Y34" s="51">
        <v>-0.53081847540779914</v>
      </c>
      <c r="Z34" s="41">
        <v>-4229.3499999999985</v>
      </c>
      <c r="AA34" s="51">
        <v>-7.6138791925527305E-2</v>
      </c>
      <c r="AB34" s="41">
        <v>-175470.68</v>
      </c>
      <c r="AC34" s="51">
        <v>-1</v>
      </c>
      <c r="AD34" s="41">
        <v>-197384.87999999989</v>
      </c>
      <c r="AE34" s="51">
        <v>-0.10423579935488092</v>
      </c>
      <c r="AF34" s="49"/>
      <c r="AH34" s="41">
        <v>-96490.50999999998</v>
      </c>
      <c r="AI34" s="51">
        <v>-0.5692876455026985</v>
      </c>
      <c r="AJ34" s="41">
        <v>172492.78000000003</v>
      </c>
      <c r="AK34" s="51">
        <v>0.13101077333390054</v>
      </c>
      <c r="AL34" s="41">
        <v>-93687.12</v>
      </c>
      <c r="AM34" s="51">
        <v>-0.53081847540779914</v>
      </c>
      <c r="AN34" s="41">
        <v>-4229.3499999999985</v>
      </c>
      <c r="AO34" s="51">
        <v>-7.6138791925527305E-2</v>
      </c>
      <c r="AP34" s="41">
        <v>-175470.68</v>
      </c>
      <c r="AQ34" s="51">
        <v>-1</v>
      </c>
      <c r="AR34" s="41">
        <v>-197384.87999999989</v>
      </c>
      <c r="AS34" s="51">
        <v>-0.10423579935488092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97577.02</v>
      </c>
      <c r="G36" s="53">
        <v>0.57569798284794782</v>
      </c>
      <c r="H36" s="23">
        <v>427348.89</v>
      </c>
      <c r="I36" s="53">
        <v>0.32457769283029675</v>
      </c>
      <c r="J36" s="23">
        <v>41236.04</v>
      </c>
      <c r="K36" s="53">
        <v>0.23363779230971154</v>
      </c>
      <c r="L36" s="23">
        <v>0</v>
      </c>
      <c r="M36" s="53">
        <v>0</v>
      </c>
      <c r="N36" s="32">
        <v>83037.670000000013</v>
      </c>
      <c r="O36" s="54">
        <v>0.47322817692391694</v>
      </c>
      <c r="P36" s="23">
        <v>649199.62000000011</v>
      </c>
      <c r="Q36" s="54">
        <v>0.34283193997222572</v>
      </c>
      <c r="R36" s="21"/>
      <c r="T36" s="23">
        <v>47356.93</v>
      </c>
      <c r="U36" s="53">
        <v>0.64869920938768055</v>
      </c>
      <c r="V36" s="23">
        <v>468645.29</v>
      </c>
      <c r="W36" s="53">
        <v>0.31471221778226444</v>
      </c>
      <c r="X36" s="23">
        <v>28184.86</v>
      </c>
      <c r="Y36" s="53">
        <v>0.34036204267510317</v>
      </c>
      <c r="Z36" s="23">
        <v>0</v>
      </c>
      <c r="AA36" s="53">
        <v>0</v>
      </c>
      <c r="AB36" s="32">
        <v>0</v>
      </c>
      <c r="AC36" s="54">
        <v>0</v>
      </c>
      <c r="AD36" s="23">
        <v>544187.07999999996</v>
      </c>
      <c r="AE36" s="54">
        <v>0.32081712611762719</v>
      </c>
      <c r="AF36" s="21"/>
      <c r="AH36" s="23">
        <v>47356.93</v>
      </c>
      <c r="AI36" s="53">
        <v>0.64869920938768055</v>
      </c>
      <c r="AJ36" s="23">
        <v>468645.29</v>
      </c>
      <c r="AK36" s="53">
        <v>0.31471221778226444</v>
      </c>
      <c r="AL36" s="23">
        <v>28184.86</v>
      </c>
      <c r="AM36" s="53">
        <v>0.34036204267510317</v>
      </c>
      <c r="AN36" s="23">
        <v>0</v>
      </c>
      <c r="AO36" s="53">
        <v>0</v>
      </c>
      <c r="AP36" s="32">
        <v>0</v>
      </c>
      <c r="AQ36" s="54">
        <v>0</v>
      </c>
      <c r="AR36" s="23">
        <v>544187.07999999996</v>
      </c>
      <c r="AS36" s="53">
        <v>0.32081712611762719</v>
      </c>
      <c r="AT36" s="21"/>
      <c r="AV36" s="29">
        <f t="shared" ref="AV36:AV38" si="6">AH36-T36</f>
        <v>0</v>
      </c>
      <c r="AW36" s="55">
        <f t="shared" ref="AW36:AW38" si="7">(AI36-U36)*100</f>
        <v>0</v>
      </c>
      <c r="AX36" s="29">
        <f t="shared" ref="AX36:AX38" si="8">AJ36-V36</f>
        <v>0</v>
      </c>
      <c r="AY36" s="55">
        <f t="shared" ref="AY36:AY38" si="9">(AK36-W36)*100</f>
        <v>0</v>
      </c>
      <c r="AZ36" s="29">
        <f t="shared" ref="AZ36:AZ38" si="10">AL36-X36</f>
        <v>0</v>
      </c>
      <c r="BA36" s="55">
        <f t="shared" ref="BA36:BA38" si="11">(AM36-Y36)*100</f>
        <v>0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0</v>
      </c>
      <c r="BG36" s="55">
        <f t="shared" ref="BG36:BG38" si="17">(AS36-AE36)*100</f>
        <v>0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0.19082162580766282</v>
      </c>
      <c r="G39" s="59">
        <v>5.240496174201672</v>
      </c>
      <c r="H39" s="58">
        <v>0.20073770299291838</v>
      </c>
      <c r="I39" s="59">
        <v>4.981625200898498</v>
      </c>
      <c r="J39" s="58">
        <v>0.19134698195857153</v>
      </c>
      <c r="K39" s="59">
        <v>5.2261080355921665</v>
      </c>
      <c r="L39" s="58">
        <v>0</v>
      </c>
      <c r="M39" s="59">
        <v>0</v>
      </c>
      <c r="N39" s="60">
        <v>0.47322817692391694</v>
      </c>
      <c r="O39" s="61">
        <v>2.1131455157641099</v>
      </c>
      <c r="P39" s="62">
        <v>0.21031704315005254</v>
      </c>
      <c r="Q39" s="61">
        <v>4.7547264121935244</v>
      </c>
      <c r="R39" s="49"/>
      <c r="T39" s="58">
        <v>0.20041019889970377</v>
      </c>
      <c r="U39" s="59">
        <v>4.9897660173495195</v>
      </c>
      <c r="V39" s="58">
        <v>0.21470120887180974</v>
      </c>
      <c r="W39" s="59">
        <v>4.6576356288569549</v>
      </c>
      <c r="X39" s="58">
        <v>0.23146170207524083</v>
      </c>
      <c r="Y39" s="59">
        <v>4.3203691627348864</v>
      </c>
      <c r="Z39" s="58">
        <v>0</v>
      </c>
      <c r="AA39" s="63">
        <v>0</v>
      </c>
      <c r="AB39" s="60">
        <v>0</v>
      </c>
      <c r="AC39" s="61">
        <v>0</v>
      </c>
      <c r="AD39" s="62">
        <v>0.20993522966338718</v>
      </c>
      <c r="AE39" s="61">
        <v>4.7633739301565186</v>
      </c>
      <c r="AF39" s="49"/>
      <c r="AH39" s="58">
        <v>0.20041019889970377</v>
      </c>
      <c r="AI39" s="59">
        <v>4.9897660173495195</v>
      </c>
      <c r="AJ39" s="58">
        <v>0.21470120887180974</v>
      </c>
      <c r="AK39" s="59">
        <v>4.6576356288569549</v>
      </c>
      <c r="AL39" s="58">
        <v>0.23146170207524083</v>
      </c>
      <c r="AM39" s="59">
        <v>4.3203691627348864</v>
      </c>
      <c r="AN39" s="58">
        <v>0</v>
      </c>
      <c r="AO39" s="59">
        <v>0</v>
      </c>
      <c r="AP39" s="60">
        <v>0</v>
      </c>
      <c r="AQ39" s="61">
        <v>0</v>
      </c>
      <c r="AR39" s="62">
        <v>0.20993522966338718</v>
      </c>
      <c r="AS39" s="59">
        <v>4.7633739301565186</v>
      </c>
      <c r="AT39" s="49"/>
      <c r="AV39" s="64">
        <f>(AH39-T39)*100</f>
        <v>0</v>
      </c>
      <c r="AW39" s="65">
        <f>(AI39-U39)</f>
        <v>0</v>
      </c>
      <c r="AX39" s="64">
        <f>(AJ39-V39)*100</f>
        <v>0</v>
      </c>
      <c r="AY39" s="65">
        <f>(AK39-W39)</f>
        <v>0</v>
      </c>
      <c r="AZ39" s="64">
        <f>(AL39-X39)*100</f>
        <v>0</v>
      </c>
      <c r="BA39" s="65">
        <f>(AM39-Y39)</f>
        <v>0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</v>
      </c>
      <c r="BG39" s="65">
        <f>(AS39-AE39)</f>
        <v>0</v>
      </c>
    </row>
    <row r="40" spans="1:61" ht="15">
      <c r="E40" s="34" t="s">
        <v>42</v>
      </c>
      <c r="F40" s="35">
        <v>71916.39999999998</v>
      </c>
      <c r="G40" s="36">
        <v>0.42430201715205218</v>
      </c>
      <c r="H40" s="35">
        <v>889281.61</v>
      </c>
      <c r="I40" s="36">
        <v>0.67542230716970331</v>
      </c>
      <c r="J40" s="35">
        <v>135259.54999999999</v>
      </c>
      <c r="K40" s="36">
        <v>0.7663622076902884</v>
      </c>
      <c r="L40" s="35">
        <v>55547.9</v>
      </c>
      <c r="M40" s="36">
        <v>1</v>
      </c>
      <c r="N40" s="37">
        <v>92433.00999999998</v>
      </c>
      <c r="O40" s="36">
        <v>0.52677182307608306</v>
      </c>
      <c r="P40" s="35">
        <v>1244438.4699999997</v>
      </c>
      <c r="Q40" s="36">
        <v>0.65716806002777428</v>
      </c>
      <c r="R40" s="21"/>
      <c r="T40" s="35">
        <v>25645.980000000003</v>
      </c>
      <c r="U40" s="36">
        <v>0.35130079061231945</v>
      </c>
      <c r="V40" s="35">
        <v>1020477.99</v>
      </c>
      <c r="W40" s="36">
        <v>0.68528778221773545</v>
      </c>
      <c r="X40" s="35">
        <v>54623.61</v>
      </c>
      <c r="Y40" s="36">
        <v>0.65963795732489683</v>
      </c>
      <c r="Z40" s="35">
        <v>51318.55</v>
      </c>
      <c r="AA40" s="36">
        <v>1</v>
      </c>
      <c r="AB40" s="37">
        <v>0</v>
      </c>
      <c r="AC40" s="36">
        <v>0</v>
      </c>
      <c r="AD40" s="35">
        <v>1152066.1299999999</v>
      </c>
      <c r="AE40" s="36">
        <v>0.67918287388237275</v>
      </c>
      <c r="AF40" s="21"/>
      <c r="AH40" s="35">
        <v>25645.980000000003</v>
      </c>
      <c r="AI40" s="36">
        <v>0.35130079061231945</v>
      </c>
      <c r="AJ40" s="35">
        <v>1020477.99</v>
      </c>
      <c r="AK40" s="36">
        <v>0.68528778221773545</v>
      </c>
      <c r="AL40" s="35">
        <v>54623.61</v>
      </c>
      <c r="AM40" s="36">
        <v>0.65963795732489683</v>
      </c>
      <c r="AN40" s="35">
        <v>51318.55</v>
      </c>
      <c r="AO40" s="36">
        <v>1</v>
      </c>
      <c r="AP40" s="37">
        <v>0</v>
      </c>
      <c r="AQ40" s="36">
        <v>0</v>
      </c>
      <c r="AR40" s="35">
        <v>1152066.1299999999</v>
      </c>
      <c r="AS40" s="36">
        <v>0.67918287388237275</v>
      </c>
      <c r="AT40" s="21"/>
      <c r="AV40" s="38">
        <f t="shared" ref="AV40" si="18">AH40-T40</f>
        <v>0</v>
      </c>
      <c r="AW40" s="39">
        <f>(AI40-U40)*100</f>
        <v>0</v>
      </c>
      <c r="AX40" s="38">
        <f t="shared" ref="AX40" si="19">AJ40-V40</f>
        <v>0</v>
      </c>
      <c r="AY40" s="39">
        <f>(AK40-W40)*100</f>
        <v>0</v>
      </c>
      <c r="AZ40" s="38">
        <f t="shared" ref="AZ40" si="20">AL40-X40</f>
        <v>0</v>
      </c>
      <c r="BA40" s="39">
        <f>(AM40-Y40)*100</f>
        <v>0</v>
      </c>
      <c r="BB40" s="38">
        <f t="shared" si="12"/>
        <v>0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0</v>
      </c>
      <c r="BG40" s="39">
        <f>(AS40-AE40)*100</f>
        <v>0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23044.783000000018</v>
      </c>
      <c r="G43" s="53">
        <v>0.13596269990894053</v>
      </c>
      <c r="H43" s="23">
        <v>132120.86400000012</v>
      </c>
      <c r="I43" s="53">
        <v>0.10034771638664007</v>
      </c>
      <c r="J43" s="23">
        <v>22888.813000000013</v>
      </c>
      <c r="K43" s="53">
        <v>0.12968490034226926</v>
      </c>
      <c r="L43" s="23">
        <v>0</v>
      </c>
      <c r="M43" s="53">
        <v>0</v>
      </c>
      <c r="N43" s="32">
        <v>0</v>
      </c>
      <c r="O43" s="54">
        <v>0</v>
      </c>
      <c r="P43" s="23">
        <v>178054.46000000017</v>
      </c>
      <c r="Q43" s="54">
        <v>9.4027713606035554E-2</v>
      </c>
      <c r="R43" s="21"/>
      <c r="T43" s="23">
        <v>9716.5600000000013</v>
      </c>
      <c r="U43" s="53">
        <v>0.13309825594623559</v>
      </c>
      <c r="V43" s="23">
        <v>146892.34</v>
      </c>
      <c r="W43" s="53">
        <v>9.8643505190517192E-2</v>
      </c>
      <c r="X43" s="23">
        <v>17918.600000000002</v>
      </c>
      <c r="Y43" s="53">
        <v>0.21638607741454469</v>
      </c>
      <c r="Z43" s="23">
        <v>0</v>
      </c>
      <c r="AA43" s="53">
        <v>0</v>
      </c>
      <c r="AB43" s="32">
        <v>0</v>
      </c>
      <c r="AC43" s="54">
        <v>0</v>
      </c>
      <c r="AD43" s="23">
        <v>174527.5</v>
      </c>
      <c r="AE43" s="54">
        <v>0.10289000425826755</v>
      </c>
      <c r="AF43" s="21"/>
      <c r="AH43" s="23">
        <v>9716.5600000000013</v>
      </c>
      <c r="AI43" s="53">
        <v>0.13309825594623559</v>
      </c>
      <c r="AJ43" s="23">
        <v>146892.34</v>
      </c>
      <c r="AK43" s="53">
        <v>9.8643505190517192E-2</v>
      </c>
      <c r="AL43" s="23">
        <v>17918.600000000002</v>
      </c>
      <c r="AM43" s="53">
        <v>0.21638607741454469</v>
      </c>
      <c r="AN43" s="23">
        <v>0</v>
      </c>
      <c r="AO43" s="53">
        <v>0</v>
      </c>
      <c r="AP43" s="32">
        <v>0</v>
      </c>
      <c r="AQ43" s="54">
        <v>0</v>
      </c>
      <c r="AR43" s="23">
        <v>174527.5</v>
      </c>
      <c r="AS43" s="53">
        <v>0.10289000425826755</v>
      </c>
      <c r="AT43" s="21"/>
      <c r="AV43" s="29">
        <f t="shared" ref="AV43:AV51" si="22">AH43-T43</f>
        <v>0</v>
      </c>
      <c r="AW43" s="55">
        <f t="shared" ref="AW43:AW50" si="23">(AI43-U43)*100</f>
        <v>0</v>
      </c>
      <c r="AX43" s="29">
        <f t="shared" ref="AX43:AX51" si="24">AJ43-V43</f>
        <v>0</v>
      </c>
      <c r="AY43" s="55">
        <f t="shared" ref="AY43:AY50" si="25">(AK43-W43)*100</f>
        <v>0</v>
      </c>
      <c r="AZ43" s="29">
        <f t="shared" ref="AZ43:AZ51" si="26">AL43-X43</f>
        <v>0</v>
      </c>
      <c r="BA43" s="55">
        <f t="shared" ref="BA43:BA50" si="27">(AM43-Y43)*100</f>
        <v>0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0</v>
      </c>
      <c r="BG43" s="55">
        <f t="shared" ref="BG43:BG50" si="33">(AS43-AE43)*100</f>
        <v>0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2266.3330000000142</v>
      </c>
      <c r="G44" s="53">
        <v>1.3371215236556171E-2</v>
      </c>
      <c r="H44" s="27">
        <v>71807.144000000102</v>
      </c>
      <c r="I44" s="53">
        <v>5.4538569477161666E-2</v>
      </c>
      <c r="J44" s="27">
        <v>16124.933000000012</v>
      </c>
      <c r="K44" s="53">
        <v>9.1361676515543597E-2</v>
      </c>
      <c r="L44" s="27">
        <v>0</v>
      </c>
      <c r="M44" s="53">
        <v>0</v>
      </c>
      <c r="N44" s="27">
        <v>0</v>
      </c>
      <c r="O44" s="54">
        <v>0</v>
      </c>
      <c r="P44" s="23">
        <v>90198.41000000012</v>
      </c>
      <c r="Q44" s="54">
        <v>4.7632338236288922E-2</v>
      </c>
      <c r="R44" s="21"/>
      <c r="T44" s="27">
        <v>-691.24000000000024</v>
      </c>
      <c r="U44" s="53">
        <v>-9.468663646421769E-3</v>
      </c>
      <c r="V44" s="27">
        <v>68860.45</v>
      </c>
      <c r="W44" s="53">
        <v>4.624227619354658E-2</v>
      </c>
      <c r="X44" s="27">
        <v>8760.2800000000007</v>
      </c>
      <c r="Y44" s="53">
        <v>0.10578966137159641</v>
      </c>
      <c r="Z44" s="27">
        <v>0</v>
      </c>
      <c r="AA44" s="53">
        <v>0</v>
      </c>
      <c r="AB44" s="27">
        <v>0</v>
      </c>
      <c r="AC44" s="54">
        <v>0</v>
      </c>
      <c r="AD44" s="23">
        <v>76929.489999999991</v>
      </c>
      <c r="AE44" s="54">
        <v>4.5352598035761416E-2</v>
      </c>
      <c r="AF44" s="21"/>
      <c r="AH44" s="23">
        <v>-691.24000000000024</v>
      </c>
      <c r="AI44" s="53">
        <v>-9.468663646421769E-3</v>
      </c>
      <c r="AJ44" s="23">
        <v>68860.45</v>
      </c>
      <c r="AK44" s="53">
        <v>4.624227619354658E-2</v>
      </c>
      <c r="AL44" s="23">
        <v>8760.2800000000007</v>
      </c>
      <c r="AM44" s="53">
        <v>0.10578966137159641</v>
      </c>
      <c r="AN44" s="23">
        <v>0</v>
      </c>
      <c r="AO44" s="53">
        <v>0</v>
      </c>
      <c r="AP44" s="32">
        <v>0</v>
      </c>
      <c r="AQ44" s="54">
        <v>0</v>
      </c>
      <c r="AR44" s="23">
        <v>76929.489999999991</v>
      </c>
      <c r="AS44" s="53">
        <v>4.5352598035761416E-2</v>
      </c>
      <c r="AT44" s="21"/>
      <c r="AV44" s="29">
        <f t="shared" si="22"/>
        <v>0</v>
      </c>
      <c r="AW44" s="55">
        <f t="shared" si="23"/>
        <v>0</v>
      </c>
      <c r="AX44" s="29">
        <f t="shared" si="24"/>
        <v>0</v>
      </c>
      <c r="AY44" s="55">
        <f t="shared" si="25"/>
        <v>0</v>
      </c>
      <c r="AZ44" s="29">
        <f t="shared" si="26"/>
        <v>0</v>
      </c>
      <c r="BA44" s="55">
        <f t="shared" si="27"/>
        <v>0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0</v>
      </c>
      <c r="BG44" s="55">
        <f t="shared" si="33"/>
        <v>0</v>
      </c>
      <c r="BH44" s="57"/>
    </row>
    <row r="45" spans="1:61" outlineLevel="1">
      <c r="B45" s="26" t="s">
        <v>47</v>
      </c>
      <c r="E45" s="69" t="s">
        <v>47</v>
      </c>
      <c r="F45" s="27">
        <v>13731.42</v>
      </c>
      <c r="G45" s="53">
        <v>8.1014472420227301E-2</v>
      </c>
      <c r="H45" s="27">
        <v>19325.95</v>
      </c>
      <c r="I45" s="53">
        <v>1.4678339898703548E-2</v>
      </c>
      <c r="J45" s="27">
        <v>2706.04</v>
      </c>
      <c r="K45" s="53">
        <v>1.5332054472295881E-2</v>
      </c>
      <c r="L45" s="27">
        <v>0</v>
      </c>
      <c r="M45" s="53">
        <v>0</v>
      </c>
      <c r="N45" s="27">
        <v>0</v>
      </c>
      <c r="O45" s="54">
        <v>0</v>
      </c>
      <c r="P45" s="23">
        <v>35763.410000000003</v>
      </c>
      <c r="Q45" s="54">
        <v>1.8886085038561939E-2</v>
      </c>
      <c r="R45" s="21"/>
      <c r="T45" s="27">
        <v>5805.25</v>
      </c>
      <c r="U45" s="53">
        <v>7.9520802663893803E-2</v>
      </c>
      <c r="V45" s="27">
        <v>27782.54</v>
      </c>
      <c r="W45" s="53">
        <v>1.8656977815832684E-2</v>
      </c>
      <c r="X45" s="27">
        <v>1544.96</v>
      </c>
      <c r="Y45" s="53">
        <v>1.8657028683176976E-2</v>
      </c>
      <c r="Z45" s="27">
        <v>0</v>
      </c>
      <c r="AA45" s="53">
        <v>0</v>
      </c>
      <c r="AB45" s="27">
        <v>0</v>
      </c>
      <c r="AC45" s="54">
        <v>0</v>
      </c>
      <c r="AD45" s="23">
        <v>35132.75</v>
      </c>
      <c r="AE45" s="54">
        <v>2.07119725951764E-2</v>
      </c>
      <c r="AF45" s="21"/>
      <c r="AH45" s="23">
        <v>5805.25</v>
      </c>
      <c r="AI45" s="53">
        <v>7.9520802663893803E-2</v>
      </c>
      <c r="AJ45" s="23">
        <v>27782.54</v>
      </c>
      <c r="AK45" s="53">
        <v>1.8656977815832684E-2</v>
      </c>
      <c r="AL45" s="23">
        <v>1544.96</v>
      </c>
      <c r="AM45" s="53">
        <v>1.8657028683176976E-2</v>
      </c>
      <c r="AN45" s="23">
        <v>0</v>
      </c>
      <c r="AO45" s="53">
        <v>0</v>
      </c>
      <c r="AP45" s="32">
        <v>0</v>
      </c>
      <c r="AQ45" s="54">
        <v>0</v>
      </c>
      <c r="AR45" s="23">
        <v>35132.75</v>
      </c>
      <c r="AS45" s="53">
        <v>2.07119725951764E-2</v>
      </c>
      <c r="AT45" s="21"/>
      <c r="AV45" s="29">
        <f t="shared" si="22"/>
        <v>0</v>
      </c>
      <c r="AW45" s="55">
        <f t="shared" si="23"/>
        <v>0</v>
      </c>
      <c r="AX45" s="29">
        <f t="shared" si="24"/>
        <v>0</v>
      </c>
      <c r="AY45" s="55">
        <f t="shared" si="25"/>
        <v>0</v>
      </c>
      <c r="AZ45" s="29">
        <f t="shared" si="26"/>
        <v>0</v>
      </c>
      <c r="BA45" s="55">
        <f t="shared" si="27"/>
        <v>0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0</v>
      </c>
      <c r="BG45" s="55">
        <f t="shared" si="33"/>
        <v>0</v>
      </c>
      <c r="BH45" s="57"/>
    </row>
    <row r="46" spans="1:61" outlineLevel="1">
      <c r="B46" s="26" t="s">
        <v>48</v>
      </c>
      <c r="E46" s="69" t="s">
        <v>48</v>
      </c>
      <c r="F46" s="27">
        <v>7047.0300000000007</v>
      </c>
      <c r="G46" s="53">
        <v>4.1577012252157056E-2</v>
      </c>
      <c r="H46" s="27">
        <v>40987.770000000004</v>
      </c>
      <c r="I46" s="53">
        <v>3.1130807010774857E-2</v>
      </c>
      <c r="J46" s="27">
        <v>4057.84</v>
      </c>
      <c r="K46" s="53">
        <v>2.2991169354429762E-2</v>
      </c>
      <c r="L46" s="27">
        <v>0</v>
      </c>
      <c r="M46" s="53">
        <v>0</v>
      </c>
      <c r="N46" s="27">
        <v>0</v>
      </c>
      <c r="O46" s="54">
        <v>0</v>
      </c>
      <c r="P46" s="23">
        <v>52092.639999999999</v>
      </c>
      <c r="Q46" s="54">
        <v>2.7509290331184669E-2</v>
      </c>
      <c r="R46" s="21"/>
      <c r="T46" s="27">
        <v>4602.55</v>
      </c>
      <c r="U46" s="53">
        <v>6.3046116928763524E-2</v>
      </c>
      <c r="V46" s="27">
        <v>50249.350000000006</v>
      </c>
      <c r="W46" s="53">
        <v>3.3744251181137941E-2</v>
      </c>
      <c r="X46" s="27">
        <v>7613.36</v>
      </c>
      <c r="Y46" s="53">
        <v>9.193938735977128E-2</v>
      </c>
      <c r="Z46" s="27">
        <v>0</v>
      </c>
      <c r="AA46" s="53">
        <v>0</v>
      </c>
      <c r="AB46" s="27">
        <v>0</v>
      </c>
      <c r="AC46" s="54">
        <v>0</v>
      </c>
      <c r="AD46" s="23">
        <v>62465.260000000009</v>
      </c>
      <c r="AE46" s="54">
        <v>3.6825433627329734E-2</v>
      </c>
      <c r="AF46" s="21"/>
      <c r="AH46" s="23">
        <v>4602.55</v>
      </c>
      <c r="AI46" s="53">
        <v>6.3046116928763524E-2</v>
      </c>
      <c r="AJ46" s="23">
        <v>50249.350000000006</v>
      </c>
      <c r="AK46" s="53">
        <v>3.3744251181137941E-2</v>
      </c>
      <c r="AL46" s="23">
        <v>7613.3600000000006</v>
      </c>
      <c r="AM46" s="53">
        <v>9.1939387359771294E-2</v>
      </c>
      <c r="AN46" s="23">
        <v>0</v>
      </c>
      <c r="AO46" s="53">
        <v>0</v>
      </c>
      <c r="AP46" s="32">
        <v>0</v>
      </c>
      <c r="AQ46" s="54">
        <v>0</v>
      </c>
      <c r="AR46" s="23">
        <v>62465.260000000009</v>
      </c>
      <c r="AS46" s="53">
        <v>3.6825433627329734E-2</v>
      </c>
      <c r="AT46" s="21"/>
      <c r="AV46" s="29">
        <f t="shared" si="22"/>
        <v>0</v>
      </c>
      <c r="AW46" s="55">
        <f t="shared" si="23"/>
        <v>0</v>
      </c>
      <c r="AX46" s="29">
        <f t="shared" si="24"/>
        <v>0</v>
      </c>
      <c r="AY46" s="55">
        <f t="shared" si="25"/>
        <v>0</v>
      </c>
      <c r="AZ46" s="29">
        <f t="shared" si="26"/>
        <v>0</v>
      </c>
      <c r="BA46" s="55">
        <f t="shared" si="27"/>
        <v>1.3877787807814457E-15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0</v>
      </c>
      <c r="BG46" s="55">
        <f t="shared" si="33"/>
        <v>0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2074.9499999999998</v>
      </c>
      <c r="G47" s="53">
        <v>1.2242068158162128E-2</v>
      </c>
      <c r="H47" s="23">
        <v>103162.73999999999</v>
      </c>
      <c r="I47" s="53">
        <v>7.8353600345731009E-2</v>
      </c>
      <c r="J47" s="23">
        <v>4146.5600000000013</v>
      </c>
      <c r="K47" s="53">
        <v>2.3493844803714366E-2</v>
      </c>
      <c r="L47" s="23">
        <v>0</v>
      </c>
      <c r="M47" s="53">
        <v>0</v>
      </c>
      <c r="N47" s="32">
        <v>0</v>
      </c>
      <c r="O47" s="54">
        <v>0</v>
      </c>
      <c r="P47" s="23">
        <v>109384.24999999999</v>
      </c>
      <c r="Q47" s="54">
        <v>5.776407359866742E-2</v>
      </c>
      <c r="R47" s="21"/>
      <c r="T47" s="23">
        <v>1411.0899999999992</v>
      </c>
      <c r="U47" s="53">
        <v>1.9329229478660497E-2</v>
      </c>
      <c r="V47" s="23">
        <v>68169.89</v>
      </c>
      <c r="W47" s="53">
        <v>4.5778540242819923E-2</v>
      </c>
      <c r="X47" s="23">
        <v>6401.2500000000009</v>
      </c>
      <c r="Y47" s="53">
        <v>7.7301875037662227E-2</v>
      </c>
      <c r="Z47" s="23">
        <v>0</v>
      </c>
      <c r="AA47" s="53">
        <v>0</v>
      </c>
      <c r="AB47" s="23">
        <v>0</v>
      </c>
      <c r="AC47" s="54">
        <v>0</v>
      </c>
      <c r="AD47" s="23">
        <v>75982.23</v>
      </c>
      <c r="AE47" s="54">
        <v>4.4794155466918763E-2</v>
      </c>
      <c r="AF47" s="21"/>
      <c r="AH47" s="23">
        <v>1411.0899999999992</v>
      </c>
      <c r="AI47" s="53">
        <v>1.9329229478660497E-2</v>
      </c>
      <c r="AJ47" s="23">
        <v>68356.13</v>
      </c>
      <c r="AK47" s="53">
        <v>4.5903607121097457E-2</v>
      </c>
      <c r="AL47" s="23">
        <v>6401.2500000000009</v>
      </c>
      <c r="AM47" s="53">
        <v>7.7301875037662227E-2</v>
      </c>
      <c r="AN47" s="23">
        <v>0</v>
      </c>
      <c r="AO47" s="53">
        <v>0</v>
      </c>
      <c r="AP47" s="32">
        <v>0</v>
      </c>
      <c r="AQ47" s="54">
        <v>0</v>
      </c>
      <c r="AR47" s="23">
        <v>76168.47</v>
      </c>
      <c r="AS47" s="53">
        <v>4.490395039547191E-2</v>
      </c>
      <c r="AT47" s="21"/>
      <c r="AV47" s="29">
        <f t="shared" si="22"/>
        <v>0</v>
      </c>
      <c r="AW47" s="55">
        <f t="shared" si="23"/>
        <v>0</v>
      </c>
      <c r="AX47" s="29">
        <f t="shared" si="24"/>
        <v>186.24000000000524</v>
      </c>
      <c r="AY47" s="55">
        <f t="shared" si="25"/>
        <v>1.250668782775341E-2</v>
      </c>
      <c r="AZ47" s="29">
        <f t="shared" si="26"/>
        <v>0</v>
      </c>
      <c r="BA47" s="55">
        <f t="shared" si="27"/>
        <v>0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186.24000000000524</v>
      </c>
      <c r="BG47" s="55">
        <f t="shared" si="33"/>
        <v>1.0979492855314743E-2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4382.3500000000004</v>
      </c>
      <c r="G48" s="53">
        <v>2.5855575986371629E-2</v>
      </c>
      <c r="H48" s="23">
        <v>45385.75</v>
      </c>
      <c r="I48" s="53">
        <v>3.4471136738819283E-2</v>
      </c>
      <c r="J48" s="23">
        <v>17003.419999999998</v>
      </c>
      <c r="K48" s="53">
        <v>9.6339064335828437E-2</v>
      </c>
      <c r="L48" s="23">
        <v>0</v>
      </c>
      <c r="M48" s="53">
        <v>0</v>
      </c>
      <c r="N48" s="32">
        <v>0</v>
      </c>
      <c r="O48" s="54">
        <v>0</v>
      </c>
      <c r="P48" s="23">
        <v>66771.51999999999</v>
      </c>
      <c r="Q48" s="54">
        <v>3.5260972174466554E-2</v>
      </c>
      <c r="R48" s="21"/>
      <c r="T48" s="23">
        <v>4104.3</v>
      </c>
      <c r="U48" s="53">
        <v>5.6221046530884868E-2</v>
      </c>
      <c r="V48" s="23">
        <v>59599.56</v>
      </c>
      <c r="W48" s="53">
        <v>4.002325448837251E-2</v>
      </c>
      <c r="X48" s="23">
        <v>5286.72</v>
      </c>
      <c r="Y48" s="53">
        <v>6.384274458880837E-2</v>
      </c>
      <c r="Z48" s="23">
        <v>0</v>
      </c>
      <c r="AA48" s="53">
        <v>0</v>
      </c>
      <c r="AB48" s="23">
        <v>0</v>
      </c>
      <c r="AC48" s="54">
        <v>0</v>
      </c>
      <c r="AD48" s="23">
        <v>68990.58</v>
      </c>
      <c r="AE48" s="54">
        <v>4.06723357062947E-2</v>
      </c>
      <c r="AF48" s="21"/>
      <c r="AH48" s="23">
        <v>4104.3</v>
      </c>
      <c r="AI48" s="53">
        <v>5.6221046530884868E-2</v>
      </c>
      <c r="AJ48" s="23">
        <v>59413.32</v>
      </c>
      <c r="AK48" s="53">
        <v>3.9898187610094983E-2</v>
      </c>
      <c r="AL48" s="23">
        <v>5286.72</v>
      </c>
      <c r="AM48" s="53">
        <v>6.384274458880837E-2</v>
      </c>
      <c r="AN48" s="23">
        <v>0</v>
      </c>
      <c r="AO48" s="53">
        <v>0</v>
      </c>
      <c r="AP48" s="23">
        <v>0</v>
      </c>
      <c r="AQ48" s="54">
        <v>0</v>
      </c>
      <c r="AR48" s="23">
        <v>68804.34</v>
      </c>
      <c r="AS48" s="53">
        <v>4.0562540777741546E-2</v>
      </c>
      <c r="AT48" s="21"/>
      <c r="AV48" s="29">
        <f t="shared" si="22"/>
        <v>0</v>
      </c>
      <c r="AW48" s="55">
        <f t="shared" si="23"/>
        <v>0</v>
      </c>
      <c r="AX48" s="29">
        <f t="shared" si="24"/>
        <v>-186.23999999999796</v>
      </c>
      <c r="AY48" s="55">
        <f t="shared" si="25"/>
        <v>-1.2506687827752716E-2</v>
      </c>
      <c r="AZ48" s="29">
        <f t="shared" si="26"/>
        <v>0</v>
      </c>
      <c r="BA48" s="55">
        <f t="shared" si="27"/>
        <v>0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-186.24000000000524</v>
      </c>
      <c r="BG48" s="55">
        <f t="shared" si="33"/>
        <v>-1.0979492855315437E-2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287876.7179545667</v>
      </c>
      <c r="I49" s="53">
        <v>0.21864655114291118</v>
      </c>
      <c r="J49" s="23">
        <v>38590.152045433279</v>
      </c>
      <c r="K49" s="53">
        <v>0.21864655114291115</v>
      </c>
      <c r="L49" s="23">
        <v>0</v>
      </c>
      <c r="M49" s="53">
        <v>0</v>
      </c>
      <c r="N49" s="32">
        <v>0</v>
      </c>
      <c r="O49" s="54">
        <v>0</v>
      </c>
      <c r="P49" s="23">
        <v>326466.87</v>
      </c>
      <c r="Q49" s="54">
        <v>0.17240193452171212</v>
      </c>
      <c r="R49" s="21"/>
      <c r="T49" s="23">
        <v>0</v>
      </c>
      <c r="U49" s="53">
        <v>0</v>
      </c>
      <c r="V49" s="23">
        <v>241021.83</v>
      </c>
      <c r="W49" s="53">
        <v>0.16185485327984395</v>
      </c>
      <c r="X49" s="23">
        <v>31765.29</v>
      </c>
      <c r="Y49" s="53">
        <v>0.38359952792268714</v>
      </c>
      <c r="Z49" s="23">
        <v>0</v>
      </c>
      <c r="AA49" s="53">
        <v>0</v>
      </c>
      <c r="AB49" s="23">
        <v>0</v>
      </c>
      <c r="AC49" s="54">
        <v>0</v>
      </c>
      <c r="AD49" s="23">
        <v>272787.12</v>
      </c>
      <c r="AE49" s="54">
        <v>0.16081745248399559</v>
      </c>
      <c r="AF49" s="21"/>
      <c r="AH49" s="23">
        <v>0</v>
      </c>
      <c r="AI49" s="53">
        <v>0</v>
      </c>
      <c r="AJ49" s="23">
        <v>241021.83</v>
      </c>
      <c r="AK49" s="53">
        <v>0.16185485327984395</v>
      </c>
      <c r="AL49" s="23">
        <v>31765.29</v>
      </c>
      <c r="AM49" s="53">
        <v>0.38359952792268714</v>
      </c>
      <c r="AN49" s="23">
        <v>0</v>
      </c>
      <c r="AO49" s="53">
        <v>0</v>
      </c>
      <c r="AP49" s="32">
        <v>0</v>
      </c>
      <c r="AQ49" s="54">
        <v>0</v>
      </c>
      <c r="AR49" s="23">
        <v>272787.12</v>
      </c>
      <c r="AS49" s="53">
        <v>0.16081745248399559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0</v>
      </c>
      <c r="AY49" s="55">
        <f t="shared" si="25"/>
        <v>0</v>
      </c>
      <c r="AZ49" s="29">
        <f t="shared" si="26"/>
        <v>0</v>
      </c>
      <c r="BA49" s="55">
        <f t="shared" si="27"/>
        <v>0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0</v>
      </c>
      <c r="BG49" s="55">
        <f t="shared" si="33"/>
        <v>0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29502.083000000017</v>
      </c>
      <c r="G51" s="36">
        <v>0.17406034405347429</v>
      </c>
      <c r="H51" s="35">
        <v>568546.07195456675</v>
      </c>
      <c r="I51" s="36">
        <v>0.4318190046141015</v>
      </c>
      <c r="J51" s="35">
        <v>82628.945045433284</v>
      </c>
      <c r="K51" s="36">
        <v>0.46816436062472316</v>
      </c>
      <c r="L51" s="35">
        <v>0</v>
      </c>
      <c r="M51" s="36">
        <v>0</v>
      </c>
      <c r="N51" s="37">
        <v>0</v>
      </c>
      <c r="O51" s="70">
        <v>0</v>
      </c>
      <c r="P51" s="35">
        <v>680677.10000000009</v>
      </c>
      <c r="Q51" s="70">
        <v>0.35945469390088164</v>
      </c>
      <c r="R51" s="21"/>
      <c r="T51" s="35">
        <v>15231.95</v>
      </c>
      <c r="U51" s="36">
        <v>0.20864853195578095</v>
      </c>
      <c r="V51" s="35">
        <v>515683.62</v>
      </c>
      <c r="W51" s="36">
        <v>0.34630015320155361</v>
      </c>
      <c r="X51" s="35">
        <v>61371.86</v>
      </c>
      <c r="Y51" s="36">
        <v>0.7411302249637024</v>
      </c>
      <c r="Z51" s="35">
        <v>0</v>
      </c>
      <c r="AA51" s="36">
        <v>0</v>
      </c>
      <c r="AB51" s="37">
        <v>0</v>
      </c>
      <c r="AC51" s="70">
        <v>0</v>
      </c>
      <c r="AD51" s="35">
        <v>592287.42999999993</v>
      </c>
      <c r="AE51" s="70">
        <v>0.34917394791547657</v>
      </c>
      <c r="AF51" s="21"/>
      <c r="AH51" s="35">
        <v>15231.95</v>
      </c>
      <c r="AI51" s="36">
        <v>0.20864853195578095</v>
      </c>
      <c r="AJ51" s="35">
        <v>515683.62</v>
      </c>
      <c r="AK51" s="36">
        <v>0.34630015320155361</v>
      </c>
      <c r="AL51" s="35">
        <v>61371.86</v>
      </c>
      <c r="AM51" s="36">
        <v>0.7411302249637024</v>
      </c>
      <c r="AN51" s="35">
        <v>0</v>
      </c>
      <c r="AO51" s="36">
        <v>0</v>
      </c>
      <c r="AP51" s="37">
        <v>0</v>
      </c>
      <c r="AQ51" s="70">
        <v>0</v>
      </c>
      <c r="AR51" s="35">
        <v>592287.42999999993</v>
      </c>
      <c r="AS51" s="36">
        <v>0.34917394791547657</v>
      </c>
      <c r="AT51" s="21"/>
      <c r="AV51" s="38">
        <f t="shared" si="22"/>
        <v>0</v>
      </c>
      <c r="AW51" s="39">
        <f>(AI51-U51)*100</f>
        <v>0</v>
      </c>
      <c r="AX51" s="38">
        <f t="shared" si="24"/>
        <v>0</v>
      </c>
      <c r="AY51" s="39">
        <f>(AK51-W51)*100</f>
        <v>0</v>
      </c>
      <c r="AZ51" s="38">
        <f t="shared" si="26"/>
        <v>0</v>
      </c>
      <c r="BA51" s="39">
        <f>(AM51-Y51)*100</f>
        <v>0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0</v>
      </c>
      <c r="BG51" s="39">
        <f>(AS51-AE51)*100</f>
        <v>0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42414.316999999966</v>
      </c>
      <c r="G53" s="36">
        <v>0.25024167309857792</v>
      </c>
      <c r="H53" s="35">
        <v>320735.53804543323</v>
      </c>
      <c r="I53" s="36">
        <v>0.24360330255560178</v>
      </c>
      <c r="J53" s="35">
        <v>52630.604954566705</v>
      </c>
      <c r="K53" s="36">
        <v>0.29819784706556524</v>
      </c>
      <c r="L53" s="35">
        <v>55547.9</v>
      </c>
      <c r="M53" s="36">
        <v>1</v>
      </c>
      <c r="N53" s="37">
        <v>92433.00999999998</v>
      </c>
      <c r="O53" s="70">
        <v>0.52677182307608306</v>
      </c>
      <c r="P53" s="35">
        <v>563761.36999999965</v>
      </c>
      <c r="Q53" s="70">
        <v>0.29771336612689264</v>
      </c>
      <c r="R53" s="21"/>
      <c r="T53" s="35">
        <v>10414.030000000002</v>
      </c>
      <c r="U53" s="36">
        <v>0.14265225865653852</v>
      </c>
      <c r="V53" s="35">
        <v>504794.37</v>
      </c>
      <c r="W53" s="36">
        <v>0.3389876290161819</v>
      </c>
      <c r="X53" s="35">
        <v>-6748.25</v>
      </c>
      <c r="Y53" s="36">
        <v>-8.1492267638805543E-2</v>
      </c>
      <c r="Z53" s="35">
        <v>51318.55</v>
      </c>
      <c r="AA53" s="36">
        <v>1</v>
      </c>
      <c r="AB53" s="37">
        <v>0</v>
      </c>
      <c r="AC53" s="70">
        <v>0</v>
      </c>
      <c r="AD53" s="35">
        <v>559778.69999999995</v>
      </c>
      <c r="AE53" s="70">
        <v>0.33000892596689618</v>
      </c>
      <c r="AF53" s="21"/>
      <c r="AH53" s="35">
        <v>10414.030000000002</v>
      </c>
      <c r="AI53" s="36">
        <v>0.14265225865653852</v>
      </c>
      <c r="AJ53" s="35">
        <v>504794.37</v>
      </c>
      <c r="AK53" s="36">
        <v>0.3389876290161819</v>
      </c>
      <c r="AL53" s="35">
        <v>-6748.25</v>
      </c>
      <c r="AM53" s="36">
        <v>-8.1492267638805543E-2</v>
      </c>
      <c r="AN53" s="35">
        <v>51318.55</v>
      </c>
      <c r="AO53" s="36">
        <v>1</v>
      </c>
      <c r="AP53" s="37">
        <v>0</v>
      </c>
      <c r="AQ53" s="70">
        <v>0</v>
      </c>
      <c r="AR53" s="35">
        <v>559778.69999999995</v>
      </c>
      <c r="AS53" s="36">
        <v>0.33000892596689618</v>
      </c>
      <c r="AT53" s="21"/>
      <c r="AV53" s="38">
        <f t="shared" ref="AV53" si="34">AH53-T53</f>
        <v>0</v>
      </c>
      <c r="AW53" s="39">
        <f>(AI53-U53)*100</f>
        <v>0</v>
      </c>
      <c r="AX53" s="38">
        <f t="shared" ref="AX53" si="35">AJ53-V53</f>
        <v>0</v>
      </c>
      <c r="AY53" s="39">
        <f>(AK53-W53)*100</f>
        <v>0</v>
      </c>
      <c r="AZ53" s="38">
        <f t="shared" ref="AZ53" si="36">AL53-X53</f>
        <v>0</v>
      </c>
      <c r="BA53" s="39">
        <f>(AM53-Y53)*100</f>
        <v>0</v>
      </c>
      <c r="BB53" s="38">
        <f>AN53-Z53</f>
        <v>0</v>
      </c>
      <c r="BC53" s="39">
        <f>(AO53-AA53)*100</f>
        <v>0</v>
      </c>
      <c r="BD53" s="38">
        <f t="shared" ref="BD53" si="37">AP53-AB53</f>
        <v>0</v>
      </c>
      <c r="BE53" s="39">
        <f>(AQ53-AC53)*100</f>
        <v>0</v>
      </c>
      <c r="BF53" s="38">
        <f t="shared" ref="BF53" si="38">AR53-AD53</f>
        <v>0</v>
      </c>
      <c r="BG53" s="39">
        <f>(AS53-AE53)*100</f>
        <v>0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-0.1075894144420394</v>
      </c>
      <c r="AJ54" s="92"/>
      <c r="AK54" s="92">
        <f>+AK53-I53</f>
        <v>9.5384326460580121E-2</v>
      </c>
      <c r="AL54" s="92"/>
      <c r="AM54" s="92">
        <f>+AM53-K53</f>
        <v>-0.37969011470437075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342492.76</v>
      </c>
      <c r="Q56" s="53">
        <v>0.18086495081010967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214189.44</v>
      </c>
      <c r="AE56" s="53">
        <v>0.12627209118148111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214189.44</v>
      </c>
      <c r="AS56" s="53">
        <v>0.12627209118148111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0</v>
      </c>
      <c r="BG56" s="55">
        <f t="shared" ref="BG56:BG78" si="40">(AS56-AE56)*100</f>
        <v>0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236261.06</v>
      </c>
      <c r="Q57" s="53">
        <v>0.12476568846373386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265326.61</v>
      </c>
      <c r="AE57" s="53">
        <v>0.15641922351911128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265326.61</v>
      </c>
      <c r="AS57" s="53">
        <v>0.15641922351911128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0</v>
      </c>
      <c r="BG57" s="55">
        <f t="shared" si="40"/>
        <v>0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34947.300000000003</v>
      </c>
      <c r="Q58" s="53">
        <v>1.845511039546105E-2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39879.53</v>
      </c>
      <c r="AE58" s="53">
        <v>2.351036376225929E-2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39879.53</v>
      </c>
      <c r="AS58" s="53">
        <v>2.351036376225929E-2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0</v>
      </c>
      <c r="BG58" s="55">
        <f t="shared" si="40"/>
        <v>0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48346.9</v>
      </c>
      <c r="Q59" s="53">
        <v>2.5531224923765663E-2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89299.799999999988</v>
      </c>
      <c r="AE59" s="53">
        <v>5.2645324102290121E-2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89299.799999999988</v>
      </c>
      <c r="AS59" s="53">
        <v>5.2645324102290121E-2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0</v>
      </c>
      <c r="BG59" s="55">
        <f t="shared" si="40"/>
        <v>0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22937.5</v>
      </c>
      <c r="Q60" s="53">
        <v>1.2112927027149101E-2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-180316.5</v>
      </c>
      <c r="AE60" s="53">
        <v>-0.1063028202021796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-180316.5</v>
      </c>
      <c r="AS60" s="53">
        <v>-0.1063028202021796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69395.239999999991</v>
      </c>
      <c r="Q61" s="53">
        <v>3.6646516758648426E-2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60412.22</v>
      </c>
      <c r="AE61" s="53">
        <v>3.5615095460895252E-2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60412.22</v>
      </c>
      <c r="AS61" s="53">
        <v>3.5615095460895252E-2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0</v>
      </c>
      <c r="BG61" s="55">
        <f t="shared" si="40"/>
        <v>0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49260</v>
      </c>
      <c r="Q62" s="53">
        <v>2.6013418435198461E-2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2400</v>
      </c>
      <c r="Q67" s="53">
        <v>1.2674016289987071E-3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1468.04</v>
      </c>
      <c r="Q68" s="53">
        <v>7.7524845309802576E-4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16267.2</v>
      </c>
      <c r="Q69" s="53">
        <v>8.5904482413532365E-3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53595.3</v>
      </c>
      <c r="Q70" s="53">
        <v>2.8302821052781004E-2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218381.12000000005</v>
      </c>
      <c r="AE70" s="53">
        <v>0.12874323167824694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218381.12000000005</v>
      </c>
      <c r="AS70" s="53">
        <v>0.12874323167824694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0</v>
      </c>
      <c r="BG70" s="55">
        <f t="shared" si="40"/>
        <v>0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8876.4</v>
      </c>
      <c r="Q71" s="53">
        <v>4.6874849248517174E-3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11759.870000000004</v>
      </c>
      <c r="AE71" s="53">
        <v>6.9328505500661688E-3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11759.87</v>
      </c>
      <c r="AS71" s="53">
        <v>6.932850550066167E-3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0</v>
      </c>
      <c r="BG71" s="55">
        <f t="shared" si="40"/>
        <v>-1.7347234759768071E-16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33921.800000000003</v>
      </c>
      <c r="Q72" s="53">
        <v>1.7913560241070142E-2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1.4536974700846698E-2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24658.390000000003</v>
      </c>
      <c r="AS72" s="53">
        <v>1.45369747008467E-2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0</v>
      </c>
      <c r="BG72" s="55">
        <f t="shared" si="40"/>
        <v>1.7347234759768071E-16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21269.01</v>
      </c>
      <c r="Q73" s="53">
        <v>1.1231824133829078E-2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2318.4700000000003</v>
      </c>
      <c r="AE73" s="53">
        <v>1.3668183419384659E-3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2318.4700000000007</v>
      </c>
      <c r="AS73" s="53">
        <v>1.3668183419384662E-3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0</v>
      </c>
      <c r="BG73" s="55">
        <f t="shared" si="40"/>
        <v>2.1684043449710089E-17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3899.1500000000005</v>
      </c>
      <c r="Q74" s="53">
        <v>2.0590787757126289E-3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3896.96</v>
      </c>
      <c r="AE74" s="53">
        <v>2.2973928520966516E-3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3896.96</v>
      </c>
      <c r="AS74" s="53">
        <v>2.2973928520966516E-3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0</v>
      </c>
      <c r="BG74" s="55">
        <f t="shared" si="40"/>
        <v>0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38823.759999999995</v>
      </c>
      <c r="Q75" s="53">
        <v>2.0502206944939514E-2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11079.789999999997</v>
      </c>
      <c r="AE75" s="53">
        <v>6.5319198423211813E-3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11079.789999999997</v>
      </c>
      <c r="AS75" s="53">
        <v>6.5319198423211813E-3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0</v>
      </c>
      <c r="BG75" s="55">
        <f t="shared" si="40"/>
        <v>0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572273.42000000004</v>
      </c>
      <c r="Q76" s="36">
        <v>0.30220844364194221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546696.26</v>
      </c>
      <c r="AE76" s="36">
        <v>0.3222963746078924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546696.26</v>
      </c>
      <c r="AS76" s="36">
        <v>0.3222963746078924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0</v>
      </c>
      <c r="BG76" s="39">
        <f t="shared" si="40"/>
        <v>0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-8512.0500000003958</v>
      </c>
      <c r="Q78" s="36">
        <v>-4.4950775150495604E-3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13082.439999999944</v>
      </c>
      <c r="AE78" s="36">
        <v>7.7125513590037328E-3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13082.439999999944</v>
      </c>
      <c r="AS78" s="36">
        <v>7.7125513590037328E-3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0</v>
      </c>
      <c r="BG78" s="39">
        <f t="shared" si="40"/>
        <v>0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440" priority="53" operator="greaterThanOrEqual">
      <formula>1</formula>
    </cfRule>
    <cfRule type="cellIs" dxfId="439" priority="52" operator="lessThanOrEqual">
      <formula>-1</formula>
    </cfRule>
  </conditionalFormatting>
  <conditionalFormatting sqref="U33:U34 Y33:Y34 AA33:AA34 AC33:AC34">
    <cfRule type="cellIs" dxfId="438" priority="49" operator="greaterThanOrEqual">
      <formula>0.0001</formula>
    </cfRule>
    <cfRule type="cellIs" dxfId="437" priority="48" operator="lessThanOrEqual">
      <formula>-0.0001</formula>
    </cfRule>
  </conditionalFormatting>
  <conditionalFormatting sqref="AB33:AB34">
    <cfRule type="cellIs" dxfId="436" priority="51" operator="greaterThanOrEqual">
      <formula>1</formula>
    </cfRule>
    <cfRule type="cellIs" dxfId="435" priority="50" operator="lessThanOrEqual">
      <formula>-1</formula>
    </cfRule>
  </conditionalFormatting>
  <conditionalFormatting sqref="AD33:AD34">
    <cfRule type="cellIs" dxfId="434" priority="47" operator="greaterThanOrEqual">
      <formula>1</formula>
    </cfRule>
    <cfRule type="cellIs" dxfId="433" priority="46" operator="lessThanOrEqual">
      <formula>-1</formula>
    </cfRule>
  </conditionalFormatting>
  <conditionalFormatting sqref="AE33:AE34">
    <cfRule type="cellIs" dxfId="432" priority="45" operator="greaterThanOrEqual">
      <formula>0.0001</formula>
    </cfRule>
    <cfRule type="cellIs" dxfId="431" priority="44" operator="lessThanOrEqual">
      <formula>-0.0001</formula>
    </cfRule>
  </conditionalFormatting>
  <conditionalFormatting sqref="AH33:AH34 AJ33:AJ34 AL33:AL34 AN33:AN34">
    <cfRule type="cellIs" dxfId="430" priority="63" operator="greaterThanOrEqual">
      <formula>1</formula>
    </cfRule>
    <cfRule type="cellIs" dxfId="429" priority="62" operator="lessThanOrEqual">
      <formula>-1</formula>
    </cfRule>
  </conditionalFormatting>
  <conditionalFormatting sqref="AI33:AI34 AM33:AM34 AO33:AO34 AQ33:AQ34">
    <cfRule type="cellIs" dxfId="428" priority="59" operator="greaterThanOrEqual">
      <formula>0.0001</formula>
    </cfRule>
    <cfRule type="cellIs" dxfId="427" priority="58" operator="lessThanOrEqual">
      <formula>-0.0001</formula>
    </cfRule>
  </conditionalFormatting>
  <conditionalFormatting sqref="AK33:AK34">
    <cfRule type="cellIs" dxfId="426" priority="43" operator="greaterThanOrEqual">
      <formula>0.0001</formula>
    </cfRule>
    <cfRule type="cellIs" dxfId="425" priority="42" operator="lessThanOrEqual">
      <formula>-0.0001</formula>
    </cfRule>
  </conditionalFormatting>
  <conditionalFormatting sqref="AP33:AP34">
    <cfRule type="cellIs" dxfId="424" priority="60" operator="lessThanOrEqual">
      <formula>-1</formula>
    </cfRule>
    <cfRule type="cellIs" dxfId="423" priority="61" operator="greaterThanOrEqual">
      <formula>1</formula>
    </cfRule>
  </conditionalFormatting>
  <conditionalFormatting sqref="AR33:AR34">
    <cfRule type="cellIs" dxfId="422" priority="56" operator="lessThanOrEqual">
      <formula>-1</formula>
    </cfRule>
    <cfRule type="cellIs" dxfId="421" priority="57" operator="greaterThanOrEqual">
      <formula>1</formula>
    </cfRule>
  </conditionalFormatting>
  <conditionalFormatting sqref="AS33:AS34">
    <cfRule type="cellIs" dxfId="420" priority="55" operator="greaterThanOrEqual">
      <formula>0.0001</formula>
    </cfRule>
    <cfRule type="cellIs" dxfId="419" priority="54" operator="lessThanOrEqual">
      <formula>-0.0001</formula>
    </cfRule>
  </conditionalFormatting>
  <conditionalFormatting sqref="AV27:AV29 AX27:AX29 AZ27:AZ29 BB27:BB29 BF27:BF29 AV40 AX40 AZ40 BB40 BF40">
    <cfRule type="cellIs" dxfId="418" priority="31" operator="greaterThanOrEqual">
      <formula>0.000001</formula>
    </cfRule>
  </conditionalFormatting>
  <conditionalFormatting sqref="AV27:AV29 AX27:AX29 AZ27:AZ29 BB27:BB29 BF27:BF29">
    <cfRule type="cellIs" dxfId="417" priority="30" operator="lessThanOrEqual">
      <formula>-0.000001</formula>
    </cfRule>
  </conditionalFormatting>
  <conditionalFormatting sqref="AV33:AV34 AX33:AX34 AZ33:AZ34 BB33:BB34">
    <cfRule type="cellIs" dxfId="416" priority="41" operator="greaterThanOrEqual">
      <formula>1</formula>
    </cfRule>
    <cfRule type="cellIs" dxfId="415" priority="40" operator="lessThanOrEqual">
      <formula>-1</formula>
    </cfRule>
  </conditionalFormatting>
  <conditionalFormatting sqref="AV36 AX36 AZ36 BB36 BD36 BF36 AX43:AX51 AZ43:AZ51 BD43:BD51 BF43:BF51 AV43:AV52">
    <cfRule type="cellIs" dxfId="414" priority="28" operator="lessThanOrEqual">
      <formula>-0.000001</formula>
    </cfRule>
    <cfRule type="cellIs" dxfId="413" priority="29" operator="greaterThanOrEqual">
      <formula>0.00001</formula>
    </cfRule>
  </conditionalFormatting>
  <conditionalFormatting sqref="AV39 AX39 AZ39 BF39">
    <cfRule type="cellIs" dxfId="412" priority="14" operator="lessThanOrEqual">
      <formula>-0.00001</formula>
    </cfRule>
    <cfRule type="cellIs" dxfId="411" priority="15" operator="greaterThanOrEqual">
      <formula>0.00001</formula>
    </cfRule>
  </conditionalFormatting>
  <conditionalFormatting sqref="AV40:BB40 BD40:BG40">
    <cfRule type="cellIs" dxfId="410" priority="18" operator="lessThanOrEqual">
      <formula>-0.000001</formula>
    </cfRule>
  </conditionalFormatting>
  <conditionalFormatting sqref="AV53:BB53 BD53:BG53 BF78:BG78">
    <cfRule type="cellIs" dxfId="409" priority="21" operator="greaterThanOrEqual">
      <formula>0.000001</formula>
    </cfRule>
    <cfRule type="cellIs" dxfId="408" priority="20" operator="lessThanOrEqual">
      <formula>-0.000001</formula>
    </cfRule>
  </conditionalFormatting>
  <conditionalFormatting sqref="AW29 AY29 BA29 BC29 BE29 BG29">
    <cfRule type="cellIs" dxfId="407" priority="24" operator="lessThanOrEqual">
      <formula>-0.000001</formula>
    </cfRule>
    <cfRule type="cellIs" dxfId="406" priority="25" operator="greaterThanOrEqual">
      <formula>0.000001</formula>
    </cfRule>
  </conditionalFormatting>
  <conditionalFormatting sqref="AW33:AW34 BA33:BA34 BC33:BC34 BE33:BE34">
    <cfRule type="cellIs" dxfId="405" priority="39" operator="greaterThanOrEqual">
      <formula>0.0001</formula>
    </cfRule>
    <cfRule type="cellIs" dxfId="404" priority="38" operator="lessThanOrEqual">
      <formula>-0.0001</formula>
    </cfRule>
  </conditionalFormatting>
  <conditionalFormatting sqref="AW36 AY36 BA36 BG36">
    <cfRule type="cellIs" dxfId="403" priority="13" operator="greaterThanOrEqual">
      <formula>0.000001</formula>
    </cfRule>
    <cfRule type="cellIs" dxfId="402" priority="12" operator="lessThanOrEqual">
      <formula>-0.00001</formula>
    </cfRule>
  </conditionalFormatting>
  <conditionalFormatting sqref="AW39 AY39 BA39 BC39 BE39 BG39">
    <cfRule type="cellIs" dxfId="401" priority="17" operator="greaterThanOrEqual">
      <formula>0.000001</formula>
    </cfRule>
    <cfRule type="cellIs" dxfId="400" priority="16" operator="lessThanOrEqual">
      <formula>-0.00001</formula>
    </cfRule>
  </conditionalFormatting>
  <conditionalFormatting sqref="AW40 AY40 BA40 BG40">
    <cfRule type="cellIs" dxfId="399" priority="19" operator="greaterThanOrEqual">
      <formula>0.0000001</formula>
    </cfRule>
  </conditionalFormatting>
  <conditionalFormatting sqref="AW43:AW51 AY43:AY51 BA43:BA51 BG43:BG51 BG56:BG76">
    <cfRule type="cellIs" dxfId="398" priority="23" operator="greaterThanOrEqual">
      <formula>0.000001</formula>
    </cfRule>
    <cfRule type="cellIs" dxfId="397" priority="22" operator="lessThanOrEqual">
      <formula>-0.0000001</formula>
    </cfRule>
  </conditionalFormatting>
  <conditionalFormatting sqref="AY33:AY34">
    <cfRule type="cellIs" dxfId="396" priority="33" operator="greaterThanOrEqual">
      <formula>0.0001</formula>
    </cfRule>
    <cfRule type="cellIs" dxfId="395" priority="32" operator="lessThanOrEqual">
      <formula>-0.0001</formula>
    </cfRule>
  </conditionalFormatting>
  <conditionalFormatting sqref="BD27:BD29 BD40">
    <cfRule type="cellIs" dxfId="394" priority="9" operator="greaterThanOrEqual">
      <formula>0.000001</formula>
    </cfRule>
  </conditionalFormatting>
  <conditionalFormatting sqref="BD27:BD29">
    <cfRule type="cellIs" dxfId="393" priority="8" operator="lessThanOrEqual">
      <formula>-0.000001</formula>
    </cfRule>
  </conditionalFormatting>
  <conditionalFormatting sqref="BD33:BD34">
    <cfRule type="cellIs" dxfId="392" priority="11" operator="greaterThanOrEqual">
      <formula>1</formula>
    </cfRule>
    <cfRule type="cellIs" dxfId="391" priority="10" operator="lessThanOrEqual">
      <formula>-1</formula>
    </cfRule>
  </conditionalFormatting>
  <conditionalFormatting sqref="BD39">
    <cfRule type="cellIs" dxfId="390" priority="4" operator="greaterThanOrEqual">
      <formula>0.00001</formula>
    </cfRule>
    <cfRule type="cellIs" dxfId="389" priority="3" operator="lessThanOrEqual">
      <formula>-0.00001</formula>
    </cfRule>
  </conditionalFormatting>
  <conditionalFormatting sqref="BE36">
    <cfRule type="cellIs" dxfId="388" priority="1" operator="lessThanOrEqual">
      <formula>-0.00001</formula>
    </cfRule>
    <cfRule type="cellIs" dxfId="387" priority="2" operator="greaterThanOrEqual">
      <formula>0.000001</formula>
    </cfRule>
  </conditionalFormatting>
  <conditionalFormatting sqref="BE40">
    <cfRule type="cellIs" dxfId="386" priority="5" operator="greaterThanOrEqual">
      <formula>0.0000001</formula>
    </cfRule>
  </conditionalFormatting>
  <conditionalFormatting sqref="BE43:BE51">
    <cfRule type="cellIs" dxfId="385" priority="7" operator="greaterThanOrEqual">
      <formula>0.000001</formula>
    </cfRule>
    <cfRule type="cellIs" dxfId="384" priority="6" operator="lessThanOrEqual">
      <formula>-0.0000001</formula>
    </cfRule>
  </conditionalFormatting>
  <conditionalFormatting sqref="BF33:BF34">
    <cfRule type="cellIs" dxfId="383" priority="36" operator="lessThanOrEqual">
      <formula>-1</formula>
    </cfRule>
    <cfRule type="cellIs" dxfId="382" priority="37" operator="greaterThanOrEqual">
      <formula>1</formula>
    </cfRule>
  </conditionalFormatting>
  <conditionalFormatting sqref="BF56:BF76">
    <cfRule type="cellIs" dxfId="381" priority="27" operator="greaterThanOrEqual">
      <formula>0.00001</formula>
    </cfRule>
    <cfRule type="cellIs" dxfId="380" priority="26" operator="lessThanOrEqual">
      <formula>-0.000001</formula>
    </cfRule>
  </conditionalFormatting>
  <conditionalFormatting sqref="BG33:BG34">
    <cfRule type="cellIs" dxfId="379" priority="34" operator="lessThanOrEqual">
      <formula>-0.0001</formula>
    </cfRule>
    <cfRule type="cellIs" dxfId="378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36BA-780F-412A-9846-D299B9382F12}">
  <sheetPr>
    <tabColor theme="4" tint="0.79998168889431442"/>
  </sheetPr>
  <dimension ref="A1:BI83"/>
  <sheetViews>
    <sheetView topLeftCell="M28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103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103</v>
      </c>
      <c r="Q17" s="20"/>
      <c r="R17" s="21"/>
      <c r="T17" s="18" t="s">
        <v>108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108</v>
      </c>
      <c r="AE17" s="20"/>
      <c r="AF17" s="21"/>
      <c r="AH17" s="18" t="s">
        <v>105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105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190928</v>
      </c>
      <c r="G27" s="24"/>
      <c r="H27" s="27">
        <v>1902379</v>
      </c>
      <c r="I27" s="24"/>
      <c r="J27" s="27">
        <v>171530</v>
      </c>
      <c r="K27" s="24"/>
      <c r="L27" s="27">
        <v>55547.9</v>
      </c>
      <c r="M27" s="24"/>
      <c r="N27" s="28">
        <v>368.97</v>
      </c>
      <c r="O27" s="16"/>
      <c r="P27" s="23">
        <v>2320753.87</v>
      </c>
      <c r="Q27" s="24"/>
      <c r="R27" s="21"/>
      <c r="T27" s="27">
        <v>96974.800327444696</v>
      </c>
      <c r="U27" s="24"/>
      <c r="V27" s="27">
        <v>2618736.7516813711</v>
      </c>
      <c r="W27" s="24"/>
      <c r="X27" s="27">
        <v>177763.24831862864</v>
      </c>
      <c r="Y27" s="24"/>
      <c r="Z27" s="27">
        <v>51318.55</v>
      </c>
      <c r="AA27" s="24"/>
      <c r="AB27" s="28">
        <v>0</v>
      </c>
      <c r="AC27" s="16"/>
      <c r="AD27" s="23">
        <v>2944793.3503274443</v>
      </c>
      <c r="AE27" s="24"/>
      <c r="AF27" s="21"/>
      <c r="AH27" s="27">
        <v>165965</v>
      </c>
      <c r="AI27" s="24"/>
      <c r="AJ27" s="27">
        <v>2431420</v>
      </c>
      <c r="AK27" s="24"/>
      <c r="AL27" s="27">
        <v>114510</v>
      </c>
      <c r="AM27" s="24"/>
      <c r="AN27" s="27">
        <v>34134.550000000003</v>
      </c>
      <c r="AO27" s="24"/>
      <c r="AP27" s="28">
        <v>0</v>
      </c>
      <c r="AQ27" s="16"/>
      <c r="AR27" s="23">
        <v>2746029.55</v>
      </c>
      <c r="AS27" s="24"/>
      <c r="AT27" s="21"/>
      <c r="AV27" s="29">
        <f>AH27-T27</f>
        <v>68990.199672555304</v>
      </c>
      <c r="AW27" s="30"/>
      <c r="AX27" s="29">
        <f t="shared" ref="AX27:AX29" si="0">AJ27-V27</f>
        <v>-187316.75168137113</v>
      </c>
      <c r="AY27" s="30"/>
      <c r="AZ27" s="29">
        <f t="shared" ref="AZ27:AZ29" si="1">AL27-X27</f>
        <v>-63253.248318628641</v>
      </c>
      <c r="BA27" s="30"/>
      <c r="BB27" s="29">
        <f t="shared" ref="BB27:BB29" si="2">AN27-Z27</f>
        <v>-17184</v>
      </c>
      <c r="BC27" s="30"/>
      <c r="BD27" s="29">
        <f t="shared" ref="BD27:BD29" si="3">AP27-AB27</f>
        <v>0</v>
      </c>
      <c r="BE27" s="30"/>
      <c r="BF27" s="29">
        <f t="shared" ref="BF27:BF29" si="4">AR27-AD27</f>
        <v>-198763.80032744445</v>
      </c>
      <c r="BG27" s="30"/>
    </row>
    <row r="28" spans="3:59">
      <c r="E28" s="26" t="s">
        <v>29</v>
      </c>
      <c r="F28" s="23">
        <v>133810.72999999998</v>
      </c>
      <c r="G28" s="31"/>
      <c r="H28" s="23">
        <v>747574.06</v>
      </c>
      <c r="I28" s="31"/>
      <c r="J28" s="23">
        <v>40757.390000000014</v>
      </c>
      <c r="K28" s="31"/>
      <c r="L28" s="23">
        <v>0</v>
      </c>
      <c r="M28" s="31"/>
      <c r="N28" s="32">
        <v>0</v>
      </c>
      <c r="O28" s="32"/>
      <c r="P28" s="23">
        <v>922142.18</v>
      </c>
      <c r="Q28" s="31"/>
      <c r="R28" s="21"/>
      <c r="T28" s="23">
        <v>61578.998207927383</v>
      </c>
      <c r="U28" s="31"/>
      <c r="V28" s="23">
        <v>979977.83323245286</v>
      </c>
      <c r="W28" s="31"/>
      <c r="X28" s="23">
        <v>66522.166767546893</v>
      </c>
      <c r="Y28" s="31"/>
      <c r="Z28" s="23">
        <v>0</v>
      </c>
      <c r="AA28" s="31"/>
      <c r="AB28" s="32">
        <v>0</v>
      </c>
      <c r="AC28" s="32"/>
      <c r="AD28" s="23">
        <v>1108078.998207927</v>
      </c>
      <c r="AE28" s="31"/>
      <c r="AF28" s="21"/>
      <c r="AH28" s="23">
        <v>128870.32</v>
      </c>
      <c r="AI28" s="31"/>
      <c r="AJ28" s="23">
        <v>871994.81</v>
      </c>
      <c r="AK28" s="31"/>
      <c r="AL28" s="23">
        <v>45279.179999999993</v>
      </c>
      <c r="AM28" s="31"/>
      <c r="AN28" s="23">
        <v>0</v>
      </c>
      <c r="AO28" s="31"/>
      <c r="AP28" s="32">
        <v>0</v>
      </c>
      <c r="AQ28" s="32"/>
      <c r="AR28" s="23">
        <v>1046144.31</v>
      </c>
      <c r="AS28" s="31"/>
      <c r="AT28" s="21"/>
      <c r="AV28" s="29">
        <f t="shared" ref="AV28:AV29" si="5">AH28-T28</f>
        <v>67291.321792072617</v>
      </c>
      <c r="AW28" s="33"/>
      <c r="AX28" s="29">
        <f t="shared" si="0"/>
        <v>-107983.0232324528</v>
      </c>
      <c r="AY28" s="33"/>
      <c r="AZ28" s="29">
        <f t="shared" si="1"/>
        <v>-21242.9867675469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-61934.688207926927</v>
      </c>
      <c r="BG28" s="33"/>
    </row>
    <row r="29" spans="3:59" ht="15">
      <c r="C29" s="16" t="s">
        <v>30</v>
      </c>
      <c r="E29" s="34" t="s">
        <v>31</v>
      </c>
      <c r="F29" s="35">
        <v>57117.270000000004</v>
      </c>
      <c r="G29" s="36">
        <v>0.70084393069638817</v>
      </c>
      <c r="H29" s="35">
        <v>1154804.94</v>
      </c>
      <c r="I29" s="36">
        <v>0.39296799428505047</v>
      </c>
      <c r="J29" s="35">
        <v>130772.60999999999</v>
      </c>
      <c r="K29" s="36">
        <v>0.23761085524398073</v>
      </c>
      <c r="L29" s="35">
        <v>55547.9</v>
      </c>
      <c r="M29" s="36">
        <v>0</v>
      </c>
      <c r="N29" s="37">
        <v>368.97</v>
      </c>
      <c r="O29" s="36">
        <v>0</v>
      </c>
      <c r="P29" s="35">
        <v>1398611.6899999997</v>
      </c>
      <c r="Q29" s="36">
        <v>0.39734596241349818</v>
      </c>
      <c r="R29" s="21"/>
      <c r="T29" s="35">
        <v>35395.802119517313</v>
      </c>
      <c r="U29" s="36">
        <v>0.63500000000000001</v>
      </c>
      <c r="V29" s="35">
        <v>1638758.9184489183</v>
      </c>
      <c r="W29" s="36">
        <v>0.37421777221526897</v>
      </c>
      <c r="X29" s="35">
        <v>111241.08155108175</v>
      </c>
      <c r="Y29" s="36">
        <v>0.37421777221526908</v>
      </c>
      <c r="Z29" s="35">
        <v>51318.55</v>
      </c>
      <c r="AA29" s="36">
        <v>0</v>
      </c>
      <c r="AB29" s="37">
        <v>0</v>
      </c>
      <c r="AC29" s="36">
        <v>0</v>
      </c>
      <c r="AD29" s="35">
        <v>1836714.3521195173</v>
      </c>
      <c r="AE29" s="36">
        <v>0.37628412808142031</v>
      </c>
      <c r="AF29" s="21"/>
      <c r="AH29" s="35">
        <v>37094.679999999993</v>
      </c>
      <c r="AI29" s="36">
        <v>0.77649094688639175</v>
      </c>
      <c r="AJ29" s="35">
        <v>1559425.19</v>
      </c>
      <c r="AK29" s="36">
        <v>0.35863602750655998</v>
      </c>
      <c r="AL29" s="35">
        <v>69230.820000000007</v>
      </c>
      <c r="AM29" s="36">
        <v>0.39541681949174734</v>
      </c>
      <c r="AN29" s="35">
        <v>34134.550000000003</v>
      </c>
      <c r="AO29" s="36">
        <v>0</v>
      </c>
      <c r="AP29" s="37">
        <v>0</v>
      </c>
      <c r="AQ29" s="36">
        <v>0</v>
      </c>
      <c r="AR29" s="35">
        <v>1699885.24</v>
      </c>
      <c r="AS29" s="36">
        <f>IFERROR(1-AR29/AR27,0)</f>
        <v>0.38096615165703507</v>
      </c>
      <c r="AT29" s="21"/>
      <c r="AV29" s="38">
        <f t="shared" si="5"/>
        <v>1698.8778804826798</v>
      </c>
      <c r="AW29" s="39">
        <f>(AI29-U29)*100</f>
        <v>14.149094688639174</v>
      </c>
      <c r="AX29" s="38">
        <f t="shared" si="0"/>
        <v>-79333.728448918322</v>
      </c>
      <c r="AY29" s="39">
        <f>(AK29-W29)*100</f>
        <v>-1.5581744708708989</v>
      </c>
      <c r="AZ29" s="38">
        <f t="shared" si="1"/>
        <v>-42010.261551081741</v>
      </c>
      <c r="BA29" s="39">
        <f>(AM29-Y29)*100</f>
        <v>2.1199047276478256</v>
      </c>
      <c r="BB29" s="38">
        <f t="shared" si="2"/>
        <v>-17184</v>
      </c>
      <c r="BC29" s="39">
        <f>(AO29-AA29)*100</f>
        <v>0</v>
      </c>
      <c r="BD29" s="38">
        <f t="shared" si="3"/>
        <v>0</v>
      </c>
      <c r="BE29" s="39">
        <f>(AQ29-AC29)*100</f>
        <v>0</v>
      </c>
      <c r="BF29" s="38">
        <f t="shared" si="4"/>
        <v>-136829.11211951729</v>
      </c>
      <c r="BG29" s="39">
        <f>(AS29-AE29)*100</f>
        <v>0.46820235756147577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1698.8778804826798</v>
      </c>
      <c r="AI33" s="51">
        <v>4.7996592215829859E-2</v>
      </c>
      <c r="AJ33" s="41">
        <v>-79333.728448918322</v>
      </c>
      <c r="AK33" s="51">
        <v>-4.8410859923195715E-2</v>
      </c>
      <c r="AL33" s="41">
        <v>-42010.261551081741</v>
      </c>
      <c r="AM33" s="51">
        <v>-0.37765060322422961</v>
      </c>
      <c r="AN33" s="41">
        <v>-17184</v>
      </c>
      <c r="AO33" s="51">
        <v>-0.33484967911213392</v>
      </c>
      <c r="AP33" s="41">
        <v>0</v>
      </c>
      <c r="AQ33" s="51">
        <v>0</v>
      </c>
      <c r="AR33" s="41">
        <v>-136829.11211951729</v>
      </c>
      <c r="AS33" s="51">
        <f>IFERROR(AR29/AD29-1,0)</f>
        <v>-7.4496674979220523E-2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-21721.467880482691</v>
      </c>
      <c r="U34" s="51">
        <v>-0.38029597493862521</v>
      </c>
      <c r="V34" s="41">
        <v>483953.97844891832</v>
      </c>
      <c r="W34" s="51">
        <v>0.41907854884039408</v>
      </c>
      <c r="X34" s="41">
        <v>-19531.528448918238</v>
      </c>
      <c r="Y34" s="51">
        <v>-0.14935488745631242</v>
      </c>
      <c r="Z34" s="41">
        <v>-4229.3499999999985</v>
      </c>
      <c r="AA34" s="51">
        <v>-7.6138791925527305E-2</v>
      </c>
      <c r="AB34" s="41">
        <v>-368.97</v>
      </c>
      <c r="AC34" s="51">
        <v>-1</v>
      </c>
      <c r="AD34" s="41">
        <v>438102.66211951757</v>
      </c>
      <c r="AE34" s="51">
        <v>0.31324109847781823</v>
      </c>
      <c r="AF34" s="49"/>
      <c r="AH34" s="41">
        <v>-20022.590000000011</v>
      </c>
      <c r="AI34" s="51">
        <v>-0.35055229355324602</v>
      </c>
      <c r="AJ34" s="41">
        <v>404620.25</v>
      </c>
      <c r="AK34" s="51">
        <v>0.35037973599246985</v>
      </c>
      <c r="AL34" s="41">
        <v>-61541.789999999979</v>
      </c>
      <c r="AM34" s="51">
        <v>-0.47060152733817873</v>
      </c>
      <c r="AN34" s="41">
        <v>-21413.35</v>
      </c>
      <c r="AO34" s="51">
        <v>-0.38549342099341288</v>
      </c>
      <c r="AP34" s="41">
        <v>-368.97</v>
      </c>
      <c r="AQ34" s="51">
        <v>-1</v>
      </c>
      <c r="AR34" s="41">
        <v>301273.55000000028</v>
      </c>
      <c r="AS34" s="51">
        <f>IFERROR(AR29/P29-1,0)</f>
        <v>0.21540900319516165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33973.33</v>
      </c>
      <c r="G36" s="53">
        <v>0.5947996113959928</v>
      </c>
      <c r="H36" s="23">
        <v>268573.36000000004</v>
      </c>
      <c r="I36" s="53">
        <v>0.23257032482039786</v>
      </c>
      <c r="J36" s="23">
        <v>23435.670000000002</v>
      </c>
      <c r="K36" s="53">
        <v>0.17920931607926158</v>
      </c>
      <c r="L36" s="23">
        <v>0</v>
      </c>
      <c r="M36" s="53">
        <v>0</v>
      </c>
      <c r="N36" s="32">
        <v>0</v>
      </c>
      <c r="O36" s="54">
        <v>0</v>
      </c>
      <c r="P36" s="23">
        <v>325982.36000000004</v>
      </c>
      <c r="Q36" s="54">
        <v>0.23307567234762647</v>
      </c>
      <c r="R36" s="21"/>
      <c r="T36" s="23">
        <v>17229.626109383928</v>
      </c>
      <c r="U36" s="53">
        <v>0.48677032522688557</v>
      </c>
      <c r="V36" s="23">
        <v>524403.97740680922</v>
      </c>
      <c r="W36" s="53">
        <v>0.3200006855817184</v>
      </c>
      <c r="X36" s="23">
        <v>35596.022593190726</v>
      </c>
      <c r="Y36" s="53">
        <v>0.31998990028558005</v>
      </c>
      <c r="Z36" s="23">
        <v>0</v>
      </c>
      <c r="AA36" s="53">
        <v>0</v>
      </c>
      <c r="AB36" s="32">
        <v>0</v>
      </c>
      <c r="AC36" s="54">
        <v>0</v>
      </c>
      <c r="AD36" s="23">
        <v>577229.62610938388</v>
      </c>
      <c r="AE36" s="54">
        <v>0.31427294366338293</v>
      </c>
      <c r="AF36" s="21"/>
      <c r="AH36" s="23">
        <v>31810.71</v>
      </c>
      <c r="AI36" s="53">
        <v>0.8575545064683131</v>
      </c>
      <c r="AJ36" s="23">
        <v>512725.89</v>
      </c>
      <c r="AK36" s="53">
        <v>0.32879159147095732</v>
      </c>
      <c r="AL36" s="23">
        <v>25031.5</v>
      </c>
      <c r="AM36" s="53">
        <v>0.36156584596282404</v>
      </c>
      <c r="AN36" s="23">
        <v>0</v>
      </c>
      <c r="AO36" s="53">
        <v>0</v>
      </c>
      <c r="AP36" s="32">
        <v>0</v>
      </c>
      <c r="AQ36" s="54">
        <v>0</v>
      </c>
      <c r="AR36" s="23">
        <v>569568.1</v>
      </c>
      <c r="AS36" s="53">
        <f>IFERROR(AR36/AR$29,0)</f>
        <v>0.33506267752521929</v>
      </c>
      <c r="AT36" s="21"/>
      <c r="AV36" s="29">
        <f t="shared" ref="AV36:AV38" si="6">AH36-T36</f>
        <v>14581.083890616072</v>
      </c>
      <c r="AW36" s="55">
        <f t="shared" ref="AW36:AW38" si="7">(AI36-U36)*100</f>
        <v>37.07841812414275</v>
      </c>
      <c r="AX36" s="29">
        <f t="shared" ref="AX36:AX38" si="8">AJ36-V36</f>
        <v>-11678.087406809209</v>
      </c>
      <c r="AY36" s="55">
        <f t="shared" ref="AY36:AY38" si="9">(AK36-W36)*100</f>
        <v>0.87909058892389202</v>
      </c>
      <c r="AZ36" s="29">
        <f t="shared" ref="AZ36:AZ38" si="10">AL36-X36</f>
        <v>-10564.522593190726</v>
      </c>
      <c r="BA36" s="55">
        <f t="shared" ref="BA36:BA38" si="11">(AM36-Y36)*100</f>
        <v>4.1575945677243986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-7661.5261093839072</v>
      </c>
      <c r="BG36" s="55">
        <f t="shared" ref="BG36:BG38" si="17">(AS36-AE36)*100</f>
        <v>2.0789733861836357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0.17793791376854104</v>
      </c>
      <c r="G39" s="59">
        <v>5.6199377570582563</v>
      </c>
      <c r="H39" s="58">
        <v>0.14117763074550341</v>
      </c>
      <c r="I39" s="59">
        <v>7.0832751245320829</v>
      </c>
      <c r="J39" s="58">
        <v>0.13662723721797937</v>
      </c>
      <c r="K39" s="59">
        <v>7.3191848152837107</v>
      </c>
      <c r="L39" s="58">
        <v>0</v>
      </c>
      <c r="M39" s="59">
        <v>0</v>
      </c>
      <c r="N39" s="60">
        <v>0</v>
      </c>
      <c r="O39" s="61">
        <v>0</v>
      </c>
      <c r="P39" s="62">
        <v>0.14046399500348566</v>
      </c>
      <c r="Q39" s="61">
        <v>7.1192621281715978</v>
      </c>
      <c r="R39" s="49"/>
      <c r="T39" s="58">
        <v>0.17767116870781322</v>
      </c>
      <c r="U39" s="59">
        <v>5.6283752016318243</v>
      </c>
      <c r="V39" s="58">
        <v>0.20025074191596898</v>
      </c>
      <c r="W39" s="59">
        <v>4.9937393011988389</v>
      </c>
      <c r="X39" s="58">
        <v>0.20024399266932416</v>
      </c>
      <c r="Y39" s="59">
        <v>4.9939076157523719</v>
      </c>
      <c r="Z39" s="58">
        <v>0</v>
      </c>
      <c r="AA39" s="63">
        <v>0</v>
      </c>
      <c r="AB39" s="60">
        <v>0</v>
      </c>
      <c r="AC39" s="61">
        <v>0</v>
      </c>
      <c r="AD39" s="62">
        <v>0.19601702307742552</v>
      </c>
      <c r="AE39" s="61">
        <v>5.1015977301369695</v>
      </c>
      <c r="AF39" s="49"/>
      <c r="AH39" s="58">
        <v>0.19167119573404032</v>
      </c>
      <c r="AI39" s="59">
        <v>5.2172680207389268</v>
      </c>
      <c r="AJ39" s="58">
        <v>0.21087508122825346</v>
      </c>
      <c r="AK39" s="59">
        <v>4.7421439943280408</v>
      </c>
      <c r="AL39" s="58">
        <v>0.2185966291153611</v>
      </c>
      <c r="AM39" s="59">
        <v>4.5746359586920482</v>
      </c>
      <c r="AN39" s="58">
        <v>0</v>
      </c>
      <c r="AO39" s="59">
        <v>0</v>
      </c>
      <c r="AP39" s="60">
        <v>0</v>
      </c>
      <c r="AQ39" s="61">
        <v>0</v>
      </c>
      <c r="AR39" s="62">
        <v>0.20741513870453435</v>
      </c>
      <c r="AS39" s="59">
        <f>IFERROR(1/AR39,0)</f>
        <v>4.8212488550535042</v>
      </c>
      <c r="AT39" s="49"/>
      <c r="AV39" s="64">
        <f>(AH39-T39)*100</f>
        <v>1.4000027026227102</v>
      </c>
      <c r="AW39" s="65">
        <f>(AI39-U39)</f>
        <v>-0.41110718089289744</v>
      </c>
      <c r="AX39" s="64">
        <f>(AJ39-V39)*100</f>
        <v>1.0624339312284485</v>
      </c>
      <c r="AY39" s="65">
        <f>(AK39-W39)</f>
        <v>-0.25159530687079812</v>
      </c>
      <c r="AZ39" s="64">
        <f>(AL39-X39)*100</f>
        <v>1.8352636446036934</v>
      </c>
      <c r="BA39" s="65">
        <f>(AM39-Y39)</f>
        <v>-0.41927165706032365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1.1398115627108822</v>
      </c>
      <c r="BG39" s="65">
        <f>(AS39-AE39)</f>
        <v>-0.28034887508346529</v>
      </c>
    </row>
    <row r="40" spans="1:61" ht="15">
      <c r="E40" s="34" t="s">
        <v>42</v>
      </c>
      <c r="F40" s="35">
        <v>23143.940000000002</v>
      </c>
      <c r="G40" s="36">
        <v>0.40520038860400714</v>
      </c>
      <c r="H40" s="35">
        <v>886231.57999999984</v>
      </c>
      <c r="I40" s="36">
        <v>0.76742967517960214</v>
      </c>
      <c r="J40" s="35">
        <v>107336.93999999999</v>
      </c>
      <c r="K40" s="36">
        <v>0.8207906839207384</v>
      </c>
      <c r="L40" s="35">
        <v>55547.9</v>
      </c>
      <c r="M40" s="36">
        <v>1</v>
      </c>
      <c r="N40" s="37">
        <v>368.97</v>
      </c>
      <c r="O40" s="36">
        <v>1</v>
      </c>
      <c r="P40" s="35">
        <v>1072629.3299999996</v>
      </c>
      <c r="Q40" s="36">
        <v>0.76692432765237351</v>
      </c>
      <c r="R40" s="21"/>
      <c r="T40" s="35">
        <v>18166.176010133386</v>
      </c>
      <c r="U40" s="36">
        <v>0.51322967477311443</v>
      </c>
      <c r="V40" s="35">
        <v>1114354.9410421089</v>
      </c>
      <c r="W40" s="36">
        <v>0.67999931441828154</v>
      </c>
      <c r="X40" s="35">
        <v>75645.058957891015</v>
      </c>
      <c r="Y40" s="36">
        <v>0.68001009971441995</v>
      </c>
      <c r="Z40" s="35">
        <v>51318.55</v>
      </c>
      <c r="AA40" s="36">
        <v>1</v>
      </c>
      <c r="AB40" s="37">
        <v>0</v>
      </c>
      <c r="AC40" s="36">
        <v>0</v>
      </c>
      <c r="AD40" s="35">
        <v>1259484.7260101335</v>
      </c>
      <c r="AE40" s="36">
        <v>0.68572705633661712</v>
      </c>
      <c r="AF40" s="21"/>
      <c r="AH40" s="35">
        <v>5283.9699999999939</v>
      </c>
      <c r="AI40" s="36">
        <v>0.1424454935316869</v>
      </c>
      <c r="AJ40" s="35">
        <v>1046699.2999999999</v>
      </c>
      <c r="AK40" s="36">
        <v>0.67120840852904262</v>
      </c>
      <c r="AL40" s="35">
        <v>44199.320000000007</v>
      </c>
      <c r="AM40" s="36">
        <v>0.63843415403717596</v>
      </c>
      <c r="AN40" s="35">
        <v>34134.550000000003</v>
      </c>
      <c r="AO40" s="36">
        <v>1</v>
      </c>
      <c r="AP40" s="37">
        <v>0</v>
      </c>
      <c r="AQ40" s="36">
        <v>0</v>
      </c>
      <c r="AR40" s="35">
        <v>1130317.1400000001</v>
      </c>
      <c r="AS40" s="36">
        <f>IFERROR(AR40/AR$29,0)</f>
        <v>0.66493732247478077</v>
      </c>
      <c r="AT40" s="21"/>
      <c r="AV40" s="38">
        <f t="shared" ref="AV40" si="18">AH40-T40</f>
        <v>-12882.206010133392</v>
      </c>
      <c r="AW40" s="39">
        <f>(AI40-U40)*100</f>
        <v>-37.07841812414275</v>
      </c>
      <c r="AX40" s="38">
        <f t="shared" ref="AX40" si="19">AJ40-V40</f>
        <v>-67655.641042108997</v>
      </c>
      <c r="AY40" s="39">
        <f>(AK40-W40)*100</f>
        <v>-0.87909058892389202</v>
      </c>
      <c r="AZ40" s="38">
        <f t="shared" ref="AZ40" si="20">AL40-X40</f>
        <v>-31445.738957891008</v>
      </c>
      <c r="BA40" s="39">
        <f>(AM40-Y40)*100</f>
        <v>-4.1575945677243986</v>
      </c>
      <c r="BB40" s="38">
        <f t="shared" si="12"/>
        <v>-17184</v>
      </c>
      <c r="BC40" s="39">
        <f>(AO40-AA40)*100</f>
        <v>0</v>
      </c>
      <c r="BD40" s="38">
        <f t="shared" si="14"/>
        <v>0</v>
      </c>
      <c r="BE40" s="39">
        <f>(AQ40-AC40)*100</f>
        <v>0</v>
      </c>
      <c r="BF40" s="38">
        <f t="shared" ref="BF40" si="21">AR40-AD40</f>
        <v>-129167.58601013338</v>
      </c>
      <c r="BG40" s="39">
        <f>(AS40-AE40)*100</f>
        <v>-2.0789733861836357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14378.790999999988</v>
      </c>
      <c r="G43" s="53">
        <v>0.25174156607975112</v>
      </c>
      <c r="H43" s="23">
        <v>168700.24799999993</v>
      </c>
      <c r="I43" s="53">
        <v>0.14608549215246683</v>
      </c>
      <c r="J43" s="23">
        <v>22023.120999999992</v>
      </c>
      <c r="K43" s="53">
        <v>0.1684077499103214</v>
      </c>
      <c r="L43" s="23">
        <v>0</v>
      </c>
      <c r="M43" s="53">
        <v>0</v>
      </c>
      <c r="N43" s="32">
        <v>0</v>
      </c>
      <c r="O43" s="54">
        <v>0</v>
      </c>
      <c r="P43" s="23">
        <v>205102.15999999992</v>
      </c>
      <c r="Q43" s="54">
        <v>0.14664696532030272</v>
      </c>
      <c r="R43" s="21"/>
      <c r="T43" s="23">
        <v>13935.024363556133</v>
      </c>
      <c r="U43" s="53">
        <v>0.39369144161511554</v>
      </c>
      <c r="V43" s="23">
        <v>154466.66720431941</v>
      </c>
      <c r="W43" s="53">
        <v>9.4258322847464215E-2</v>
      </c>
      <c r="X43" s="23">
        <v>18184.114143568651</v>
      </c>
      <c r="Y43" s="53">
        <v>0.1634658157761486</v>
      </c>
      <c r="Z43" s="23">
        <v>0</v>
      </c>
      <c r="AA43" s="53">
        <v>0</v>
      </c>
      <c r="AB43" s="32">
        <v>0</v>
      </c>
      <c r="AC43" s="54">
        <v>0</v>
      </c>
      <c r="AD43" s="23">
        <v>186585.80571144418</v>
      </c>
      <c r="AE43" s="54">
        <v>0.10158673040047264</v>
      </c>
      <c r="AF43" s="21"/>
      <c r="AH43" s="23">
        <v>10244.34</v>
      </c>
      <c r="AI43" s="53">
        <v>0.27616736416111426</v>
      </c>
      <c r="AJ43" s="23">
        <v>165844.78000000006</v>
      </c>
      <c r="AK43" s="53">
        <v>0.10634994295558356</v>
      </c>
      <c r="AL43" s="23">
        <v>-5643.5300000000034</v>
      </c>
      <c r="AM43" s="53">
        <v>-8.1517595775985358E-2</v>
      </c>
      <c r="AN43" s="23">
        <v>0</v>
      </c>
      <c r="AO43" s="53">
        <v>0</v>
      </c>
      <c r="AP43" s="32">
        <v>0</v>
      </c>
      <c r="AQ43" s="54">
        <v>0</v>
      </c>
      <c r="AR43" s="23">
        <v>170445.59000000005</v>
      </c>
      <c r="AS43" s="53">
        <f t="shared" ref="AS43:AS51" si="22">IFERROR(AR43/AR$29,0)</f>
        <v>0.10026888050395688</v>
      </c>
      <c r="AT43" s="21"/>
      <c r="AV43" s="29">
        <f t="shared" ref="AV43:AV51" si="23">AH43-T43</f>
        <v>-3690.6843635561327</v>
      </c>
      <c r="AW43" s="55">
        <f t="shared" ref="AW43:AW50" si="24">(AI43-U43)*100</f>
        <v>-11.752407745400129</v>
      </c>
      <c r="AX43" s="29">
        <f t="shared" ref="AX43:AX51" si="25">AJ43-V43</f>
        <v>11378.112795680645</v>
      </c>
      <c r="AY43" s="55">
        <f t="shared" ref="AY43:AY50" si="26">(AK43-W43)*100</f>
        <v>1.2091620108119345</v>
      </c>
      <c r="AZ43" s="29">
        <f t="shared" ref="AZ43:AZ51" si="27">AL43-X43</f>
        <v>-23827.644143568654</v>
      </c>
      <c r="BA43" s="55">
        <f t="shared" ref="BA43:BA50" si="28">(AM43-Y43)*100</f>
        <v>-24.498341155213396</v>
      </c>
      <c r="BB43" s="29">
        <f t="shared" ref="BB43:BB51" si="29">AN43-Z43</f>
        <v>0</v>
      </c>
      <c r="BC43" s="55">
        <f t="shared" ref="BC43:BC50" si="30">(AO43-AA43)*100</f>
        <v>0</v>
      </c>
      <c r="BD43" s="29">
        <f t="shared" ref="BD43:BD51" si="31">AP43-AB43</f>
        <v>0</v>
      </c>
      <c r="BE43" s="55">
        <f t="shared" ref="BE43:BE50" si="32">(AQ43-AC43)*100</f>
        <v>0</v>
      </c>
      <c r="BF43" s="29">
        <f t="shared" ref="BF43:BF51" si="33">AR43-AD43</f>
        <v>-16140.215711444122</v>
      </c>
      <c r="BG43" s="55">
        <f t="shared" ref="BG43:BG50" si="34">(AS43-AE43)*100</f>
        <v>-0.13178498965157603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-3008.8690000000106</v>
      </c>
      <c r="G44" s="53">
        <v>-5.2678795747766141E-2</v>
      </c>
      <c r="H44" s="27">
        <v>106579.16799999992</v>
      </c>
      <c r="I44" s="53">
        <v>9.2291922478267133E-2</v>
      </c>
      <c r="J44" s="27">
        <v>15429.150999999989</v>
      </c>
      <c r="K44" s="53">
        <v>0.11798457643385714</v>
      </c>
      <c r="L44" s="27">
        <v>0</v>
      </c>
      <c r="M44" s="53">
        <v>0</v>
      </c>
      <c r="N44" s="27">
        <v>0</v>
      </c>
      <c r="O44" s="54">
        <v>0</v>
      </c>
      <c r="P44" s="23">
        <v>118999.4499999999</v>
      </c>
      <c r="Q44" s="54">
        <v>8.5083980672290768E-2</v>
      </c>
      <c r="R44" s="21"/>
      <c r="T44" s="27">
        <v>834.24377770848866</v>
      </c>
      <c r="U44" s="53">
        <v>2.3569003321116576E-2</v>
      </c>
      <c r="V44" s="27">
        <v>75081.939993763983</v>
      </c>
      <c r="W44" s="53">
        <v>4.5816342567843275E-2</v>
      </c>
      <c r="X44" s="27">
        <v>7508.1939993763972</v>
      </c>
      <c r="Y44" s="53">
        <v>6.7494795040523275E-2</v>
      </c>
      <c r="Z44" s="27">
        <v>0</v>
      </c>
      <c r="AA44" s="53">
        <v>0</v>
      </c>
      <c r="AB44" s="27">
        <v>0</v>
      </c>
      <c r="AC44" s="54">
        <v>0</v>
      </c>
      <c r="AD44" s="23">
        <v>83424.377770848863</v>
      </c>
      <c r="AE44" s="54">
        <v>4.5420442038022653E-2</v>
      </c>
      <c r="AF44" s="21"/>
      <c r="AH44" s="23">
        <v>474.3299999999997</v>
      </c>
      <c r="AI44" s="53">
        <v>1.2787008810966958E-2</v>
      </c>
      <c r="AJ44" s="23">
        <v>83553.650000000052</v>
      </c>
      <c r="AK44" s="53">
        <v>5.3579774480877827E-2</v>
      </c>
      <c r="AL44" s="23">
        <v>-2100.8199999999997</v>
      </c>
      <c r="AM44" s="53">
        <v>-3.0345155524663717E-2</v>
      </c>
      <c r="AN44" s="23">
        <v>0</v>
      </c>
      <c r="AO44" s="53">
        <v>0</v>
      </c>
      <c r="AP44" s="32">
        <v>0</v>
      </c>
      <c r="AQ44" s="54">
        <v>0</v>
      </c>
      <c r="AR44" s="23">
        <v>81927.160000000062</v>
      </c>
      <c r="AS44" s="53">
        <f t="shared" si="22"/>
        <v>4.8195700552114952E-2</v>
      </c>
      <c r="AT44" s="21"/>
      <c r="AV44" s="29">
        <f t="shared" si="23"/>
        <v>-359.91377770848896</v>
      </c>
      <c r="AW44" s="55">
        <f t="shared" si="24"/>
        <v>-1.0781994510149617</v>
      </c>
      <c r="AX44" s="29">
        <f t="shared" si="25"/>
        <v>8471.7100062360696</v>
      </c>
      <c r="AY44" s="55">
        <f t="shared" si="26"/>
        <v>0.77634319130345519</v>
      </c>
      <c r="AZ44" s="29">
        <f t="shared" si="27"/>
        <v>-9609.0139993763969</v>
      </c>
      <c r="BA44" s="55">
        <f t="shared" si="28"/>
        <v>-9.7839950565186982</v>
      </c>
      <c r="BB44" s="29">
        <f t="shared" si="29"/>
        <v>0</v>
      </c>
      <c r="BC44" s="55">
        <f t="shared" si="30"/>
        <v>0</v>
      </c>
      <c r="BD44" s="29">
        <f t="shared" si="31"/>
        <v>0</v>
      </c>
      <c r="BE44" s="55">
        <f t="shared" si="32"/>
        <v>0</v>
      </c>
      <c r="BF44" s="29">
        <f t="shared" si="33"/>
        <v>-1497.2177708488016</v>
      </c>
      <c r="BG44" s="55">
        <f t="shared" si="34"/>
        <v>0.27752585140922992</v>
      </c>
      <c r="BH44" s="57"/>
    </row>
    <row r="45" spans="1:61" outlineLevel="1">
      <c r="B45" s="26" t="s">
        <v>47</v>
      </c>
      <c r="E45" s="69" t="s">
        <v>47</v>
      </c>
      <c r="F45" s="27">
        <v>13431.22</v>
      </c>
      <c r="G45" s="53">
        <v>0.23515164502785232</v>
      </c>
      <c r="H45" s="27">
        <v>17106.990000000002</v>
      </c>
      <c r="I45" s="53">
        <v>1.4813748545273803E-2</v>
      </c>
      <c r="J45" s="27">
        <v>2350.75</v>
      </c>
      <c r="K45" s="53">
        <v>1.7975859012066827E-2</v>
      </c>
      <c r="L45" s="27">
        <v>0</v>
      </c>
      <c r="M45" s="53">
        <v>0</v>
      </c>
      <c r="N45" s="27">
        <v>0</v>
      </c>
      <c r="O45" s="54">
        <v>0</v>
      </c>
      <c r="P45" s="23">
        <v>32888.959999999999</v>
      </c>
      <c r="Q45" s="54">
        <v>2.3515433365210902E-2</v>
      </c>
      <c r="R45" s="21"/>
      <c r="T45" s="27">
        <v>7307.3374292349999</v>
      </c>
      <c r="U45" s="53">
        <v>0.20644644256290834</v>
      </c>
      <c r="V45" s="27">
        <v>28264.205302682589</v>
      </c>
      <c r="W45" s="53">
        <v>1.7247323559608511E-2</v>
      </c>
      <c r="X45" s="27">
        <v>1800.9710936035494</v>
      </c>
      <c r="Y45" s="53">
        <v>1.618980208113624E-2</v>
      </c>
      <c r="Z45" s="27">
        <v>0</v>
      </c>
      <c r="AA45" s="53">
        <v>0</v>
      </c>
      <c r="AB45" s="27">
        <v>0</v>
      </c>
      <c r="AC45" s="54">
        <v>0</v>
      </c>
      <c r="AD45" s="23">
        <v>37372.513825521135</v>
      </c>
      <c r="AE45" s="54">
        <v>2.0347482874729157E-2</v>
      </c>
      <c r="AF45" s="21"/>
      <c r="AH45" s="23">
        <v>6185.48</v>
      </c>
      <c r="AI45" s="53">
        <v>0.16674843939885722</v>
      </c>
      <c r="AJ45" s="23">
        <v>26202.22</v>
      </c>
      <c r="AK45" s="53">
        <v>1.6802486049362842E-2</v>
      </c>
      <c r="AL45" s="23">
        <v>1947.29</v>
      </c>
      <c r="AM45" s="53">
        <v>2.8127501595387714E-2</v>
      </c>
      <c r="AN45" s="23">
        <v>0</v>
      </c>
      <c r="AO45" s="53">
        <v>0</v>
      </c>
      <c r="AP45" s="32">
        <v>0</v>
      </c>
      <c r="AQ45" s="54">
        <v>0</v>
      </c>
      <c r="AR45" s="23">
        <v>34334.99</v>
      </c>
      <c r="AS45" s="53">
        <f t="shared" si="22"/>
        <v>2.0198416453101269E-2</v>
      </c>
      <c r="AT45" s="21"/>
      <c r="AV45" s="29">
        <f t="shared" si="23"/>
        <v>-1121.8574292350004</v>
      </c>
      <c r="AW45" s="55">
        <f t="shared" si="24"/>
        <v>-3.9698003164051117</v>
      </c>
      <c r="AX45" s="29">
        <f t="shared" si="25"/>
        <v>-2061.9853026825876</v>
      </c>
      <c r="AY45" s="55">
        <f t="shared" si="26"/>
        <v>-4.4483751024566864E-2</v>
      </c>
      <c r="AZ45" s="29">
        <f t="shared" si="27"/>
        <v>146.31890639645053</v>
      </c>
      <c r="BA45" s="55">
        <f t="shared" si="28"/>
        <v>1.1937699514251474</v>
      </c>
      <c r="BB45" s="29">
        <f t="shared" si="29"/>
        <v>0</v>
      </c>
      <c r="BC45" s="55">
        <f t="shared" si="30"/>
        <v>0</v>
      </c>
      <c r="BD45" s="29">
        <f t="shared" si="31"/>
        <v>0</v>
      </c>
      <c r="BE45" s="55">
        <f t="shared" si="32"/>
        <v>0</v>
      </c>
      <c r="BF45" s="29">
        <f t="shared" si="33"/>
        <v>-3037.523825521137</v>
      </c>
      <c r="BG45" s="55">
        <f t="shared" si="34"/>
        <v>-1.4906642162788863E-2</v>
      </c>
      <c r="BH45" s="57"/>
    </row>
    <row r="46" spans="1:61" outlineLevel="1">
      <c r="B46" s="26" t="s">
        <v>48</v>
      </c>
      <c r="E46" s="69" t="s">
        <v>48</v>
      </c>
      <c r="F46" s="27">
        <v>3956.44</v>
      </c>
      <c r="G46" s="53">
        <v>6.9268716799664967E-2</v>
      </c>
      <c r="H46" s="27">
        <v>45014.090000000004</v>
      </c>
      <c r="I46" s="53">
        <v>3.8979821128925903E-2</v>
      </c>
      <c r="J46" s="27">
        <v>4243.22</v>
      </c>
      <c r="K46" s="53">
        <v>3.2447314464397407E-2</v>
      </c>
      <c r="L46" s="27">
        <v>0</v>
      </c>
      <c r="M46" s="53">
        <v>0</v>
      </c>
      <c r="N46" s="27">
        <v>0</v>
      </c>
      <c r="O46" s="54">
        <v>0</v>
      </c>
      <c r="P46" s="23">
        <v>53213.750000000007</v>
      </c>
      <c r="Q46" s="54">
        <v>3.8047551282801031E-2</v>
      </c>
      <c r="R46" s="21"/>
      <c r="T46" s="27">
        <v>5793.4431566126441</v>
      </c>
      <c r="U46" s="53">
        <v>0.16367599573109062</v>
      </c>
      <c r="V46" s="27">
        <v>51120.521907872833</v>
      </c>
      <c r="W46" s="53">
        <v>3.1194656720012419E-2</v>
      </c>
      <c r="X46" s="27">
        <v>8874.9490505887024</v>
      </c>
      <c r="Y46" s="53">
        <v>7.9781218654489061E-2</v>
      </c>
      <c r="Z46" s="27">
        <v>0</v>
      </c>
      <c r="AA46" s="53">
        <v>0</v>
      </c>
      <c r="AB46" s="27">
        <v>0</v>
      </c>
      <c r="AC46" s="54">
        <v>0</v>
      </c>
      <c r="AD46" s="23">
        <v>65788.914115074178</v>
      </c>
      <c r="AE46" s="54">
        <v>3.5818805487720831E-2</v>
      </c>
      <c r="AF46" s="21"/>
      <c r="AH46" s="23">
        <v>3584.5299999999997</v>
      </c>
      <c r="AI46" s="53">
        <v>9.6631915951290059E-2</v>
      </c>
      <c r="AJ46" s="23">
        <v>56088.91</v>
      </c>
      <c r="AK46" s="53">
        <v>3.5967682425342894E-2</v>
      </c>
      <c r="AL46" s="23">
        <v>-5490.0000000000036</v>
      </c>
      <c r="AM46" s="53">
        <v>-7.9299941846709354E-2</v>
      </c>
      <c r="AN46" s="23">
        <v>0</v>
      </c>
      <c r="AO46" s="53">
        <v>0</v>
      </c>
      <c r="AP46" s="32">
        <v>0</v>
      </c>
      <c r="AQ46" s="54">
        <v>0</v>
      </c>
      <c r="AR46" s="23">
        <v>54183.44</v>
      </c>
      <c r="AS46" s="53">
        <f t="shared" si="22"/>
        <v>3.187476349874066E-2</v>
      </c>
      <c r="AT46" s="21"/>
      <c r="AV46" s="29">
        <f t="shared" si="23"/>
        <v>-2208.9131566126443</v>
      </c>
      <c r="AW46" s="55">
        <f t="shared" si="24"/>
        <v>-6.7044079779800567</v>
      </c>
      <c r="AX46" s="29">
        <f t="shared" si="25"/>
        <v>4968.3880921271702</v>
      </c>
      <c r="AY46" s="55">
        <f t="shared" si="26"/>
        <v>0.47730257053304748</v>
      </c>
      <c r="AZ46" s="29">
        <f t="shared" si="27"/>
        <v>-14364.949050588706</v>
      </c>
      <c r="BA46" s="55">
        <f t="shared" si="28"/>
        <v>-15.908116050119842</v>
      </c>
      <c r="BB46" s="29">
        <f t="shared" si="29"/>
        <v>0</v>
      </c>
      <c r="BC46" s="55">
        <f t="shared" si="30"/>
        <v>0</v>
      </c>
      <c r="BD46" s="29">
        <f t="shared" si="31"/>
        <v>0</v>
      </c>
      <c r="BE46" s="55">
        <f t="shared" si="32"/>
        <v>0</v>
      </c>
      <c r="BF46" s="29">
        <f t="shared" si="33"/>
        <v>-11605.474115074176</v>
      </c>
      <c r="BG46" s="55">
        <f t="shared" si="34"/>
        <v>-0.39440419889801709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3843.0999999999995</v>
      </c>
      <c r="G47" s="53">
        <v>6.7284378262476463E-2</v>
      </c>
      <c r="H47" s="23">
        <v>72923.659999999989</v>
      </c>
      <c r="I47" s="53">
        <v>6.3148032601938811E-2</v>
      </c>
      <c r="J47" s="23">
        <v>7220.9400000000023</v>
      </c>
      <c r="K47" s="53">
        <v>5.5217526055341429E-2</v>
      </c>
      <c r="L47" s="23">
        <v>0</v>
      </c>
      <c r="M47" s="53">
        <v>0</v>
      </c>
      <c r="N47" s="32">
        <v>0</v>
      </c>
      <c r="O47" s="54">
        <v>0</v>
      </c>
      <c r="P47" s="23">
        <v>83987.7</v>
      </c>
      <c r="Q47" s="54">
        <v>6.0050763625463487E-2</v>
      </c>
      <c r="R47" s="21"/>
      <c r="T47" s="23">
        <v>4540.140682389987</v>
      </c>
      <c r="U47" s="53">
        <v>0.12826777217986945</v>
      </c>
      <c r="V47" s="23">
        <v>80699.771423104597</v>
      </c>
      <c r="W47" s="53">
        <v>4.924444377668849E-2</v>
      </c>
      <c r="X47" s="23">
        <v>6317.3473273829786</v>
      </c>
      <c r="Y47" s="53">
        <v>5.67896971091751E-2</v>
      </c>
      <c r="Z47" s="23">
        <v>0</v>
      </c>
      <c r="AA47" s="53">
        <v>0</v>
      </c>
      <c r="AB47" s="23">
        <v>0</v>
      </c>
      <c r="AC47" s="54">
        <v>0</v>
      </c>
      <c r="AD47" s="23">
        <v>91557.259432877559</v>
      </c>
      <c r="AE47" s="54">
        <v>4.9848393315608946E-2</v>
      </c>
      <c r="AF47" s="21"/>
      <c r="AH47" s="23">
        <v>1410.5900000000001</v>
      </c>
      <c r="AI47" s="53">
        <v>3.8026746692517648E-2</v>
      </c>
      <c r="AJ47" s="23">
        <v>60267.41</v>
      </c>
      <c r="AK47" s="53">
        <v>3.8647195381010878E-2</v>
      </c>
      <c r="AL47" s="23">
        <v>4446.04</v>
      </c>
      <c r="AM47" s="53">
        <v>6.4220530682721932E-2</v>
      </c>
      <c r="AN47" s="23">
        <v>0</v>
      </c>
      <c r="AO47" s="53">
        <v>0</v>
      </c>
      <c r="AP47" s="32">
        <v>0</v>
      </c>
      <c r="AQ47" s="54">
        <v>0</v>
      </c>
      <c r="AR47" s="23">
        <v>66124.039999999994</v>
      </c>
      <c r="AS47" s="53">
        <f t="shared" si="22"/>
        <v>3.8899120037067914E-2</v>
      </c>
      <c r="AT47" s="21"/>
      <c r="AV47" s="29">
        <f t="shared" si="23"/>
        <v>-3129.5506823899868</v>
      </c>
      <c r="AW47" s="55">
        <f t="shared" si="24"/>
        <v>-9.0241025487351791</v>
      </c>
      <c r="AX47" s="29">
        <f t="shared" si="25"/>
        <v>-20432.361423104594</v>
      </c>
      <c r="AY47" s="55">
        <f t="shared" si="26"/>
        <v>-1.0597248395677612</v>
      </c>
      <c r="AZ47" s="29">
        <f t="shared" si="27"/>
        <v>-1871.3073273829787</v>
      </c>
      <c r="BA47" s="55">
        <f t="shared" si="28"/>
        <v>0.74308335735468334</v>
      </c>
      <c r="BB47" s="29">
        <f t="shared" si="29"/>
        <v>0</v>
      </c>
      <c r="BC47" s="55">
        <f t="shared" si="30"/>
        <v>0</v>
      </c>
      <c r="BD47" s="29">
        <f t="shared" si="31"/>
        <v>0</v>
      </c>
      <c r="BE47" s="55">
        <f t="shared" si="32"/>
        <v>0</v>
      </c>
      <c r="BF47" s="29">
        <f t="shared" si="33"/>
        <v>-25433.219432877566</v>
      </c>
      <c r="BG47" s="55">
        <f t="shared" si="34"/>
        <v>-1.0949273278541032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6261.97</v>
      </c>
      <c r="G48" s="53">
        <v>0.1096335661700918</v>
      </c>
      <c r="H48" s="23">
        <v>41618.92</v>
      </c>
      <c r="I48" s="53">
        <v>3.6039783480662974E-2</v>
      </c>
      <c r="J48" s="23">
        <v>11620.509999999998</v>
      </c>
      <c r="K48" s="53">
        <v>8.8860427271429385E-2</v>
      </c>
      <c r="L48" s="23">
        <v>0</v>
      </c>
      <c r="M48" s="53">
        <v>0</v>
      </c>
      <c r="N48" s="32">
        <v>0</v>
      </c>
      <c r="O48" s="54">
        <v>0</v>
      </c>
      <c r="P48" s="23">
        <v>59501.399999999994</v>
      </c>
      <c r="Q48" s="54">
        <v>4.2543187952332938E-2</v>
      </c>
      <c r="R48" s="21"/>
      <c r="T48" s="23">
        <v>609.29872863485366</v>
      </c>
      <c r="U48" s="53">
        <v>1.7213869785391449E-2</v>
      </c>
      <c r="V48" s="23">
        <v>72826.779062223039</v>
      </c>
      <c r="W48" s="53">
        <v>4.4440203035571224E-2</v>
      </c>
      <c r="X48" s="23">
        <v>6719.202154941031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80155.279945798917</v>
      </c>
      <c r="AE48" s="54">
        <v>4.3640580176934944E-2</v>
      </c>
      <c r="AF48" s="21"/>
      <c r="AH48" s="23">
        <v>4737.1499999999996</v>
      </c>
      <c r="AI48" s="53">
        <v>0.12770429614165699</v>
      </c>
      <c r="AJ48" s="23">
        <v>61119.53</v>
      </c>
      <c r="AK48" s="53">
        <v>3.9193627492961042E-2</v>
      </c>
      <c r="AL48" s="23">
        <v>4637.21</v>
      </c>
      <c r="AM48" s="53">
        <v>6.6981873102181941E-2</v>
      </c>
      <c r="AN48" s="23">
        <v>0</v>
      </c>
      <c r="AO48" s="53">
        <v>0</v>
      </c>
      <c r="AP48" s="23">
        <v>0</v>
      </c>
      <c r="AQ48" s="54">
        <v>0</v>
      </c>
      <c r="AR48" s="23">
        <v>70493.89</v>
      </c>
      <c r="AS48" s="53">
        <f t="shared" si="22"/>
        <v>4.1469793572653173E-2</v>
      </c>
      <c r="AT48" s="21"/>
      <c r="AV48" s="29">
        <f t="shared" si="23"/>
        <v>4127.8512713651462</v>
      </c>
      <c r="AW48" s="55">
        <f t="shared" si="24"/>
        <v>11.049042635626554</v>
      </c>
      <c r="AX48" s="29">
        <f t="shared" si="25"/>
        <v>-11707.24906222304</v>
      </c>
      <c r="AY48" s="55">
        <f t="shared" si="26"/>
        <v>-0.52465755426101823</v>
      </c>
      <c r="AZ48" s="29">
        <f t="shared" si="27"/>
        <v>-2081.992154941031</v>
      </c>
      <c r="BA48" s="55">
        <f t="shared" si="28"/>
        <v>0.65797081712739014</v>
      </c>
      <c r="BB48" s="29">
        <f t="shared" si="29"/>
        <v>0</v>
      </c>
      <c r="BC48" s="55">
        <f t="shared" si="30"/>
        <v>0</v>
      </c>
      <c r="BD48" s="29">
        <f t="shared" si="31"/>
        <v>0</v>
      </c>
      <c r="BE48" s="55">
        <f t="shared" si="32"/>
        <v>0</v>
      </c>
      <c r="BF48" s="29">
        <f t="shared" si="33"/>
        <v>-9661.3899457989173</v>
      </c>
      <c r="BG48" s="55">
        <f t="shared" si="34"/>
        <v>-0.21707866042817714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247690.38489862965</v>
      </c>
      <c r="I49" s="53">
        <v>0.21448677289051921</v>
      </c>
      <c r="J49" s="23">
        <v>28048.995101370438</v>
      </c>
      <c r="K49" s="53">
        <v>0.21448677289051921</v>
      </c>
      <c r="L49" s="23">
        <v>0</v>
      </c>
      <c r="M49" s="53">
        <v>0</v>
      </c>
      <c r="N49" s="32">
        <v>0</v>
      </c>
      <c r="O49" s="54">
        <v>0</v>
      </c>
      <c r="P49" s="23">
        <v>275739.38000000006</v>
      </c>
      <c r="Q49" s="54">
        <v>0.19715220598506517</v>
      </c>
      <c r="R49" s="21"/>
      <c r="T49" s="23">
        <v>0</v>
      </c>
      <c r="U49" s="53">
        <v>0</v>
      </c>
      <c r="V49" s="23">
        <v>277350.03333077667</v>
      </c>
      <c r="W49" s="53">
        <v>0.16924395053379046</v>
      </c>
      <c r="X49" s="23">
        <v>32561.671999592454</v>
      </c>
      <c r="Y49" s="53">
        <v>0.29271265206676528</v>
      </c>
      <c r="Z49" s="23">
        <v>0</v>
      </c>
      <c r="AA49" s="53">
        <v>0</v>
      </c>
      <c r="AB49" s="23">
        <v>0</v>
      </c>
      <c r="AC49" s="54">
        <v>0</v>
      </c>
      <c r="AD49" s="23">
        <v>309911.70533036912</v>
      </c>
      <c r="AE49" s="54">
        <v>0.16873157493038568</v>
      </c>
      <c r="AF49" s="21"/>
      <c r="AH49" s="23">
        <v>0</v>
      </c>
      <c r="AI49" s="53">
        <v>0</v>
      </c>
      <c r="AJ49" s="23">
        <v>235918.46000000002</v>
      </c>
      <c r="AK49" s="53">
        <v>0.15128552591868805</v>
      </c>
      <c r="AL49" s="23">
        <v>24197.800000000003</v>
      </c>
      <c r="AM49" s="53">
        <v>0.34952352146052873</v>
      </c>
      <c r="AN49" s="23">
        <v>0</v>
      </c>
      <c r="AO49" s="53">
        <v>0</v>
      </c>
      <c r="AP49" s="32">
        <v>0</v>
      </c>
      <c r="AQ49" s="54">
        <v>0</v>
      </c>
      <c r="AR49" s="23">
        <v>260116.26</v>
      </c>
      <c r="AS49" s="53">
        <f t="shared" si="22"/>
        <v>0.15301989444887468</v>
      </c>
      <c r="AT49" s="21"/>
      <c r="AV49" s="29">
        <f t="shared" si="23"/>
        <v>0</v>
      </c>
      <c r="AW49" s="55">
        <f t="shared" si="24"/>
        <v>0</v>
      </c>
      <c r="AX49" s="29">
        <f t="shared" si="25"/>
        <v>-41431.57333077665</v>
      </c>
      <c r="AY49" s="55">
        <f t="shared" si="26"/>
        <v>-1.7958424615102415</v>
      </c>
      <c r="AZ49" s="29">
        <f t="shared" si="27"/>
        <v>-8363.8719995924512</v>
      </c>
      <c r="BA49" s="55">
        <f t="shared" si="28"/>
        <v>5.6810869393763452</v>
      </c>
      <c r="BB49" s="29">
        <f t="shared" si="29"/>
        <v>0</v>
      </c>
      <c r="BC49" s="55">
        <f t="shared" si="30"/>
        <v>0</v>
      </c>
      <c r="BD49" s="29">
        <f t="shared" si="31"/>
        <v>0</v>
      </c>
      <c r="BE49" s="55">
        <f t="shared" si="32"/>
        <v>0</v>
      </c>
      <c r="BF49" s="29">
        <f t="shared" si="33"/>
        <v>-49795.445330369112</v>
      </c>
      <c r="BG49" s="55">
        <f t="shared" si="34"/>
        <v>-1.5711680481511003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f t="shared" si="22"/>
        <v>0</v>
      </c>
      <c r="AT50" s="21"/>
      <c r="AV50" s="29">
        <f t="shared" si="23"/>
        <v>0</v>
      </c>
      <c r="AW50" s="55">
        <f t="shared" si="24"/>
        <v>0</v>
      </c>
      <c r="AX50" s="29">
        <f t="shared" si="25"/>
        <v>0</v>
      </c>
      <c r="AY50" s="55">
        <f t="shared" si="26"/>
        <v>0</v>
      </c>
      <c r="AZ50" s="29">
        <f t="shared" si="27"/>
        <v>0</v>
      </c>
      <c r="BA50" s="55">
        <f t="shared" si="28"/>
        <v>0</v>
      </c>
      <c r="BB50" s="29">
        <f t="shared" si="29"/>
        <v>0</v>
      </c>
      <c r="BC50" s="55">
        <f t="shared" si="30"/>
        <v>0</v>
      </c>
      <c r="BD50" s="29">
        <f t="shared" si="31"/>
        <v>0</v>
      </c>
      <c r="BE50" s="55">
        <f t="shared" si="32"/>
        <v>0</v>
      </c>
      <c r="BF50" s="29">
        <f t="shared" si="33"/>
        <v>0</v>
      </c>
      <c r="BG50" s="55">
        <f t="shared" si="34"/>
        <v>0</v>
      </c>
      <c r="BH50" s="57"/>
    </row>
    <row r="51" spans="2:60" ht="15">
      <c r="E51" s="34" t="s">
        <v>58</v>
      </c>
      <c r="F51" s="35">
        <v>24483.86099999999</v>
      </c>
      <c r="G51" s="36">
        <v>0.42865951051231943</v>
      </c>
      <c r="H51" s="35">
        <v>530933.2128986296</v>
      </c>
      <c r="I51" s="36">
        <v>0.45976008112558786</v>
      </c>
      <c r="J51" s="35">
        <v>68913.566101370438</v>
      </c>
      <c r="K51" s="36">
        <v>0.52697247612761144</v>
      </c>
      <c r="L51" s="35">
        <v>0</v>
      </c>
      <c r="M51" s="36">
        <v>0</v>
      </c>
      <c r="N51" s="37">
        <v>0</v>
      </c>
      <c r="O51" s="70">
        <v>0</v>
      </c>
      <c r="P51" s="35">
        <v>624330.6399999999</v>
      </c>
      <c r="Q51" s="70">
        <v>0.44639312288316424</v>
      </c>
      <c r="R51" s="21"/>
      <c r="T51" s="35">
        <v>19084.463774580974</v>
      </c>
      <c r="U51" s="36">
        <v>0.53917308358037641</v>
      </c>
      <c r="V51" s="35">
        <v>585343.25102042372</v>
      </c>
      <c r="W51" s="36">
        <v>0.35718692019351439</v>
      </c>
      <c r="X51" s="35">
        <v>63782.335625485117</v>
      </c>
      <c r="Y51" s="36">
        <v>0.57337032988299708</v>
      </c>
      <c r="Z51" s="35">
        <v>0</v>
      </c>
      <c r="AA51" s="36">
        <v>0</v>
      </c>
      <c r="AB51" s="37">
        <v>0</v>
      </c>
      <c r="AC51" s="70">
        <v>0</v>
      </c>
      <c r="AD51" s="35">
        <v>668210.05042048986</v>
      </c>
      <c r="AE51" s="70">
        <v>0.36380727882340225</v>
      </c>
      <c r="AF51" s="21"/>
      <c r="AH51" s="35">
        <v>16392.080000000002</v>
      </c>
      <c r="AI51" s="36">
        <v>0.44189840699528893</v>
      </c>
      <c r="AJ51" s="35">
        <v>523150.18000000005</v>
      </c>
      <c r="AK51" s="36">
        <v>0.3354762917482435</v>
      </c>
      <c r="AL51" s="35">
        <v>27637.52</v>
      </c>
      <c r="AM51" s="36">
        <v>0.39920832946944723</v>
      </c>
      <c r="AN51" s="35">
        <v>0</v>
      </c>
      <c r="AO51" s="36">
        <v>0</v>
      </c>
      <c r="AP51" s="37">
        <v>0</v>
      </c>
      <c r="AQ51" s="70">
        <v>0</v>
      </c>
      <c r="AR51" s="35">
        <v>567179.78</v>
      </c>
      <c r="AS51" s="36">
        <f t="shared" si="22"/>
        <v>0.33365768856255262</v>
      </c>
      <c r="AT51" s="21"/>
      <c r="AV51" s="38">
        <f t="shared" si="23"/>
        <v>-2692.3837745809724</v>
      </c>
      <c r="AW51" s="39">
        <f>(AI51-U51)*100</f>
        <v>-9.7274676585087487</v>
      </c>
      <c r="AX51" s="38">
        <f t="shared" si="25"/>
        <v>-62193.071020423668</v>
      </c>
      <c r="AY51" s="39">
        <f>(AK51-W51)*100</f>
        <v>-2.1710628445270883</v>
      </c>
      <c r="AZ51" s="38">
        <f t="shared" si="27"/>
        <v>-36144.81562548512</v>
      </c>
      <c r="BA51" s="39">
        <f>(AM51-Y51)*100</f>
        <v>-17.416200041354983</v>
      </c>
      <c r="BB51" s="38">
        <f t="shared" si="29"/>
        <v>0</v>
      </c>
      <c r="BC51" s="39">
        <f>(AO51-AA51)*100</f>
        <v>0</v>
      </c>
      <c r="BD51" s="38">
        <f t="shared" si="31"/>
        <v>0</v>
      </c>
      <c r="BE51" s="39">
        <f>(AQ51-AC51)*100</f>
        <v>0</v>
      </c>
      <c r="BF51" s="38">
        <f t="shared" si="33"/>
        <v>-101030.27042048983</v>
      </c>
      <c r="BG51" s="39">
        <f>(AS51-AE51)*100</f>
        <v>-3.0149590260849624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-1339.9209999999875</v>
      </c>
      <c r="G53" s="36">
        <v>-2.3459121908312276E-2</v>
      </c>
      <c r="H53" s="35">
        <v>355298.36710137024</v>
      </c>
      <c r="I53" s="36">
        <v>0.30766959405401423</v>
      </c>
      <c r="J53" s="35">
        <v>38423.37389862955</v>
      </c>
      <c r="K53" s="36">
        <v>0.29381820779312695</v>
      </c>
      <c r="L53" s="35">
        <v>55547.9</v>
      </c>
      <c r="M53" s="36">
        <v>1</v>
      </c>
      <c r="N53" s="37">
        <v>368.97</v>
      </c>
      <c r="O53" s="70">
        <v>1</v>
      </c>
      <c r="P53" s="35">
        <v>448298.68999999971</v>
      </c>
      <c r="Q53" s="70">
        <v>0.32053120476920927</v>
      </c>
      <c r="R53" s="21"/>
      <c r="T53" s="35">
        <v>-918.28776444758842</v>
      </c>
      <c r="U53" s="36">
        <v>-2.5943408807261998E-2</v>
      </c>
      <c r="V53" s="35">
        <v>529011.69002168521</v>
      </c>
      <c r="W53" s="36">
        <v>0.32281239422476715</v>
      </c>
      <c r="X53" s="35">
        <v>11862.723332405898</v>
      </c>
      <c r="Y53" s="36">
        <v>0.10663976983142287</v>
      </c>
      <c r="Z53" s="35">
        <v>51318.55</v>
      </c>
      <c r="AA53" s="36">
        <v>1</v>
      </c>
      <c r="AB53" s="37">
        <v>0</v>
      </c>
      <c r="AC53" s="70">
        <v>0</v>
      </c>
      <c r="AD53" s="35">
        <v>591274.67558964365</v>
      </c>
      <c r="AE53" s="70">
        <v>0.32191977751321488</v>
      </c>
      <c r="AF53" s="21"/>
      <c r="AH53" s="35">
        <v>-11108.110000000008</v>
      </c>
      <c r="AI53" s="36">
        <v>-0.29945291346360203</v>
      </c>
      <c r="AJ53" s="35">
        <v>523549.11999999988</v>
      </c>
      <c r="AK53" s="36">
        <v>0.33573211678079917</v>
      </c>
      <c r="AL53" s="35">
        <v>16561.800000000007</v>
      </c>
      <c r="AM53" s="36">
        <v>0.23922582456772873</v>
      </c>
      <c r="AN53" s="35">
        <v>34134.550000000003</v>
      </c>
      <c r="AO53" s="36">
        <v>1</v>
      </c>
      <c r="AP53" s="37">
        <v>0</v>
      </c>
      <c r="AQ53" s="70">
        <v>0</v>
      </c>
      <c r="AR53" s="35">
        <v>563137.3600000001</v>
      </c>
      <c r="AS53" s="36">
        <f t="shared" ref="AS53" si="35">IFERROR(AR53/AR$29,0)</f>
        <v>0.33127963391222814</v>
      </c>
      <c r="AT53" s="21"/>
      <c r="AV53" s="38">
        <f t="shared" ref="AV53" si="36">AH53-T53</f>
        <v>-10189.822235552419</v>
      </c>
      <c r="AW53" s="39">
        <f>(AI53-U53)*100</f>
        <v>-27.350950465634007</v>
      </c>
      <c r="AX53" s="38">
        <f t="shared" ref="AX53" si="37">AJ53-V53</f>
        <v>-5462.5700216853293</v>
      </c>
      <c r="AY53" s="39">
        <f>(AK53-W53)*100</f>
        <v>1.2919722556032021</v>
      </c>
      <c r="AZ53" s="38">
        <f t="shared" ref="AZ53" si="38">AL53-X53</f>
        <v>4699.0766675941086</v>
      </c>
      <c r="BA53" s="39">
        <f>(AM53-Y53)*100</f>
        <v>13.258605473630587</v>
      </c>
      <c r="BB53" s="38">
        <f>AN53-Z53</f>
        <v>-17184</v>
      </c>
      <c r="BC53" s="39">
        <f>(AO53-AA53)*100</f>
        <v>0</v>
      </c>
      <c r="BD53" s="38">
        <f t="shared" ref="BD53" si="39">AP53-AB53</f>
        <v>0</v>
      </c>
      <c r="BE53" s="39">
        <f>(AQ53-AC53)*100</f>
        <v>0</v>
      </c>
      <c r="BF53" s="38">
        <f t="shared" ref="BF53" si="40">AR53-AD53</f>
        <v>-28137.315589643549</v>
      </c>
      <c r="BG53" s="39">
        <f>(AS53-AE53)*100</f>
        <v>0.93598563990132666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-0.27599379155528975</v>
      </c>
      <c r="AJ54" s="92"/>
      <c r="AK54" s="92">
        <f>+AK53-I53</f>
        <v>2.8062522726784944E-2</v>
      </c>
      <c r="AL54" s="92"/>
      <c r="AM54" s="92">
        <f>+AM53-K53</f>
        <v>-5.4592383225398222E-2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299719.69</v>
      </c>
      <c r="Q56" s="53">
        <v>0.21429800147030093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346164.37448333338</v>
      </c>
      <c r="AE56" s="53">
        <v>0.18846935784209956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374119.41</v>
      </c>
      <c r="AS56" s="53">
        <f t="shared" ref="AS56:AS78" si="41">IFERROR(AR56/AR$29,0)</f>
        <v>0.22008509821521832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42">AR56-AD56</f>
        <v>27955.035516666598</v>
      </c>
      <c r="BG56" s="55">
        <f t="shared" ref="BG56:BG78" si="43">(AS56-AE56)*100</f>
        <v>3.1615740373118761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205534.84</v>
      </c>
      <c r="Q57" s="53">
        <v>0.14695632924389473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236948.09083333335</v>
      </c>
      <c r="AE57" s="53">
        <v>0.12900650041739034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252589.34999999998</v>
      </c>
      <c r="AS57" s="53">
        <f t="shared" si="41"/>
        <v>0.14859200142240189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42"/>
        <v>15641.259166666627</v>
      </c>
      <c r="BG57" s="55">
        <f t="shared" si="43"/>
        <v>1.9585501005011552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8723.31</v>
      </c>
      <c r="Q58" s="53">
        <v>6.2371207550824927E-3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38131.856399999997</v>
      </c>
      <c r="AE58" s="53">
        <v>2.0760907299492103E-2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43110.32</v>
      </c>
      <c r="AS58" s="53">
        <f t="shared" si="41"/>
        <v>2.5360723762740595E-2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42"/>
        <v>4978.4636000000028</v>
      </c>
      <c r="BG58" s="55">
        <f t="shared" si="43"/>
        <v>0.45998164632484911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46524.04</v>
      </c>
      <c r="Q59" s="53">
        <v>3.3264443828579758E-2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71084.427250000008</v>
      </c>
      <c r="AE59" s="53">
        <v>3.8701950125217106E-2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78419.739999999991</v>
      </c>
      <c r="AS59" s="53">
        <f t="shared" si="41"/>
        <v>4.6132373030075835E-2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42"/>
        <v>7335.3127499999828</v>
      </c>
      <c r="BG59" s="55">
        <f t="shared" si="43"/>
        <v>0.74304229048587289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38937.5</v>
      </c>
      <c r="Q60" s="53">
        <v>2.7840107642743934E-2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f t="shared" si="41"/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42"/>
        <v>0</v>
      </c>
      <c r="BG60" s="55">
        <f t="shared" si="43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80279.94</v>
      </c>
      <c r="Q61" s="53">
        <v>5.7399734732661946E-2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100972.53478554866</v>
      </c>
      <c r="AE61" s="53">
        <v>5.4974544446189558E-2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87353.459999999977</v>
      </c>
      <c r="AS61" s="53">
        <f t="shared" si="41"/>
        <v>5.138785721793783E-2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42"/>
        <v>-13619.074785548684</v>
      </c>
      <c r="BG61" s="55">
        <f t="shared" si="43"/>
        <v>-0.35866872282517281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55535</v>
      </c>
      <c r="Q62" s="53">
        <v>3.9707232820283385E-2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f t="shared" si="41"/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42"/>
        <v>0</v>
      </c>
      <c r="BG62" s="55">
        <f t="shared" si="43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f t="shared" si="41"/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42"/>
        <v>0</v>
      </c>
      <c r="BG63" s="55">
        <f t="shared" si="43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f t="shared" si="41"/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42"/>
        <v>0</v>
      </c>
      <c r="BG64" s="55">
        <f t="shared" si="43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f t="shared" si="41"/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42"/>
        <v>0</v>
      </c>
      <c r="BG65" s="55">
        <f t="shared" si="43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25.69</v>
      </c>
      <c r="Q66" s="53">
        <v>1.8368214840246336E-5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f t="shared" si="41"/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42"/>
        <v>0</v>
      </c>
      <c r="BG66" s="55">
        <f t="shared" si="43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20600</v>
      </c>
      <c r="Q67" s="53">
        <v>1.4728891619660353E-2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f t="shared" si="41"/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42"/>
        <v>0</v>
      </c>
      <c r="BG67" s="55">
        <f t="shared" si="43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4119.25</v>
      </c>
      <c r="Q68" s="53">
        <v>2.9452420778779569E-3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f t="shared" si="41"/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42"/>
        <v>0</v>
      </c>
      <c r="BG68" s="55">
        <f t="shared" si="43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f t="shared" si="41"/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42"/>
        <v>0</v>
      </c>
      <c r="BG69" s="55">
        <f t="shared" si="43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49319.399999999994</v>
      </c>
      <c r="Q70" s="53">
        <v>3.5263111521683335E-2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64054.23566666666</v>
      </c>
      <c r="AE70" s="53">
        <v>3.4874358983883288E-2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111685.52</v>
      </c>
      <c r="AS70" s="53">
        <f t="shared" si="41"/>
        <v>6.5701799963861093E-2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42"/>
        <v>47631.284333333344</v>
      </c>
      <c r="BG70" s="55">
        <f t="shared" si="43"/>
        <v>3.0827440979977805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4972.4799999999987</v>
      </c>
      <c r="Q71" s="53">
        <v>3.5552970388800335E-3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11795.02143876441</v>
      </c>
      <c r="AE71" s="53">
        <v>6.4218050156537856E-3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1264.1299999999997</v>
      </c>
      <c r="AS71" s="53">
        <f t="shared" si="41"/>
        <v>7.4365608351302569E-4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42"/>
        <v>-10530.891438764411</v>
      </c>
      <c r="BG71" s="55">
        <f t="shared" si="43"/>
        <v>-0.56781489321407597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-21937.620000000006</v>
      </c>
      <c r="Q72" s="53">
        <v>-1.5685282882198712E-2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1.342527212875802E-2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24660.63</v>
      </c>
      <c r="AS72" s="53">
        <f t="shared" si="41"/>
        <v>1.4507232264690998E-2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42"/>
        <v>2.2400000000016007</v>
      </c>
      <c r="BG72" s="55">
        <f t="shared" si="43"/>
        <v>0.10819601359329784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14715.689999999999</v>
      </c>
      <c r="Q73" s="53">
        <v>1.0521640928083479E-2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16192.202222720061</v>
      </c>
      <c r="AE73" s="53">
        <v>8.8158521786660567E-3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4924.2300000000005</v>
      </c>
      <c r="AS73" s="53">
        <f t="shared" si="41"/>
        <v>2.8968014334897103E-3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42"/>
        <v>-11267.972222720062</v>
      </c>
      <c r="BG73" s="55">
        <f t="shared" si="43"/>
        <v>-0.59190507451763463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3901.6600000000008</v>
      </c>
      <c r="Q74" s="53">
        <v>2.789666372658448E-3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4183.2048301987943</v>
      </c>
      <c r="AE74" s="53">
        <v>2.2775478535197878E-3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3952.9400000000005</v>
      </c>
      <c r="AS74" s="53">
        <f t="shared" si="41"/>
        <v>2.3254158027750157E-3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42"/>
        <v>-230.26483019879379</v>
      </c>
      <c r="BG74" s="55">
        <f t="shared" si="43"/>
        <v>4.7867949255227856E-3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32346.05</v>
      </c>
      <c r="Q75" s="53">
        <v>2.312725557155897E-2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32229.388832656939</v>
      </c>
      <c r="AE75" s="53">
        <v>1.7547306033442338E-2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24721.009999999991</v>
      </c>
      <c r="AS75" s="53">
        <f t="shared" si="41"/>
        <v>1.4542752309561787E-2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42"/>
        <v>-7508.3788326569484</v>
      </c>
      <c r="BG75" s="55">
        <f t="shared" si="43"/>
        <v>-0.30045537238805509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463317.29</v>
      </c>
      <c r="Q76" s="36">
        <v>0.33126942475362842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600249.35225988878</v>
      </c>
      <c r="AE76" s="36">
        <v>0.32680604448221234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632681.32999999984</v>
      </c>
      <c r="AS76" s="36">
        <f t="shared" si="41"/>
        <v>0.37219061329104774</v>
      </c>
      <c r="AT76" s="21"/>
      <c r="AV76" s="38">
        <f t="shared" ref="AV76:BC76" si="44">SUM(AV57:AV75)</f>
        <v>0</v>
      </c>
      <c r="AW76" s="73">
        <f t="shared" si="44"/>
        <v>0</v>
      </c>
      <c r="AX76" s="73">
        <f t="shared" si="44"/>
        <v>0</v>
      </c>
      <c r="AY76" s="73">
        <f t="shared" si="44"/>
        <v>0</v>
      </c>
      <c r="AZ76" s="73">
        <f t="shared" si="44"/>
        <v>0</v>
      </c>
      <c r="BA76" s="73">
        <f t="shared" si="44"/>
        <v>0</v>
      </c>
      <c r="BB76" s="73">
        <f t="shared" si="44"/>
        <v>0</v>
      </c>
      <c r="BC76" s="73">
        <f t="shared" si="44"/>
        <v>0</v>
      </c>
      <c r="BD76" s="73"/>
      <c r="BE76" s="73"/>
      <c r="BF76" s="38">
        <f t="shared" si="42"/>
        <v>32431.977740111062</v>
      </c>
      <c r="BG76" s="39">
        <f t="shared" si="43"/>
        <v>4.5384568808835404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-15018.600000000268</v>
      </c>
      <c r="Q78" s="36">
        <v>-1.0738219984419171E-2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-8974.6766702451278</v>
      </c>
      <c r="AE78" s="36">
        <v>-4.8862669689974389E-3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-69543.969999999739</v>
      </c>
      <c r="AS78" s="36">
        <f t="shared" si="41"/>
        <v>-4.0910979378819559E-2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42"/>
        <v>-60569.293329754611</v>
      </c>
      <c r="BG78" s="39">
        <f t="shared" si="43"/>
        <v>-3.6024712409822119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377" priority="53" operator="greaterThanOrEqual">
      <formula>1</formula>
    </cfRule>
    <cfRule type="cellIs" dxfId="376" priority="52" operator="lessThanOrEqual">
      <formula>-1</formula>
    </cfRule>
  </conditionalFormatting>
  <conditionalFormatting sqref="U33:U34 Y33:Y34 AA33:AA34 AC33:AC34">
    <cfRule type="cellIs" dxfId="375" priority="49" operator="greaterThanOrEqual">
      <formula>0.0001</formula>
    </cfRule>
    <cfRule type="cellIs" dxfId="374" priority="48" operator="lessThanOrEqual">
      <formula>-0.0001</formula>
    </cfRule>
  </conditionalFormatting>
  <conditionalFormatting sqref="AB33:AB34">
    <cfRule type="cellIs" dxfId="373" priority="51" operator="greaterThanOrEqual">
      <formula>1</formula>
    </cfRule>
    <cfRule type="cellIs" dxfId="372" priority="50" operator="lessThanOrEqual">
      <formula>-1</formula>
    </cfRule>
  </conditionalFormatting>
  <conditionalFormatting sqref="AD33:AD34">
    <cfRule type="cellIs" dxfId="371" priority="47" operator="greaterThanOrEqual">
      <formula>1</formula>
    </cfRule>
    <cfRule type="cellIs" dxfId="370" priority="46" operator="lessThanOrEqual">
      <formula>-1</formula>
    </cfRule>
  </conditionalFormatting>
  <conditionalFormatting sqref="AE33:AE34">
    <cfRule type="cellIs" dxfId="369" priority="45" operator="greaterThanOrEqual">
      <formula>0.0001</formula>
    </cfRule>
    <cfRule type="cellIs" dxfId="368" priority="44" operator="lessThanOrEqual">
      <formula>-0.0001</formula>
    </cfRule>
  </conditionalFormatting>
  <conditionalFormatting sqref="AH33:AH34 AJ33:AJ34 AL33:AL34 AN33:AN34">
    <cfRule type="cellIs" dxfId="367" priority="63" operator="greaterThanOrEqual">
      <formula>1</formula>
    </cfRule>
    <cfRule type="cellIs" dxfId="366" priority="62" operator="lessThanOrEqual">
      <formula>-1</formula>
    </cfRule>
  </conditionalFormatting>
  <conditionalFormatting sqref="AI33:AI34 AM33:AM34 AO33:AO34 AQ33:AQ34">
    <cfRule type="cellIs" dxfId="365" priority="59" operator="greaterThanOrEqual">
      <formula>0.0001</formula>
    </cfRule>
    <cfRule type="cellIs" dxfId="364" priority="58" operator="lessThanOrEqual">
      <formula>-0.0001</formula>
    </cfRule>
  </conditionalFormatting>
  <conditionalFormatting sqref="AK33:AK34">
    <cfRule type="cellIs" dxfId="363" priority="43" operator="greaterThanOrEqual">
      <formula>0.0001</formula>
    </cfRule>
    <cfRule type="cellIs" dxfId="362" priority="42" operator="lessThanOrEqual">
      <formula>-0.0001</formula>
    </cfRule>
  </conditionalFormatting>
  <conditionalFormatting sqref="AP33:AP34">
    <cfRule type="cellIs" dxfId="361" priority="60" operator="lessThanOrEqual">
      <formula>-1</formula>
    </cfRule>
    <cfRule type="cellIs" dxfId="360" priority="61" operator="greaterThanOrEqual">
      <formula>1</formula>
    </cfRule>
  </conditionalFormatting>
  <conditionalFormatting sqref="AR33:AR34">
    <cfRule type="cellIs" dxfId="359" priority="56" operator="lessThanOrEqual">
      <formula>-1</formula>
    </cfRule>
    <cfRule type="cellIs" dxfId="358" priority="57" operator="greaterThanOrEqual">
      <formula>1</formula>
    </cfRule>
  </conditionalFormatting>
  <conditionalFormatting sqref="AS33:AS34">
    <cfRule type="cellIs" dxfId="357" priority="55" operator="greaterThanOrEqual">
      <formula>0.0001</formula>
    </cfRule>
    <cfRule type="cellIs" dxfId="356" priority="54" operator="lessThanOrEqual">
      <formula>-0.0001</formula>
    </cfRule>
  </conditionalFormatting>
  <conditionalFormatting sqref="AV27:AV29 AX27:AX29 AZ27:AZ29 BB27:BB29 BF27:BF29 AV40 AX40 AZ40 BB40 BF40">
    <cfRule type="cellIs" dxfId="355" priority="31" operator="greaterThanOrEqual">
      <formula>0.000001</formula>
    </cfRule>
  </conditionalFormatting>
  <conditionalFormatting sqref="AV27:AV29 AX27:AX29 AZ27:AZ29 BB27:BB29 BF27:BF29">
    <cfRule type="cellIs" dxfId="354" priority="30" operator="lessThanOrEqual">
      <formula>-0.000001</formula>
    </cfRule>
  </conditionalFormatting>
  <conditionalFormatting sqref="AV33:AV34 AX33:AX34 AZ33:AZ34 BB33:BB34">
    <cfRule type="cellIs" dxfId="353" priority="41" operator="greaterThanOrEqual">
      <formula>1</formula>
    </cfRule>
    <cfRule type="cellIs" dxfId="352" priority="40" operator="lessThanOrEqual">
      <formula>-1</formula>
    </cfRule>
  </conditionalFormatting>
  <conditionalFormatting sqref="AV36 AX36 AZ36 BB36 BD36 BF36 AX43:AX51 AZ43:AZ51 BD43:BD51 BF43:BF51 AV43:AV52">
    <cfRule type="cellIs" dxfId="351" priority="28" operator="lessThanOrEqual">
      <formula>-0.000001</formula>
    </cfRule>
    <cfRule type="cellIs" dxfId="350" priority="29" operator="greaterThanOrEqual">
      <formula>0.00001</formula>
    </cfRule>
  </conditionalFormatting>
  <conditionalFormatting sqref="AV39 AX39 AZ39 BF39">
    <cfRule type="cellIs" dxfId="349" priority="14" operator="lessThanOrEqual">
      <formula>-0.00001</formula>
    </cfRule>
    <cfRule type="cellIs" dxfId="348" priority="15" operator="greaterThanOrEqual">
      <formula>0.00001</formula>
    </cfRule>
  </conditionalFormatting>
  <conditionalFormatting sqref="AV40:BB40 BD40:BG40">
    <cfRule type="cellIs" dxfId="347" priority="18" operator="lessThanOrEqual">
      <formula>-0.000001</formula>
    </cfRule>
  </conditionalFormatting>
  <conditionalFormatting sqref="AV53:BB53 BD53:BG53 BF78:BG78">
    <cfRule type="cellIs" dxfId="346" priority="21" operator="greaterThanOrEqual">
      <formula>0.000001</formula>
    </cfRule>
    <cfRule type="cellIs" dxfId="345" priority="20" operator="lessThanOrEqual">
      <formula>-0.000001</formula>
    </cfRule>
  </conditionalFormatting>
  <conditionalFormatting sqref="AW29 AY29 BA29 BC29 BE29 BG29">
    <cfRule type="cellIs" dxfId="344" priority="24" operator="lessThanOrEqual">
      <formula>-0.000001</formula>
    </cfRule>
    <cfRule type="cellIs" dxfId="343" priority="25" operator="greaterThanOrEqual">
      <formula>0.000001</formula>
    </cfRule>
  </conditionalFormatting>
  <conditionalFormatting sqref="AW33:AW34 BA33:BA34 BC33:BC34 BE33:BE34">
    <cfRule type="cellIs" dxfId="342" priority="39" operator="greaterThanOrEqual">
      <formula>0.0001</formula>
    </cfRule>
    <cfRule type="cellIs" dxfId="341" priority="38" operator="lessThanOrEqual">
      <formula>-0.0001</formula>
    </cfRule>
  </conditionalFormatting>
  <conditionalFormatting sqref="AW36 AY36 BA36 BG36">
    <cfRule type="cellIs" dxfId="340" priority="13" operator="greaterThanOrEqual">
      <formula>0.000001</formula>
    </cfRule>
    <cfRule type="cellIs" dxfId="339" priority="12" operator="lessThanOrEqual">
      <formula>-0.00001</formula>
    </cfRule>
  </conditionalFormatting>
  <conditionalFormatting sqref="AW39 AY39 BA39 BC39 BE39 BG39">
    <cfRule type="cellIs" dxfId="338" priority="17" operator="greaterThanOrEqual">
      <formula>0.000001</formula>
    </cfRule>
    <cfRule type="cellIs" dxfId="337" priority="16" operator="lessThanOrEqual">
      <formula>-0.00001</formula>
    </cfRule>
  </conditionalFormatting>
  <conditionalFormatting sqref="AW40 AY40 BA40 BG40">
    <cfRule type="cellIs" dxfId="336" priority="19" operator="greaterThanOrEqual">
      <formula>0.0000001</formula>
    </cfRule>
  </conditionalFormatting>
  <conditionalFormatting sqref="AW43:AW51 AY43:AY51 BA43:BA51 BG43:BG51 BG56:BG76">
    <cfRule type="cellIs" dxfId="335" priority="23" operator="greaterThanOrEqual">
      <formula>0.000001</formula>
    </cfRule>
    <cfRule type="cellIs" dxfId="334" priority="22" operator="lessThanOrEqual">
      <formula>-0.0000001</formula>
    </cfRule>
  </conditionalFormatting>
  <conditionalFormatting sqref="AY33:AY34">
    <cfRule type="cellIs" dxfId="333" priority="33" operator="greaterThanOrEqual">
      <formula>0.0001</formula>
    </cfRule>
    <cfRule type="cellIs" dxfId="332" priority="32" operator="lessThanOrEqual">
      <formula>-0.0001</formula>
    </cfRule>
  </conditionalFormatting>
  <conditionalFormatting sqref="BD27:BD29 BD40">
    <cfRule type="cellIs" dxfId="331" priority="9" operator="greaterThanOrEqual">
      <formula>0.000001</formula>
    </cfRule>
  </conditionalFormatting>
  <conditionalFormatting sqref="BD27:BD29">
    <cfRule type="cellIs" dxfId="330" priority="8" operator="lessThanOrEqual">
      <formula>-0.000001</formula>
    </cfRule>
  </conditionalFormatting>
  <conditionalFormatting sqref="BD33:BD34">
    <cfRule type="cellIs" dxfId="329" priority="11" operator="greaterThanOrEqual">
      <formula>1</formula>
    </cfRule>
    <cfRule type="cellIs" dxfId="328" priority="10" operator="lessThanOrEqual">
      <formula>-1</formula>
    </cfRule>
  </conditionalFormatting>
  <conditionalFormatting sqref="BD39">
    <cfRule type="cellIs" dxfId="327" priority="4" operator="greaterThanOrEqual">
      <formula>0.00001</formula>
    </cfRule>
    <cfRule type="cellIs" dxfId="326" priority="3" operator="lessThanOrEqual">
      <formula>-0.00001</formula>
    </cfRule>
  </conditionalFormatting>
  <conditionalFormatting sqref="BE36">
    <cfRule type="cellIs" dxfId="325" priority="1" operator="lessThanOrEqual">
      <formula>-0.00001</formula>
    </cfRule>
    <cfRule type="cellIs" dxfId="324" priority="2" operator="greaterThanOrEqual">
      <formula>0.000001</formula>
    </cfRule>
  </conditionalFormatting>
  <conditionalFormatting sqref="BE40">
    <cfRule type="cellIs" dxfId="323" priority="5" operator="greaterThanOrEqual">
      <formula>0.0000001</formula>
    </cfRule>
  </conditionalFormatting>
  <conditionalFormatting sqref="BE43:BE51">
    <cfRule type="cellIs" dxfId="322" priority="7" operator="greaterThanOrEqual">
      <formula>0.000001</formula>
    </cfRule>
    <cfRule type="cellIs" dxfId="321" priority="6" operator="lessThanOrEqual">
      <formula>-0.0000001</formula>
    </cfRule>
  </conditionalFormatting>
  <conditionalFormatting sqref="BF33:BF34">
    <cfRule type="cellIs" dxfId="320" priority="36" operator="lessThanOrEqual">
      <formula>-1</formula>
    </cfRule>
    <cfRule type="cellIs" dxfId="319" priority="37" operator="greaterThanOrEqual">
      <formula>1</formula>
    </cfRule>
  </conditionalFormatting>
  <conditionalFormatting sqref="BF56:BF76">
    <cfRule type="cellIs" dxfId="318" priority="27" operator="greaterThanOrEqual">
      <formula>0.00001</formula>
    </cfRule>
    <cfRule type="cellIs" dxfId="317" priority="26" operator="lessThanOrEqual">
      <formula>-0.000001</formula>
    </cfRule>
  </conditionalFormatting>
  <conditionalFormatting sqref="BG33:BG34">
    <cfRule type="cellIs" dxfId="316" priority="34" operator="lessThanOrEqual">
      <formula>-0.0001</formula>
    </cfRule>
    <cfRule type="cellIs" dxfId="315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8BB4-00B8-4D98-BAD7-B7C7A8B32E66}">
  <sheetPr>
    <tabColor theme="4" tint="0.79998168889431442"/>
  </sheetPr>
  <dimension ref="A1:BI83"/>
  <sheetViews>
    <sheetView topLeftCell="M17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109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109</v>
      </c>
      <c r="Q17" s="20"/>
      <c r="R17" s="21"/>
      <c r="T17" s="18" t="s">
        <v>110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110</v>
      </c>
      <c r="AE17" s="20"/>
      <c r="AF17" s="21"/>
      <c r="AH17" s="18" t="s">
        <v>111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111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239669</v>
      </c>
      <c r="G27" s="24"/>
      <c r="H27" s="27">
        <v>1408747</v>
      </c>
      <c r="I27" s="24"/>
      <c r="J27" s="27">
        <v>157507</v>
      </c>
      <c r="K27" s="24"/>
      <c r="L27" s="27">
        <v>120389.19</v>
      </c>
      <c r="M27" s="24"/>
      <c r="N27" s="28">
        <v>0</v>
      </c>
      <c r="O27" s="16"/>
      <c r="P27" s="23">
        <v>1926312.19</v>
      </c>
      <c r="Q27" s="24"/>
      <c r="R27" s="21"/>
      <c r="T27" s="27">
        <v>147368.14354191572</v>
      </c>
      <c r="U27" s="24"/>
      <c r="V27" s="27">
        <v>3268577.2140771654</v>
      </c>
      <c r="W27" s="24"/>
      <c r="X27" s="27">
        <v>193562.59914979272</v>
      </c>
      <c r="Y27" s="24"/>
      <c r="Z27" s="27">
        <v>71931.387499999997</v>
      </c>
      <c r="AA27" s="24"/>
      <c r="AB27" s="28">
        <v>522750</v>
      </c>
      <c r="AC27" s="16"/>
      <c r="AD27" s="23">
        <v>4204189.3442688743</v>
      </c>
      <c r="AE27" s="24"/>
      <c r="AF27" s="21"/>
      <c r="AH27" s="27">
        <v>220259</v>
      </c>
      <c r="AI27" s="24"/>
      <c r="AJ27" s="27">
        <v>2705268</v>
      </c>
      <c r="AK27" s="24"/>
      <c r="AL27" s="27">
        <v>172090</v>
      </c>
      <c r="AM27" s="24"/>
      <c r="AN27" s="27">
        <v>96293.03</v>
      </c>
      <c r="AO27" s="24"/>
      <c r="AP27" s="28">
        <v>0</v>
      </c>
      <c r="AQ27" s="16"/>
      <c r="AR27" s="23">
        <v>3193910.03</v>
      </c>
      <c r="AS27" s="24"/>
      <c r="AT27" s="21"/>
      <c r="AV27" s="29">
        <f>AH27-T27</f>
        <v>72890.856458084279</v>
      </c>
      <c r="AW27" s="30"/>
      <c r="AX27" s="29">
        <f t="shared" ref="AX27:AX29" si="0">AJ27-V27</f>
        <v>-563309.21407716535</v>
      </c>
      <c r="AY27" s="30"/>
      <c r="AZ27" s="29">
        <f t="shared" ref="AZ27:AZ29" si="1">AL27-X27</f>
        <v>-21472.599149792717</v>
      </c>
      <c r="BA27" s="30"/>
      <c r="BB27" s="29">
        <f t="shared" ref="BB27:BB29" si="2">AN27-Z27</f>
        <v>24361.642500000002</v>
      </c>
      <c r="BC27" s="30"/>
      <c r="BD27" s="29">
        <f t="shared" ref="BD27:BD29" si="3">AP27-AB27</f>
        <v>-522750</v>
      </c>
      <c r="BE27" s="30"/>
      <c r="BF27" s="29">
        <f t="shared" ref="BF27:BF29" si="4">AR27-AD27</f>
        <v>-1010279.3142688745</v>
      </c>
      <c r="BG27" s="30"/>
    </row>
    <row r="28" spans="3:59">
      <c r="E28" s="26" t="s">
        <v>29</v>
      </c>
      <c r="F28" s="23">
        <v>151683.95000000001</v>
      </c>
      <c r="G28" s="31"/>
      <c r="H28" s="23">
        <v>542046.4</v>
      </c>
      <c r="I28" s="31"/>
      <c r="J28" s="23">
        <v>32931.58</v>
      </c>
      <c r="K28" s="31"/>
      <c r="L28" s="23">
        <v>0</v>
      </c>
      <c r="M28" s="31"/>
      <c r="N28" s="32">
        <v>0</v>
      </c>
      <c r="O28" s="32"/>
      <c r="P28" s="23">
        <v>726661.93</v>
      </c>
      <c r="Q28" s="31"/>
      <c r="R28" s="21"/>
      <c r="T28" s="23">
        <v>93578.771149116481</v>
      </c>
      <c r="U28" s="31"/>
      <c r="V28" s="23">
        <v>1635877.2474666992</v>
      </c>
      <c r="W28" s="31"/>
      <c r="X28" s="23">
        <v>91992.77846325899</v>
      </c>
      <c r="Y28" s="31"/>
      <c r="Z28" s="23">
        <v>0</v>
      </c>
      <c r="AA28" s="31"/>
      <c r="AB28" s="32">
        <v>0</v>
      </c>
      <c r="AC28" s="32"/>
      <c r="AD28" s="23">
        <v>1821448.7970790747</v>
      </c>
      <c r="AE28" s="31"/>
      <c r="AF28" s="21"/>
      <c r="AH28" s="23">
        <v>157627.1</v>
      </c>
      <c r="AI28" s="31"/>
      <c r="AJ28" s="23">
        <v>1319758.3699999999</v>
      </c>
      <c r="AK28" s="31"/>
      <c r="AL28" s="23">
        <v>85072.960000000006</v>
      </c>
      <c r="AM28" s="31"/>
      <c r="AN28" s="23">
        <v>0</v>
      </c>
      <c r="AO28" s="31"/>
      <c r="AP28" s="32">
        <v>0</v>
      </c>
      <c r="AQ28" s="32"/>
      <c r="AR28" s="23">
        <v>1562458.43</v>
      </c>
      <c r="AS28" s="31"/>
      <c r="AT28" s="21"/>
      <c r="AV28" s="29">
        <f t="shared" ref="AV28:AV29" si="5">AH28-T28</f>
        <v>64048.328850883525</v>
      </c>
      <c r="AW28" s="33"/>
      <c r="AX28" s="29">
        <f t="shared" si="0"/>
        <v>-316118.87746669934</v>
      </c>
      <c r="AY28" s="33"/>
      <c r="AZ28" s="29">
        <f t="shared" si="1"/>
        <v>-6919.8184632589837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-258990.36707907473</v>
      </c>
      <c r="BG28" s="33"/>
    </row>
    <row r="29" spans="3:59" ht="15">
      <c r="C29" s="16" t="s">
        <v>30</v>
      </c>
      <c r="E29" s="34" t="s">
        <v>31</v>
      </c>
      <c r="F29" s="35">
        <v>87985.05</v>
      </c>
      <c r="G29" s="36">
        <v>0.63288931818466299</v>
      </c>
      <c r="H29" s="35">
        <v>866700.6</v>
      </c>
      <c r="I29" s="36">
        <v>0.38477199951446217</v>
      </c>
      <c r="J29" s="35">
        <v>124575.42</v>
      </c>
      <c r="K29" s="36">
        <v>0.20908010437631341</v>
      </c>
      <c r="L29" s="35">
        <v>120389.19</v>
      </c>
      <c r="M29" s="36">
        <v>0</v>
      </c>
      <c r="N29" s="37">
        <v>0</v>
      </c>
      <c r="O29" s="36">
        <v>0</v>
      </c>
      <c r="P29" s="35">
        <v>1199650.26</v>
      </c>
      <c r="Q29" s="36">
        <v>0.37722957564837922</v>
      </c>
      <c r="R29" s="21"/>
      <c r="T29" s="35">
        <v>53789.372392799232</v>
      </c>
      <c r="U29" s="36">
        <v>0.63500000000000001</v>
      </c>
      <c r="V29" s="35">
        <v>1632699.9666104661</v>
      </c>
      <c r="W29" s="36">
        <v>0.50048603423571403</v>
      </c>
      <c r="X29" s="35">
        <v>101569.82068653373</v>
      </c>
      <c r="Y29" s="36">
        <v>0.47526112413931954</v>
      </c>
      <c r="Z29" s="35">
        <v>71931.387499999997</v>
      </c>
      <c r="AA29" s="36">
        <v>0</v>
      </c>
      <c r="AB29" s="37">
        <v>522750</v>
      </c>
      <c r="AC29" s="36">
        <v>0</v>
      </c>
      <c r="AD29" s="35">
        <v>2382740.5471897991</v>
      </c>
      <c r="AE29" s="36">
        <v>0.43324613806037615</v>
      </c>
      <c r="AF29" s="21"/>
      <c r="AH29" s="35">
        <v>62631.9</v>
      </c>
      <c r="AI29" s="36">
        <v>0.71564430965363501</v>
      </c>
      <c r="AJ29" s="35">
        <v>1385509.6300000001</v>
      </c>
      <c r="AK29" s="36">
        <v>0.48784755151800108</v>
      </c>
      <c r="AL29" s="35">
        <v>87017.04</v>
      </c>
      <c r="AM29" s="36">
        <v>0.49435156023011217</v>
      </c>
      <c r="AN29" s="35">
        <v>96293.03</v>
      </c>
      <c r="AO29" s="36">
        <v>0</v>
      </c>
      <c r="AP29" s="37">
        <v>0</v>
      </c>
      <c r="AQ29" s="36">
        <v>0</v>
      </c>
      <c r="AR29" s="35">
        <v>1631451.6</v>
      </c>
      <c r="AS29" s="36">
        <v>0.4891992621345066</v>
      </c>
      <c r="AT29" s="21"/>
      <c r="AV29" s="38">
        <f t="shared" si="5"/>
        <v>8842.5276072007691</v>
      </c>
      <c r="AW29" s="39">
        <f>(AI29-U29)*100</f>
        <v>8.0644309653635009</v>
      </c>
      <c r="AX29" s="38">
        <f t="shared" si="0"/>
        <v>-247190.33661046601</v>
      </c>
      <c r="AY29" s="39">
        <f>(AK29-W29)*100</f>
        <v>-1.2638482717712951</v>
      </c>
      <c r="AZ29" s="38">
        <f t="shared" si="1"/>
        <v>-14552.780686533733</v>
      </c>
      <c r="BA29" s="39">
        <f>(AM29-Y29)*100</f>
        <v>1.909043609079264</v>
      </c>
      <c r="BB29" s="38">
        <f t="shared" si="2"/>
        <v>24361.642500000002</v>
      </c>
      <c r="BC29" s="39">
        <f>(AO29-AA29)*100</f>
        <v>0</v>
      </c>
      <c r="BD29" s="38">
        <f t="shared" si="3"/>
        <v>-522750</v>
      </c>
      <c r="BE29" s="39">
        <f>(AQ29-AC29)*100</f>
        <v>0</v>
      </c>
      <c r="BF29" s="38">
        <f t="shared" si="4"/>
        <v>-751288.94718979904</v>
      </c>
      <c r="BG29" s="39">
        <f>(AS29-AE29)*100</f>
        <v>5.5953124074130445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8842.5276072007691</v>
      </c>
      <c r="AI33" s="51">
        <v>0.16439172300854943</v>
      </c>
      <c r="AJ33" s="41">
        <v>-247190.33661046601</v>
      </c>
      <c r="AK33" s="51">
        <v>-0.15139973152791841</v>
      </c>
      <c r="AL33" s="41">
        <v>-14552.780686533733</v>
      </c>
      <c r="AM33" s="51">
        <v>-0.14327858992137776</v>
      </c>
      <c r="AN33" s="41">
        <v>24361.642500000002</v>
      </c>
      <c r="AO33" s="51">
        <v>0.33867889035228194</v>
      </c>
      <c r="AP33" s="41">
        <v>-522750</v>
      </c>
      <c r="AQ33" s="51">
        <v>-1</v>
      </c>
      <c r="AR33" s="41">
        <v>-751288.94718979904</v>
      </c>
      <c r="AS33" s="51">
        <v>-0.31530455469684615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-34195.677607200771</v>
      </c>
      <c r="U34" s="51">
        <v>-0.38865327242754044</v>
      </c>
      <c r="V34" s="41">
        <v>765999.36661046615</v>
      </c>
      <c r="W34" s="51">
        <v>0.88381081841926279</v>
      </c>
      <c r="X34" s="41">
        <v>-23005.599313466271</v>
      </c>
      <c r="Y34" s="51">
        <v>-0.18467205901024675</v>
      </c>
      <c r="Z34" s="41">
        <v>-48457.802500000005</v>
      </c>
      <c r="AA34" s="51">
        <v>-0.40250958163270312</v>
      </c>
      <c r="AB34" s="41">
        <v>522750</v>
      </c>
      <c r="AC34" s="51">
        <v>0</v>
      </c>
      <c r="AD34" s="41">
        <v>1183090.2871897991</v>
      </c>
      <c r="AE34" s="51">
        <v>0.98619599948221492</v>
      </c>
      <c r="AF34" s="49"/>
      <c r="AH34" s="41">
        <v>-25353.15</v>
      </c>
      <c r="AI34" s="51">
        <v>-0.28815293052626556</v>
      </c>
      <c r="AJ34" s="41">
        <v>518809.03000000014</v>
      </c>
      <c r="AK34" s="51">
        <v>0.59860236626119812</v>
      </c>
      <c r="AL34" s="41">
        <v>-37558.380000000005</v>
      </c>
      <c r="AM34" s="51">
        <v>-0.30149109671875884</v>
      </c>
      <c r="AN34" s="41">
        <v>-24096.160000000003</v>
      </c>
      <c r="AO34" s="51">
        <v>-0.20015218974394633</v>
      </c>
      <c r="AP34" s="41">
        <v>0</v>
      </c>
      <c r="AQ34" s="51">
        <v>0</v>
      </c>
      <c r="AR34" s="41">
        <v>431801.34000000008</v>
      </c>
      <c r="AS34" s="51">
        <v>0.35993935432481794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45238.54</v>
      </c>
      <c r="G36" s="53">
        <v>0.51416166723778645</v>
      </c>
      <c r="H36" s="23">
        <v>272763.34999999998</v>
      </c>
      <c r="I36" s="53">
        <v>0.31471462001987766</v>
      </c>
      <c r="J36" s="23">
        <v>28965.89</v>
      </c>
      <c r="K36" s="53">
        <v>0.23251689619027574</v>
      </c>
      <c r="L36" s="23">
        <v>0</v>
      </c>
      <c r="M36" s="53">
        <v>0</v>
      </c>
      <c r="N36" s="32">
        <v>0</v>
      </c>
      <c r="O36" s="54">
        <v>0</v>
      </c>
      <c r="P36" s="23">
        <v>346967.77999999997</v>
      </c>
      <c r="Q36" s="54">
        <v>0.28922411103382745</v>
      </c>
      <c r="R36" s="21"/>
      <c r="T36" s="23">
        <v>25865.477779147655</v>
      </c>
      <c r="U36" s="53">
        <v>0.4808659522974888</v>
      </c>
      <c r="V36" s="23">
        <v>651707.65572887775</v>
      </c>
      <c r="W36" s="53">
        <v>0.39915947146237918</v>
      </c>
      <c r="X36" s="23">
        <v>40542.555941765422</v>
      </c>
      <c r="Y36" s="53">
        <v>0.39915947146237912</v>
      </c>
      <c r="Z36" s="23">
        <v>0</v>
      </c>
      <c r="AA36" s="53">
        <v>0</v>
      </c>
      <c r="AB36" s="32">
        <v>406200</v>
      </c>
      <c r="AC36" s="54">
        <v>0.77704447632711626</v>
      </c>
      <c r="AD36" s="23">
        <v>1124315.6894497909</v>
      </c>
      <c r="AE36" s="54">
        <v>0.47185820998253764</v>
      </c>
      <c r="AF36" s="21"/>
      <c r="AH36" s="23">
        <v>40996.020000000004</v>
      </c>
      <c r="AI36" s="53">
        <v>0.65455494723934615</v>
      </c>
      <c r="AJ36" s="23">
        <v>575881.57000000007</v>
      </c>
      <c r="AK36" s="53">
        <v>0.41564602477717894</v>
      </c>
      <c r="AL36" s="23">
        <v>34322.46</v>
      </c>
      <c r="AM36" s="53">
        <v>0.39443377986656408</v>
      </c>
      <c r="AN36" s="23">
        <v>0</v>
      </c>
      <c r="AO36" s="53">
        <v>0</v>
      </c>
      <c r="AP36" s="32">
        <v>0</v>
      </c>
      <c r="AQ36" s="54">
        <v>0</v>
      </c>
      <c r="AR36" s="23">
        <v>651200.05000000005</v>
      </c>
      <c r="AS36" s="53">
        <v>0.39915376588554635</v>
      </c>
      <c r="AT36" s="21"/>
      <c r="AV36" s="29">
        <f t="shared" ref="AV36:AV38" si="6">AH36-T36</f>
        <v>15130.542220852349</v>
      </c>
      <c r="AW36" s="55">
        <f t="shared" ref="AW36:AW38" si="7">(AI36-U36)*100</f>
        <v>17.368899494185737</v>
      </c>
      <c r="AX36" s="29">
        <f t="shared" ref="AX36:AX38" si="8">AJ36-V36</f>
        <v>-75826.08572887769</v>
      </c>
      <c r="AY36" s="55">
        <f t="shared" ref="AY36:AY38" si="9">(AK36-W36)*100</f>
        <v>1.6486553314799757</v>
      </c>
      <c r="AZ36" s="29">
        <f t="shared" ref="AZ36:AZ38" si="10">AL36-X36</f>
        <v>-6220.095941765423</v>
      </c>
      <c r="BA36" s="55">
        <f t="shared" ref="BA36:BA38" si="11">(AM36-Y36)*100</f>
        <v>-0.47256915958150403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-406200</v>
      </c>
      <c r="BE36" s="55">
        <f t="shared" ref="BE36:BE38" si="15">(AQ36-AC36)*100</f>
        <v>-77.70444763271162</v>
      </c>
      <c r="BF36" s="29">
        <f t="shared" ref="BF36:BF38" si="16">AR36-AD36</f>
        <v>-473115.63944979082</v>
      </c>
      <c r="BG36" s="55">
        <f t="shared" ref="BG36:BG38" si="17">(AS36-AE36)*100</f>
        <v>-7.2704444096991283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0.18875424022297418</v>
      </c>
      <c r="G39" s="59">
        <v>5.2978942291241049</v>
      </c>
      <c r="H39" s="58">
        <v>0.19362124639839515</v>
      </c>
      <c r="I39" s="59">
        <v>5.1647224599639214</v>
      </c>
      <c r="J39" s="58">
        <v>0.18390223926555646</v>
      </c>
      <c r="K39" s="59">
        <v>5.4376716890107639</v>
      </c>
      <c r="L39" s="58">
        <v>0</v>
      </c>
      <c r="M39" s="59">
        <v>0</v>
      </c>
      <c r="N39" s="60">
        <v>0</v>
      </c>
      <c r="O39" s="61">
        <v>0</v>
      </c>
      <c r="P39" s="62">
        <v>0.18012022236125702</v>
      </c>
      <c r="Q39" s="61">
        <v>5.551847465490888</v>
      </c>
      <c r="R39" s="49"/>
      <c r="T39" s="58">
        <v>0.17551607258858337</v>
      </c>
      <c r="U39" s="59">
        <v>5.6974839127356711</v>
      </c>
      <c r="V39" s="58">
        <v>0.19938573056254932</v>
      </c>
      <c r="W39" s="59">
        <v>5.0154040471130399</v>
      </c>
      <c r="X39" s="58">
        <v>0.20945449234431215</v>
      </c>
      <c r="Y39" s="59">
        <v>4.7743067661501772</v>
      </c>
      <c r="Z39" s="58">
        <v>0</v>
      </c>
      <c r="AA39" s="63">
        <v>0</v>
      </c>
      <c r="AB39" s="60">
        <v>0.77704447632711626</v>
      </c>
      <c r="AC39" s="61">
        <v>1.2869276218611521</v>
      </c>
      <c r="AD39" s="62">
        <v>0.26742746279552115</v>
      </c>
      <c r="AE39" s="61">
        <v>3.7393317408265365</v>
      </c>
      <c r="AF39" s="49"/>
      <c r="AH39" s="58">
        <v>0.18612642389187276</v>
      </c>
      <c r="AI39" s="59">
        <v>5.3726922759819118</v>
      </c>
      <c r="AJ39" s="58">
        <v>0.21287412929144175</v>
      </c>
      <c r="AK39" s="59">
        <v>4.6976116981830129</v>
      </c>
      <c r="AL39" s="58">
        <v>0.19944482538206751</v>
      </c>
      <c r="AM39" s="59">
        <v>5.0139180000501131</v>
      </c>
      <c r="AN39" s="58">
        <v>0</v>
      </c>
      <c r="AO39" s="59">
        <v>0</v>
      </c>
      <c r="AP39" s="60">
        <v>0</v>
      </c>
      <c r="AQ39" s="61">
        <v>0</v>
      </c>
      <c r="AR39" s="62">
        <v>0.20388803813612749</v>
      </c>
      <c r="AS39" s="59">
        <v>4.9046526178860086</v>
      </c>
      <c r="AT39" s="49"/>
      <c r="AV39" s="64">
        <f>(AH39-T39)*100</f>
        <v>1.0610351303289383</v>
      </c>
      <c r="AW39" s="65">
        <f>(AI39-U39)</f>
        <v>-0.32479163675375933</v>
      </c>
      <c r="AX39" s="64">
        <f>(AJ39-V39)*100</f>
        <v>1.348839872889243</v>
      </c>
      <c r="AY39" s="65">
        <f>(AK39-W39)</f>
        <v>-0.31779234893002695</v>
      </c>
      <c r="AZ39" s="64">
        <f>(AL39-X39)*100</f>
        <v>-1.0009666962244645</v>
      </c>
      <c r="BA39" s="65">
        <f>(AM39-Y39)</f>
        <v>0.23961123389993588</v>
      </c>
      <c r="BB39" s="66">
        <f t="shared" si="12"/>
        <v>0</v>
      </c>
      <c r="BC39" s="65">
        <f>(AO39-AA39)</f>
        <v>0</v>
      </c>
      <c r="BD39" s="64">
        <f t="shared" si="14"/>
        <v>-0.77704447632711626</v>
      </c>
      <c r="BE39" s="65">
        <f>(AQ39-AC39)</f>
        <v>-1.2869276218611521</v>
      </c>
      <c r="BF39" s="64">
        <f>(AR39-AD39)*100</f>
        <v>-6.3539424659393662</v>
      </c>
      <c r="BG39" s="65">
        <f>(AS39-AE39)</f>
        <v>1.1653208770594721</v>
      </c>
    </row>
    <row r="40" spans="1:61" ht="15">
      <c r="E40" s="34" t="s">
        <v>42</v>
      </c>
      <c r="F40" s="35">
        <v>42746.51</v>
      </c>
      <c r="G40" s="36">
        <v>0.48583833276221361</v>
      </c>
      <c r="H40" s="35">
        <v>593937.25</v>
      </c>
      <c r="I40" s="36">
        <v>0.68528537998012229</v>
      </c>
      <c r="J40" s="35">
        <v>95609.53</v>
      </c>
      <c r="K40" s="36">
        <v>0.76748310380972429</v>
      </c>
      <c r="L40" s="35">
        <v>120389.19</v>
      </c>
      <c r="M40" s="36">
        <v>1</v>
      </c>
      <c r="N40" s="37">
        <v>0</v>
      </c>
      <c r="O40" s="36">
        <v>0</v>
      </c>
      <c r="P40" s="35">
        <v>852682.48</v>
      </c>
      <c r="Q40" s="36">
        <v>0.7107758889661725</v>
      </c>
      <c r="R40" s="21"/>
      <c r="T40" s="35">
        <v>27923.894613651577</v>
      </c>
      <c r="U40" s="36">
        <v>0.51913404770251126</v>
      </c>
      <c r="V40" s="35">
        <v>980992.31088158838</v>
      </c>
      <c r="W40" s="36">
        <v>0.60084052853762082</v>
      </c>
      <c r="X40" s="35">
        <v>61027.264744768305</v>
      </c>
      <c r="Y40" s="36">
        <v>0.60084052853762093</v>
      </c>
      <c r="Z40" s="35">
        <v>71931.387499999997</v>
      </c>
      <c r="AA40" s="36">
        <v>1</v>
      </c>
      <c r="AB40" s="37">
        <v>116550</v>
      </c>
      <c r="AC40" s="36">
        <v>0.22295552367288379</v>
      </c>
      <c r="AD40" s="35">
        <v>1258424.8577400083</v>
      </c>
      <c r="AE40" s="36">
        <v>0.52814179001746242</v>
      </c>
      <c r="AF40" s="21"/>
      <c r="AH40" s="35">
        <v>21635.879999999997</v>
      </c>
      <c r="AI40" s="36">
        <v>0.34544505276065385</v>
      </c>
      <c r="AJ40" s="35">
        <v>809628.06</v>
      </c>
      <c r="AK40" s="36">
        <v>0.58435397522282106</v>
      </c>
      <c r="AL40" s="35">
        <v>52694.579999999994</v>
      </c>
      <c r="AM40" s="36">
        <v>0.60556622013343586</v>
      </c>
      <c r="AN40" s="35">
        <v>96293.03</v>
      </c>
      <c r="AO40" s="36">
        <v>1</v>
      </c>
      <c r="AP40" s="37">
        <v>0</v>
      </c>
      <c r="AQ40" s="36">
        <v>0</v>
      </c>
      <c r="AR40" s="35">
        <v>980251.55</v>
      </c>
      <c r="AS40" s="36">
        <v>0.6008462341144537</v>
      </c>
      <c r="AT40" s="21"/>
      <c r="AV40" s="38">
        <f t="shared" ref="AV40" si="18">AH40-T40</f>
        <v>-6288.0146136515796</v>
      </c>
      <c r="AW40" s="39">
        <f>(AI40-U40)*100</f>
        <v>-17.36889949418574</v>
      </c>
      <c r="AX40" s="38">
        <f t="shared" ref="AX40" si="19">AJ40-V40</f>
        <v>-171364.25088158832</v>
      </c>
      <c r="AY40" s="39">
        <f>(AK40-W40)*100</f>
        <v>-1.6486553314799757</v>
      </c>
      <c r="AZ40" s="38">
        <f t="shared" ref="AZ40" si="20">AL40-X40</f>
        <v>-8332.6847447683103</v>
      </c>
      <c r="BA40" s="39">
        <f>(AM40-Y40)*100</f>
        <v>0.47256915958149293</v>
      </c>
      <c r="BB40" s="38">
        <f t="shared" si="12"/>
        <v>24361.642500000002</v>
      </c>
      <c r="BC40" s="39">
        <f>(AO40-AA40)*100</f>
        <v>0</v>
      </c>
      <c r="BD40" s="38">
        <f t="shared" si="14"/>
        <v>-116550</v>
      </c>
      <c r="BE40" s="39">
        <f>(AQ40-AC40)*100</f>
        <v>-22.29555236728838</v>
      </c>
      <c r="BF40" s="38">
        <f t="shared" ref="BF40" si="21">AR40-AD40</f>
        <v>-278173.30774000823</v>
      </c>
      <c r="BG40" s="39">
        <f>(AS40-AE40)*100</f>
        <v>7.2704444096991283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8028.1629999999932</v>
      </c>
      <c r="G43" s="53">
        <v>9.1244626217749411E-2</v>
      </c>
      <c r="H43" s="23">
        <v>110179.37399999998</v>
      </c>
      <c r="I43" s="53">
        <v>0.12712506948766389</v>
      </c>
      <c r="J43" s="23">
        <v>32756.102999999992</v>
      </c>
      <c r="K43" s="53">
        <v>0.26294194312168478</v>
      </c>
      <c r="L43" s="23">
        <v>0</v>
      </c>
      <c r="M43" s="53">
        <v>0</v>
      </c>
      <c r="N43" s="32">
        <v>0</v>
      </c>
      <c r="O43" s="54">
        <v>0</v>
      </c>
      <c r="P43" s="23">
        <v>150963.63999999998</v>
      </c>
      <c r="Q43" s="54">
        <v>0.12583970931661365</v>
      </c>
      <c r="R43" s="21"/>
      <c r="T43" s="23">
        <v>17732.260691017411</v>
      </c>
      <c r="U43" s="53">
        <v>0.32966104459309925</v>
      </c>
      <c r="V43" s="23">
        <v>196558.19318859329</v>
      </c>
      <c r="W43" s="53">
        <v>0.12038843462259263</v>
      </c>
      <c r="X43" s="23">
        <v>23139.20980807599</v>
      </c>
      <c r="Y43" s="53">
        <v>0.227815798547962</v>
      </c>
      <c r="Z43" s="23">
        <v>0</v>
      </c>
      <c r="AA43" s="53">
        <v>0</v>
      </c>
      <c r="AB43" s="32">
        <v>0</v>
      </c>
      <c r="AC43" s="54">
        <v>0</v>
      </c>
      <c r="AD43" s="23">
        <v>237429.66368768667</v>
      </c>
      <c r="AE43" s="54">
        <v>9.9645621915365856E-2</v>
      </c>
      <c r="AF43" s="21"/>
      <c r="AH43" s="23">
        <v>8790.2000000000007</v>
      </c>
      <c r="AI43" s="53">
        <v>0.14034701166657887</v>
      </c>
      <c r="AJ43" s="23">
        <v>179366.34000000003</v>
      </c>
      <c r="AK43" s="53">
        <v>0.12945874652635941</v>
      </c>
      <c r="AL43" s="23">
        <v>14157.45</v>
      </c>
      <c r="AM43" s="53">
        <v>0.16269744408681336</v>
      </c>
      <c r="AN43" s="23">
        <v>0</v>
      </c>
      <c r="AO43" s="53">
        <v>0</v>
      </c>
      <c r="AP43" s="32">
        <v>0</v>
      </c>
      <c r="AQ43" s="54">
        <v>0</v>
      </c>
      <c r="AR43" s="23">
        <v>202313.99000000005</v>
      </c>
      <c r="AS43" s="53">
        <v>0.12400857616615782</v>
      </c>
      <c r="AT43" s="21"/>
      <c r="AV43" s="29">
        <f t="shared" ref="AV43:AV51" si="22">AH43-T43</f>
        <v>-8942.0606910174101</v>
      </c>
      <c r="AW43" s="55">
        <f t="shared" ref="AW43:AW50" si="23">(AI43-U43)*100</f>
        <v>-18.931403292652039</v>
      </c>
      <c r="AX43" s="29">
        <f t="shared" ref="AX43:AX51" si="24">AJ43-V43</f>
        <v>-17191.853188593261</v>
      </c>
      <c r="AY43" s="55">
        <f t="shared" ref="AY43:AY50" si="25">(AK43-W43)*100</f>
        <v>0.90703119037667812</v>
      </c>
      <c r="AZ43" s="29">
        <f t="shared" ref="AZ43:AZ51" si="26">AL43-X43</f>
        <v>-8981.759808075989</v>
      </c>
      <c r="BA43" s="55">
        <f t="shared" ref="BA43:BA50" si="27">(AM43-Y43)*100</f>
        <v>-6.5118354461148638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-35115.67368768662</v>
      </c>
      <c r="BG43" s="55">
        <f t="shared" ref="BG43:BG50" si="33">(AS43-AE43)*100</f>
        <v>2.4362954250791962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2326.802999999994</v>
      </c>
      <c r="G44" s="53">
        <v>2.6445435900758072E-2</v>
      </c>
      <c r="H44" s="27">
        <v>66424.063999999969</v>
      </c>
      <c r="I44" s="53">
        <v>7.6640150012587935E-2</v>
      </c>
      <c r="J44" s="27">
        <v>27299.942999999992</v>
      </c>
      <c r="K44" s="53">
        <v>0.21914389692605485</v>
      </c>
      <c r="L44" s="27">
        <v>0</v>
      </c>
      <c r="M44" s="53">
        <v>0</v>
      </c>
      <c r="N44" s="27">
        <v>0</v>
      </c>
      <c r="O44" s="54">
        <v>0</v>
      </c>
      <c r="P44" s="23">
        <v>96050.809999999969</v>
      </c>
      <c r="Q44" s="54">
        <v>8.0065676808172379E-2</v>
      </c>
      <c r="R44" s="21"/>
      <c r="T44" s="27">
        <v>1061.5717461444758</v>
      </c>
      <c r="U44" s="53">
        <v>1.9735715419624194E-2</v>
      </c>
      <c r="V44" s="27">
        <v>95541.457153002819</v>
      </c>
      <c r="W44" s="53">
        <v>5.8517461325946943E-2</v>
      </c>
      <c r="X44" s="27">
        <v>9554.1457153002812</v>
      </c>
      <c r="Y44" s="53">
        <v>9.4064808333042413E-2</v>
      </c>
      <c r="Z44" s="27">
        <v>0</v>
      </c>
      <c r="AA44" s="53">
        <v>0</v>
      </c>
      <c r="AB44" s="27">
        <v>0</v>
      </c>
      <c r="AC44" s="54">
        <v>0</v>
      </c>
      <c r="AD44" s="23">
        <v>106157.17461444758</v>
      </c>
      <c r="AE44" s="54">
        <v>4.4552553042188837E-2</v>
      </c>
      <c r="AF44" s="21"/>
      <c r="AH44" s="23">
        <v>-302.74</v>
      </c>
      <c r="AI44" s="53">
        <v>-4.8336390880685401E-3</v>
      </c>
      <c r="AJ44" s="23">
        <v>87417.380000000034</v>
      </c>
      <c r="AK44" s="53">
        <v>6.3094025553615263E-2</v>
      </c>
      <c r="AL44" s="23">
        <v>4051.98</v>
      </c>
      <c r="AM44" s="53">
        <v>4.6565362370404699E-2</v>
      </c>
      <c r="AN44" s="23">
        <v>0</v>
      </c>
      <c r="AO44" s="53">
        <v>0</v>
      </c>
      <c r="AP44" s="32">
        <v>0</v>
      </c>
      <c r="AQ44" s="54">
        <v>0</v>
      </c>
      <c r="AR44" s="23">
        <v>91166.620000000024</v>
      </c>
      <c r="AS44" s="53">
        <v>5.58806770608457E-2</v>
      </c>
      <c r="AT44" s="21"/>
      <c r="AV44" s="29">
        <f t="shared" si="22"/>
        <v>-1364.3117461444758</v>
      </c>
      <c r="AW44" s="55">
        <f t="shared" si="23"/>
        <v>-2.4569354507692731</v>
      </c>
      <c r="AX44" s="29">
        <f t="shared" si="24"/>
        <v>-8124.0771530027851</v>
      </c>
      <c r="AY44" s="55">
        <f t="shared" si="25"/>
        <v>0.45765642276683199</v>
      </c>
      <c r="AZ44" s="29">
        <f t="shared" si="26"/>
        <v>-5502.1657153002816</v>
      </c>
      <c r="BA44" s="55">
        <f t="shared" si="27"/>
        <v>-4.749944596263771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-14990.554614447552</v>
      </c>
      <c r="BG44" s="55">
        <f t="shared" si="33"/>
        <v>1.1328124018656862</v>
      </c>
      <c r="BH44" s="57"/>
    </row>
    <row r="45" spans="1:61" outlineLevel="1">
      <c r="B45" s="26" t="s">
        <v>47</v>
      </c>
      <c r="E45" s="69" t="s">
        <v>47</v>
      </c>
      <c r="F45" s="27">
        <v>1981.04</v>
      </c>
      <c r="G45" s="53">
        <v>2.2515643282580391E-2</v>
      </c>
      <c r="H45" s="27">
        <v>8357.69</v>
      </c>
      <c r="I45" s="53">
        <v>9.64311089665797E-3</v>
      </c>
      <c r="J45" s="27">
        <v>1407.73</v>
      </c>
      <c r="K45" s="53">
        <v>1.1300222788733123E-2</v>
      </c>
      <c r="L45" s="27">
        <v>0</v>
      </c>
      <c r="M45" s="53">
        <v>0</v>
      </c>
      <c r="N45" s="27">
        <v>0</v>
      </c>
      <c r="O45" s="54">
        <v>0</v>
      </c>
      <c r="P45" s="23">
        <v>11746.46</v>
      </c>
      <c r="Q45" s="54">
        <v>9.7915704198655359E-3</v>
      </c>
      <c r="R45" s="21"/>
      <c r="T45" s="27">
        <v>9298.5565630799592</v>
      </c>
      <c r="U45" s="53">
        <v>0.17286977239996118</v>
      </c>
      <c r="V45" s="27">
        <v>35966.08398922842</v>
      </c>
      <c r="W45" s="53">
        <v>2.2028593571845955E-2</v>
      </c>
      <c r="X45" s="27">
        <v>2291.7282450028783</v>
      </c>
      <c r="Y45" s="53">
        <v>2.2563082513216634E-2</v>
      </c>
      <c r="Z45" s="27">
        <v>0</v>
      </c>
      <c r="AA45" s="53">
        <v>0</v>
      </c>
      <c r="AB45" s="27">
        <v>0</v>
      </c>
      <c r="AC45" s="54">
        <v>0</v>
      </c>
      <c r="AD45" s="23">
        <v>47556.368797311261</v>
      </c>
      <c r="AE45" s="54">
        <v>1.9958685327027811E-2</v>
      </c>
      <c r="AF45" s="21"/>
      <c r="AH45" s="23">
        <v>3696.1</v>
      </c>
      <c r="AI45" s="53">
        <v>5.9013058840622745E-2</v>
      </c>
      <c r="AJ45" s="23">
        <v>34907.86</v>
      </c>
      <c r="AK45" s="53">
        <v>2.5194960211139057E-2</v>
      </c>
      <c r="AL45" s="23">
        <v>2463.77</v>
      </c>
      <c r="AM45" s="53">
        <v>2.8313649832262741E-2</v>
      </c>
      <c r="AN45" s="23">
        <v>0</v>
      </c>
      <c r="AO45" s="53">
        <v>0</v>
      </c>
      <c r="AP45" s="32">
        <v>0</v>
      </c>
      <c r="AQ45" s="54">
        <v>0</v>
      </c>
      <c r="AR45" s="23">
        <v>41067.729999999996</v>
      </c>
      <c r="AS45" s="53">
        <v>2.5172508948472633E-2</v>
      </c>
      <c r="AT45" s="21"/>
      <c r="AV45" s="29">
        <f t="shared" si="22"/>
        <v>-5602.4565630799589</v>
      </c>
      <c r="AW45" s="55">
        <f t="shared" si="23"/>
        <v>-11.385671355933843</v>
      </c>
      <c r="AX45" s="29">
        <f t="shared" si="24"/>
        <v>-1058.2239892284197</v>
      </c>
      <c r="AY45" s="55">
        <f t="shared" si="25"/>
        <v>0.31663666392931011</v>
      </c>
      <c r="AZ45" s="29">
        <f t="shared" si="26"/>
        <v>172.04175499712164</v>
      </c>
      <c r="BA45" s="55">
        <f t="shared" si="27"/>
        <v>0.57505673190461071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-6488.6387973112651</v>
      </c>
      <c r="BG45" s="55">
        <f t="shared" si="33"/>
        <v>0.52138236214448219</v>
      </c>
      <c r="BH45" s="57"/>
    </row>
    <row r="46" spans="1:61" outlineLevel="1">
      <c r="B46" s="26" t="s">
        <v>48</v>
      </c>
      <c r="E46" s="69" t="s">
        <v>48</v>
      </c>
      <c r="F46" s="27">
        <v>3720.32</v>
      </c>
      <c r="G46" s="53">
        <v>4.2283547034410958E-2</v>
      </c>
      <c r="H46" s="27">
        <v>35397.620000000003</v>
      </c>
      <c r="I46" s="53">
        <v>4.0841808578417974E-2</v>
      </c>
      <c r="J46" s="27">
        <v>4048.4300000000003</v>
      </c>
      <c r="K46" s="53">
        <v>3.2497823406896803E-2</v>
      </c>
      <c r="L46" s="27">
        <v>0</v>
      </c>
      <c r="M46" s="53">
        <v>0</v>
      </c>
      <c r="N46" s="27">
        <v>0</v>
      </c>
      <c r="O46" s="54">
        <v>0</v>
      </c>
      <c r="P46" s="23">
        <v>43166.37</v>
      </c>
      <c r="Q46" s="54">
        <v>3.5982462088575716E-2</v>
      </c>
      <c r="R46" s="21"/>
      <c r="T46" s="27">
        <v>7372.1323817929742</v>
      </c>
      <c r="U46" s="53">
        <v>0.13705555677351386</v>
      </c>
      <c r="V46" s="27">
        <v>65050.652046362047</v>
      </c>
      <c r="W46" s="53">
        <v>3.9842379724799738E-2</v>
      </c>
      <c r="X46" s="27">
        <v>11293.335847772832</v>
      </c>
      <c r="Y46" s="53">
        <v>0.11118790770170296</v>
      </c>
      <c r="Z46" s="27">
        <v>0</v>
      </c>
      <c r="AA46" s="53">
        <v>0</v>
      </c>
      <c r="AB46" s="27">
        <v>0</v>
      </c>
      <c r="AC46" s="54">
        <v>0</v>
      </c>
      <c r="AD46" s="23">
        <v>83716.120275927853</v>
      </c>
      <c r="AE46" s="54">
        <v>3.5134383546149214E-2</v>
      </c>
      <c r="AF46" s="21"/>
      <c r="AH46" s="23">
        <v>5396.84</v>
      </c>
      <c r="AI46" s="53">
        <v>8.6167591914024649E-2</v>
      </c>
      <c r="AJ46" s="23">
        <v>57041.100000000006</v>
      </c>
      <c r="AK46" s="53">
        <v>4.1169760761605098E-2</v>
      </c>
      <c r="AL46" s="23">
        <v>7641.7</v>
      </c>
      <c r="AM46" s="53">
        <v>8.7818431884145912E-2</v>
      </c>
      <c r="AN46" s="23">
        <v>0</v>
      </c>
      <c r="AO46" s="53">
        <v>0</v>
      </c>
      <c r="AP46" s="32">
        <v>0</v>
      </c>
      <c r="AQ46" s="54">
        <v>0</v>
      </c>
      <c r="AR46" s="23">
        <v>70079.64</v>
      </c>
      <c r="AS46" s="53">
        <v>4.2955390156839468E-2</v>
      </c>
      <c r="AT46" s="21"/>
      <c r="AV46" s="29">
        <f t="shared" si="22"/>
        <v>-1975.2923817929741</v>
      </c>
      <c r="AW46" s="55">
        <f t="shared" si="23"/>
        <v>-5.0887964859489205</v>
      </c>
      <c r="AX46" s="29">
        <f t="shared" si="24"/>
        <v>-8009.5520463620414</v>
      </c>
      <c r="AY46" s="55">
        <f t="shared" si="25"/>
        <v>0.13273810368053598</v>
      </c>
      <c r="AZ46" s="29">
        <f t="shared" si="26"/>
        <v>-3651.6358477728327</v>
      </c>
      <c r="BA46" s="55">
        <f t="shared" si="27"/>
        <v>-2.3369475817557053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-13636.480275927854</v>
      </c>
      <c r="BG46" s="55">
        <f t="shared" si="33"/>
        <v>0.78210066106902532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2123.2399999999993</v>
      </c>
      <c r="G47" s="53">
        <v>2.4131826941054181E-2</v>
      </c>
      <c r="H47" s="23">
        <v>63607.12000000001</v>
      </c>
      <c r="I47" s="53">
        <v>7.3389957270134587E-2</v>
      </c>
      <c r="J47" s="23">
        <v>4411.9699999999993</v>
      </c>
      <c r="K47" s="53">
        <v>3.5416055591062826E-2</v>
      </c>
      <c r="L47" s="23">
        <v>0</v>
      </c>
      <c r="M47" s="53">
        <v>0</v>
      </c>
      <c r="N47" s="32">
        <v>0</v>
      </c>
      <c r="O47" s="54">
        <v>0</v>
      </c>
      <c r="P47" s="23">
        <v>70142.330000000016</v>
      </c>
      <c r="Q47" s="54">
        <v>5.8468982451602196E-2</v>
      </c>
      <c r="R47" s="21"/>
      <c r="T47" s="23">
        <v>5504.5912020309624</v>
      </c>
      <c r="U47" s="53">
        <v>0.10233603697461732</v>
      </c>
      <c r="V47" s="23">
        <v>119163.29336211627</v>
      </c>
      <c r="W47" s="53">
        <v>7.2985420346092622E-2</v>
      </c>
      <c r="X47" s="23">
        <v>10144.738888869062</v>
      </c>
      <c r="Y47" s="53">
        <v>9.987946045684086E-2</v>
      </c>
      <c r="Z47" s="23">
        <v>0</v>
      </c>
      <c r="AA47" s="53">
        <v>0</v>
      </c>
      <c r="AB47" s="23">
        <v>0</v>
      </c>
      <c r="AC47" s="54">
        <v>0</v>
      </c>
      <c r="AD47" s="23">
        <v>134812.62345301628</v>
      </c>
      <c r="AE47" s="54">
        <v>5.6578809477185459E-2</v>
      </c>
      <c r="AF47" s="21"/>
      <c r="AH47" s="23">
        <v>1585.6700000000003</v>
      </c>
      <c r="AI47" s="53">
        <v>2.5317290390360188E-2</v>
      </c>
      <c r="AJ47" s="23">
        <v>77647.959999999992</v>
      </c>
      <c r="AK47" s="53">
        <v>5.6042887265965798E-2</v>
      </c>
      <c r="AL47" s="23">
        <v>4791.5499999999993</v>
      </c>
      <c r="AM47" s="53">
        <v>5.5064502308973043E-2</v>
      </c>
      <c r="AN47" s="23">
        <v>0</v>
      </c>
      <c r="AO47" s="53">
        <v>0</v>
      </c>
      <c r="AP47" s="32">
        <v>0</v>
      </c>
      <c r="AQ47" s="54">
        <v>0</v>
      </c>
      <c r="AR47" s="23">
        <v>84025.18</v>
      </c>
      <c r="AS47" s="53">
        <v>5.1503323788459301E-2</v>
      </c>
      <c r="AT47" s="21"/>
      <c r="AV47" s="29">
        <f t="shared" si="22"/>
        <v>-3918.9212020309624</v>
      </c>
      <c r="AW47" s="55">
        <f t="shared" si="23"/>
        <v>-7.7018746584257141</v>
      </c>
      <c r="AX47" s="29">
        <f t="shared" si="24"/>
        <v>-41515.333362116275</v>
      </c>
      <c r="AY47" s="55">
        <f t="shared" si="25"/>
        <v>-1.6942533080126825</v>
      </c>
      <c r="AZ47" s="29">
        <f t="shared" si="26"/>
        <v>-5353.1888888690628</v>
      </c>
      <c r="BA47" s="55">
        <f t="shared" si="27"/>
        <v>-4.4814958147867818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-50787.443453016283</v>
      </c>
      <c r="BG47" s="55">
        <f t="shared" si="33"/>
        <v>-0.50754856887261568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3101.52</v>
      </c>
      <c r="G48" s="53">
        <v>3.5250534039589679E-2</v>
      </c>
      <c r="H48" s="23">
        <v>32163.280000000002</v>
      </c>
      <c r="I48" s="53">
        <v>3.7110023922909484E-2</v>
      </c>
      <c r="J48" s="23">
        <v>6071.15</v>
      </c>
      <c r="K48" s="53">
        <v>4.8734734348076049E-2</v>
      </c>
      <c r="L48" s="23">
        <v>0</v>
      </c>
      <c r="M48" s="53">
        <v>0</v>
      </c>
      <c r="N48" s="32">
        <v>0</v>
      </c>
      <c r="O48" s="54">
        <v>0</v>
      </c>
      <c r="P48" s="23">
        <v>41335.950000000004</v>
      </c>
      <c r="Q48" s="54">
        <v>3.4456667395712487E-2</v>
      </c>
      <c r="R48" s="21"/>
      <c r="T48" s="23">
        <v>925.92325220757573</v>
      </c>
      <c r="U48" s="53">
        <v>1.7213869785391449E-2</v>
      </c>
      <c r="V48" s="23">
        <v>72557.518012339482</v>
      </c>
      <c r="W48" s="53">
        <v>4.4440203035571231E-2</v>
      </c>
      <c r="X48" s="23">
        <v>6135.0370611107655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79618.478325657823</v>
      </c>
      <c r="AE48" s="54">
        <v>3.3414665486580043E-2</v>
      </c>
      <c r="AF48" s="21"/>
      <c r="AH48" s="23">
        <v>1960.8</v>
      </c>
      <c r="AI48" s="53">
        <v>3.1306730276424631E-2</v>
      </c>
      <c r="AJ48" s="23">
        <v>61850.929999999993</v>
      </c>
      <c r="AK48" s="53">
        <v>4.4641284810124332E-2</v>
      </c>
      <c r="AL48" s="23">
        <v>5094.58</v>
      </c>
      <c r="AM48" s="53">
        <v>5.8546923682993586E-2</v>
      </c>
      <c r="AN48" s="23">
        <v>0</v>
      </c>
      <c r="AO48" s="53">
        <v>0</v>
      </c>
      <c r="AP48" s="23">
        <v>0</v>
      </c>
      <c r="AQ48" s="54">
        <v>0</v>
      </c>
      <c r="AR48" s="23">
        <v>68906.31</v>
      </c>
      <c r="AS48" s="53">
        <v>4.2236196280661956E-2</v>
      </c>
      <c r="AT48" s="21"/>
      <c r="AV48" s="29">
        <f t="shared" si="22"/>
        <v>1034.8767477924243</v>
      </c>
      <c r="AW48" s="55">
        <f t="shared" si="23"/>
        <v>1.4092860491033181</v>
      </c>
      <c r="AX48" s="29">
        <f t="shared" si="24"/>
        <v>-10706.588012339489</v>
      </c>
      <c r="AY48" s="55">
        <f t="shared" si="25"/>
        <v>2.01081774553101E-2</v>
      </c>
      <c r="AZ48" s="29">
        <f t="shared" si="26"/>
        <v>-1040.4570611107656</v>
      </c>
      <c r="BA48" s="55">
        <f t="shared" si="27"/>
        <v>-0.18552412479144534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-10712.168325657825</v>
      </c>
      <c r="BG48" s="55">
        <f t="shared" si="33"/>
        <v>0.88215307940819121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202791.44</v>
      </c>
      <c r="I49" s="53">
        <v>0.23398096182234096</v>
      </c>
      <c r="J49" s="23">
        <v>36122.54</v>
      </c>
      <c r="K49" s="53">
        <v>0.28996522749030268</v>
      </c>
      <c r="L49" s="23">
        <v>0</v>
      </c>
      <c r="M49" s="53">
        <v>0</v>
      </c>
      <c r="N49" s="32">
        <v>0</v>
      </c>
      <c r="O49" s="54">
        <v>0</v>
      </c>
      <c r="P49" s="23">
        <v>238913.98</v>
      </c>
      <c r="Q49" s="54">
        <v>0.19915302648290178</v>
      </c>
      <c r="R49" s="21"/>
      <c r="T49" s="23">
        <v>0</v>
      </c>
      <c r="U49" s="53">
        <v>0</v>
      </c>
      <c r="V49" s="23">
        <v>268127.03532239504</v>
      </c>
      <c r="W49" s="53">
        <v>0.16422309107963956</v>
      </c>
      <c r="X49" s="23">
        <v>31478.866158918008</v>
      </c>
      <c r="Y49" s="53">
        <v>0.30992341963533193</v>
      </c>
      <c r="Z49" s="23">
        <v>0</v>
      </c>
      <c r="AA49" s="53">
        <v>0</v>
      </c>
      <c r="AB49" s="23">
        <v>0</v>
      </c>
      <c r="AC49" s="54">
        <v>0</v>
      </c>
      <c r="AD49" s="23">
        <v>299605.90148131305</v>
      </c>
      <c r="AE49" s="54">
        <v>0.1257400440995004</v>
      </c>
      <c r="AF49" s="21"/>
      <c r="AH49" s="23">
        <v>0</v>
      </c>
      <c r="AI49" s="53">
        <v>0</v>
      </c>
      <c r="AJ49" s="23">
        <v>213154.09000000003</v>
      </c>
      <c r="AK49" s="53">
        <v>0.15384526053420503</v>
      </c>
      <c r="AL49" s="23">
        <v>0</v>
      </c>
      <c r="AM49" s="53">
        <v>0</v>
      </c>
      <c r="AN49" s="23">
        <v>0</v>
      </c>
      <c r="AO49" s="53">
        <v>0</v>
      </c>
      <c r="AP49" s="32">
        <v>0</v>
      </c>
      <c r="AQ49" s="54">
        <v>0</v>
      </c>
      <c r="AR49" s="23">
        <v>213154.09000000003</v>
      </c>
      <c r="AS49" s="53">
        <v>0.13065302703432943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-54972.945322395011</v>
      </c>
      <c r="AY49" s="55">
        <f t="shared" si="25"/>
        <v>-1.0377830545434534</v>
      </c>
      <c r="AZ49" s="29">
        <f t="shared" si="26"/>
        <v>-31478.866158918008</v>
      </c>
      <c r="BA49" s="55">
        <f t="shared" si="27"/>
        <v>-30.992341963533192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-86451.811481313023</v>
      </c>
      <c r="BG49" s="55">
        <f t="shared" si="33"/>
        <v>0.49129829348290299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13252.922999999992</v>
      </c>
      <c r="G51" s="36">
        <v>0.15062698719839326</v>
      </c>
      <c r="H51" s="35">
        <v>408741.21400000004</v>
      </c>
      <c r="I51" s="36">
        <v>0.47160601250304895</v>
      </c>
      <c r="J51" s="35">
        <v>79361.762999999992</v>
      </c>
      <c r="K51" s="36">
        <v>0.63705796055112629</v>
      </c>
      <c r="L51" s="35">
        <v>0</v>
      </c>
      <c r="M51" s="36">
        <v>0</v>
      </c>
      <c r="N51" s="37">
        <v>0</v>
      </c>
      <c r="O51" s="70">
        <v>0</v>
      </c>
      <c r="P51" s="35">
        <v>501355.9</v>
      </c>
      <c r="Q51" s="70">
        <v>0.41791838564683009</v>
      </c>
      <c r="R51" s="21"/>
      <c r="T51" s="35">
        <v>24162.77514525595</v>
      </c>
      <c r="U51" s="36">
        <v>0.44921095135310807</v>
      </c>
      <c r="V51" s="35">
        <v>656406.0398854441</v>
      </c>
      <c r="W51" s="36">
        <v>0.40203714908389604</v>
      </c>
      <c r="X51" s="35">
        <v>70897.851916973828</v>
      </c>
      <c r="Y51" s="36">
        <v>0.69802084357104288</v>
      </c>
      <c r="Z51" s="35">
        <v>0</v>
      </c>
      <c r="AA51" s="36">
        <v>0</v>
      </c>
      <c r="AB51" s="37">
        <v>0</v>
      </c>
      <c r="AC51" s="70">
        <v>0</v>
      </c>
      <c r="AD51" s="35">
        <v>751466.66694767377</v>
      </c>
      <c r="AE51" s="70">
        <v>0.31537914097863173</v>
      </c>
      <c r="AF51" s="21"/>
      <c r="AH51" s="35">
        <v>12336.670000000002</v>
      </c>
      <c r="AI51" s="36">
        <v>0.19697103233336369</v>
      </c>
      <c r="AJ51" s="35">
        <v>532019.32000000007</v>
      </c>
      <c r="AK51" s="36">
        <v>0.38398817913665456</v>
      </c>
      <c r="AL51" s="35">
        <v>24043.58</v>
      </c>
      <c r="AM51" s="36">
        <v>0.27630887007878002</v>
      </c>
      <c r="AN51" s="35">
        <v>0</v>
      </c>
      <c r="AO51" s="36">
        <v>0</v>
      </c>
      <c r="AP51" s="37">
        <v>0</v>
      </c>
      <c r="AQ51" s="70">
        <v>0</v>
      </c>
      <c r="AR51" s="35">
        <v>568399.57000000007</v>
      </c>
      <c r="AS51" s="36">
        <v>0.34840112326960848</v>
      </c>
      <c r="AT51" s="21"/>
      <c r="AV51" s="38">
        <f t="shared" si="22"/>
        <v>-11826.105145255948</v>
      </c>
      <c r="AW51" s="39">
        <f>(AI51-U51)*100</f>
        <v>-25.22399190197444</v>
      </c>
      <c r="AX51" s="38">
        <f t="shared" si="24"/>
        <v>-124386.71988544404</v>
      </c>
      <c r="AY51" s="39">
        <f>(AK51-W51)*100</f>
        <v>-1.8048969947241478</v>
      </c>
      <c r="AZ51" s="38">
        <f t="shared" si="26"/>
        <v>-46854.271916973827</v>
      </c>
      <c r="BA51" s="39">
        <f>(AM51-Y51)*100</f>
        <v>-42.171197349226283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-183067.09694767371</v>
      </c>
      <c r="BG51" s="39">
        <f>(AS51-AE51)*100</f>
        <v>3.3021982290976748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29493.58700000001</v>
      </c>
      <c r="G53" s="36">
        <v>0.33521134556382032</v>
      </c>
      <c r="H53" s="35">
        <v>185196.03599999996</v>
      </c>
      <c r="I53" s="36">
        <v>0.21367936747707336</v>
      </c>
      <c r="J53" s="35">
        <v>16247.767000000007</v>
      </c>
      <c r="K53" s="36">
        <v>0.13042514325859794</v>
      </c>
      <c r="L53" s="35">
        <v>120389.19</v>
      </c>
      <c r="M53" s="36">
        <v>1</v>
      </c>
      <c r="N53" s="37">
        <v>0</v>
      </c>
      <c r="O53" s="70">
        <v>0</v>
      </c>
      <c r="P53" s="35">
        <v>351326.57999999996</v>
      </c>
      <c r="Q53" s="70">
        <v>0.2928575033193424</v>
      </c>
      <c r="R53" s="21"/>
      <c r="T53" s="35">
        <v>3761.1194683956273</v>
      </c>
      <c r="U53" s="36">
        <v>6.9923096349403163E-2</v>
      </c>
      <c r="V53" s="35">
        <v>324586.27099614427</v>
      </c>
      <c r="W53" s="36">
        <v>0.19880337945372478</v>
      </c>
      <c r="X53" s="35">
        <v>-9870.5871722055235</v>
      </c>
      <c r="Y53" s="36">
        <v>-9.7180315033421935E-2</v>
      </c>
      <c r="Z53" s="35">
        <v>71931.387499999997</v>
      </c>
      <c r="AA53" s="36">
        <v>1</v>
      </c>
      <c r="AB53" s="37">
        <v>116550</v>
      </c>
      <c r="AC53" s="70">
        <v>0.22295552367288379</v>
      </c>
      <c r="AD53" s="35">
        <v>506958.1907923345</v>
      </c>
      <c r="AE53" s="70">
        <v>0.21276264903883063</v>
      </c>
      <c r="AF53" s="21"/>
      <c r="AH53" s="35">
        <v>9299.2099999999955</v>
      </c>
      <c r="AI53" s="36">
        <v>0.14847402042729016</v>
      </c>
      <c r="AJ53" s="35">
        <v>277608.74</v>
      </c>
      <c r="AK53" s="36">
        <v>0.20036579608616648</v>
      </c>
      <c r="AL53" s="35">
        <v>28650.999999999993</v>
      </c>
      <c r="AM53" s="36">
        <v>0.3292573500546559</v>
      </c>
      <c r="AN53" s="35">
        <v>96293.03</v>
      </c>
      <c r="AO53" s="36">
        <v>1</v>
      </c>
      <c r="AP53" s="37">
        <v>0</v>
      </c>
      <c r="AQ53" s="70">
        <v>0</v>
      </c>
      <c r="AR53" s="35">
        <v>411851.98</v>
      </c>
      <c r="AS53" s="36">
        <v>0.25244511084484517</v>
      </c>
      <c r="AT53" s="21"/>
      <c r="AV53" s="38">
        <f t="shared" ref="AV53" si="34">AH53-T53</f>
        <v>5538.0905316043682</v>
      </c>
      <c r="AW53" s="39">
        <f>(AI53-U53)*100</f>
        <v>7.8550924077886997</v>
      </c>
      <c r="AX53" s="38">
        <f t="shared" ref="AX53" si="35">AJ53-V53</f>
        <v>-46977.530996144284</v>
      </c>
      <c r="AY53" s="39">
        <f>(AK53-W53)*100</f>
        <v>0.15624166324416933</v>
      </c>
      <c r="AZ53" s="38">
        <f t="shared" ref="AZ53" si="36">AL53-X53</f>
        <v>38521.587172205516</v>
      </c>
      <c r="BA53" s="39">
        <f>(AM53-Y53)*100</f>
        <v>42.643766508807786</v>
      </c>
      <c r="BB53" s="38">
        <f>AN53-Z53</f>
        <v>24361.642500000002</v>
      </c>
      <c r="BC53" s="39">
        <f>(AO53-AA53)*100</f>
        <v>0</v>
      </c>
      <c r="BD53" s="38">
        <f t="shared" ref="BD53" si="37">AP53-AB53</f>
        <v>-116550</v>
      </c>
      <c r="BE53" s="39">
        <f>(AQ53-AC53)*100</f>
        <v>-22.29555236728838</v>
      </c>
      <c r="BF53" s="38">
        <f t="shared" ref="BF53" si="38">AR53-AD53</f>
        <v>-95106.210792334517</v>
      </c>
      <c r="BG53" s="39">
        <f>(AS53-AE53)*100</f>
        <v>3.9682461806014535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-0.18673732513653016</v>
      </c>
      <c r="AJ54" s="92"/>
      <c r="AK54" s="92">
        <f>+AK53-I53</f>
        <v>-1.3313571390906886E-2</v>
      </c>
      <c r="AL54" s="92"/>
      <c r="AM54" s="92">
        <f>+AM53-K53</f>
        <v>0.19883220679605795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414255.70999999996</v>
      </c>
      <c r="Q56" s="53">
        <v>0.34531373335425275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359019.06367426668</v>
      </c>
      <c r="AE56" s="53">
        <v>0.15067484544118465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411690.08</v>
      </c>
      <c r="AS56" s="53">
        <v>0.25234587406699654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52671.016325733333</v>
      </c>
      <c r="BG56" s="55">
        <f t="shared" ref="BG56:BG78" si="40">(AS56-AE56)*100</f>
        <v>10.16710286258119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266060.24</v>
      </c>
      <c r="Q57" s="53">
        <v>0.22178150488626575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247625.17416666666</v>
      </c>
      <c r="AE57" s="53">
        <v>0.10392452273442673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276866.74</v>
      </c>
      <c r="AS57" s="53">
        <v>0.16970576387310538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29241.565833333327</v>
      </c>
      <c r="BG57" s="55">
        <f t="shared" si="40"/>
        <v>6.5781241138678643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57519.35</v>
      </c>
      <c r="Q58" s="53">
        <v>4.7946765751544954E-2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37106.337257600004</v>
      </c>
      <c r="AE58" s="53">
        <v>1.5572965886429879E-2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62225.27</v>
      </c>
      <c r="AS58" s="53">
        <v>3.814104567981054E-2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25118.932742399993</v>
      </c>
      <c r="BG58" s="55">
        <f t="shared" si="40"/>
        <v>2.256807979338066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51738.619999999995</v>
      </c>
      <c r="Q59" s="53">
        <v>4.312808634743262E-2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74287.552249999993</v>
      </c>
      <c r="AE59" s="53">
        <v>3.1177356820328017E-2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72598.070000000007</v>
      </c>
      <c r="AS59" s="53">
        <v>4.4499064514080588E-2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-1689.4822499999864</v>
      </c>
      <c r="BG59" s="55">
        <f t="shared" si="40"/>
        <v>1.3321707693752571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38937.5</v>
      </c>
      <c r="Q60" s="53">
        <v>3.2457376369009416E-2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78248.259999999995</v>
      </c>
      <c r="Q61" s="53">
        <v>6.5225893419970579E-2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79088.798359948312</v>
      </c>
      <c r="AE61" s="53">
        <v>3.3192366853884082E-2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78331.039999999994</v>
      </c>
      <c r="AS61" s="53">
        <v>4.8013094596247897E-2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-757.75835994831868</v>
      </c>
      <c r="BG61" s="55">
        <f t="shared" si="40"/>
        <v>1.4820727742363815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54125.5</v>
      </c>
      <c r="Q62" s="53">
        <v>4.5117732896586042E-2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9480</v>
      </c>
      <c r="Q67" s="53">
        <v>7.9023031262461449E-3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14642.76</v>
      </c>
      <c r="Q68" s="53">
        <v>1.2205857397138396E-2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147458.42999999996</v>
      </c>
      <c r="Q70" s="53">
        <v>0.12291784940720971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55435.524506008493</v>
      </c>
      <c r="AE70" s="53">
        <v>2.3265447247871395E-2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90051.690000000017</v>
      </c>
      <c r="AS70" s="53">
        <v>5.5197279527017543E-2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34616.165493991524</v>
      </c>
      <c r="BG70" s="55">
        <f t="shared" si="40"/>
        <v>3.1931832279146146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9255.73</v>
      </c>
      <c r="Q71" s="53">
        <v>7.7153569741234412E-3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12711.661576115015</v>
      </c>
      <c r="AE71" s="53">
        <v>5.3348911995924741E-3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1094.28</v>
      </c>
      <c r="AS71" s="53">
        <v>6.7074009428168139E-4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-11617.381576115014</v>
      </c>
      <c r="BG71" s="55">
        <f t="shared" si="40"/>
        <v>-0.46641511053107931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24615.82</v>
      </c>
      <c r="Q72" s="53">
        <v>2.0519163643577254E-2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1.0348751578967365E-2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24662.87</v>
      </c>
      <c r="AS72" s="53">
        <v>1.511713249721904E-2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4.4799999999995634</v>
      </c>
      <c r="BG72" s="55">
        <f t="shared" si="40"/>
        <v>0.47683809182516751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5694.15</v>
      </c>
      <c r="Q73" s="53">
        <v>4.7465083698643969E-3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17450.565553935652</v>
      </c>
      <c r="AE73" s="53">
        <v>7.3237371876333007E-3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5195.26</v>
      </c>
      <c r="AS73" s="53">
        <v>3.1844401635941883E-3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-12255.305553935652</v>
      </c>
      <c r="BG73" s="55">
        <f t="shared" si="40"/>
        <v>-0.4139297024039113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4013.5200000000004</v>
      </c>
      <c r="Q74" s="53">
        <v>3.3455750678535261E-3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4508.2990633908648</v>
      </c>
      <c r="AE74" s="53">
        <v>1.8920646096814639E-3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4022.2</v>
      </c>
      <c r="AS74" s="53">
        <v>2.4654117842049374E-3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-486.09906339086501</v>
      </c>
      <c r="BG74" s="55">
        <f t="shared" si="40"/>
        <v>5.7334717452347347E-2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12592.210000000003</v>
      </c>
      <c r="Q75" s="53">
        <v>1.0496567557948099E-2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33555.319942208487</v>
      </c>
      <c r="AE75" s="53">
        <v>1.4082657879719043E-2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15393.140000000003</v>
      </c>
      <c r="AS75" s="53">
        <v>9.4352415971151096E-3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-18162.179942208484</v>
      </c>
      <c r="BG75" s="55">
        <f t="shared" si="40"/>
        <v>-0.46474162826039328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696133.82999999984</v>
      </c>
      <c r="Q76" s="36">
        <v>0.58028064779479971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586427.62267587334</v>
      </c>
      <c r="AE76" s="36">
        <v>0.24611476199853369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630440.56000000006</v>
      </c>
      <c r="AS76" s="36">
        <v>0.38642921432667693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44012.937324126717</v>
      </c>
      <c r="BG76" s="39">
        <f t="shared" si="40"/>
        <v>14.031445232814324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-344807.24999999988</v>
      </c>
      <c r="Q78" s="36">
        <v>-0.28742314447545725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-79469.43188353884</v>
      </c>
      <c r="AE78" s="36">
        <v>-3.3352112959703049E-2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-218588.58000000007</v>
      </c>
      <c r="AS78" s="36">
        <v>-0.13398410348183179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-139119.14811646123</v>
      </c>
      <c r="BG78" s="39">
        <f t="shared" si="40"/>
        <v>-10.063199052212873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314" priority="53" operator="greaterThanOrEqual">
      <formula>1</formula>
    </cfRule>
    <cfRule type="cellIs" dxfId="313" priority="52" operator="lessThanOrEqual">
      <formula>-1</formula>
    </cfRule>
  </conditionalFormatting>
  <conditionalFormatting sqref="U33:U34 Y33:Y34 AA33:AA34 AC33:AC34">
    <cfRule type="cellIs" dxfId="312" priority="49" operator="greaterThanOrEqual">
      <formula>0.0001</formula>
    </cfRule>
    <cfRule type="cellIs" dxfId="311" priority="48" operator="lessThanOrEqual">
      <formula>-0.0001</formula>
    </cfRule>
  </conditionalFormatting>
  <conditionalFormatting sqref="AB33:AB34">
    <cfRule type="cellIs" dxfId="310" priority="51" operator="greaterThanOrEqual">
      <formula>1</formula>
    </cfRule>
    <cfRule type="cellIs" dxfId="309" priority="50" operator="lessThanOrEqual">
      <formula>-1</formula>
    </cfRule>
  </conditionalFormatting>
  <conditionalFormatting sqref="AD33:AD34">
    <cfRule type="cellIs" dxfId="308" priority="47" operator="greaterThanOrEqual">
      <formula>1</formula>
    </cfRule>
    <cfRule type="cellIs" dxfId="307" priority="46" operator="lessThanOrEqual">
      <formula>-1</formula>
    </cfRule>
  </conditionalFormatting>
  <conditionalFormatting sqref="AE33:AE34">
    <cfRule type="cellIs" dxfId="306" priority="45" operator="greaterThanOrEqual">
      <formula>0.0001</formula>
    </cfRule>
    <cfRule type="cellIs" dxfId="305" priority="44" operator="lessThanOrEqual">
      <formula>-0.0001</formula>
    </cfRule>
  </conditionalFormatting>
  <conditionalFormatting sqref="AH33:AH34 AJ33:AJ34 AL33:AL34 AN33:AN34">
    <cfRule type="cellIs" dxfId="304" priority="63" operator="greaterThanOrEqual">
      <formula>1</formula>
    </cfRule>
    <cfRule type="cellIs" dxfId="303" priority="62" operator="lessThanOrEqual">
      <formula>-1</formula>
    </cfRule>
  </conditionalFormatting>
  <conditionalFormatting sqref="AI33:AI34 AM33:AM34 AO33:AO34 AQ33:AQ34">
    <cfRule type="cellIs" dxfId="302" priority="59" operator="greaterThanOrEqual">
      <formula>0.0001</formula>
    </cfRule>
    <cfRule type="cellIs" dxfId="301" priority="58" operator="lessThanOrEqual">
      <formula>-0.0001</formula>
    </cfRule>
  </conditionalFormatting>
  <conditionalFormatting sqref="AK33:AK34">
    <cfRule type="cellIs" dxfId="300" priority="43" operator="greaterThanOrEqual">
      <formula>0.0001</formula>
    </cfRule>
    <cfRule type="cellIs" dxfId="299" priority="42" operator="lessThanOrEqual">
      <formula>-0.0001</formula>
    </cfRule>
  </conditionalFormatting>
  <conditionalFormatting sqref="AP33:AP34">
    <cfRule type="cellIs" dxfId="298" priority="60" operator="lessThanOrEqual">
      <formula>-1</formula>
    </cfRule>
    <cfRule type="cellIs" dxfId="297" priority="61" operator="greaterThanOrEqual">
      <formula>1</formula>
    </cfRule>
  </conditionalFormatting>
  <conditionalFormatting sqref="AR33:AR34">
    <cfRule type="cellIs" dxfId="296" priority="56" operator="lessThanOrEqual">
      <formula>-1</formula>
    </cfRule>
    <cfRule type="cellIs" dxfId="295" priority="57" operator="greaterThanOrEqual">
      <formula>1</formula>
    </cfRule>
  </conditionalFormatting>
  <conditionalFormatting sqref="AS33:AS34">
    <cfRule type="cellIs" dxfId="294" priority="55" operator="greaterThanOrEqual">
      <formula>0.0001</formula>
    </cfRule>
    <cfRule type="cellIs" dxfId="293" priority="54" operator="lessThanOrEqual">
      <formula>-0.0001</formula>
    </cfRule>
  </conditionalFormatting>
  <conditionalFormatting sqref="AV27:AV29 AX27:AX29 AZ27:AZ29 BB27:BB29 BF27:BF29 AV40 AX40 AZ40 BB40 BF40">
    <cfRule type="cellIs" dxfId="292" priority="31" operator="greaterThanOrEqual">
      <formula>0.000001</formula>
    </cfRule>
  </conditionalFormatting>
  <conditionalFormatting sqref="AV27:AV29 AX27:AX29 AZ27:AZ29 BB27:BB29 BF27:BF29">
    <cfRule type="cellIs" dxfId="291" priority="30" operator="lessThanOrEqual">
      <formula>-0.000001</formula>
    </cfRule>
  </conditionalFormatting>
  <conditionalFormatting sqref="AV33:AV34 AX33:AX34 AZ33:AZ34 BB33:BB34">
    <cfRule type="cellIs" dxfId="290" priority="41" operator="greaterThanOrEqual">
      <formula>1</formula>
    </cfRule>
    <cfRule type="cellIs" dxfId="289" priority="40" operator="lessThanOrEqual">
      <formula>-1</formula>
    </cfRule>
  </conditionalFormatting>
  <conditionalFormatting sqref="AV36 AX36 AZ36 BB36 BD36 BF36 AX43:AX51 AZ43:AZ51 BD43:BD51 BF43:BF51 AV43:AV52">
    <cfRule type="cellIs" dxfId="288" priority="28" operator="lessThanOrEqual">
      <formula>-0.000001</formula>
    </cfRule>
    <cfRule type="cellIs" dxfId="287" priority="29" operator="greaterThanOrEqual">
      <formula>0.00001</formula>
    </cfRule>
  </conditionalFormatting>
  <conditionalFormatting sqref="AV39 AX39 AZ39 BF39">
    <cfRule type="cellIs" dxfId="286" priority="14" operator="lessThanOrEqual">
      <formula>-0.00001</formula>
    </cfRule>
    <cfRule type="cellIs" dxfId="285" priority="15" operator="greaterThanOrEqual">
      <formula>0.00001</formula>
    </cfRule>
  </conditionalFormatting>
  <conditionalFormatting sqref="AV40:BB40 BD40:BG40">
    <cfRule type="cellIs" dxfId="284" priority="18" operator="lessThanOrEqual">
      <formula>-0.000001</formula>
    </cfRule>
  </conditionalFormatting>
  <conditionalFormatting sqref="AV53:BB53 BD53:BG53 BF78:BG78">
    <cfRule type="cellIs" dxfId="283" priority="21" operator="greaterThanOrEqual">
      <formula>0.000001</formula>
    </cfRule>
    <cfRule type="cellIs" dxfId="282" priority="20" operator="lessThanOrEqual">
      <formula>-0.000001</formula>
    </cfRule>
  </conditionalFormatting>
  <conditionalFormatting sqref="AW29 AY29 BA29 BC29 BE29 BG29">
    <cfRule type="cellIs" dxfId="281" priority="24" operator="lessThanOrEqual">
      <formula>-0.000001</formula>
    </cfRule>
    <cfRule type="cellIs" dxfId="280" priority="25" operator="greaterThanOrEqual">
      <formula>0.000001</formula>
    </cfRule>
  </conditionalFormatting>
  <conditionalFormatting sqref="AW33:AW34 BA33:BA34 BC33:BC34 BE33:BE34">
    <cfRule type="cellIs" dxfId="279" priority="39" operator="greaterThanOrEqual">
      <formula>0.0001</formula>
    </cfRule>
    <cfRule type="cellIs" dxfId="278" priority="38" operator="lessThanOrEqual">
      <formula>-0.0001</formula>
    </cfRule>
  </conditionalFormatting>
  <conditionalFormatting sqref="AW36 AY36 BA36 BG36">
    <cfRule type="cellIs" dxfId="277" priority="13" operator="greaterThanOrEqual">
      <formula>0.000001</formula>
    </cfRule>
    <cfRule type="cellIs" dxfId="276" priority="12" operator="lessThanOrEqual">
      <formula>-0.00001</formula>
    </cfRule>
  </conditionalFormatting>
  <conditionalFormatting sqref="AW39 AY39 BA39 BC39 BE39 BG39">
    <cfRule type="cellIs" dxfId="275" priority="17" operator="greaterThanOrEqual">
      <formula>0.000001</formula>
    </cfRule>
    <cfRule type="cellIs" dxfId="274" priority="16" operator="lessThanOrEqual">
      <formula>-0.00001</formula>
    </cfRule>
  </conditionalFormatting>
  <conditionalFormatting sqref="AW40 AY40 BA40 BG40">
    <cfRule type="cellIs" dxfId="273" priority="19" operator="greaterThanOrEqual">
      <formula>0.0000001</formula>
    </cfRule>
  </conditionalFormatting>
  <conditionalFormatting sqref="AW43:AW51 AY43:AY51 BA43:BA51 BG43:BG51 BG56:BG76">
    <cfRule type="cellIs" dxfId="272" priority="23" operator="greaterThanOrEqual">
      <formula>0.000001</formula>
    </cfRule>
    <cfRule type="cellIs" dxfId="271" priority="22" operator="lessThanOrEqual">
      <formula>-0.0000001</formula>
    </cfRule>
  </conditionalFormatting>
  <conditionalFormatting sqref="AY33:AY34">
    <cfRule type="cellIs" dxfId="270" priority="33" operator="greaterThanOrEqual">
      <formula>0.0001</formula>
    </cfRule>
    <cfRule type="cellIs" dxfId="269" priority="32" operator="lessThanOrEqual">
      <formula>-0.0001</formula>
    </cfRule>
  </conditionalFormatting>
  <conditionalFormatting sqref="BD27:BD29 BD40">
    <cfRule type="cellIs" dxfId="268" priority="9" operator="greaterThanOrEqual">
      <formula>0.000001</formula>
    </cfRule>
  </conditionalFormatting>
  <conditionalFormatting sqref="BD27:BD29">
    <cfRule type="cellIs" dxfId="267" priority="8" operator="lessThanOrEqual">
      <formula>-0.000001</formula>
    </cfRule>
  </conditionalFormatting>
  <conditionalFormatting sqref="BD33:BD34">
    <cfRule type="cellIs" dxfId="266" priority="11" operator="greaterThanOrEqual">
      <formula>1</formula>
    </cfRule>
    <cfRule type="cellIs" dxfId="265" priority="10" operator="lessThanOrEqual">
      <formula>-1</formula>
    </cfRule>
  </conditionalFormatting>
  <conditionalFormatting sqref="BD39">
    <cfRule type="cellIs" dxfId="264" priority="4" operator="greaterThanOrEqual">
      <formula>0.00001</formula>
    </cfRule>
    <cfRule type="cellIs" dxfId="263" priority="3" operator="lessThanOrEqual">
      <formula>-0.00001</formula>
    </cfRule>
  </conditionalFormatting>
  <conditionalFormatting sqref="BE36">
    <cfRule type="cellIs" dxfId="262" priority="1" operator="lessThanOrEqual">
      <formula>-0.00001</formula>
    </cfRule>
    <cfRule type="cellIs" dxfId="261" priority="2" operator="greaterThanOrEqual">
      <formula>0.000001</formula>
    </cfRule>
  </conditionalFormatting>
  <conditionalFormatting sqref="BE40">
    <cfRule type="cellIs" dxfId="260" priority="5" operator="greaterThanOrEqual">
      <formula>0.0000001</formula>
    </cfRule>
  </conditionalFormatting>
  <conditionalFormatting sqref="BE43:BE51">
    <cfRule type="cellIs" dxfId="259" priority="7" operator="greaterThanOrEqual">
      <formula>0.000001</formula>
    </cfRule>
    <cfRule type="cellIs" dxfId="258" priority="6" operator="lessThanOrEqual">
      <formula>-0.0000001</formula>
    </cfRule>
  </conditionalFormatting>
  <conditionalFormatting sqref="BF33:BF34">
    <cfRule type="cellIs" dxfId="257" priority="36" operator="lessThanOrEqual">
      <formula>-1</formula>
    </cfRule>
    <cfRule type="cellIs" dxfId="256" priority="37" operator="greaterThanOrEqual">
      <formula>1</formula>
    </cfRule>
  </conditionalFormatting>
  <conditionalFormatting sqref="BF56:BF76">
    <cfRule type="cellIs" dxfId="255" priority="27" operator="greaterThanOrEqual">
      <formula>0.00001</formula>
    </cfRule>
    <cfRule type="cellIs" dxfId="254" priority="26" operator="lessThanOrEqual">
      <formula>-0.000001</formula>
    </cfRule>
  </conditionalFormatting>
  <conditionalFormatting sqref="BG33:BG34">
    <cfRule type="cellIs" dxfId="253" priority="34" operator="lessThanOrEqual">
      <formula>-0.0001</formula>
    </cfRule>
    <cfRule type="cellIs" dxfId="252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90CF-D0DE-42DE-B4B3-A62641D30214}">
  <sheetPr>
    <tabColor theme="4" tint="0.79998168889431442"/>
  </sheetPr>
  <dimension ref="A1:BI83"/>
  <sheetViews>
    <sheetView topLeftCell="M32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112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112</v>
      </c>
      <c r="Q17" s="20"/>
      <c r="R17" s="21"/>
      <c r="T17" s="18" t="s">
        <v>113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113</v>
      </c>
      <c r="AE17" s="20"/>
      <c r="AF17" s="21"/>
      <c r="AH17" s="18" t="s">
        <v>114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114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957253</v>
      </c>
      <c r="G27" s="24"/>
      <c r="H27" s="27">
        <v>2038406</v>
      </c>
      <c r="I27" s="24"/>
      <c r="J27" s="27">
        <v>161389</v>
      </c>
      <c r="K27" s="24"/>
      <c r="L27" s="27">
        <v>103607.69</v>
      </c>
      <c r="M27" s="24"/>
      <c r="N27" s="28">
        <v>0</v>
      </c>
      <c r="O27" s="16"/>
      <c r="P27" s="23">
        <v>3260655.69</v>
      </c>
      <c r="Q27" s="24"/>
      <c r="R27" s="21"/>
      <c r="T27" s="27">
        <v>663355.17722830607</v>
      </c>
      <c r="U27" s="24"/>
      <c r="V27" s="27">
        <v>3107945.6038968181</v>
      </c>
      <c r="W27" s="24"/>
      <c r="X27" s="27">
        <v>171377.40331732048</v>
      </c>
      <c r="Y27" s="24"/>
      <c r="Z27" s="27">
        <v>71618.645000000004</v>
      </c>
      <c r="AA27" s="24"/>
      <c r="AB27" s="28">
        <v>0</v>
      </c>
      <c r="AC27" s="16"/>
      <c r="AD27" s="23">
        <v>4014296.8294424447</v>
      </c>
      <c r="AE27" s="24"/>
      <c r="AF27" s="21"/>
      <c r="AH27" s="27">
        <v>475437</v>
      </c>
      <c r="AI27" s="24"/>
      <c r="AJ27" s="27">
        <v>2458769</v>
      </c>
      <c r="AK27" s="24"/>
      <c r="AL27" s="27">
        <v>75984</v>
      </c>
      <c r="AM27" s="24"/>
      <c r="AN27" s="27">
        <v>52068.25</v>
      </c>
      <c r="AO27" s="24"/>
      <c r="AP27" s="28">
        <v>103154</v>
      </c>
      <c r="AQ27" s="16"/>
      <c r="AR27" s="23">
        <v>3165412.25</v>
      </c>
      <c r="AS27" s="24"/>
      <c r="AT27" s="21"/>
      <c r="AV27" s="29">
        <f>AH27-T27</f>
        <v>-187918.17722830607</v>
      </c>
      <c r="AW27" s="30"/>
      <c r="AX27" s="29">
        <f t="shared" ref="AX27:AX29" si="0">AJ27-V27</f>
        <v>-649176.60389681812</v>
      </c>
      <c r="AY27" s="30"/>
      <c r="AZ27" s="29">
        <f t="shared" ref="AZ27:AZ29" si="1">AL27-X27</f>
        <v>-95393.403317320481</v>
      </c>
      <c r="BA27" s="30"/>
      <c r="BB27" s="29">
        <f t="shared" ref="BB27:BB29" si="2">AN27-Z27</f>
        <v>-19550.395000000004</v>
      </c>
      <c r="BC27" s="30"/>
      <c r="BD27" s="29">
        <f t="shared" ref="BD27:BD29" si="3">AP27-AB27</f>
        <v>103154</v>
      </c>
      <c r="BE27" s="30"/>
      <c r="BF27" s="29">
        <f t="shared" ref="BF27:BF29" si="4">AR27-AD27</f>
        <v>-848884.57944244472</v>
      </c>
      <c r="BG27" s="30"/>
    </row>
    <row r="28" spans="3:59">
      <c r="E28" s="26" t="s">
        <v>29</v>
      </c>
      <c r="F28" s="23">
        <v>561324.35</v>
      </c>
      <c r="G28" s="31"/>
      <c r="H28" s="23">
        <v>920634.23</v>
      </c>
      <c r="I28" s="31"/>
      <c r="J28" s="23">
        <v>44295.44</v>
      </c>
      <c r="K28" s="31"/>
      <c r="L28" s="23">
        <v>0</v>
      </c>
      <c r="M28" s="31"/>
      <c r="N28" s="32">
        <v>0</v>
      </c>
      <c r="O28" s="32"/>
      <c r="P28" s="23">
        <v>1526254.02</v>
      </c>
      <c r="Q28" s="31"/>
      <c r="R28" s="21"/>
      <c r="T28" s="23">
        <v>421230.53753997438</v>
      </c>
      <c r="U28" s="31"/>
      <c r="V28" s="23">
        <v>1464537.2695028742</v>
      </c>
      <c r="W28" s="31"/>
      <c r="X28" s="23">
        <v>78363.640203264571</v>
      </c>
      <c r="Y28" s="31"/>
      <c r="Z28" s="23">
        <v>0</v>
      </c>
      <c r="AA28" s="31"/>
      <c r="AB28" s="32">
        <v>0</v>
      </c>
      <c r="AC28" s="32"/>
      <c r="AD28" s="23">
        <v>1964131.4472461131</v>
      </c>
      <c r="AE28" s="31"/>
      <c r="AF28" s="21"/>
      <c r="AH28" s="23">
        <v>309058.25</v>
      </c>
      <c r="AI28" s="31"/>
      <c r="AJ28" s="23">
        <v>1232649.95</v>
      </c>
      <c r="AK28" s="31"/>
      <c r="AL28" s="23">
        <v>33619.47</v>
      </c>
      <c r="AM28" s="31"/>
      <c r="AN28" s="23">
        <v>0</v>
      </c>
      <c r="AO28" s="31"/>
      <c r="AP28" s="32">
        <v>0</v>
      </c>
      <c r="AQ28" s="32"/>
      <c r="AR28" s="23">
        <v>1575327.67</v>
      </c>
      <c r="AS28" s="31"/>
      <c r="AT28" s="21"/>
      <c r="AV28" s="29">
        <f t="shared" ref="AV28:AV29" si="5">AH28-T28</f>
        <v>-112172.28753997438</v>
      </c>
      <c r="AW28" s="33"/>
      <c r="AX28" s="29">
        <f t="shared" si="0"/>
        <v>-231887.31950287428</v>
      </c>
      <c r="AY28" s="33"/>
      <c r="AZ28" s="29">
        <f t="shared" si="1"/>
        <v>-44744.17020326457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-388803.77724611317</v>
      </c>
      <c r="BG28" s="33"/>
    </row>
    <row r="29" spans="3:59" ht="15">
      <c r="C29" s="16" t="s">
        <v>30</v>
      </c>
      <c r="E29" s="34" t="s">
        <v>31</v>
      </c>
      <c r="F29" s="35">
        <v>395928.65</v>
      </c>
      <c r="G29" s="36">
        <v>0.58639079741719269</v>
      </c>
      <c r="H29" s="35">
        <v>1117771.77</v>
      </c>
      <c r="I29" s="36">
        <v>0.451644191588918</v>
      </c>
      <c r="J29" s="35">
        <v>117093.56</v>
      </c>
      <c r="K29" s="36">
        <v>0.27446381104040551</v>
      </c>
      <c r="L29" s="35">
        <v>103607.69</v>
      </c>
      <c r="M29" s="36">
        <v>0</v>
      </c>
      <c r="N29" s="37">
        <v>0</v>
      </c>
      <c r="O29" s="36">
        <v>0</v>
      </c>
      <c r="P29" s="35">
        <v>1734401.67</v>
      </c>
      <c r="Q29" s="36">
        <v>0.46808193354509009</v>
      </c>
      <c r="R29" s="21"/>
      <c r="T29" s="35">
        <v>242124.63968833169</v>
      </c>
      <c r="U29" s="36">
        <v>0.63500000000000001</v>
      </c>
      <c r="V29" s="35">
        <v>1643408.3343939439</v>
      </c>
      <c r="W29" s="36">
        <v>0.47122358501596739</v>
      </c>
      <c r="X29" s="35">
        <v>93013.76311405591</v>
      </c>
      <c r="Y29" s="36">
        <v>0.45725771709918683</v>
      </c>
      <c r="Z29" s="35">
        <v>71618.645000000004</v>
      </c>
      <c r="AA29" s="36">
        <v>0</v>
      </c>
      <c r="AB29" s="37">
        <v>0</v>
      </c>
      <c r="AC29" s="36">
        <v>0</v>
      </c>
      <c r="AD29" s="35">
        <v>2050165.3821963314</v>
      </c>
      <c r="AE29" s="36">
        <v>0.48928405912597062</v>
      </c>
      <c r="AF29" s="21"/>
      <c r="AH29" s="35">
        <v>166378.75</v>
      </c>
      <c r="AI29" s="36">
        <v>0.65005090053992431</v>
      </c>
      <c r="AJ29" s="35">
        <v>1226119.05</v>
      </c>
      <c r="AK29" s="36">
        <v>0.50132808328069856</v>
      </c>
      <c r="AL29" s="35">
        <v>42364.53</v>
      </c>
      <c r="AM29" s="36">
        <v>0.44245459570435886</v>
      </c>
      <c r="AN29" s="35">
        <v>52068.25</v>
      </c>
      <c r="AO29" s="36">
        <v>0</v>
      </c>
      <c r="AP29" s="37">
        <v>103154</v>
      </c>
      <c r="AQ29" s="36">
        <v>0</v>
      </c>
      <c r="AR29" s="35">
        <v>1590084.58</v>
      </c>
      <c r="AS29" s="36">
        <v>0.49766903821137354</v>
      </c>
      <c r="AT29" s="21"/>
      <c r="AV29" s="38">
        <f t="shared" si="5"/>
        <v>-75745.889688331692</v>
      </c>
      <c r="AW29" s="39">
        <f>(AI29-U29)*100</f>
        <v>1.5050900539924306</v>
      </c>
      <c r="AX29" s="38">
        <f t="shared" si="0"/>
        <v>-417289.28439394385</v>
      </c>
      <c r="AY29" s="39">
        <f>(AK29-W29)*100</f>
        <v>3.0104498264731161</v>
      </c>
      <c r="AZ29" s="38">
        <f t="shared" si="1"/>
        <v>-50649.233114055911</v>
      </c>
      <c r="BA29" s="39">
        <f>(AM29-Y29)*100</f>
        <v>-1.4803121394827978</v>
      </c>
      <c r="BB29" s="38">
        <f t="shared" si="2"/>
        <v>-19550.395000000004</v>
      </c>
      <c r="BC29" s="39">
        <f>(AO29-AA29)*100</f>
        <v>0</v>
      </c>
      <c r="BD29" s="38">
        <f t="shared" si="3"/>
        <v>103154</v>
      </c>
      <c r="BE29" s="39">
        <f>(AQ29-AC29)*100</f>
        <v>0</v>
      </c>
      <c r="BF29" s="38">
        <f t="shared" si="4"/>
        <v>-460080.80219633132</v>
      </c>
      <c r="BG29" s="39">
        <f>(AS29-AE29)*100</f>
        <v>0.83849790854029216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-75745.889688331692</v>
      </c>
      <c r="AI33" s="51">
        <v>-0.31283841985612659</v>
      </c>
      <c r="AJ33" s="41">
        <v>-417289.28439394385</v>
      </c>
      <c r="AK33" s="51">
        <v>-0.25391698195800605</v>
      </c>
      <c r="AL33" s="41">
        <v>-50649.233114055911</v>
      </c>
      <c r="AM33" s="51">
        <v>-0.54453482386201812</v>
      </c>
      <c r="AN33" s="41">
        <v>-19550.395000000004</v>
      </c>
      <c r="AO33" s="51">
        <v>-0.27297912436070249</v>
      </c>
      <c r="AP33" s="41">
        <v>103154</v>
      </c>
      <c r="AQ33" s="51">
        <v>0</v>
      </c>
      <c r="AR33" s="41">
        <v>-460080.80219633132</v>
      </c>
      <c r="AS33" s="51">
        <v>-0.22441155537581514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-153804.01031166833</v>
      </c>
      <c r="U34" s="51">
        <v>-0.38846395761374763</v>
      </c>
      <c r="V34" s="41">
        <v>525636.56439394387</v>
      </c>
      <c r="W34" s="51">
        <v>0.47025392705520175</v>
      </c>
      <c r="X34" s="41">
        <v>-24079.796885944088</v>
      </c>
      <c r="Y34" s="51">
        <v>-0.20564578347386564</v>
      </c>
      <c r="Z34" s="41">
        <v>-31989.044999999998</v>
      </c>
      <c r="AA34" s="51">
        <v>-0.30875164768175023</v>
      </c>
      <c r="AB34" s="41">
        <v>0</v>
      </c>
      <c r="AC34" s="51">
        <v>0</v>
      </c>
      <c r="AD34" s="41">
        <v>315763.71219633147</v>
      </c>
      <c r="AE34" s="51">
        <v>0.18205916060743377</v>
      </c>
      <c r="AF34" s="49"/>
      <c r="AH34" s="41">
        <v>-229549.90000000002</v>
      </c>
      <c r="AI34" s="51">
        <v>-0.57977592679893208</v>
      </c>
      <c r="AJ34" s="41">
        <v>108347.28000000003</v>
      </c>
      <c r="AK34" s="51">
        <v>9.6931487185438536E-2</v>
      </c>
      <c r="AL34" s="41">
        <v>-74729.03</v>
      </c>
      <c r="AM34" s="51">
        <v>-0.63819931685397557</v>
      </c>
      <c r="AN34" s="41">
        <v>-51539.44</v>
      </c>
      <c r="AO34" s="51">
        <v>-0.49744801761336443</v>
      </c>
      <c r="AP34" s="41">
        <v>103154</v>
      </c>
      <c r="AQ34" s="51">
        <v>0</v>
      </c>
      <c r="AR34" s="41">
        <v>-144317.08999999985</v>
      </c>
      <c r="AS34" s="51">
        <v>-8.3208574170710925E-2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181720.22</v>
      </c>
      <c r="G36" s="53">
        <v>0.45897214056118441</v>
      </c>
      <c r="H36" s="23">
        <v>393817.06</v>
      </c>
      <c r="I36" s="53">
        <v>0.35232331909760073</v>
      </c>
      <c r="J36" s="23">
        <v>29733.94</v>
      </c>
      <c r="K36" s="53">
        <v>0.25393317958733169</v>
      </c>
      <c r="L36" s="23">
        <v>0</v>
      </c>
      <c r="M36" s="53">
        <v>0</v>
      </c>
      <c r="N36" s="32">
        <v>25644.18</v>
      </c>
      <c r="O36" s="54">
        <v>0</v>
      </c>
      <c r="P36" s="23">
        <v>630915.4</v>
      </c>
      <c r="Q36" s="54">
        <v>0.36376544771200553</v>
      </c>
      <c r="R36" s="21"/>
      <c r="T36" s="23">
        <v>116429.49543841596</v>
      </c>
      <c r="U36" s="53">
        <v>0.4808659522974888</v>
      </c>
      <c r="V36" s="23">
        <v>620217.25557264115</v>
      </c>
      <c r="W36" s="53">
        <v>0.37739692722281637</v>
      </c>
      <c r="X36" s="23">
        <v>35103.108388675639</v>
      </c>
      <c r="Y36" s="53">
        <v>0.37739692722281637</v>
      </c>
      <c r="Z36" s="23">
        <v>0</v>
      </c>
      <c r="AA36" s="53">
        <v>0</v>
      </c>
      <c r="AB36" s="32">
        <v>0</v>
      </c>
      <c r="AC36" s="54">
        <v>0</v>
      </c>
      <c r="AD36" s="23">
        <v>771749.85939973267</v>
      </c>
      <c r="AE36" s="54">
        <v>0.3764329776034756</v>
      </c>
      <c r="AF36" s="21"/>
      <c r="AH36" s="23">
        <v>89211.17</v>
      </c>
      <c r="AI36" s="53">
        <v>0.53619329391523851</v>
      </c>
      <c r="AJ36" s="23">
        <v>500903.67000000004</v>
      </c>
      <c r="AK36" s="53">
        <v>0.40852776082387759</v>
      </c>
      <c r="AL36" s="23">
        <v>16536.41</v>
      </c>
      <c r="AM36" s="53">
        <v>0.39033620814393549</v>
      </c>
      <c r="AN36" s="23">
        <v>0</v>
      </c>
      <c r="AO36" s="53">
        <v>0</v>
      </c>
      <c r="AP36" s="32">
        <v>83885.14</v>
      </c>
      <c r="AQ36" s="54">
        <v>0.81320297807162112</v>
      </c>
      <c r="AR36" s="23">
        <v>690536.39000000013</v>
      </c>
      <c r="AS36" s="53">
        <v>0.434276515026641</v>
      </c>
      <c r="AT36" s="21"/>
      <c r="AV36" s="29">
        <f t="shared" ref="AV36:AV38" si="6">AH36-T36</f>
        <v>-27218.325438415966</v>
      </c>
      <c r="AW36" s="55">
        <f t="shared" ref="AW36:AW38" si="7">(AI36-U36)*100</f>
        <v>5.5327341617749717</v>
      </c>
      <c r="AX36" s="29">
        <f t="shared" ref="AX36:AX38" si="8">AJ36-V36</f>
        <v>-119313.58557264111</v>
      </c>
      <c r="AY36" s="55">
        <f t="shared" ref="AY36:AY38" si="9">(AK36-W36)*100</f>
        <v>3.1130833601061223</v>
      </c>
      <c r="AZ36" s="29">
        <f t="shared" ref="AZ36:AZ38" si="10">AL36-X36</f>
        <v>-18566.698388675639</v>
      </c>
      <c r="BA36" s="55">
        <f t="shared" ref="BA36:BA38" si="11">(AM36-Y36)*100</f>
        <v>1.2939280921119123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83885.14</v>
      </c>
      <c r="BE36" s="55">
        <f t="shared" ref="BE36:BE38" si="15">(AQ36-AC36)*100</f>
        <v>81.320297807162106</v>
      </c>
      <c r="BF36" s="29">
        <f t="shared" ref="BF36:BF38" si="16">AR36-AD36</f>
        <v>-81213.469399732538</v>
      </c>
      <c r="BG36" s="55">
        <f t="shared" ref="BG36:BG38" si="17">(AS36-AE36)*100</f>
        <v>5.7843537423165392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0.18983510106523563</v>
      </c>
      <c r="G39" s="59">
        <v>5.2677297000851091</v>
      </c>
      <c r="H39" s="58">
        <v>0.19319853846584045</v>
      </c>
      <c r="I39" s="59">
        <v>5.1760225928252073</v>
      </c>
      <c r="J39" s="58">
        <v>0.18423771136818493</v>
      </c>
      <c r="K39" s="59">
        <v>5.4277704199308943</v>
      </c>
      <c r="L39" s="58">
        <v>0</v>
      </c>
      <c r="M39" s="59">
        <v>0</v>
      </c>
      <c r="N39" s="60">
        <v>0</v>
      </c>
      <c r="O39" s="61">
        <v>0</v>
      </c>
      <c r="P39" s="62">
        <v>0.19349341359007458</v>
      </c>
      <c r="Q39" s="61">
        <v>5.168134570815675</v>
      </c>
      <c r="R39" s="49"/>
      <c r="T39" s="58">
        <v>0.17551607258858337</v>
      </c>
      <c r="U39" s="59">
        <v>5.6974839127356711</v>
      </c>
      <c r="V39" s="58">
        <v>0.19955859420287073</v>
      </c>
      <c r="W39" s="59">
        <v>5.0110595536837801</v>
      </c>
      <c r="X39" s="58">
        <v>0.20482926984066341</v>
      </c>
      <c r="Y39" s="59">
        <v>4.8821147523393487</v>
      </c>
      <c r="Z39" s="58">
        <v>0</v>
      </c>
      <c r="AA39" s="63">
        <v>0</v>
      </c>
      <c r="AB39" s="60">
        <v>0</v>
      </c>
      <c r="AC39" s="61">
        <v>0</v>
      </c>
      <c r="AD39" s="62">
        <v>0.19225032233277151</v>
      </c>
      <c r="AE39" s="61">
        <v>5.2015517470450412</v>
      </c>
      <c r="AF39" s="49"/>
      <c r="AH39" s="58">
        <v>0.18764036034216941</v>
      </c>
      <c r="AI39" s="59">
        <v>5.3293438478612041</v>
      </c>
      <c r="AJ39" s="58">
        <v>0.20372132152308739</v>
      </c>
      <c r="AK39" s="59">
        <v>4.9086663709211784</v>
      </c>
      <c r="AL39" s="58">
        <v>0.21763015898083807</v>
      </c>
      <c r="AM39" s="59">
        <v>4.5949513830390032</v>
      </c>
      <c r="AN39" s="58">
        <v>0</v>
      </c>
      <c r="AO39" s="59">
        <v>0</v>
      </c>
      <c r="AP39" s="60">
        <v>0.81320297807162112</v>
      </c>
      <c r="AQ39" s="61">
        <v>1.2297052851077079</v>
      </c>
      <c r="AR39" s="62">
        <v>0.21815053947554544</v>
      </c>
      <c r="AS39" s="59">
        <v>4.5839904975898511</v>
      </c>
      <c r="AT39" s="49"/>
      <c r="AV39" s="64">
        <f>(AH39-T39)*100</f>
        <v>1.2124287753586038</v>
      </c>
      <c r="AW39" s="65">
        <f>(AI39-U39)</f>
        <v>-0.36814006487446704</v>
      </c>
      <c r="AX39" s="64">
        <f>(AJ39-V39)*100</f>
        <v>0.41627273202166637</v>
      </c>
      <c r="AY39" s="65">
        <f>(AK39-W39)</f>
        <v>-0.10239318276260168</v>
      </c>
      <c r="AZ39" s="64">
        <f>(AL39-X39)*100</f>
        <v>1.2800889140174658</v>
      </c>
      <c r="BA39" s="65">
        <f>(AM39-Y39)</f>
        <v>-0.28716336930034547</v>
      </c>
      <c r="BB39" s="66">
        <f t="shared" si="12"/>
        <v>0</v>
      </c>
      <c r="BC39" s="65">
        <f>(AO39-AA39)</f>
        <v>0</v>
      </c>
      <c r="BD39" s="64">
        <f t="shared" si="14"/>
        <v>0.81320297807162112</v>
      </c>
      <c r="BE39" s="65">
        <f>(AQ39-AC39)</f>
        <v>1.2297052851077079</v>
      </c>
      <c r="BF39" s="64">
        <f>(AR39-AD39)*100</f>
        <v>2.5900217142773934</v>
      </c>
      <c r="BG39" s="65">
        <f>(AS39-AE39)</f>
        <v>-0.61756124945519009</v>
      </c>
    </row>
    <row r="40" spans="1:61" ht="15">
      <c r="E40" s="34" t="s">
        <v>42</v>
      </c>
      <c r="F40" s="35">
        <v>214208.43000000002</v>
      </c>
      <c r="G40" s="36">
        <v>0.54102785943881559</v>
      </c>
      <c r="H40" s="35">
        <v>723954.71</v>
      </c>
      <c r="I40" s="36">
        <v>0.64767668090239916</v>
      </c>
      <c r="J40" s="35">
        <v>87359.62</v>
      </c>
      <c r="K40" s="36">
        <v>0.74606682041266825</v>
      </c>
      <c r="L40" s="35">
        <v>103607.69</v>
      </c>
      <c r="M40" s="36">
        <v>1</v>
      </c>
      <c r="N40" s="37">
        <v>-25644.18</v>
      </c>
      <c r="O40" s="36">
        <v>0</v>
      </c>
      <c r="P40" s="35">
        <v>1103486.27</v>
      </c>
      <c r="Q40" s="36">
        <v>0.63623455228799453</v>
      </c>
      <c r="R40" s="21"/>
      <c r="T40" s="35">
        <v>125695.14424991573</v>
      </c>
      <c r="U40" s="36">
        <v>0.51913404770251126</v>
      </c>
      <c r="V40" s="35">
        <v>1023191.0788213027</v>
      </c>
      <c r="W40" s="36">
        <v>0.62260307277718363</v>
      </c>
      <c r="X40" s="35">
        <v>57910.654725380271</v>
      </c>
      <c r="Y40" s="36">
        <v>0.62260307277718363</v>
      </c>
      <c r="Z40" s="35">
        <v>71618.645000000004</v>
      </c>
      <c r="AA40" s="36">
        <v>1</v>
      </c>
      <c r="AB40" s="37">
        <v>0</v>
      </c>
      <c r="AC40" s="36">
        <v>0</v>
      </c>
      <c r="AD40" s="35">
        <v>1278415.5227965987</v>
      </c>
      <c r="AE40" s="36">
        <v>0.6235670223965244</v>
      </c>
      <c r="AF40" s="21"/>
      <c r="AH40" s="35">
        <v>77167.58</v>
      </c>
      <c r="AI40" s="36">
        <v>0.46380670608476143</v>
      </c>
      <c r="AJ40" s="35">
        <v>725215.38</v>
      </c>
      <c r="AK40" s="36">
        <v>0.59147223917612235</v>
      </c>
      <c r="AL40" s="35">
        <v>25828.12</v>
      </c>
      <c r="AM40" s="36">
        <v>0.60966379185606445</v>
      </c>
      <c r="AN40" s="35">
        <v>52068.25</v>
      </c>
      <c r="AO40" s="36">
        <v>1</v>
      </c>
      <c r="AP40" s="37">
        <v>19268.86</v>
      </c>
      <c r="AQ40" s="36">
        <v>0.18679702192837894</v>
      </c>
      <c r="AR40" s="35">
        <v>899548.19</v>
      </c>
      <c r="AS40" s="36">
        <v>0.565723484973359</v>
      </c>
      <c r="AT40" s="21"/>
      <c r="AV40" s="38">
        <f t="shared" ref="AV40" si="18">AH40-T40</f>
        <v>-48527.564249915726</v>
      </c>
      <c r="AW40" s="39">
        <f>(AI40-U40)*100</f>
        <v>-5.5327341617749823</v>
      </c>
      <c r="AX40" s="38">
        <f t="shared" ref="AX40" si="19">AJ40-V40</f>
        <v>-297975.69882130274</v>
      </c>
      <c r="AY40" s="39">
        <f>(AK40-W40)*100</f>
        <v>-3.1130833601061281</v>
      </c>
      <c r="AZ40" s="38">
        <f t="shared" ref="AZ40" si="20">AL40-X40</f>
        <v>-32082.534725380272</v>
      </c>
      <c r="BA40" s="39">
        <f>(AM40-Y40)*100</f>
        <v>-1.2939280921119178</v>
      </c>
      <c r="BB40" s="38">
        <f t="shared" si="12"/>
        <v>-19550.395000000004</v>
      </c>
      <c r="BC40" s="39">
        <f>(AO40-AA40)*100</f>
        <v>0</v>
      </c>
      <c r="BD40" s="38">
        <f t="shared" si="14"/>
        <v>19268.86</v>
      </c>
      <c r="BE40" s="39">
        <f>(AQ40-AC40)*100</f>
        <v>18.679702192837894</v>
      </c>
      <c r="BF40" s="38">
        <f t="shared" ref="BF40" si="21">AR40-AD40</f>
        <v>-378867.33279659878</v>
      </c>
      <c r="BG40" s="39">
        <f>(AS40-AE40)*100</f>
        <v>-5.7843537423165392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11723.805000000004</v>
      </c>
      <c r="G43" s="53">
        <v>2.9610903378676948E-2</v>
      </c>
      <c r="H43" s="23">
        <v>154990.07000000004</v>
      </c>
      <c r="I43" s="53">
        <v>0.13865985361215558</v>
      </c>
      <c r="J43" s="23">
        <v>13648.605000000003</v>
      </c>
      <c r="K43" s="53">
        <v>0.11656153421247081</v>
      </c>
      <c r="L43" s="23">
        <v>0</v>
      </c>
      <c r="M43" s="53">
        <v>0</v>
      </c>
      <c r="N43" s="32">
        <v>0</v>
      </c>
      <c r="O43" s="54">
        <v>0</v>
      </c>
      <c r="P43" s="23">
        <v>180362.48000000004</v>
      </c>
      <c r="Q43" s="54">
        <v>0.10399118215793694</v>
      </c>
      <c r="R43" s="21"/>
      <c r="T43" s="23">
        <v>15211.941819232186</v>
      </c>
      <c r="U43" s="53">
        <v>6.2826905344343889E-2</v>
      </c>
      <c r="V43" s="23">
        <v>168621.01516435156</v>
      </c>
      <c r="W43" s="53">
        <v>0.10260445419156014</v>
      </c>
      <c r="X43" s="23">
        <v>19850.39129961397</v>
      </c>
      <c r="Y43" s="53">
        <v>0.21341348457510423</v>
      </c>
      <c r="Z43" s="23">
        <v>0</v>
      </c>
      <c r="AA43" s="53">
        <v>0</v>
      </c>
      <c r="AB43" s="32">
        <v>0</v>
      </c>
      <c r="AC43" s="54">
        <v>0</v>
      </c>
      <c r="AD43" s="23">
        <v>203683.34828319773</v>
      </c>
      <c r="AE43" s="54">
        <v>9.934971590681764E-2</v>
      </c>
      <c r="AF43" s="21"/>
      <c r="AH43" s="23">
        <v>8308.02</v>
      </c>
      <c r="AI43" s="53">
        <v>4.9934381644290517E-2</v>
      </c>
      <c r="AJ43" s="23">
        <v>163469.25</v>
      </c>
      <c r="AK43" s="53">
        <v>0.13332249425534984</v>
      </c>
      <c r="AL43" s="23">
        <v>8658.6200000000008</v>
      </c>
      <c r="AM43" s="53">
        <v>0.20438371439503758</v>
      </c>
      <c r="AN43" s="23">
        <v>0</v>
      </c>
      <c r="AO43" s="53">
        <v>0</v>
      </c>
      <c r="AP43" s="32">
        <v>0</v>
      </c>
      <c r="AQ43" s="54">
        <v>0</v>
      </c>
      <c r="AR43" s="23">
        <v>180435.88999999998</v>
      </c>
      <c r="AS43" s="53">
        <v>0.11347565548997399</v>
      </c>
      <c r="AT43" s="21"/>
      <c r="AV43" s="29">
        <f t="shared" ref="AV43:AV51" si="22">AH43-T43</f>
        <v>-6903.921819232186</v>
      </c>
      <c r="AW43" s="55">
        <f t="shared" ref="AW43:AW50" si="23">(AI43-U43)*100</f>
        <v>-1.2892523700053373</v>
      </c>
      <c r="AX43" s="29">
        <f t="shared" ref="AX43:AX51" si="24">AJ43-V43</f>
        <v>-5151.7651643515565</v>
      </c>
      <c r="AY43" s="55">
        <f t="shared" ref="AY43:AY50" si="25">(AK43-W43)*100</f>
        <v>3.0718040063789696</v>
      </c>
      <c r="AZ43" s="29">
        <f t="shared" ref="AZ43:AZ51" si="26">AL43-X43</f>
        <v>-11191.771299613969</v>
      </c>
      <c r="BA43" s="55">
        <f t="shared" ref="BA43:BA50" si="27">(AM43-Y43)*100</f>
        <v>-0.90297701800666486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-23247.458283197746</v>
      </c>
      <c r="BG43" s="55">
        <f t="shared" ref="BG43:BG50" si="33">(AS43-AE43)*100</f>
        <v>1.4125939583156346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-1007.8349999999967</v>
      </c>
      <c r="G44" s="53">
        <v>-2.5454965181226381E-3</v>
      </c>
      <c r="H44" s="27">
        <v>97906.760000000024</v>
      </c>
      <c r="I44" s="53">
        <v>8.7591011535387064E-2</v>
      </c>
      <c r="J44" s="27">
        <v>9555.095000000003</v>
      </c>
      <c r="K44" s="53">
        <v>8.1602224750874461E-2</v>
      </c>
      <c r="L44" s="27">
        <v>0</v>
      </c>
      <c r="M44" s="53">
        <v>0</v>
      </c>
      <c r="N44" s="27">
        <v>0</v>
      </c>
      <c r="O44" s="54">
        <v>0</v>
      </c>
      <c r="P44" s="23">
        <v>106454.02000000003</v>
      </c>
      <c r="Q44" s="54">
        <v>6.1377950587420751E-2</v>
      </c>
      <c r="R44" s="21"/>
      <c r="T44" s="27">
        <v>910.68859863259456</v>
      </c>
      <c r="U44" s="53">
        <v>3.7612388388263726E-3</v>
      </c>
      <c r="V44" s="27">
        <v>81961.973876933509</v>
      </c>
      <c r="W44" s="53">
        <v>4.9873164302260548E-2</v>
      </c>
      <c r="X44" s="27">
        <v>8196.1973876933498</v>
      </c>
      <c r="Y44" s="53">
        <v>8.8118114064936373E-2</v>
      </c>
      <c r="Z44" s="27">
        <v>0</v>
      </c>
      <c r="AA44" s="53">
        <v>0</v>
      </c>
      <c r="AB44" s="27">
        <v>0</v>
      </c>
      <c r="AC44" s="54">
        <v>0</v>
      </c>
      <c r="AD44" s="23">
        <v>91068.859863259451</v>
      </c>
      <c r="AE44" s="54">
        <v>4.4420250509594431E-2</v>
      </c>
      <c r="AF44" s="21"/>
      <c r="AH44" s="23">
        <v>-3029.3999999999996</v>
      </c>
      <c r="AI44" s="53">
        <v>-1.8207854067902297E-2</v>
      </c>
      <c r="AJ44" s="23">
        <v>68900.470000000016</v>
      </c>
      <c r="AK44" s="53">
        <v>5.6193947887849892E-2</v>
      </c>
      <c r="AL44" s="23">
        <v>2513.39</v>
      </c>
      <c r="AM44" s="53">
        <v>5.9327697014459974E-2</v>
      </c>
      <c r="AN44" s="23">
        <v>0</v>
      </c>
      <c r="AO44" s="53">
        <v>0</v>
      </c>
      <c r="AP44" s="32">
        <v>0</v>
      </c>
      <c r="AQ44" s="54">
        <v>0</v>
      </c>
      <c r="AR44" s="23">
        <v>68384.460000000021</v>
      </c>
      <c r="AS44" s="53">
        <v>4.3006806593898307E-2</v>
      </c>
      <c r="AT44" s="21"/>
      <c r="AV44" s="29">
        <f t="shared" si="22"/>
        <v>-3940.0885986325943</v>
      </c>
      <c r="AW44" s="55">
        <f t="shared" si="23"/>
        <v>-2.1969092906728669</v>
      </c>
      <c r="AX44" s="29">
        <f t="shared" si="24"/>
        <v>-13061.503876933493</v>
      </c>
      <c r="AY44" s="55">
        <f t="shared" si="25"/>
        <v>0.63207835855893446</v>
      </c>
      <c r="AZ44" s="29">
        <f t="shared" si="26"/>
        <v>-5682.8073876933504</v>
      </c>
      <c r="BA44" s="55">
        <f t="shared" si="27"/>
        <v>-2.8790417050476398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-22684.39986325943</v>
      </c>
      <c r="BG44" s="55">
        <f t="shared" si="33"/>
        <v>-0.14134439156961234</v>
      </c>
      <c r="BH44" s="57"/>
    </row>
    <row r="45" spans="1:61" outlineLevel="1">
      <c r="B45" s="26" t="s">
        <v>47</v>
      </c>
      <c r="E45" s="69" t="s">
        <v>47</v>
      </c>
      <c r="F45" s="27">
        <v>3661.2</v>
      </c>
      <c r="G45" s="53">
        <v>9.2471206617656988E-3</v>
      </c>
      <c r="H45" s="27">
        <v>14954.35</v>
      </c>
      <c r="I45" s="53">
        <v>1.3378715048421736E-2</v>
      </c>
      <c r="J45" s="27">
        <v>1691.22</v>
      </c>
      <c r="K45" s="53">
        <v>1.4443322075099605E-2</v>
      </c>
      <c r="L45" s="27">
        <v>0</v>
      </c>
      <c r="M45" s="53">
        <v>0</v>
      </c>
      <c r="N45" s="27">
        <v>0</v>
      </c>
      <c r="O45" s="54">
        <v>0</v>
      </c>
      <c r="P45" s="23">
        <v>20306.77</v>
      </c>
      <c r="Q45" s="54">
        <v>1.1708227887026886E-2</v>
      </c>
      <c r="R45" s="21"/>
      <c r="T45" s="27">
        <v>7976.9355924293104</v>
      </c>
      <c r="U45" s="53">
        <v>3.2945575480039548E-2</v>
      </c>
      <c r="V45" s="27">
        <v>30854.158228505592</v>
      </c>
      <c r="W45" s="53">
        <v>1.8774492974616676E-2</v>
      </c>
      <c r="X45" s="27">
        <v>1966.0006885717989</v>
      </c>
      <c r="Y45" s="53">
        <v>2.1136664325268052E-2</v>
      </c>
      <c r="Z45" s="27">
        <v>0</v>
      </c>
      <c r="AA45" s="53">
        <v>0</v>
      </c>
      <c r="AB45" s="27">
        <v>0</v>
      </c>
      <c r="AC45" s="54">
        <v>0</v>
      </c>
      <c r="AD45" s="23">
        <v>40797.0945095067</v>
      </c>
      <c r="AE45" s="54">
        <v>1.989941634162264E-2</v>
      </c>
      <c r="AF45" s="21"/>
      <c r="AH45" s="23">
        <v>4555.91</v>
      </c>
      <c r="AI45" s="53">
        <v>2.7382763724333785E-2</v>
      </c>
      <c r="AJ45" s="23">
        <v>35642.76</v>
      </c>
      <c r="AK45" s="53">
        <v>2.9069575258617832E-2</v>
      </c>
      <c r="AL45" s="23">
        <v>1962.79</v>
      </c>
      <c r="AM45" s="53">
        <v>4.6330975464616272E-2</v>
      </c>
      <c r="AN45" s="23">
        <v>0</v>
      </c>
      <c r="AO45" s="53">
        <v>0</v>
      </c>
      <c r="AP45" s="32">
        <v>0</v>
      </c>
      <c r="AQ45" s="54">
        <v>0</v>
      </c>
      <c r="AR45" s="23">
        <v>42161.46</v>
      </c>
      <c r="AS45" s="53">
        <v>2.6515231032552995E-2</v>
      </c>
      <c r="AT45" s="21"/>
      <c r="AV45" s="29">
        <f t="shared" si="22"/>
        <v>-3421.0255924293106</v>
      </c>
      <c r="AW45" s="55">
        <f t="shared" si="23"/>
        <v>-0.55628117557057633</v>
      </c>
      <c r="AX45" s="29">
        <f t="shared" si="24"/>
        <v>4788.6017714944101</v>
      </c>
      <c r="AY45" s="55">
        <f t="shared" si="25"/>
        <v>1.0295082284001156</v>
      </c>
      <c r="AZ45" s="29">
        <f t="shared" si="26"/>
        <v>-3.2106885717989826</v>
      </c>
      <c r="BA45" s="55">
        <f t="shared" si="27"/>
        <v>2.519431113934822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1364.3654904932991</v>
      </c>
      <c r="BG45" s="55">
        <f t="shared" si="33"/>
        <v>0.66158146909303561</v>
      </c>
      <c r="BH45" s="57"/>
    </row>
    <row r="46" spans="1:61" outlineLevel="1">
      <c r="B46" s="26" t="s">
        <v>48</v>
      </c>
      <c r="E46" s="69" t="s">
        <v>48</v>
      </c>
      <c r="F46" s="27">
        <v>9070.44</v>
      </c>
      <c r="G46" s="53">
        <v>2.2909279235033889E-2</v>
      </c>
      <c r="H46" s="27">
        <v>42128.959999999999</v>
      </c>
      <c r="I46" s="53">
        <v>3.7690127028346759E-2</v>
      </c>
      <c r="J46" s="27">
        <v>2402.29</v>
      </c>
      <c r="K46" s="53">
        <v>2.0515987386496747E-2</v>
      </c>
      <c r="L46" s="27">
        <v>0</v>
      </c>
      <c r="M46" s="53">
        <v>0</v>
      </c>
      <c r="N46" s="27">
        <v>0</v>
      </c>
      <c r="O46" s="54">
        <v>0</v>
      </c>
      <c r="P46" s="23">
        <v>53601.69</v>
      </c>
      <c r="Q46" s="54">
        <v>3.0905003683489307E-2</v>
      </c>
      <c r="R46" s="21"/>
      <c r="T46" s="27">
        <v>6324.3176281702808</v>
      </c>
      <c r="U46" s="53">
        <v>2.6120091025477975E-2</v>
      </c>
      <c r="V46" s="27">
        <v>55804.883058912448</v>
      </c>
      <c r="W46" s="53">
        <v>3.3956796914682903E-2</v>
      </c>
      <c r="X46" s="27">
        <v>9688.1932233488205</v>
      </c>
      <c r="Y46" s="53">
        <v>0.10415870618489981</v>
      </c>
      <c r="Z46" s="27">
        <v>0</v>
      </c>
      <c r="AA46" s="53">
        <v>0</v>
      </c>
      <c r="AB46" s="27">
        <v>0</v>
      </c>
      <c r="AC46" s="54">
        <v>0</v>
      </c>
      <c r="AD46" s="23">
        <v>71817.39391043155</v>
      </c>
      <c r="AE46" s="54">
        <v>3.5030049055600553E-2</v>
      </c>
      <c r="AF46" s="21"/>
      <c r="AH46" s="23">
        <v>6781.51</v>
      </c>
      <c r="AI46" s="53">
        <v>4.0759471987859029E-2</v>
      </c>
      <c r="AJ46" s="23">
        <v>58926.020000000004</v>
      </c>
      <c r="AK46" s="53">
        <v>4.8058971108882131E-2</v>
      </c>
      <c r="AL46" s="23">
        <v>4182.4400000000005</v>
      </c>
      <c r="AM46" s="53">
        <v>9.872504191596132E-2</v>
      </c>
      <c r="AN46" s="23">
        <v>0</v>
      </c>
      <c r="AO46" s="53">
        <v>0</v>
      </c>
      <c r="AP46" s="32">
        <v>0</v>
      </c>
      <c r="AQ46" s="54">
        <v>0</v>
      </c>
      <c r="AR46" s="23">
        <v>69889.97</v>
      </c>
      <c r="AS46" s="53">
        <v>4.3953617863522705E-2</v>
      </c>
      <c r="AT46" s="21"/>
      <c r="AV46" s="29">
        <f t="shared" si="22"/>
        <v>457.19237182971938</v>
      </c>
      <c r="AW46" s="55">
        <f t="shared" si="23"/>
        <v>1.4639380962381054</v>
      </c>
      <c r="AX46" s="29">
        <f t="shared" si="24"/>
        <v>3121.1369410875559</v>
      </c>
      <c r="AY46" s="55">
        <f t="shared" si="25"/>
        <v>1.4102174194199228</v>
      </c>
      <c r="AZ46" s="29">
        <f t="shared" si="26"/>
        <v>-5505.75322334882</v>
      </c>
      <c r="BA46" s="55">
        <f t="shared" si="27"/>
        <v>-0.54336642689384873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-1927.4239104315493</v>
      </c>
      <c r="BG46" s="55">
        <f t="shared" si="33"/>
        <v>0.89235688079221531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1879.1100000000006</v>
      </c>
      <c r="G47" s="53">
        <v>4.7460824065144076E-3</v>
      </c>
      <c r="H47" s="23">
        <v>56910.73</v>
      </c>
      <c r="I47" s="53">
        <v>5.0914445620683375E-2</v>
      </c>
      <c r="J47" s="23">
        <v>4290.82</v>
      </c>
      <c r="K47" s="53">
        <v>3.6644372243870627E-2</v>
      </c>
      <c r="L47" s="23">
        <v>0</v>
      </c>
      <c r="M47" s="53">
        <v>0</v>
      </c>
      <c r="N47" s="32">
        <v>0</v>
      </c>
      <c r="O47" s="54">
        <v>0</v>
      </c>
      <c r="P47" s="23">
        <v>63080.66</v>
      </c>
      <c r="Q47" s="54">
        <v>3.6370271714510058E-2</v>
      </c>
      <c r="R47" s="21"/>
      <c r="T47" s="23">
        <v>1348.6315715274804</v>
      </c>
      <c r="U47" s="53">
        <v>5.5699889662756729E-3</v>
      </c>
      <c r="V47" s="23">
        <v>91437.779286264922</v>
      </c>
      <c r="W47" s="53">
        <v>5.5639111335032472E-2</v>
      </c>
      <c r="X47" s="23">
        <v>8347.6687492054516</v>
      </c>
      <c r="Y47" s="53">
        <v>8.9746597382253226E-2</v>
      </c>
      <c r="Z47" s="23">
        <v>0</v>
      </c>
      <c r="AA47" s="53">
        <v>0</v>
      </c>
      <c r="AB47" s="23">
        <v>0</v>
      </c>
      <c r="AC47" s="54">
        <v>0</v>
      </c>
      <c r="AD47" s="23">
        <v>101134.07960699785</v>
      </c>
      <c r="AE47" s="54">
        <v>4.9329717731675597E-2</v>
      </c>
      <c r="AF47" s="21"/>
      <c r="AH47" s="23">
        <v>1411.89</v>
      </c>
      <c r="AI47" s="53">
        <v>8.4859995642472385E-3</v>
      </c>
      <c r="AJ47" s="23">
        <v>52858.34</v>
      </c>
      <c r="AK47" s="53">
        <v>4.3110283622132775E-2</v>
      </c>
      <c r="AL47" s="23">
        <v>4633.49</v>
      </c>
      <c r="AM47" s="53">
        <v>0.10937192033052179</v>
      </c>
      <c r="AN47" s="23">
        <v>0</v>
      </c>
      <c r="AO47" s="53">
        <v>0</v>
      </c>
      <c r="AP47" s="32">
        <v>0</v>
      </c>
      <c r="AQ47" s="54">
        <v>0</v>
      </c>
      <c r="AR47" s="23">
        <v>58903.719999999994</v>
      </c>
      <c r="AS47" s="53">
        <v>3.704439420448942E-2</v>
      </c>
      <c r="AT47" s="21"/>
      <c r="AV47" s="29">
        <f t="shared" si="22"/>
        <v>63.258428472519654</v>
      </c>
      <c r="AW47" s="55">
        <f t="shared" si="23"/>
        <v>0.29160105979715656</v>
      </c>
      <c r="AX47" s="29">
        <f t="shared" si="24"/>
        <v>-38579.439286264926</v>
      </c>
      <c r="AY47" s="55">
        <f t="shared" si="25"/>
        <v>-1.2528827712899697</v>
      </c>
      <c r="AZ47" s="29">
        <f t="shared" si="26"/>
        <v>-3714.1787492054518</v>
      </c>
      <c r="BA47" s="55">
        <f t="shared" si="27"/>
        <v>1.9625322948268562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-42230.359606997859</v>
      </c>
      <c r="BG47" s="55">
        <f t="shared" si="33"/>
        <v>-1.2285323527186178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4581.84</v>
      </c>
      <c r="G48" s="53">
        <v>1.1572388105786232E-2</v>
      </c>
      <c r="H48" s="23">
        <v>36321.019999999997</v>
      </c>
      <c r="I48" s="53">
        <v>3.2494128922221747E-2</v>
      </c>
      <c r="J48" s="23">
        <v>8319.32</v>
      </c>
      <c r="K48" s="53">
        <v>7.1048484647661239E-2</v>
      </c>
      <c r="L48" s="23">
        <v>0</v>
      </c>
      <c r="M48" s="53">
        <v>0</v>
      </c>
      <c r="N48" s="32">
        <v>0</v>
      </c>
      <c r="O48" s="54">
        <v>0</v>
      </c>
      <c r="P48" s="23">
        <v>49222.18</v>
      </c>
      <c r="Q48" s="54">
        <v>2.8379919629574622E-2</v>
      </c>
      <c r="R48" s="21"/>
      <c r="T48" s="23">
        <v>4167.9020194297646</v>
      </c>
      <c r="U48" s="53">
        <v>1.7213869785391449E-2</v>
      </c>
      <c r="V48" s="23">
        <v>73033.40005081681</v>
      </c>
      <c r="W48" s="53">
        <v>4.4440203035571231E-2</v>
      </c>
      <c r="X48" s="23">
        <v>5618.2326604596155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82819.534730706189</v>
      </c>
      <c r="AE48" s="54">
        <v>4.0396514081211372E-2</v>
      </c>
      <c r="AF48" s="21"/>
      <c r="AH48" s="23">
        <v>1688.53</v>
      </c>
      <c r="AI48" s="53">
        <v>1.0148711899806916E-2</v>
      </c>
      <c r="AJ48" s="23">
        <v>66167.28</v>
      </c>
      <c r="AK48" s="53">
        <v>5.3964808719022837E-2</v>
      </c>
      <c r="AL48" s="23">
        <v>2627.46</v>
      </c>
      <c r="AM48" s="53">
        <v>6.2020279700966824E-2</v>
      </c>
      <c r="AN48" s="23">
        <v>0</v>
      </c>
      <c r="AO48" s="53">
        <v>0</v>
      </c>
      <c r="AP48" s="23">
        <v>0</v>
      </c>
      <c r="AQ48" s="54">
        <v>0</v>
      </c>
      <c r="AR48" s="23">
        <v>70483.27</v>
      </c>
      <c r="AS48" s="53">
        <v>4.4326742669248451E-2</v>
      </c>
      <c r="AT48" s="21"/>
      <c r="AV48" s="29">
        <f t="shared" si="22"/>
        <v>-2479.3720194297648</v>
      </c>
      <c r="AW48" s="55">
        <f t="shared" si="23"/>
        <v>-0.70651578855845332</v>
      </c>
      <c r="AX48" s="29">
        <f t="shared" si="24"/>
        <v>-6866.1200508168113</v>
      </c>
      <c r="AY48" s="55">
        <f t="shared" si="25"/>
        <v>0.95246056834516057</v>
      </c>
      <c r="AZ48" s="29">
        <f t="shared" si="26"/>
        <v>-2990.7726604596155</v>
      </c>
      <c r="BA48" s="55">
        <f t="shared" si="27"/>
        <v>0.16181147700587845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-12336.264730706185</v>
      </c>
      <c r="BG48" s="55">
        <f t="shared" si="33"/>
        <v>0.3930228588037078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224320.38</v>
      </c>
      <c r="I49" s="53">
        <v>0.20068531521421407</v>
      </c>
      <c r="J49" s="23">
        <v>43617.85</v>
      </c>
      <c r="K49" s="53">
        <v>0.37250426069546438</v>
      </c>
      <c r="L49" s="23">
        <v>0</v>
      </c>
      <c r="M49" s="53">
        <v>0</v>
      </c>
      <c r="N49" s="32">
        <v>0</v>
      </c>
      <c r="O49" s="54">
        <v>0</v>
      </c>
      <c r="P49" s="23">
        <v>267938.23</v>
      </c>
      <c r="Q49" s="54">
        <v>0.15448453183281355</v>
      </c>
      <c r="R49" s="21"/>
      <c r="T49" s="23">
        <v>0</v>
      </c>
      <c r="U49" s="53">
        <v>0</v>
      </c>
      <c r="V49" s="23">
        <v>268459.80781667196</v>
      </c>
      <c r="W49" s="53">
        <v>0.16335551073840365</v>
      </c>
      <c r="X49" s="23">
        <v>31517.934583316604</v>
      </c>
      <c r="Y49" s="53">
        <v>0.33885237547768593</v>
      </c>
      <c r="Z49" s="23">
        <v>0</v>
      </c>
      <c r="AA49" s="53">
        <v>0</v>
      </c>
      <c r="AB49" s="23">
        <v>0</v>
      </c>
      <c r="AC49" s="54">
        <v>0</v>
      </c>
      <c r="AD49" s="23">
        <v>299977.74239998858</v>
      </c>
      <c r="AE49" s="54">
        <v>0.14631880189032556</v>
      </c>
      <c r="AF49" s="21"/>
      <c r="AH49" s="23">
        <v>0</v>
      </c>
      <c r="AI49" s="53">
        <v>0</v>
      </c>
      <c r="AJ49" s="23">
        <v>224479.77</v>
      </c>
      <c r="AK49" s="53">
        <v>0.18308154497721896</v>
      </c>
      <c r="AL49" s="23">
        <v>0</v>
      </c>
      <c r="AM49" s="53">
        <v>0</v>
      </c>
      <c r="AN49" s="23">
        <v>0</v>
      </c>
      <c r="AO49" s="53">
        <v>0</v>
      </c>
      <c r="AP49" s="32">
        <v>0</v>
      </c>
      <c r="AQ49" s="54">
        <v>0</v>
      </c>
      <c r="AR49" s="23">
        <v>224479.77</v>
      </c>
      <c r="AS49" s="53">
        <v>0.14117473549740353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-43980.037816671975</v>
      </c>
      <c r="AY49" s="55">
        <f t="shared" si="25"/>
        <v>1.9726034238815304</v>
      </c>
      <c r="AZ49" s="29">
        <f t="shared" si="26"/>
        <v>-31517.934583316604</v>
      </c>
      <c r="BA49" s="55">
        <f t="shared" si="27"/>
        <v>-33.88523754776859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-75497.97239998859</v>
      </c>
      <c r="BG49" s="55">
        <f t="shared" si="33"/>
        <v>-0.51440663929220309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18184.755000000005</v>
      </c>
      <c r="G51" s="36">
        <v>4.5929373890977586E-2</v>
      </c>
      <c r="H51" s="35">
        <v>472542.20000000007</v>
      </c>
      <c r="I51" s="36">
        <v>0.42275374336927479</v>
      </c>
      <c r="J51" s="35">
        <v>69876.595000000001</v>
      </c>
      <c r="K51" s="36">
        <v>0.59675865179946708</v>
      </c>
      <c r="L51" s="35">
        <v>0</v>
      </c>
      <c r="M51" s="36">
        <v>0</v>
      </c>
      <c r="N51" s="37">
        <v>0</v>
      </c>
      <c r="O51" s="70">
        <v>0</v>
      </c>
      <c r="P51" s="35">
        <v>560603.55000000005</v>
      </c>
      <c r="Q51" s="70">
        <v>0.3232259053348352</v>
      </c>
      <c r="R51" s="21"/>
      <c r="T51" s="35">
        <v>20728.475410189432</v>
      </c>
      <c r="U51" s="36">
        <v>8.5610764096011024E-2</v>
      </c>
      <c r="V51" s="35">
        <v>601552.00231810519</v>
      </c>
      <c r="W51" s="36">
        <v>0.36603927930056745</v>
      </c>
      <c r="X51" s="35">
        <v>65334.227292595642</v>
      </c>
      <c r="Y51" s="36">
        <v>0.70241462236595142</v>
      </c>
      <c r="Z51" s="35">
        <v>0</v>
      </c>
      <c r="AA51" s="36">
        <v>0</v>
      </c>
      <c r="AB51" s="37">
        <v>0</v>
      </c>
      <c r="AC51" s="70">
        <v>0</v>
      </c>
      <c r="AD51" s="35">
        <v>687614.70502089034</v>
      </c>
      <c r="AE51" s="70">
        <v>0.33539474961003013</v>
      </c>
      <c r="AF51" s="21"/>
      <c r="AH51" s="35">
        <v>11408.44</v>
      </c>
      <c r="AI51" s="36">
        <v>6.8569093108344664E-2</v>
      </c>
      <c r="AJ51" s="35">
        <v>506974.64</v>
      </c>
      <c r="AK51" s="36">
        <v>0.4134791315737244</v>
      </c>
      <c r="AL51" s="35">
        <v>15919.57</v>
      </c>
      <c r="AM51" s="36">
        <v>0.37577591442652614</v>
      </c>
      <c r="AN51" s="35">
        <v>0</v>
      </c>
      <c r="AO51" s="36">
        <v>0</v>
      </c>
      <c r="AP51" s="37">
        <v>0</v>
      </c>
      <c r="AQ51" s="70">
        <v>0</v>
      </c>
      <c r="AR51" s="35">
        <v>534302.65</v>
      </c>
      <c r="AS51" s="36">
        <v>0.33602152786111539</v>
      </c>
      <c r="AT51" s="21"/>
      <c r="AV51" s="38">
        <f t="shared" si="22"/>
        <v>-9320.0354101894318</v>
      </c>
      <c r="AW51" s="39">
        <f>(AI51-U51)*100</f>
        <v>-1.704167098766636</v>
      </c>
      <c r="AX51" s="38">
        <f t="shared" si="24"/>
        <v>-94577.362318105181</v>
      </c>
      <c r="AY51" s="39">
        <f>(AK51-W51)*100</f>
        <v>4.7439852273156946</v>
      </c>
      <c r="AZ51" s="38">
        <f t="shared" si="26"/>
        <v>-49414.657292595643</v>
      </c>
      <c r="BA51" s="39">
        <f>(AM51-Y51)*100</f>
        <v>-32.663870793942529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-153312.05502089032</v>
      </c>
      <c r="BG51" s="39">
        <f>(AS51-AE51)*100</f>
        <v>6.267782510852582E-2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196023.67500000002</v>
      </c>
      <c r="G53" s="36">
        <v>0.49509848554783797</v>
      </c>
      <c r="H53" s="35">
        <v>251412.50999999989</v>
      </c>
      <c r="I53" s="36">
        <v>0.2249229375331244</v>
      </c>
      <c r="J53" s="35">
        <v>17483.024999999994</v>
      </c>
      <c r="K53" s="36">
        <v>0.14930816861320123</v>
      </c>
      <c r="L53" s="35">
        <v>103607.69</v>
      </c>
      <c r="M53" s="36">
        <v>1</v>
      </c>
      <c r="N53" s="37">
        <v>-25644.18</v>
      </c>
      <c r="O53" s="70">
        <v>0</v>
      </c>
      <c r="P53" s="35">
        <v>542882.72</v>
      </c>
      <c r="Q53" s="70">
        <v>0.31300864695315933</v>
      </c>
      <c r="R53" s="21"/>
      <c r="T53" s="35">
        <v>104966.66883972629</v>
      </c>
      <c r="U53" s="36">
        <v>0.43352328360650016</v>
      </c>
      <c r="V53" s="35">
        <v>421639.07650319755</v>
      </c>
      <c r="W53" s="36">
        <v>0.25656379347661612</v>
      </c>
      <c r="X53" s="35">
        <v>-7423.5725672153712</v>
      </c>
      <c r="Y53" s="36">
        <v>-7.9811549588767766E-2</v>
      </c>
      <c r="Z53" s="35">
        <v>71618.645000000004</v>
      </c>
      <c r="AA53" s="36">
        <v>1</v>
      </c>
      <c r="AB53" s="37">
        <v>0</v>
      </c>
      <c r="AC53" s="70">
        <v>0</v>
      </c>
      <c r="AD53" s="35">
        <v>590800.81777570839</v>
      </c>
      <c r="AE53" s="70">
        <v>0.28817227278649421</v>
      </c>
      <c r="AF53" s="21"/>
      <c r="AH53" s="35">
        <v>65759.14</v>
      </c>
      <c r="AI53" s="36">
        <v>0.39523761297641674</v>
      </c>
      <c r="AJ53" s="35">
        <v>218240.74</v>
      </c>
      <c r="AK53" s="36">
        <v>0.17799310760239798</v>
      </c>
      <c r="AL53" s="35">
        <v>9908.5499999999993</v>
      </c>
      <c r="AM53" s="36">
        <v>0.23388787742953834</v>
      </c>
      <c r="AN53" s="35">
        <v>52068.25</v>
      </c>
      <c r="AO53" s="36">
        <v>1</v>
      </c>
      <c r="AP53" s="37">
        <v>19268.86</v>
      </c>
      <c r="AQ53" s="70">
        <v>0.18679702192837894</v>
      </c>
      <c r="AR53" s="35">
        <v>365245.53999999992</v>
      </c>
      <c r="AS53" s="36">
        <v>0.22970195711224362</v>
      </c>
      <c r="AT53" s="21"/>
      <c r="AV53" s="38">
        <f t="shared" ref="AV53" si="34">AH53-T53</f>
        <v>-39207.528839726292</v>
      </c>
      <c r="AW53" s="39">
        <f>(AI53-U53)*100</f>
        <v>-3.8285670630083422</v>
      </c>
      <c r="AX53" s="38">
        <f t="shared" ref="AX53" si="35">AJ53-V53</f>
        <v>-203398.33650319756</v>
      </c>
      <c r="AY53" s="39">
        <f>(AK53-W53)*100</f>
        <v>-7.8570685874218142</v>
      </c>
      <c r="AZ53" s="38">
        <f t="shared" ref="AZ53" si="36">AL53-X53</f>
        <v>17332.122567215371</v>
      </c>
      <c r="BA53" s="39">
        <f>(AM53-Y53)*100</f>
        <v>31.36994270183061</v>
      </c>
      <c r="BB53" s="38">
        <f>AN53-Z53</f>
        <v>-19550.395000000004</v>
      </c>
      <c r="BC53" s="39">
        <f>(AO53-AA53)*100</f>
        <v>0</v>
      </c>
      <c r="BD53" s="38">
        <f t="shared" ref="BD53" si="37">AP53-AB53</f>
        <v>19268.86</v>
      </c>
      <c r="BE53" s="39">
        <f>(AQ53-AC53)*100</f>
        <v>18.679702192837894</v>
      </c>
      <c r="BF53" s="38">
        <f t="shared" ref="BF53" si="38">AR53-AD53</f>
        <v>-225555.27777570847</v>
      </c>
      <c r="BG53" s="39">
        <f>(AS53-AE53)*100</f>
        <v>-5.8470315674250593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-9.9860872571421233E-2</v>
      </c>
      <c r="AJ54" s="92"/>
      <c r="AK54" s="92">
        <f>+AK53-I53</f>
        <v>-4.6929829930726419E-2</v>
      </c>
      <c r="AL54" s="92"/>
      <c r="AM54" s="92">
        <f>+AM53-K53</f>
        <v>8.4579708816337112E-2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372324.82999999996</v>
      </c>
      <c r="Q56" s="53">
        <v>0.21467047480414383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371218.24180966505</v>
      </c>
      <c r="AE56" s="53">
        <v>0.1810674616952028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338932.07</v>
      </c>
      <c r="AS56" s="53">
        <v>0.21315348520642843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-32286.171809665044</v>
      </c>
      <c r="BG56" s="55">
        <f t="shared" ref="BG56:BG78" si="40">(AS56-AE56)*100</f>
        <v>3.2086023511225639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256076.62</v>
      </c>
      <c r="Q57" s="53">
        <v>0.14764551051199115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257625.17416666666</v>
      </c>
      <c r="AE57" s="53">
        <v>0.12566067908661796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245881.47</v>
      </c>
      <c r="AS57" s="53">
        <v>0.15463420820042165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-11743.704166666663</v>
      </c>
      <c r="BG57" s="55">
        <f t="shared" si="40"/>
        <v>2.8973529113803687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23771.91</v>
      </c>
      <c r="Q58" s="53">
        <v>1.3706115723470216E-2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36305.515392998401</v>
      </c>
      <c r="AE58" s="53">
        <v>1.7708578882599458E-2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55235.03</v>
      </c>
      <c r="AS58" s="53">
        <v>3.473716473623057E-2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18929.514607001598</v>
      </c>
      <c r="BG58" s="55">
        <f t="shared" si="40"/>
        <v>1.7028585853631113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53538.8</v>
      </c>
      <c r="Q59" s="53">
        <v>3.0868743340174486E-2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77287.552249999993</v>
      </c>
      <c r="AE59" s="53">
        <v>3.7698203725985389E-2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37815.57</v>
      </c>
      <c r="AS59" s="53">
        <v>2.3782112269776241E-2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-39471.982249999994</v>
      </c>
      <c r="BG59" s="55">
        <f t="shared" si="40"/>
        <v>-1.391609145620915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38937.5</v>
      </c>
      <c r="Q60" s="53">
        <v>2.2450105228507999E-2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64574.020000000004</v>
      </c>
      <c r="Q61" s="53">
        <v>3.7231294870697401E-2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67847.761781100387</v>
      </c>
      <c r="AE61" s="53">
        <v>3.3093799344331647E-2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87554.580000000016</v>
      </c>
      <c r="AS61" s="53">
        <v>5.5062844518623033E-2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19706.818218899629</v>
      </c>
      <c r="BG61" s="55">
        <f t="shared" si="40"/>
        <v>2.1969045174291386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41125.5</v>
      </c>
      <c r="Q62" s="53">
        <v>2.3711635379133372E-2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0</v>
      </c>
      <c r="Q64" s="53">
        <v>0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8167.82</v>
      </c>
      <c r="Q66" s="53">
        <v>4.709301277367889E-3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5340</v>
      </c>
      <c r="Q67" s="53">
        <v>3.0788715741953826E-3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9940.7000000000007</v>
      </c>
      <c r="Q68" s="53">
        <v>5.7314866400007564E-3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66282.749999999985</v>
      </c>
      <c r="Q70" s="53">
        <v>3.8216493414700174E-2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78673.780414544468</v>
      </c>
      <c r="AE70" s="53">
        <v>3.8374358038502074E-2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117665.74000000003</v>
      </c>
      <c r="AS70" s="53">
        <v>7.3999673652580186E-2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38991.959585455566</v>
      </c>
      <c r="BG70" s="55">
        <f t="shared" si="40"/>
        <v>3.5625315614078112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22697.039999999994</v>
      </c>
      <c r="Q71" s="53">
        <v>1.3086380388459839E-2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10904.929703609954</v>
      </c>
      <c r="AE71" s="53">
        <v>5.319048793969763E-3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1279.4900000000002</v>
      </c>
      <c r="AS71" s="53">
        <v>8.0466788754092575E-4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-9625.4397036099544</v>
      </c>
      <c r="BG71" s="55">
        <f t="shared" si="40"/>
        <v>-0.45143809064288376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24617.97</v>
      </c>
      <c r="Q72" s="53">
        <v>1.4193926600635712E-2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1.2027512616364439E-2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24665.13</v>
      </c>
      <c r="AS72" s="53">
        <v>1.5511835225771448E-2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6.7400000000016007</v>
      </c>
      <c r="BG72" s="55">
        <f t="shared" si="40"/>
        <v>0.3484322609407009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31948.820000000003</v>
      </c>
      <c r="Q73" s="53">
        <v>1.8420658001326765E-2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14970.284530817797</v>
      </c>
      <c r="AE73" s="53">
        <v>7.3019887375038051E-3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1935.81</v>
      </c>
      <c r="AS73" s="53">
        <v>1.2174258051103168E-3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-13034.474530817797</v>
      </c>
      <c r="BG73" s="55">
        <f t="shared" si="40"/>
        <v>-0.60845629323934891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4130.16</v>
      </c>
      <c r="Q74" s="53">
        <v>2.3813168952956554E-3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3867.5262140005184</v>
      </c>
      <c r="AE74" s="53">
        <v>1.8864459655724252E-3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4022.2</v>
      </c>
      <c r="AS74" s="53">
        <v>2.5295509752066144E-3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154.67378599948142</v>
      </c>
      <c r="BG74" s="55">
        <f t="shared" si="40"/>
        <v>6.4310500963418921E-2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26039.11</v>
      </c>
      <c r="Q75" s="53">
        <v>1.501331003676905E-2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28249.567518292239</v>
      </c>
      <c r="AE75" s="53">
        <v>1.377916521448071E-2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25767.690000000006</v>
      </c>
      <c r="AS75" s="53">
        <v>1.6205232302799896E-2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-2481.8775182922327</v>
      </c>
      <c r="BG75" s="55">
        <f t="shared" si="40"/>
        <v>0.24260670883191859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612614.69999999995</v>
      </c>
      <c r="Q76" s="36">
        <v>0.35321385501202845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600390.48197203036</v>
      </c>
      <c r="AE76" s="36">
        <v>0.29284978040592763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601822.71000000008</v>
      </c>
      <c r="AS76" s="36">
        <v>0.37848471557406088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1432.2280279697152</v>
      </c>
      <c r="BG76" s="39">
        <f t="shared" si="40"/>
        <v>8.5634935168133257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-69731.979999999981</v>
      </c>
      <c r="Q78" s="36">
        <v>-4.0205208058869076E-2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-9589.6641963219736</v>
      </c>
      <c r="AE78" s="36">
        <v>-4.6775076194334221E-3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-236577.17000000016</v>
      </c>
      <c r="AS78" s="36">
        <v>-0.14878275846181727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-226987.50580367818</v>
      </c>
      <c r="BG78" s="39">
        <f t="shared" si="40"/>
        <v>-14.410525084238385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251" priority="53" operator="greaterThanOrEqual">
      <formula>1</formula>
    </cfRule>
    <cfRule type="cellIs" dxfId="250" priority="52" operator="lessThanOrEqual">
      <formula>-1</formula>
    </cfRule>
  </conditionalFormatting>
  <conditionalFormatting sqref="U33:U34 Y33:Y34 AA33:AA34 AC33:AC34">
    <cfRule type="cellIs" dxfId="249" priority="49" operator="greaterThanOrEqual">
      <formula>0.0001</formula>
    </cfRule>
    <cfRule type="cellIs" dxfId="248" priority="48" operator="lessThanOrEqual">
      <formula>-0.0001</formula>
    </cfRule>
  </conditionalFormatting>
  <conditionalFormatting sqref="AB33:AB34">
    <cfRule type="cellIs" dxfId="247" priority="51" operator="greaterThanOrEqual">
      <formula>1</formula>
    </cfRule>
    <cfRule type="cellIs" dxfId="246" priority="50" operator="lessThanOrEqual">
      <formula>-1</formula>
    </cfRule>
  </conditionalFormatting>
  <conditionalFormatting sqref="AD33:AD34">
    <cfRule type="cellIs" dxfId="245" priority="47" operator="greaterThanOrEqual">
      <formula>1</formula>
    </cfRule>
    <cfRule type="cellIs" dxfId="244" priority="46" operator="lessThanOrEqual">
      <formula>-1</formula>
    </cfRule>
  </conditionalFormatting>
  <conditionalFormatting sqref="AE33:AE34">
    <cfRule type="cellIs" dxfId="243" priority="45" operator="greaterThanOrEqual">
      <formula>0.0001</formula>
    </cfRule>
    <cfRule type="cellIs" dxfId="242" priority="44" operator="lessThanOrEqual">
      <formula>-0.0001</formula>
    </cfRule>
  </conditionalFormatting>
  <conditionalFormatting sqref="AH33:AH34 AJ33:AJ34 AL33:AL34 AN33:AN34">
    <cfRule type="cellIs" dxfId="241" priority="63" operator="greaterThanOrEqual">
      <formula>1</formula>
    </cfRule>
    <cfRule type="cellIs" dxfId="240" priority="62" operator="lessThanOrEqual">
      <formula>-1</formula>
    </cfRule>
  </conditionalFormatting>
  <conditionalFormatting sqref="AI33:AI34 AM33:AM34 AO33:AO34 AQ33:AQ34">
    <cfRule type="cellIs" dxfId="239" priority="59" operator="greaterThanOrEqual">
      <formula>0.0001</formula>
    </cfRule>
    <cfRule type="cellIs" dxfId="238" priority="58" operator="lessThanOrEqual">
      <formula>-0.0001</formula>
    </cfRule>
  </conditionalFormatting>
  <conditionalFormatting sqref="AK33:AK34">
    <cfRule type="cellIs" dxfId="237" priority="43" operator="greaterThanOrEqual">
      <formula>0.0001</formula>
    </cfRule>
    <cfRule type="cellIs" dxfId="236" priority="42" operator="lessThanOrEqual">
      <formula>-0.0001</formula>
    </cfRule>
  </conditionalFormatting>
  <conditionalFormatting sqref="AP33:AP34">
    <cfRule type="cellIs" dxfId="235" priority="60" operator="lessThanOrEqual">
      <formula>-1</formula>
    </cfRule>
    <cfRule type="cellIs" dxfId="234" priority="61" operator="greaterThanOrEqual">
      <formula>1</formula>
    </cfRule>
  </conditionalFormatting>
  <conditionalFormatting sqref="AR33:AR34">
    <cfRule type="cellIs" dxfId="233" priority="56" operator="lessThanOrEqual">
      <formula>-1</formula>
    </cfRule>
    <cfRule type="cellIs" dxfId="232" priority="57" operator="greaterThanOrEqual">
      <formula>1</formula>
    </cfRule>
  </conditionalFormatting>
  <conditionalFormatting sqref="AS33:AS34">
    <cfRule type="cellIs" dxfId="231" priority="55" operator="greaterThanOrEqual">
      <formula>0.0001</formula>
    </cfRule>
    <cfRule type="cellIs" dxfId="230" priority="54" operator="lessThanOrEqual">
      <formula>-0.0001</formula>
    </cfRule>
  </conditionalFormatting>
  <conditionalFormatting sqref="AV27:AV29 AX27:AX29 AZ27:AZ29 BB27:BB29 BF27:BF29 AV40 AX40 AZ40 BB40 BF40">
    <cfRule type="cellIs" dxfId="229" priority="31" operator="greaterThanOrEqual">
      <formula>0.000001</formula>
    </cfRule>
  </conditionalFormatting>
  <conditionalFormatting sqref="AV27:AV29 AX27:AX29 AZ27:AZ29 BB27:BB29 BF27:BF29">
    <cfRule type="cellIs" dxfId="228" priority="30" operator="lessThanOrEqual">
      <formula>-0.000001</formula>
    </cfRule>
  </conditionalFormatting>
  <conditionalFormatting sqref="AV33:AV34 AX33:AX34 AZ33:AZ34 BB33:BB34">
    <cfRule type="cellIs" dxfId="227" priority="41" operator="greaterThanOrEqual">
      <formula>1</formula>
    </cfRule>
    <cfRule type="cellIs" dxfId="226" priority="40" operator="lessThanOrEqual">
      <formula>-1</formula>
    </cfRule>
  </conditionalFormatting>
  <conditionalFormatting sqref="AV36 AX36 AZ36 BB36 BD36 BF36 AX43:AX51 AZ43:AZ51 BD43:BD51 BF43:BF51 AV43:AV52">
    <cfRule type="cellIs" dxfId="225" priority="28" operator="lessThanOrEqual">
      <formula>-0.000001</formula>
    </cfRule>
    <cfRule type="cellIs" dxfId="224" priority="29" operator="greaterThanOrEqual">
      <formula>0.00001</formula>
    </cfRule>
  </conditionalFormatting>
  <conditionalFormatting sqref="AV39 AX39 AZ39 BF39">
    <cfRule type="cellIs" dxfId="223" priority="14" operator="lessThanOrEqual">
      <formula>-0.00001</formula>
    </cfRule>
    <cfRule type="cellIs" dxfId="222" priority="15" operator="greaterThanOrEqual">
      <formula>0.00001</formula>
    </cfRule>
  </conditionalFormatting>
  <conditionalFormatting sqref="AV40:BB40 BD40:BG40">
    <cfRule type="cellIs" dxfId="221" priority="18" operator="lessThanOrEqual">
      <formula>-0.000001</formula>
    </cfRule>
  </conditionalFormatting>
  <conditionalFormatting sqref="AV53:BB53 BD53:BG53 BF78:BG78">
    <cfRule type="cellIs" dxfId="220" priority="21" operator="greaterThanOrEqual">
      <formula>0.000001</formula>
    </cfRule>
    <cfRule type="cellIs" dxfId="219" priority="20" operator="lessThanOrEqual">
      <formula>-0.000001</formula>
    </cfRule>
  </conditionalFormatting>
  <conditionalFormatting sqref="AW29 AY29 BA29 BC29 BE29 BG29">
    <cfRule type="cellIs" dxfId="218" priority="24" operator="lessThanOrEqual">
      <formula>-0.000001</formula>
    </cfRule>
    <cfRule type="cellIs" dxfId="217" priority="25" operator="greaterThanOrEqual">
      <formula>0.000001</formula>
    </cfRule>
  </conditionalFormatting>
  <conditionalFormatting sqref="AW33:AW34 BA33:BA34 BC33:BC34 BE33:BE34">
    <cfRule type="cellIs" dxfId="216" priority="39" operator="greaterThanOrEqual">
      <formula>0.0001</formula>
    </cfRule>
    <cfRule type="cellIs" dxfId="215" priority="38" operator="lessThanOrEqual">
      <formula>-0.0001</formula>
    </cfRule>
  </conditionalFormatting>
  <conditionalFormatting sqref="AW36 AY36 BA36 BG36">
    <cfRule type="cellIs" dxfId="214" priority="13" operator="greaterThanOrEqual">
      <formula>0.000001</formula>
    </cfRule>
    <cfRule type="cellIs" dxfId="213" priority="12" operator="lessThanOrEqual">
      <formula>-0.00001</formula>
    </cfRule>
  </conditionalFormatting>
  <conditionalFormatting sqref="AW39 AY39 BA39 BC39 BE39 BG39">
    <cfRule type="cellIs" dxfId="212" priority="17" operator="greaterThanOrEqual">
      <formula>0.000001</formula>
    </cfRule>
    <cfRule type="cellIs" dxfId="211" priority="16" operator="lessThanOrEqual">
      <formula>-0.00001</formula>
    </cfRule>
  </conditionalFormatting>
  <conditionalFormatting sqref="AW40 AY40 BA40 BG40">
    <cfRule type="cellIs" dxfId="210" priority="19" operator="greaterThanOrEqual">
      <formula>0.0000001</formula>
    </cfRule>
  </conditionalFormatting>
  <conditionalFormatting sqref="AW43:AW51 AY43:AY51 BA43:BA51 BG43:BG51 BG56:BG76">
    <cfRule type="cellIs" dxfId="209" priority="23" operator="greaterThanOrEqual">
      <formula>0.000001</formula>
    </cfRule>
    <cfRule type="cellIs" dxfId="208" priority="22" operator="lessThanOrEqual">
      <formula>-0.0000001</formula>
    </cfRule>
  </conditionalFormatting>
  <conditionalFormatting sqref="AY33:AY34">
    <cfRule type="cellIs" dxfId="207" priority="33" operator="greaterThanOrEqual">
      <formula>0.0001</formula>
    </cfRule>
    <cfRule type="cellIs" dxfId="206" priority="32" operator="lessThanOrEqual">
      <formula>-0.0001</formula>
    </cfRule>
  </conditionalFormatting>
  <conditionalFormatting sqref="BD27:BD29 BD40">
    <cfRule type="cellIs" dxfId="205" priority="9" operator="greaterThanOrEqual">
      <formula>0.000001</formula>
    </cfRule>
  </conditionalFormatting>
  <conditionalFormatting sqref="BD27:BD29">
    <cfRule type="cellIs" dxfId="204" priority="8" operator="lessThanOrEqual">
      <formula>-0.000001</formula>
    </cfRule>
  </conditionalFormatting>
  <conditionalFormatting sqref="BD33:BD34">
    <cfRule type="cellIs" dxfId="203" priority="11" operator="greaterThanOrEqual">
      <formula>1</formula>
    </cfRule>
    <cfRule type="cellIs" dxfId="202" priority="10" operator="lessThanOrEqual">
      <formula>-1</formula>
    </cfRule>
  </conditionalFormatting>
  <conditionalFormatting sqref="BD39">
    <cfRule type="cellIs" dxfId="201" priority="4" operator="greaterThanOrEqual">
      <formula>0.00001</formula>
    </cfRule>
    <cfRule type="cellIs" dxfId="200" priority="3" operator="lessThanOrEqual">
      <formula>-0.00001</formula>
    </cfRule>
  </conditionalFormatting>
  <conditionalFormatting sqref="BE36">
    <cfRule type="cellIs" dxfId="199" priority="1" operator="lessThanOrEqual">
      <formula>-0.00001</formula>
    </cfRule>
    <cfRule type="cellIs" dxfId="198" priority="2" operator="greaterThanOrEqual">
      <formula>0.000001</formula>
    </cfRule>
  </conditionalFormatting>
  <conditionalFormatting sqref="BE40">
    <cfRule type="cellIs" dxfId="197" priority="5" operator="greaterThanOrEqual">
      <formula>0.0000001</formula>
    </cfRule>
  </conditionalFormatting>
  <conditionalFormatting sqref="BE43:BE51">
    <cfRule type="cellIs" dxfId="196" priority="7" operator="greaterThanOrEqual">
      <formula>0.000001</formula>
    </cfRule>
    <cfRule type="cellIs" dxfId="195" priority="6" operator="lessThanOrEqual">
      <formula>-0.0000001</formula>
    </cfRule>
  </conditionalFormatting>
  <conditionalFormatting sqref="BF33:BF34">
    <cfRule type="cellIs" dxfId="194" priority="36" operator="lessThanOrEqual">
      <formula>-1</formula>
    </cfRule>
    <cfRule type="cellIs" dxfId="193" priority="37" operator="greaterThanOrEqual">
      <formula>1</formula>
    </cfRule>
  </conditionalFormatting>
  <conditionalFormatting sqref="BF56:BF76">
    <cfRule type="cellIs" dxfId="192" priority="27" operator="greaterThanOrEqual">
      <formula>0.00001</formula>
    </cfRule>
    <cfRule type="cellIs" dxfId="191" priority="26" operator="lessThanOrEqual">
      <formula>-0.000001</formula>
    </cfRule>
  </conditionalFormatting>
  <conditionalFormatting sqref="BG33:BG34">
    <cfRule type="cellIs" dxfId="190" priority="34" operator="lessThanOrEqual">
      <formula>-0.0001</formula>
    </cfRule>
    <cfRule type="cellIs" dxfId="189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5C63-6154-488D-97E3-8E0065E37E39}">
  <sheetPr>
    <tabColor theme="4" tint="0.79998168889431442"/>
  </sheetPr>
  <dimension ref="A1:BI83"/>
  <sheetViews>
    <sheetView topLeftCell="M28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115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115</v>
      </c>
      <c r="Q17" s="20"/>
      <c r="R17" s="21"/>
      <c r="T17" s="18" t="s">
        <v>116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116</v>
      </c>
      <c r="AE17" s="20"/>
      <c r="AF17" s="21"/>
      <c r="AH17" s="18" t="s">
        <v>117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117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945416</v>
      </c>
      <c r="G27" s="24"/>
      <c r="H27" s="27">
        <v>1744721</v>
      </c>
      <c r="I27" s="24"/>
      <c r="J27" s="27">
        <v>214522</v>
      </c>
      <c r="K27" s="24"/>
      <c r="L27" s="27">
        <v>91747.46</v>
      </c>
      <c r="M27" s="24"/>
      <c r="N27" s="28">
        <v>0</v>
      </c>
      <c r="O27" s="16"/>
      <c r="P27" s="23">
        <v>2996406.46</v>
      </c>
      <c r="Q27" s="24"/>
      <c r="R27" s="21"/>
      <c r="T27" s="27">
        <v>654996.99921761826</v>
      </c>
      <c r="U27" s="24"/>
      <c r="V27" s="27">
        <v>3364117.52702046</v>
      </c>
      <c r="W27" s="24"/>
      <c r="X27" s="27">
        <v>169668.22961755592</v>
      </c>
      <c r="Y27" s="24"/>
      <c r="Z27" s="27">
        <v>51618.645000000004</v>
      </c>
      <c r="AA27" s="24"/>
      <c r="AB27" s="28">
        <v>0</v>
      </c>
      <c r="AC27" s="16"/>
      <c r="AD27" s="23">
        <v>4240401.4008556344</v>
      </c>
      <c r="AE27" s="24"/>
      <c r="AF27" s="21"/>
      <c r="AH27" s="27">
        <v>417600</v>
      </c>
      <c r="AI27" s="24"/>
      <c r="AJ27" s="27">
        <v>2735265</v>
      </c>
      <c r="AK27" s="24"/>
      <c r="AL27" s="27">
        <v>52689</v>
      </c>
      <c r="AM27" s="24"/>
      <c r="AN27" s="27">
        <v>92068.25</v>
      </c>
      <c r="AO27" s="24"/>
      <c r="AP27" s="28">
        <v>5059.53</v>
      </c>
      <c r="AQ27" s="16"/>
      <c r="AR27" s="23">
        <v>3302681.78</v>
      </c>
      <c r="AS27" s="24"/>
      <c r="AT27" s="21"/>
      <c r="AV27" s="29">
        <f>AH27-T27</f>
        <v>-237396.99921761826</v>
      </c>
      <c r="AW27" s="30"/>
      <c r="AX27" s="29">
        <f t="shared" ref="AX27:AX29" si="0">AJ27-V27</f>
        <v>-628852.52702045999</v>
      </c>
      <c r="AY27" s="30"/>
      <c r="AZ27" s="29">
        <f t="shared" ref="AZ27:AZ29" si="1">AL27-X27</f>
        <v>-116979.22961755592</v>
      </c>
      <c r="BA27" s="30"/>
      <c r="BB27" s="29">
        <f t="shared" ref="BB27:BB29" si="2">AN27-Z27</f>
        <v>40449.604999999996</v>
      </c>
      <c r="BC27" s="30"/>
      <c r="BD27" s="29">
        <f t="shared" ref="BD27:BD29" si="3">AP27-AB27</f>
        <v>5059.53</v>
      </c>
      <c r="BE27" s="30"/>
      <c r="BF27" s="29">
        <f t="shared" ref="BF27:BF29" si="4">AR27-AD27</f>
        <v>-937719.62085563457</v>
      </c>
      <c r="BG27" s="30"/>
    </row>
    <row r="28" spans="3:59">
      <c r="E28" s="26" t="s">
        <v>29</v>
      </c>
      <c r="F28" s="23">
        <v>557376</v>
      </c>
      <c r="G28" s="31"/>
      <c r="H28" s="23">
        <v>662299.63000000012</v>
      </c>
      <c r="I28" s="31"/>
      <c r="J28" s="23">
        <v>49245.74000000002</v>
      </c>
      <c r="K28" s="31"/>
      <c r="L28" s="23">
        <v>0</v>
      </c>
      <c r="M28" s="31"/>
      <c r="N28" s="32">
        <v>0</v>
      </c>
      <c r="O28" s="32"/>
      <c r="P28" s="23">
        <v>1268921.3700000001</v>
      </c>
      <c r="Q28" s="31"/>
      <c r="R28" s="21"/>
      <c r="T28" s="23">
        <v>415923.09450318757</v>
      </c>
      <c r="U28" s="31"/>
      <c r="V28" s="23">
        <v>1533085.3030420204</v>
      </c>
      <c r="W28" s="31"/>
      <c r="X28" s="23">
        <v>76202.418505995476</v>
      </c>
      <c r="Y28" s="31"/>
      <c r="Z28" s="23">
        <v>0</v>
      </c>
      <c r="AA28" s="31"/>
      <c r="AB28" s="32">
        <v>0</v>
      </c>
      <c r="AC28" s="32"/>
      <c r="AD28" s="23">
        <v>2025210.8160512035</v>
      </c>
      <c r="AE28" s="31"/>
      <c r="AF28" s="21"/>
      <c r="AH28" s="23">
        <v>245915.3</v>
      </c>
      <c r="AI28" s="31"/>
      <c r="AJ28" s="23">
        <v>1339696.6000000001</v>
      </c>
      <c r="AK28" s="31"/>
      <c r="AL28" s="23">
        <v>22542.94</v>
      </c>
      <c r="AM28" s="31"/>
      <c r="AN28" s="23">
        <v>0</v>
      </c>
      <c r="AO28" s="31"/>
      <c r="AP28" s="32">
        <v>0</v>
      </c>
      <c r="AQ28" s="32"/>
      <c r="AR28" s="23">
        <v>1608154.84</v>
      </c>
      <c r="AS28" s="31"/>
      <c r="AT28" s="21"/>
      <c r="AV28" s="29">
        <f t="shared" ref="AV28:AV29" si="5">AH28-T28</f>
        <v>-170007.79450318759</v>
      </c>
      <c r="AW28" s="33"/>
      <c r="AX28" s="29">
        <f t="shared" si="0"/>
        <v>-193388.70304202032</v>
      </c>
      <c r="AY28" s="33"/>
      <c r="AZ28" s="29">
        <f t="shared" si="1"/>
        <v>-53659.478505995474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-417055.97605120344</v>
      </c>
      <c r="BG28" s="33"/>
    </row>
    <row r="29" spans="3:59" ht="15">
      <c r="C29" s="16" t="s">
        <v>30</v>
      </c>
      <c r="E29" s="34" t="s">
        <v>31</v>
      </c>
      <c r="F29" s="35">
        <v>388040</v>
      </c>
      <c r="G29" s="36">
        <v>0.58955634345092522</v>
      </c>
      <c r="H29" s="35">
        <v>1082421.3699999999</v>
      </c>
      <c r="I29" s="36">
        <v>0.37960202806064702</v>
      </c>
      <c r="J29" s="35">
        <v>165276.25999999998</v>
      </c>
      <c r="K29" s="36">
        <v>0.22956032481517052</v>
      </c>
      <c r="L29" s="35">
        <v>91747.46</v>
      </c>
      <c r="M29" s="36">
        <v>0</v>
      </c>
      <c r="N29" s="37">
        <v>0</v>
      </c>
      <c r="O29" s="36">
        <v>0</v>
      </c>
      <c r="P29" s="35">
        <v>1727485.0899999999</v>
      </c>
      <c r="Q29" s="36">
        <v>0.42348105537057212</v>
      </c>
      <c r="R29" s="21"/>
      <c r="T29" s="35">
        <v>239073.90471443065</v>
      </c>
      <c r="U29" s="36">
        <v>0.63500000000000001</v>
      </c>
      <c r="V29" s="35">
        <v>1831032.2239784396</v>
      </c>
      <c r="W29" s="36">
        <v>0.45571692746413861</v>
      </c>
      <c r="X29" s="35">
        <v>93465.811111560441</v>
      </c>
      <c r="Y29" s="36">
        <v>0.44912603071158974</v>
      </c>
      <c r="Z29" s="35">
        <v>51618.645000000004</v>
      </c>
      <c r="AA29" s="36">
        <v>0</v>
      </c>
      <c r="AB29" s="37">
        <v>0</v>
      </c>
      <c r="AC29" s="36">
        <v>0</v>
      </c>
      <c r="AD29" s="35">
        <v>2215190.5848044306</v>
      </c>
      <c r="AE29" s="36">
        <v>0.47759884610040781</v>
      </c>
      <c r="AF29" s="21"/>
      <c r="AH29" s="35">
        <v>171684.7</v>
      </c>
      <c r="AI29" s="36">
        <v>0.58887763409961691</v>
      </c>
      <c r="AJ29" s="35">
        <v>1395568.4</v>
      </c>
      <c r="AK29" s="36">
        <v>0.4897867665472998</v>
      </c>
      <c r="AL29" s="35">
        <v>30146.06</v>
      </c>
      <c r="AM29" s="36">
        <v>0.42784907665736682</v>
      </c>
      <c r="AN29" s="35">
        <v>92068.25</v>
      </c>
      <c r="AO29" s="36">
        <v>0</v>
      </c>
      <c r="AP29" s="37">
        <v>5059.53</v>
      </c>
      <c r="AQ29" s="36">
        <v>0</v>
      </c>
      <c r="AR29" s="35">
        <v>1694526.94</v>
      </c>
      <c r="AS29" s="36">
        <v>0.4869239445769431</v>
      </c>
      <c r="AT29" s="21"/>
      <c r="AV29" s="38">
        <f t="shared" si="5"/>
        <v>-67389.204714430642</v>
      </c>
      <c r="AW29" s="39">
        <f>(AI29-U29)*100</f>
        <v>-4.61223659003831</v>
      </c>
      <c r="AX29" s="38">
        <f t="shared" si="0"/>
        <v>-435463.82397843967</v>
      </c>
      <c r="AY29" s="39">
        <f>(AK29-W29)*100</f>
        <v>3.4069839083161191</v>
      </c>
      <c r="AZ29" s="38">
        <f t="shared" si="1"/>
        <v>-63319.751111560443</v>
      </c>
      <c r="BA29" s="39">
        <f>(AM29-Y29)*100</f>
        <v>-2.1276954054222919</v>
      </c>
      <c r="BB29" s="38">
        <f t="shared" si="2"/>
        <v>40449.604999999996</v>
      </c>
      <c r="BC29" s="39">
        <f>(AO29-AA29)*100</f>
        <v>0</v>
      </c>
      <c r="BD29" s="38">
        <f t="shared" si="3"/>
        <v>5059.53</v>
      </c>
      <c r="BE29" s="39">
        <f>(AQ29-AC29)*100</f>
        <v>0</v>
      </c>
      <c r="BF29" s="38">
        <f t="shared" si="4"/>
        <v>-520663.64480443066</v>
      </c>
      <c r="BG29" s="39">
        <f>(AS29-AE29)*100</f>
        <v>0.93250984765352873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-67389.204714430642</v>
      </c>
      <c r="AI33" s="51">
        <v>-0.28187603659598814</v>
      </c>
      <c r="AJ33" s="41">
        <v>-435463.82397843967</v>
      </c>
      <c r="AK33" s="51">
        <v>-0.23782422738157516</v>
      </c>
      <c r="AL33" s="41">
        <v>-63319.751111560443</v>
      </c>
      <c r="AM33" s="51">
        <v>-0.67746430869767149</v>
      </c>
      <c r="AN33" s="41">
        <v>40449.604999999996</v>
      </c>
      <c r="AO33" s="51">
        <v>0.78362392116259527</v>
      </c>
      <c r="AP33" s="41">
        <v>5059.53</v>
      </c>
      <c r="AQ33" s="51">
        <v>0</v>
      </c>
      <c r="AR33" s="41">
        <v>-520663.64480443066</v>
      </c>
      <c r="AS33" s="51">
        <v>-0.23504236988728344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-148966.09528556935</v>
      </c>
      <c r="U34" s="51">
        <v>-0.38389365860625024</v>
      </c>
      <c r="V34" s="41">
        <v>748610.8539784397</v>
      </c>
      <c r="W34" s="51">
        <v>0.6916076074684665</v>
      </c>
      <c r="X34" s="41">
        <v>-71810.44888843954</v>
      </c>
      <c r="Y34" s="51">
        <v>-0.43448737821414607</v>
      </c>
      <c r="Z34" s="41">
        <v>-40128.815000000002</v>
      </c>
      <c r="AA34" s="51">
        <v>-0.43738338914232611</v>
      </c>
      <c r="AB34" s="41">
        <v>0</v>
      </c>
      <c r="AC34" s="51">
        <v>0</v>
      </c>
      <c r="AD34" s="41">
        <v>487705.49480443075</v>
      </c>
      <c r="AE34" s="51">
        <v>0.28232110229352592</v>
      </c>
      <c r="AF34" s="49"/>
      <c r="AH34" s="41">
        <v>-216355.3</v>
      </c>
      <c r="AI34" s="51">
        <v>-0.55755927223997526</v>
      </c>
      <c r="AJ34" s="41">
        <v>313147.03000000003</v>
      </c>
      <c r="AK34" s="51">
        <v>0.28930233518948367</v>
      </c>
      <c r="AL34" s="41">
        <v>-135130.19999999998</v>
      </c>
      <c r="AM34" s="51">
        <v>-0.81760199559210744</v>
      </c>
      <c r="AN34" s="41">
        <v>320.7899999999936</v>
      </c>
      <c r="AO34" s="51">
        <v>3.4964455691741669E-3</v>
      </c>
      <c r="AP34" s="41">
        <v>5059.53</v>
      </c>
      <c r="AQ34" s="51">
        <v>0</v>
      </c>
      <c r="AR34" s="41">
        <v>-32958.149999999907</v>
      </c>
      <c r="AS34" s="51">
        <v>-1.9078688546018019E-2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187386.61</v>
      </c>
      <c r="G36" s="53">
        <v>0.48290539635089164</v>
      </c>
      <c r="H36" s="23">
        <v>302120.2</v>
      </c>
      <c r="I36" s="53">
        <v>0.27911514718154545</v>
      </c>
      <c r="J36" s="23">
        <v>39452.07</v>
      </c>
      <c r="K36" s="53">
        <v>0.23870379206305856</v>
      </c>
      <c r="L36" s="23">
        <v>0</v>
      </c>
      <c r="M36" s="53">
        <v>0</v>
      </c>
      <c r="N36" s="32">
        <v>52387.66</v>
      </c>
      <c r="O36" s="54">
        <v>0</v>
      </c>
      <c r="P36" s="23">
        <v>581346.54</v>
      </c>
      <c r="Q36" s="54">
        <v>0.33652767445882853</v>
      </c>
      <c r="R36" s="21"/>
      <c r="T36" s="23">
        <v>114962.50085998379</v>
      </c>
      <c r="U36" s="53">
        <v>0.4808659522974888</v>
      </c>
      <c r="V36" s="23">
        <v>671699.87645008066</v>
      </c>
      <c r="W36" s="53">
        <v>0.36684219297387416</v>
      </c>
      <c r="X36" s="23">
        <v>34287.203116246725</v>
      </c>
      <c r="Y36" s="53">
        <v>0.36684219297387416</v>
      </c>
      <c r="Z36" s="23">
        <v>0</v>
      </c>
      <c r="AA36" s="53">
        <v>0</v>
      </c>
      <c r="AB36" s="32">
        <v>0</v>
      </c>
      <c r="AC36" s="54">
        <v>0</v>
      </c>
      <c r="AD36" s="23">
        <v>820949.58042631112</v>
      </c>
      <c r="AE36" s="54">
        <v>0.37059997729215211</v>
      </c>
      <c r="AF36" s="21"/>
      <c r="AH36" s="23">
        <v>102069.59999999999</v>
      </c>
      <c r="AI36" s="53">
        <v>0.59451774095187271</v>
      </c>
      <c r="AJ36" s="23">
        <v>576382.43999999994</v>
      </c>
      <c r="AK36" s="53">
        <v>0.41300909364241839</v>
      </c>
      <c r="AL36" s="23">
        <v>15206.42</v>
      </c>
      <c r="AM36" s="53">
        <v>0.50442479050330291</v>
      </c>
      <c r="AN36" s="23">
        <v>0</v>
      </c>
      <c r="AO36" s="53">
        <v>0</v>
      </c>
      <c r="AP36" s="32">
        <v>0</v>
      </c>
      <c r="AQ36" s="54">
        <v>0</v>
      </c>
      <c r="AR36" s="23">
        <v>693658.46</v>
      </c>
      <c r="AS36" s="53">
        <v>0.40935227621698361</v>
      </c>
      <c r="AT36" s="21"/>
      <c r="AV36" s="29">
        <f t="shared" ref="AV36:AV38" si="6">AH36-T36</f>
        <v>-12892.900859983798</v>
      </c>
      <c r="AW36" s="55">
        <f t="shared" ref="AW36:AW38" si="7">(AI36-U36)*100</f>
        <v>11.365178865438391</v>
      </c>
      <c r="AX36" s="29">
        <f t="shared" ref="AX36:AX38" si="8">AJ36-V36</f>
        <v>-95317.436450080713</v>
      </c>
      <c r="AY36" s="55">
        <f t="shared" ref="AY36:AY38" si="9">(AK36-W36)*100</f>
        <v>4.6166900668544226</v>
      </c>
      <c r="AZ36" s="29">
        <f t="shared" ref="AZ36:AZ38" si="10">AL36-X36</f>
        <v>-19080.783116246726</v>
      </c>
      <c r="BA36" s="55">
        <f t="shared" ref="BA36:BA38" si="11">(AM36-Y36)*100</f>
        <v>13.758259752942875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-127291.12042631116</v>
      </c>
      <c r="BG36" s="55">
        <f t="shared" ref="BG36:BG38" si="17">(AS36-AE36)*100</f>
        <v>3.8752298924831505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0.19820545664554015</v>
      </c>
      <c r="G39" s="59">
        <v>5.0452697767465882</v>
      </c>
      <c r="H39" s="58">
        <v>0.17316247124898479</v>
      </c>
      <c r="I39" s="59">
        <v>5.7749233583189739</v>
      </c>
      <c r="J39" s="58">
        <v>0.1839068720224499</v>
      </c>
      <c r="K39" s="59">
        <v>5.4375347098390527</v>
      </c>
      <c r="L39" s="58">
        <v>0</v>
      </c>
      <c r="M39" s="59">
        <v>0</v>
      </c>
      <c r="N39" s="60">
        <v>0</v>
      </c>
      <c r="O39" s="61">
        <v>0</v>
      </c>
      <c r="P39" s="62">
        <v>0.19401457971759947</v>
      </c>
      <c r="Q39" s="61">
        <v>5.1542518168251243</v>
      </c>
      <c r="R39" s="49"/>
      <c r="T39" s="58">
        <v>0.1755160725885834</v>
      </c>
      <c r="U39" s="59">
        <v>5.6974839127356702</v>
      </c>
      <c r="V39" s="58">
        <v>0.19966599592761358</v>
      </c>
      <c r="W39" s="59">
        <v>5.0083640699768308</v>
      </c>
      <c r="X39" s="58">
        <v>0.20208381494598301</v>
      </c>
      <c r="Y39" s="59">
        <v>4.9484418149335703</v>
      </c>
      <c r="Z39" s="58">
        <v>0</v>
      </c>
      <c r="AA39" s="63">
        <v>0</v>
      </c>
      <c r="AB39" s="60">
        <v>0</v>
      </c>
      <c r="AC39" s="61">
        <v>0</v>
      </c>
      <c r="AD39" s="62">
        <v>0.19360185577258293</v>
      </c>
      <c r="AE39" s="61">
        <v>5.1652397442649711</v>
      </c>
      <c r="AF39" s="49"/>
      <c r="AH39" s="58">
        <v>0.24441954022988505</v>
      </c>
      <c r="AI39" s="59">
        <v>4.091325918784829</v>
      </c>
      <c r="AJ39" s="58">
        <v>0.2107227051126673</v>
      </c>
      <c r="AK39" s="59">
        <v>4.7455730955301139</v>
      </c>
      <c r="AL39" s="58">
        <v>0.2886071096433791</v>
      </c>
      <c r="AM39" s="59">
        <v>3.4649181069574557</v>
      </c>
      <c r="AN39" s="58">
        <v>0</v>
      </c>
      <c r="AO39" s="59">
        <v>0</v>
      </c>
      <c r="AP39" s="60">
        <v>0</v>
      </c>
      <c r="AQ39" s="61">
        <v>0</v>
      </c>
      <c r="AR39" s="62">
        <v>0.21002885115985956</v>
      </c>
      <c r="AS39" s="59">
        <v>4.7612506304615669</v>
      </c>
      <c r="AT39" s="49"/>
      <c r="AV39" s="64">
        <f>(AH39-T39)*100</f>
        <v>6.8903467641301646</v>
      </c>
      <c r="AW39" s="65">
        <f>(AI39-U39)</f>
        <v>-1.6061579939508412</v>
      </c>
      <c r="AX39" s="64">
        <f>(AJ39-V39)*100</f>
        <v>1.1056709185053721</v>
      </c>
      <c r="AY39" s="65">
        <f>(AK39-W39)</f>
        <v>-0.26279097444671695</v>
      </c>
      <c r="AZ39" s="64">
        <f>(AL39-X39)*100</f>
        <v>8.6523294697396089</v>
      </c>
      <c r="BA39" s="65">
        <f>(AM39-Y39)</f>
        <v>-1.4835237079761145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1.6426995387276628</v>
      </c>
      <c r="BG39" s="65">
        <f>(AS39-AE39)</f>
        <v>-0.40398911380340419</v>
      </c>
    </row>
    <row r="40" spans="1:61" ht="15">
      <c r="E40" s="34" t="s">
        <v>42</v>
      </c>
      <c r="F40" s="35">
        <v>200653.39</v>
      </c>
      <c r="G40" s="36">
        <v>0.51709460364910842</v>
      </c>
      <c r="H40" s="35">
        <v>780301.16999999993</v>
      </c>
      <c r="I40" s="36">
        <v>0.7208848528184546</v>
      </c>
      <c r="J40" s="35">
        <v>125824.18999999997</v>
      </c>
      <c r="K40" s="36">
        <v>0.76129620793694142</v>
      </c>
      <c r="L40" s="35">
        <v>91747.46</v>
      </c>
      <c r="M40" s="36">
        <v>1</v>
      </c>
      <c r="N40" s="37">
        <v>-52387.66</v>
      </c>
      <c r="O40" s="36">
        <v>0</v>
      </c>
      <c r="P40" s="35">
        <v>1146138.5499999998</v>
      </c>
      <c r="Q40" s="36">
        <v>0.66347232554117153</v>
      </c>
      <c r="R40" s="21"/>
      <c r="T40" s="35">
        <v>124111.40385444686</v>
      </c>
      <c r="U40" s="36">
        <v>0.51913404770251126</v>
      </c>
      <c r="V40" s="35">
        <v>1159332.3475283589</v>
      </c>
      <c r="W40" s="36">
        <v>0.6331578070261259</v>
      </c>
      <c r="X40" s="35">
        <v>59178.607995313716</v>
      </c>
      <c r="Y40" s="36">
        <v>0.6331578070261259</v>
      </c>
      <c r="Z40" s="35">
        <v>51618.645000000004</v>
      </c>
      <c r="AA40" s="36">
        <v>1</v>
      </c>
      <c r="AB40" s="37">
        <v>0</v>
      </c>
      <c r="AC40" s="36">
        <v>0</v>
      </c>
      <c r="AD40" s="35">
        <v>1394241.0043781195</v>
      </c>
      <c r="AE40" s="36">
        <v>0.62940002270784789</v>
      </c>
      <c r="AF40" s="21"/>
      <c r="AH40" s="35">
        <v>69615.10000000002</v>
      </c>
      <c r="AI40" s="36">
        <v>0.40548225904812729</v>
      </c>
      <c r="AJ40" s="35">
        <v>819185.96</v>
      </c>
      <c r="AK40" s="36">
        <v>0.58699090635758167</v>
      </c>
      <c r="AL40" s="35">
        <v>14939.640000000001</v>
      </c>
      <c r="AM40" s="36">
        <v>0.49557520949669709</v>
      </c>
      <c r="AN40" s="35">
        <v>92068.25</v>
      </c>
      <c r="AO40" s="36">
        <v>1</v>
      </c>
      <c r="AP40" s="37">
        <v>5059.53</v>
      </c>
      <c r="AQ40" s="36">
        <v>1</v>
      </c>
      <c r="AR40" s="35">
        <v>1000868.48</v>
      </c>
      <c r="AS40" s="36">
        <v>0.59064772378301644</v>
      </c>
      <c r="AT40" s="21"/>
      <c r="AV40" s="38">
        <f t="shared" ref="AV40" si="18">AH40-T40</f>
        <v>-54496.303854446844</v>
      </c>
      <c r="AW40" s="39">
        <f>(AI40-U40)*100</f>
        <v>-11.365178865438397</v>
      </c>
      <c r="AX40" s="38">
        <f t="shared" ref="AX40" si="19">AJ40-V40</f>
        <v>-340146.38752835896</v>
      </c>
      <c r="AY40" s="39">
        <f>(AK40-W40)*100</f>
        <v>-4.6166900668544226</v>
      </c>
      <c r="AZ40" s="38">
        <f t="shared" ref="AZ40" si="20">AL40-X40</f>
        <v>-44238.967995313717</v>
      </c>
      <c r="BA40" s="39">
        <f>(AM40-Y40)*100</f>
        <v>-13.75825975294288</v>
      </c>
      <c r="BB40" s="38">
        <f t="shared" si="12"/>
        <v>40449.604999999996</v>
      </c>
      <c r="BC40" s="39">
        <f>(AO40-AA40)*100</f>
        <v>0</v>
      </c>
      <c r="BD40" s="38">
        <f t="shared" si="14"/>
        <v>5059.53</v>
      </c>
      <c r="BE40" s="39">
        <f>(AQ40-AC40)*100</f>
        <v>100</v>
      </c>
      <c r="BF40" s="38">
        <f t="shared" ref="BF40" si="21">AR40-AD40</f>
        <v>-393372.5243781195</v>
      </c>
      <c r="BG40" s="39">
        <f>(AS40-AE40)*100</f>
        <v>-3.8752298924831452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5100.5880000000034</v>
      </c>
      <c r="G43" s="53">
        <v>1.3144490258736222E-2</v>
      </c>
      <c r="H43" s="23">
        <v>121186.62400000001</v>
      </c>
      <c r="I43" s="53">
        <v>0.11195882431626421</v>
      </c>
      <c r="J43" s="23">
        <v>28325.418000000005</v>
      </c>
      <c r="K43" s="53">
        <v>0.17138225417249886</v>
      </c>
      <c r="L43" s="23">
        <v>0</v>
      </c>
      <c r="M43" s="53">
        <v>0</v>
      </c>
      <c r="N43" s="32">
        <v>0</v>
      </c>
      <c r="O43" s="54">
        <v>0</v>
      </c>
      <c r="P43" s="23">
        <v>154612.63</v>
      </c>
      <c r="Q43" s="54">
        <v>8.9501571327599713E-2</v>
      </c>
      <c r="R43" s="21"/>
      <c r="T43" s="23">
        <v>15669.742055338447</v>
      </c>
      <c r="U43" s="53">
        <v>6.5543506615896294E-2</v>
      </c>
      <c r="V43" s="23">
        <v>173695.62966604007</v>
      </c>
      <c r="W43" s="53">
        <v>9.4862136991033824E-2</v>
      </c>
      <c r="X43" s="23">
        <v>20447.78471143177</v>
      </c>
      <c r="Y43" s="53">
        <v>0.21877288035328096</v>
      </c>
      <c r="Z43" s="23">
        <v>0</v>
      </c>
      <c r="AA43" s="53">
        <v>0</v>
      </c>
      <c r="AB43" s="32">
        <v>0</v>
      </c>
      <c r="AC43" s="54">
        <v>0</v>
      </c>
      <c r="AD43" s="23">
        <v>209813.1564328103</v>
      </c>
      <c r="AE43" s="54">
        <v>9.4715623058380674E-2</v>
      </c>
      <c r="AF43" s="21"/>
      <c r="AH43" s="23">
        <v>8702.61</v>
      </c>
      <c r="AI43" s="53">
        <v>5.068949067680463E-2</v>
      </c>
      <c r="AJ43" s="23">
        <v>183242.23999999999</v>
      </c>
      <c r="AK43" s="53">
        <v>0.13130294437735907</v>
      </c>
      <c r="AL43" s="23">
        <v>6421.9400000000005</v>
      </c>
      <c r="AM43" s="53">
        <v>0.21302750674549178</v>
      </c>
      <c r="AN43" s="23">
        <v>0</v>
      </c>
      <c r="AO43" s="53">
        <v>0</v>
      </c>
      <c r="AP43" s="32">
        <v>0</v>
      </c>
      <c r="AQ43" s="54">
        <v>0</v>
      </c>
      <c r="AR43" s="23">
        <v>198366.78999999998</v>
      </c>
      <c r="AS43" s="53">
        <v>0.11706322591719905</v>
      </c>
      <c r="AT43" s="21"/>
      <c r="AV43" s="29">
        <f t="shared" ref="AV43:AV51" si="22">AH43-T43</f>
        <v>-6967.1320553384467</v>
      </c>
      <c r="AW43" s="55">
        <f t="shared" ref="AW43:AW50" si="23">(AI43-U43)*100</f>
        <v>-1.4854015939091663</v>
      </c>
      <c r="AX43" s="29">
        <f t="shared" ref="AX43:AX51" si="24">AJ43-V43</f>
        <v>9546.6103339599213</v>
      </c>
      <c r="AY43" s="55">
        <f t="shared" ref="AY43:AY50" si="25">(AK43-W43)*100</f>
        <v>3.6440807386325242</v>
      </c>
      <c r="AZ43" s="29">
        <f t="shared" ref="AZ43:AZ51" si="26">AL43-X43</f>
        <v>-14025.84471143177</v>
      </c>
      <c r="BA43" s="55">
        <f t="shared" ref="BA43:BA50" si="27">(AM43-Y43)*100</f>
        <v>-0.57453736077891782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-11446.366432810319</v>
      </c>
      <c r="BG43" s="55">
        <f t="shared" ref="BG43:BG50" si="33">(AS43-AE43)*100</f>
        <v>2.2347602858818369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-5312.5619999999963</v>
      </c>
      <c r="G44" s="53">
        <v>-1.3690758684671674E-2</v>
      </c>
      <c r="H44" s="27">
        <v>70775.434000000008</v>
      </c>
      <c r="I44" s="53">
        <v>6.5386212764812671E-2</v>
      </c>
      <c r="J44" s="27">
        <v>21587.798000000003</v>
      </c>
      <c r="K44" s="53">
        <v>0.13061644787944746</v>
      </c>
      <c r="L44" s="27">
        <v>0</v>
      </c>
      <c r="M44" s="53">
        <v>0</v>
      </c>
      <c r="N44" s="27">
        <v>0</v>
      </c>
      <c r="O44" s="54">
        <v>0</v>
      </c>
      <c r="P44" s="23">
        <v>87050.670000000013</v>
      </c>
      <c r="Q44" s="54">
        <v>5.039156083251637E-2</v>
      </c>
      <c r="R44" s="21"/>
      <c r="T44" s="27">
        <v>938.09558325215096</v>
      </c>
      <c r="U44" s="53">
        <v>3.9238727638329605E-3</v>
      </c>
      <c r="V44" s="27">
        <v>84428.602492693593</v>
      </c>
      <c r="W44" s="53">
        <v>4.6109839787116573E-2</v>
      </c>
      <c r="X44" s="27">
        <v>8442.860249269359</v>
      </c>
      <c r="Y44" s="53">
        <v>9.0331000703476411E-2</v>
      </c>
      <c r="Z44" s="27">
        <v>0</v>
      </c>
      <c r="AA44" s="53">
        <v>0</v>
      </c>
      <c r="AB44" s="27">
        <v>0</v>
      </c>
      <c r="AC44" s="54">
        <v>0</v>
      </c>
      <c r="AD44" s="23">
        <v>93809.558325215112</v>
      </c>
      <c r="AE44" s="54">
        <v>4.2348301301351525E-2</v>
      </c>
      <c r="AF44" s="21"/>
      <c r="AH44" s="23">
        <v>-2181.13</v>
      </c>
      <c r="AI44" s="53">
        <v>-1.2704277084679066E-2</v>
      </c>
      <c r="AJ44" s="23">
        <v>95135.829999999987</v>
      </c>
      <c r="AK44" s="53">
        <v>6.8169951397581086E-2</v>
      </c>
      <c r="AL44" s="23">
        <v>2044.4399999999998</v>
      </c>
      <c r="AM44" s="53">
        <v>6.7817817651792636E-2</v>
      </c>
      <c r="AN44" s="23">
        <v>0</v>
      </c>
      <c r="AO44" s="53">
        <v>0</v>
      </c>
      <c r="AP44" s="32">
        <v>0</v>
      </c>
      <c r="AQ44" s="54">
        <v>0</v>
      </c>
      <c r="AR44" s="23">
        <v>94999.139999999985</v>
      </c>
      <c r="AS44" s="53">
        <v>5.606233678409385E-2</v>
      </c>
      <c r="AT44" s="21"/>
      <c r="AV44" s="29">
        <f t="shared" si="22"/>
        <v>-3119.225583252151</v>
      </c>
      <c r="AW44" s="55">
        <f t="shared" si="23"/>
        <v>-1.6628149848512026</v>
      </c>
      <c r="AX44" s="29">
        <f t="shared" si="24"/>
        <v>10707.227507306394</v>
      </c>
      <c r="AY44" s="55">
        <f t="shared" si="25"/>
        <v>2.2060111610464515</v>
      </c>
      <c r="AZ44" s="29">
        <f t="shared" si="26"/>
        <v>-6398.4202492693594</v>
      </c>
      <c r="BA44" s="55">
        <f t="shared" si="27"/>
        <v>-2.2513183051683776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1189.581674784873</v>
      </c>
      <c r="BG44" s="55">
        <f t="shared" si="33"/>
        <v>1.3714035482742324</v>
      </c>
      <c r="BH44" s="57"/>
    </row>
    <row r="45" spans="1:61" outlineLevel="1">
      <c r="B45" s="26" t="s">
        <v>47</v>
      </c>
      <c r="E45" s="69" t="s">
        <v>47</v>
      </c>
      <c r="F45" s="27">
        <v>2928.93</v>
      </c>
      <c r="G45" s="53">
        <v>7.5480105143799605E-3</v>
      </c>
      <c r="H45" s="27">
        <v>16202.77</v>
      </c>
      <c r="I45" s="53">
        <v>1.4969004168866328E-2</v>
      </c>
      <c r="J45" s="27">
        <v>2507.54</v>
      </c>
      <c r="K45" s="53">
        <v>1.5171809913898101E-2</v>
      </c>
      <c r="L45" s="27">
        <v>0</v>
      </c>
      <c r="M45" s="53">
        <v>0</v>
      </c>
      <c r="N45" s="27">
        <v>0</v>
      </c>
      <c r="O45" s="54">
        <v>0</v>
      </c>
      <c r="P45" s="23">
        <v>21639.24</v>
      </c>
      <c r="Q45" s="54">
        <v>1.252644096627196E-2</v>
      </c>
      <c r="R45" s="21"/>
      <c r="T45" s="27">
        <v>8216.9998157227255</v>
      </c>
      <c r="U45" s="53">
        <v>3.4370124274072406E-2</v>
      </c>
      <c r="V45" s="27">
        <v>31782.707725323398</v>
      </c>
      <c r="W45" s="53">
        <v>1.7357809059343806E-2</v>
      </c>
      <c r="X45" s="27">
        <v>2025.167071806012</v>
      </c>
      <c r="Y45" s="53">
        <v>2.1667463725198729E-2</v>
      </c>
      <c r="Z45" s="27">
        <v>0</v>
      </c>
      <c r="AA45" s="53">
        <v>0</v>
      </c>
      <c r="AB45" s="27">
        <v>0</v>
      </c>
      <c r="AC45" s="54">
        <v>0</v>
      </c>
      <c r="AD45" s="23">
        <v>42024.874612852138</v>
      </c>
      <c r="AE45" s="54">
        <v>1.8971223018520698E-2</v>
      </c>
      <c r="AF45" s="21"/>
      <c r="AH45" s="23">
        <v>4775.37</v>
      </c>
      <c r="AI45" s="53">
        <v>2.7814767419577863E-2</v>
      </c>
      <c r="AJ45" s="23">
        <v>36352.75</v>
      </c>
      <c r="AK45" s="53">
        <v>2.6048705316056169E-2</v>
      </c>
      <c r="AL45" s="23">
        <v>1301.31</v>
      </c>
      <c r="AM45" s="53">
        <v>4.3166835068994089E-2</v>
      </c>
      <c r="AN45" s="23">
        <v>0</v>
      </c>
      <c r="AO45" s="53">
        <v>0</v>
      </c>
      <c r="AP45" s="32">
        <v>0</v>
      </c>
      <c r="AQ45" s="54">
        <v>0</v>
      </c>
      <c r="AR45" s="23">
        <v>42429.43</v>
      </c>
      <c r="AS45" s="53">
        <v>2.5039100293088288E-2</v>
      </c>
      <c r="AT45" s="21"/>
      <c r="AV45" s="29">
        <f t="shared" si="22"/>
        <v>-3441.6298157227257</v>
      </c>
      <c r="AW45" s="55">
        <f t="shared" si="23"/>
        <v>-0.65553568544945429</v>
      </c>
      <c r="AX45" s="29">
        <f t="shared" si="24"/>
        <v>4570.0422746766017</v>
      </c>
      <c r="AY45" s="55">
        <f t="shared" si="25"/>
        <v>0.86908962567123638</v>
      </c>
      <c r="AZ45" s="29">
        <f t="shared" si="26"/>
        <v>-723.85707180601207</v>
      </c>
      <c r="BA45" s="55">
        <f t="shared" si="27"/>
        <v>2.1499371343795359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404.55538714786235</v>
      </c>
      <c r="BG45" s="55">
        <f t="shared" si="33"/>
        <v>0.60678772745675902</v>
      </c>
      <c r="BH45" s="57"/>
    </row>
    <row r="46" spans="1:61" outlineLevel="1">
      <c r="B46" s="26" t="s">
        <v>48</v>
      </c>
      <c r="E46" s="69" t="s">
        <v>48</v>
      </c>
      <c r="F46" s="27">
        <v>7484.2199999999993</v>
      </c>
      <c r="G46" s="53">
        <v>1.9287238429027933E-2</v>
      </c>
      <c r="H46" s="27">
        <v>34208.42</v>
      </c>
      <c r="I46" s="53">
        <v>3.1603607382585212E-2</v>
      </c>
      <c r="J46" s="27">
        <v>4230.08</v>
      </c>
      <c r="K46" s="53">
        <v>2.5593996379153307E-2</v>
      </c>
      <c r="L46" s="27">
        <v>0</v>
      </c>
      <c r="M46" s="53">
        <v>0</v>
      </c>
      <c r="N46" s="27">
        <v>0</v>
      </c>
      <c r="O46" s="54">
        <v>0</v>
      </c>
      <c r="P46" s="23">
        <v>45922.720000000001</v>
      </c>
      <c r="Q46" s="54">
        <v>2.6583569528811392E-2</v>
      </c>
      <c r="R46" s="21"/>
      <c r="T46" s="27">
        <v>6514.6466563635722</v>
      </c>
      <c r="U46" s="53">
        <v>2.7249509577990945E-2</v>
      </c>
      <c r="V46" s="27">
        <v>57484.319448023089</v>
      </c>
      <c r="W46" s="53">
        <v>3.1394488144573456E-2</v>
      </c>
      <c r="X46" s="27">
        <v>9979.7573903563971</v>
      </c>
      <c r="Y46" s="53">
        <v>0.10677441592460581</v>
      </c>
      <c r="Z46" s="27">
        <v>0</v>
      </c>
      <c r="AA46" s="53">
        <v>0</v>
      </c>
      <c r="AB46" s="27">
        <v>0</v>
      </c>
      <c r="AC46" s="54">
        <v>0</v>
      </c>
      <c r="AD46" s="23">
        <v>73978.723494743055</v>
      </c>
      <c r="AE46" s="54">
        <v>3.3396098738508455E-2</v>
      </c>
      <c r="AF46" s="21"/>
      <c r="AH46" s="23">
        <v>6108.37</v>
      </c>
      <c r="AI46" s="53">
        <v>3.557900034190583E-2</v>
      </c>
      <c r="AJ46" s="23">
        <v>51753.659999999996</v>
      </c>
      <c r="AK46" s="53">
        <v>3.7084287663721821E-2</v>
      </c>
      <c r="AL46" s="23">
        <v>3076.1900000000005</v>
      </c>
      <c r="AM46" s="53">
        <v>0.10204285402470506</v>
      </c>
      <c r="AN46" s="23">
        <v>0</v>
      </c>
      <c r="AO46" s="53">
        <v>0</v>
      </c>
      <c r="AP46" s="32">
        <v>0</v>
      </c>
      <c r="AQ46" s="54">
        <v>0</v>
      </c>
      <c r="AR46" s="23">
        <v>60938.22</v>
      </c>
      <c r="AS46" s="53">
        <v>3.5961788840016912E-2</v>
      </c>
      <c r="AT46" s="21"/>
      <c r="AV46" s="29">
        <f t="shared" si="22"/>
        <v>-406.27665636357233</v>
      </c>
      <c r="AW46" s="55">
        <f t="shared" si="23"/>
        <v>0.83294907639148841</v>
      </c>
      <c r="AX46" s="29">
        <f t="shared" si="24"/>
        <v>-5730.6594480230924</v>
      </c>
      <c r="AY46" s="55">
        <f t="shared" si="25"/>
        <v>0.56897995191483652</v>
      </c>
      <c r="AZ46" s="29">
        <f t="shared" si="26"/>
        <v>-6903.5673903563966</v>
      </c>
      <c r="BA46" s="55">
        <f t="shared" si="27"/>
        <v>-0.47315618999007464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-13040.503494743054</v>
      </c>
      <c r="BG46" s="55">
        <f t="shared" si="33"/>
        <v>0.25656901015084566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1812.33</v>
      </c>
      <c r="G47" s="53">
        <v>4.6704721162766725E-3</v>
      </c>
      <c r="H47" s="23">
        <v>66410.649999999994</v>
      </c>
      <c r="I47" s="53">
        <v>6.1353786834419208E-2</v>
      </c>
      <c r="J47" s="23">
        <v>5081.0499999999993</v>
      </c>
      <c r="K47" s="53">
        <v>3.0742769711754124E-2</v>
      </c>
      <c r="L47" s="23">
        <v>0</v>
      </c>
      <c r="M47" s="53">
        <v>0</v>
      </c>
      <c r="N47" s="32">
        <v>0</v>
      </c>
      <c r="O47" s="54">
        <v>0</v>
      </c>
      <c r="P47" s="23">
        <v>73304.03</v>
      </c>
      <c r="Q47" s="54">
        <v>4.243395814200631E-2</v>
      </c>
      <c r="R47" s="21"/>
      <c r="T47" s="23">
        <v>1567.1654611388212</v>
      </c>
      <c r="U47" s="53">
        <v>6.5551506468711895E-3</v>
      </c>
      <c r="V47" s="23">
        <v>88049.46159139993</v>
      </c>
      <c r="W47" s="53">
        <v>4.8087335896299724E-2</v>
      </c>
      <c r="X47" s="23">
        <v>8740.6649797477148</v>
      </c>
      <c r="Y47" s="53">
        <v>9.3517243105234377E-2</v>
      </c>
      <c r="Z47" s="23">
        <v>0</v>
      </c>
      <c r="AA47" s="53">
        <v>0</v>
      </c>
      <c r="AB47" s="23">
        <v>0</v>
      </c>
      <c r="AC47" s="54">
        <v>0</v>
      </c>
      <c r="AD47" s="23">
        <v>98357.292032286467</v>
      </c>
      <c r="AE47" s="54">
        <v>4.4401277572678921E-2</v>
      </c>
      <c r="AF47" s="21"/>
      <c r="AH47" s="23">
        <v>524.07000000000016</v>
      </c>
      <c r="AI47" s="53">
        <v>3.0525142892756322E-3</v>
      </c>
      <c r="AJ47" s="23">
        <v>79225.209999999992</v>
      </c>
      <c r="AK47" s="53">
        <v>5.6769134354145594E-2</v>
      </c>
      <c r="AL47" s="23">
        <v>4919.28</v>
      </c>
      <c r="AM47" s="53">
        <v>0.16318152355564872</v>
      </c>
      <c r="AN47" s="23">
        <v>0</v>
      </c>
      <c r="AO47" s="53">
        <v>0</v>
      </c>
      <c r="AP47" s="32">
        <v>0</v>
      </c>
      <c r="AQ47" s="54">
        <v>0</v>
      </c>
      <c r="AR47" s="23">
        <v>84668.56</v>
      </c>
      <c r="AS47" s="53">
        <v>4.9965897857014892E-2</v>
      </c>
      <c r="AT47" s="21"/>
      <c r="AV47" s="29">
        <f t="shared" si="22"/>
        <v>-1043.0954611388211</v>
      </c>
      <c r="AW47" s="55">
        <f t="shared" si="23"/>
        <v>-0.35026363575955571</v>
      </c>
      <c r="AX47" s="29">
        <f t="shared" si="24"/>
        <v>-8824.2515913999378</v>
      </c>
      <c r="AY47" s="55">
        <f t="shared" si="25"/>
        <v>0.86817984578458696</v>
      </c>
      <c r="AZ47" s="29">
        <f t="shared" si="26"/>
        <v>-3821.3849797477151</v>
      </c>
      <c r="BA47" s="55">
        <f t="shared" si="27"/>
        <v>6.9664280450414342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-13688.732032286469</v>
      </c>
      <c r="BG47" s="55">
        <f t="shared" si="33"/>
        <v>0.55646202843359704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5521.21</v>
      </c>
      <c r="G48" s="53">
        <v>1.4228455829295949E-2</v>
      </c>
      <c r="H48" s="23">
        <v>37980.85</v>
      </c>
      <c r="I48" s="53">
        <v>3.5088784324352355E-2</v>
      </c>
      <c r="J48" s="23">
        <v>16577.760000000002</v>
      </c>
      <c r="K48" s="53">
        <v>0.10030333455028571</v>
      </c>
      <c r="L48" s="23">
        <v>0</v>
      </c>
      <c r="M48" s="53">
        <v>0</v>
      </c>
      <c r="N48" s="32">
        <v>0</v>
      </c>
      <c r="O48" s="54">
        <v>0</v>
      </c>
      <c r="P48" s="23">
        <v>60079.82</v>
      </c>
      <c r="Q48" s="54">
        <v>3.4778777743314705E-2</v>
      </c>
      <c r="R48" s="21"/>
      <c r="T48" s="23">
        <v>4115.3870648392922</v>
      </c>
      <c r="U48" s="53">
        <v>1.7213869785391449E-2</v>
      </c>
      <c r="V48" s="23">
        <v>81371.443798275388</v>
      </c>
      <c r="W48" s="53">
        <v>4.4440203035571231E-2</v>
      </c>
      <c r="X48" s="23">
        <v>5645.5373381615709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91132.368201276244</v>
      </c>
      <c r="AE48" s="54">
        <v>4.1139741576376336E-2</v>
      </c>
      <c r="AF48" s="21"/>
      <c r="AH48" s="23">
        <v>3839.85</v>
      </c>
      <c r="AI48" s="53">
        <v>2.2365708767292599E-2</v>
      </c>
      <c r="AJ48" s="23">
        <v>62548.59</v>
      </c>
      <c r="AK48" s="53">
        <v>4.4819437012188011E-2</v>
      </c>
      <c r="AL48" s="23">
        <v>1985.39</v>
      </c>
      <c r="AM48" s="53">
        <v>6.5859021046199742E-2</v>
      </c>
      <c r="AN48" s="23">
        <v>0</v>
      </c>
      <c r="AO48" s="53">
        <v>0</v>
      </c>
      <c r="AP48" s="23">
        <v>0</v>
      </c>
      <c r="AQ48" s="54">
        <v>0</v>
      </c>
      <c r="AR48" s="23">
        <v>68373.83</v>
      </c>
      <c r="AS48" s="53">
        <v>4.034980405799863E-2</v>
      </c>
      <c r="AT48" s="21"/>
      <c r="AV48" s="29">
        <f t="shared" si="22"/>
        <v>-275.53706483929227</v>
      </c>
      <c r="AW48" s="55">
        <f t="shared" si="23"/>
        <v>0.5151838981901149</v>
      </c>
      <c r="AX48" s="29">
        <f t="shared" si="24"/>
        <v>-18822.853798275391</v>
      </c>
      <c r="AY48" s="55">
        <f t="shared" si="25"/>
        <v>3.7923397661678016E-2</v>
      </c>
      <c r="AZ48" s="29">
        <f t="shared" si="26"/>
        <v>-3660.1473381615706</v>
      </c>
      <c r="BA48" s="55">
        <f t="shared" si="27"/>
        <v>0.54568561152917028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-22758.538201276242</v>
      </c>
      <c r="BG48" s="55">
        <f t="shared" si="33"/>
        <v>-7.8993751837770632E-2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251328.65</v>
      </c>
      <c r="I49" s="53">
        <v>0.232191138281019</v>
      </c>
      <c r="J49" s="23">
        <v>53454.13</v>
      </c>
      <c r="K49" s="53">
        <v>0.32342291627363789</v>
      </c>
      <c r="L49" s="23">
        <v>0</v>
      </c>
      <c r="M49" s="53">
        <v>0</v>
      </c>
      <c r="N49" s="32">
        <v>0</v>
      </c>
      <c r="O49" s="54">
        <v>0</v>
      </c>
      <c r="P49" s="23">
        <v>304782.77999999997</v>
      </c>
      <c r="Q49" s="54">
        <v>0.17643149672568231</v>
      </c>
      <c r="R49" s="21"/>
      <c r="T49" s="23">
        <v>0</v>
      </c>
      <c r="U49" s="53">
        <v>0</v>
      </c>
      <c r="V49" s="23">
        <v>281688.69122074998</v>
      </c>
      <c r="W49" s="53">
        <v>0.15384147123784692</v>
      </c>
      <c r="X49" s="23">
        <v>33071.042607683448</v>
      </c>
      <c r="Y49" s="53">
        <v>0.3538303708530382</v>
      </c>
      <c r="Z49" s="23">
        <v>0</v>
      </c>
      <c r="AA49" s="53">
        <v>0</v>
      </c>
      <c r="AB49" s="23">
        <v>0</v>
      </c>
      <c r="AC49" s="54">
        <v>0</v>
      </c>
      <c r="AD49" s="23">
        <v>314759.73382843344</v>
      </c>
      <c r="AE49" s="54">
        <v>0.14209149135410495</v>
      </c>
      <c r="AF49" s="21"/>
      <c r="AH49" s="23">
        <v>0</v>
      </c>
      <c r="AI49" s="53">
        <v>0</v>
      </c>
      <c r="AJ49" s="23">
        <v>375144.85000000009</v>
      </c>
      <c r="AK49" s="53">
        <v>0.26881151077940724</v>
      </c>
      <c r="AL49" s="23">
        <v>0</v>
      </c>
      <c r="AM49" s="53">
        <v>0</v>
      </c>
      <c r="AN49" s="23">
        <v>0</v>
      </c>
      <c r="AO49" s="53">
        <v>0</v>
      </c>
      <c r="AP49" s="32">
        <v>0</v>
      </c>
      <c r="AQ49" s="54">
        <v>0</v>
      </c>
      <c r="AR49" s="23">
        <v>375144.85000000009</v>
      </c>
      <c r="AS49" s="53">
        <v>0.22138618226984347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93456.158779250109</v>
      </c>
      <c r="AY49" s="55">
        <f t="shared" si="25"/>
        <v>11.497003954156032</v>
      </c>
      <c r="AZ49" s="29">
        <f t="shared" si="26"/>
        <v>-33071.042607683448</v>
      </c>
      <c r="BA49" s="55">
        <f t="shared" si="27"/>
        <v>-35.383037085303819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60385.116171566653</v>
      </c>
      <c r="BG49" s="55">
        <f t="shared" si="33"/>
        <v>7.9294690915738517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12434.128000000004</v>
      </c>
      <c r="G51" s="36">
        <v>3.2043418204308845E-2</v>
      </c>
      <c r="H51" s="35">
        <v>476906.77400000003</v>
      </c>
      <c r="I51" s="36">
        <v>0.44059253375605478</v>
      </c>
      <c r="J51" s="35">
        <v>103438.35800000001</v>
      </c>
      <c r="K51" s="36">
        <v>0.62585127470817659</v>
      </c>
      <c r="L51" s="35">
        <v>0</v>
      </c>
      <c r="M51" s="36">
        <v>0</v>
      </c>
      <c r="N51" s="37">
        <v>0</v>
      </c>
      <c r="O51" s="70">
        <v>0</v>
      </c>
      <c r="P51" s="35">
        <v>592779.26</v>
      </c>
      <c r="Q51" s="70">
        <v>0.34314580393860306</v>
      </c>
      <c r="R51" s="21"/>
      <c r="T51" s="35">
        <v>21352.294581316561</v>
      </c>
      <c r="U51" s="36">
        <v>8.9312527048158938E-2</v>
      </c>
      <c r="V51" s="35">
        <v>624805.22627646534</v>
      </c>
      <c r="W51" s="36">
        <v>0.3412311471607517</v>
      </c>
      <c r="X51" s="35">
        <v>67905.029637024505</v>
      </c>
      <c r="Y51" s="36">
        <v>0.72652265924246162</v>
      </c>
      <c r="Z51" s="35">
        <v>0</v>
      </c>
      <c r="AA51" s="36">
        <v>0</v>
      </c>
      <c r="AB51" s="37">
        <v>0</v>
      </c>
      <c r="AC51" s="70">
        <v>0</v>
      </c>
      <c r="AD51" s="35">
        <v>714062.55049480638</v>
      </c>
      <c r="AE51" s="70">
        <v>0.32234813356154085</v>
      </c>
      <c r="AF51" s="21"/>
      <c r="AH51" s="35">
        <v>13066.53</v>
      </c>
      <c r="AI51" s="36">
        <v>7.6107713733372856E-2</v>
      </c>
      <c r="AJ51" s="35">
        <v>700160.89000000013</v>
      </c>
      <c r="AK51" s="36">
        <v>0.50170302652309995</v>
      </c>
      <c r="AL51" s="35">
        <v>13326.61</v>
      </c>
      <c r="AM51" s="36">
        <v>0.44206805134734023</v>
      </c>
      <c r="AN51" s="35">
        <v>0</v>
      </c>
      <c r="AO51" s="36">
        <v>0</v>
      </c>
      <c r="AP51" s="37">
        <v>0</v>
      </c>
      <c r="AQ51" s="70">
        <v>0</v>
      </c>
      <c r="AR51" s="35">
        <v>726554.03</v>
      </c>
      <c r="AS51" s="36">
        <v>0.42876511010205598</v>
      </c>
      <c r="AT51" s="21"/>
      <c r="AV51" s="38">
        <f t="shared" si="22"/>
        <v>-8285.76458131656</v>
      </c>
      <c r="AW51" s="39">
        <f>(AI51-U51)*100</f>
        <v>-1.3204813314786081</v>
      </c>
      <c r="AX51" s="38">
        <f t="shared" si="24"/>
        <v>75355.663723534788</v>
      </c>
      <c r="AY51" s="39">
        <f>(AK51-W51)*100</f>
        <v>16.047187936234824</v>
      </c>
      <c r="AZ51" s="38">
        <f t="shared" si="26"/>
        <v>-54578.419637024504</v>
      </c>
      <c r="BA51" s="39">
        <f>(AM51-Y51)*100</f>
        <v>-28.44546078951214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12491.479505193653</v>
      </c>
      <c r="BG51" s="39">
        <f>(AS51-AE51)*100</f>
        <v>10.641697654051512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188219.26200000002</v>
      </c>
      <c r="G53" s="36">
        <v>0.48505118544479953</v>
      </c>
      <c r="H53" s="35">
        <v>303394.39599999989</v>
      </c>
      <c r="I53" s="36">
        <v>0.28029231906239982</v>
      </c>
      <c r="J53" s="35">
        <v>22385.831999999966</v>
      </c>
      <c r="K53" s="36">
        <v>0.13544493322876477</v>
      </c>
      <c r="L53" s="35">
        <v>91747.46</v>
      </c>
      <c r="M53" s="36">
        <v>1</v>
      </c>
      <c r="N53" s="37">
        <v>-52387.66</v>
      </c>
      <c r="O53" s="70">
        <v>0</v>
      </c>
      <c r="P53" s="35">
        <v>553359.2899999998</v>
      </c>
      <c r="Q53" s="70">
        <v>0.32032652160256841</v>
      </c>
      <c r="R53" s="21"/>
      <c r="T53" s="35">
        <v>102759.10927313031</v>
      </c>
      <c r="U53" s="36">
        <v>0.42982152065435231</v>
      </c>
      <c r="V53" s="35">
        <v>534527.12125189358</v>
      </c>
      <c r="W53" s="36">
        <v>0.29192665986537419</v>
      </c>
      <c r="X53" s="35">
        <v>-8726.4216417107891</v>
      </c>
      <c r="Y53" s="36">
        <v>-9.3364852216335711E-2</v>
      </c>
      <c r="Z53" s="35">
        <v>51618.645000000004</v>
      </c>
      <c r="AA53" s="36">
        <v>1</v>
      </c>
      <c r="AB53" s="37">
        <v>0</v>
      </c>
      <c r="AC53" s="70">
        <v>0</v>
      </c>
      <c r="AD53" s="35">
        <v>680178.45388331311</v>
      </c>
      <c r="AE53" s="70">
        <v>0.30705188914630704</v>
      </c>
      <c r="AF53" s="21"/>
      <c r="AH53" s="35">
        <v>56548.570000000022</v>
      </c>
      <c r="AI53" s="36">
        <v>0.32937454531475441</v>
      </c>
      <c r="AJ53" s="35">
        <v>119025.06999999983</v>
      </c>
      <c r="AK53" s="36">
        <v>8.5287879834481661E-2</v>
      </c>
      <c r="AL53" s="35">
        <v>1613.0300000000007</v>
      </c>
      <c r="AM53" s="36">
        <v>5.3507158149356852E-2</v>
      </c>
      <c r="AN53" s="35">
        <v>92068.25</v>
      </c>
      <c r="AO53" s="36">
        <v>1</v>
      </c>
      <c r="AP53" s="37">
        <v>5059.53</v>
      </c>
      <c r="AQ53" s="70">
        <v>1</v>
      </c>
      <c r="AR53" s="35">
        <v>274314.44999999995</v>
      </c>
      <c r="AS53" s="36">
        <v>0.16188261368096041</v>
      </c>
      <c r="AT53" s="21"/>
      <c r="AV53" s="38">
        <f t="shared" ref="AV53" si="34">AH53-T53</f>
        <v>-46210.539273130285</v>
      </c>
      <c r="AW53" s="39">
        <f>(AI53-U53)*100</f>
        <v>-10.044697533959789</v>
      </c>
      <c r="AX53" s="38">
        <f t="shared" ref="AX53" si="35">AJ53-V53</f>
        <v>-415502.05125189375</v>
      </c>
      <c r="AY53" s="39">
        <f>(AK53-W53)*100</f>
        <v>-20.663878003089252</v>
      </c>
      <c r="AZ53" s="38">
        <f t="shared" ref="AZ53" si="36">AL53-X53</f>
        <v>10339.45164171079</v>
      </c>
      <c r="BA53" s="39">
        <f>(AM53-Y53)*100</f>
        <v>14.687201036569256</v>
      </c>
      <c r="BB53" s="38">
        <f>AN53-Z53</f>
        <v>40449.604999999996</v>
      </c>
      <c r="BC53" s="39">
        <f>(AO53-AA53)*100</f>
        <v>0</v>
      </c>
      <c r="BD53" s="38">
        <f t="shared" ref="BD53" si="37">AP53-AB53</f>
        <v>5059.53</v>
      </c>
      <c r="BE53" s="39">
        <f>(AQ53-AC53)*100</f>
        <v>100</v>
      </c>
      <c r="BF53" s="38">
        <f t="shared" ref="BF53" si="38">AR53-AD53</f>
        <v>-405864.00388331315</v>
      </c>
      <c r="BG53" s="39">
        <f>(AS53-AE53)*100</f>
        <v>-14.516927546534664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-0.15567664013004512</v>
      </c>
      <c r="AJ54" s="92"/>
      <c r="AK54" s="92">
        <f>+AK53-I53</f>
        <v>-0.19500443922791816</v>
      </c>
      <c r="AL54" s="92"/>
      <c r="AM54" s="92">
        <f>+AM53-K53</f>
        <v>-8.1937775079407915E-2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433833.92</v>
      </c>
      <c r="Q56" s="53">
        <v>0.25113612992167705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370247.93352197675</v>
      </c>
      <c r="AE56" s="53">
        <v>0.16714044202867731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342387.69</v>
      </c>
      <c r="AS56" s="53">
        <v>0.20205502899824065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-27860.24352197675</v>
      </c>
      <c r="BG56" s="55">
        <f t="shared" ref="BG56:BG78" si="40">(AS56-AE56)*100</f>
        <v>3.4914586969563342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246250.14</v>
      </c>
      <c r="Q57" s="53">
        <v>0.14254834465749283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257625.17416666666</v>
      </c>
      <c r="AE57" s="53">
        <v>0.11629932698969613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230170.93</v>
      </c>
      <c r="AS57" s="53">
        <v>0.13583196853748458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-27454.244166666671</v>
      </c>
      <c r="BG57" s="55">
        <f t="shared" si="40"/>
        <v>1.9532641547788456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41471.879999999997</v>
      </c>
      <c r="Q58" s="53">
        <v>2.4007084194283844E-2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35335.207105310103</v>
      </c>
      <c r="AE58" s="53">
        <v>1.5951316942072365E-2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56678.8</v>
      </c>
      <c r="AS58" s="53">
        <v>3.3448155152965585E-2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21343.5928946899</v>
      </c>
      <c r="BG58" s="55">
        <f t="shared" si="40"/>
        <v>1.749683821089322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53321.85</v>
      </c>
      <c r="Q59" s="53">
        <v>3.0866749767432148E-2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77287.552249999993</v>
      </c>
      <c r="AE59" s="53">
        <v>3.4889798096908835E-2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55537.96</v>
      </c>
      <c r="AS59" s="53">
        <v>3.2774905307790501E-2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-21749.592249999994</v>
      </c>
      <c r="BG59" s="55">
        <f t="shared" si="40"/>
        <v>-0.21148927891183333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92790.05</v>
      </c>
      <c r="Q60" s="53">
        <v>5.3713951302468269E-2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49385.210000000006</v>
      </c>
      <c r="Q61" s="53">
        <v>2.8587922573618283E-2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69889.626109256031</v>
      </c>
      <c r="AE61" s="53">
        <v>3.155016394014977E-2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77015</v>
      </c>
      <c r="AS61" s="53">
        <v>4.5449262671504065E-2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7125.3738907439692</v>
      </c>
      <c r="BG61" s="55">
        <f t="shared" si="40"/>
        <v>1.3899098731354296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39230.51</v>
      </c>
      <c r="Q62" s="53">
        <v>2.2709608451671214E-2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833.33</v>
      </c>
      <c r="Q64" s="53">
        <v>4.8239490159651688E-4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0</v>
      </c>
      <c r="Q67" s="53">
        <v>0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9321.3700000000008</v>
      </c>
      <c r="Q68" s="53">
        <v>5.3959192203505511E-3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51166.869999999995</v>
      </c>
      <c r="Q70" s="53">
        <v>2.9619283139514681E-2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54116.802341387775</v>
      </c>
      <c r="AE70" s="53">
        <v>2.4429862925841889E-2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104901.78000000001</v>
      </c>
      <c r="AS70" s="53">
        <v>6.1906233252331778E-2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50784.977658612239</v>
      </c>
      <c r="BG70" s="55">
        <f t="shared" si="40"/>
        <v>3.7476370326489885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4595.3800000000019</v>
      </c>
      <c r="Q71" s="53">
        <v>2.6601561001027233E-3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11233.111302800875</v>
      </c>
      <c r="AE71" s="53">
        <v>5.0709457596365675E-3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856.25</v>
      </c>
      <c r="AS71" s="53">
        <v>5.0530326770726935E-4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-10376.861302800875</v>
      </c>
      <c r="BG71" s="55">
        <f t="shared" si="40"/>
        <v>-0.45656424919292987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24620.129999999997</v>
      </c>
      <c r="Q72" s="53">
        <v>1.4252007234401079E-2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1.113149819665606E-2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24667.39</v>
      </c>
      <c r="AS72" s="53">
        <v>1.4557095209120723E-2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9</v>
      </c>
      <c r="BG72" s="55">
        <f t="shared" si="40"/>
        <v>0.3425597012464664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1398.19</v>
      </c>
      <c r="Q73" s="53">
        <v>8.0937891047152264E-4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15420.812140916969</v>
      </c>
      <c r="AE73" s="53">
        <v>6.9613929594587931E-3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9966.5299999999988</v>
      </c>
      <c r="AS73" s="53">
        <v>5.8816002063679191E-3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-5454.2821409169701</v>
      </c>
      <c r="BG73" s="55">
        <f t="shared" si="40"/>
        <v>-0.10797927530908739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4142.3799999999992</v>
      </c>
      <c r="Q74" s="53">
        <v>2.3979251826711854E-3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3983.9186137977695</v>
      </c>
      <c r="AE74" s="53">
        <v>1.7984541109583544E-3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4022.2</v>
      </c>
      <c r="AS74" s="53">
        <v>2.373641814157289E-3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38.281386202230351</v>
      </c>
      <c r="BG74" s="55">
        <f t="shared" si="40"/>
        <v>5.7518770319893463E-2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3771.4599999999937</v>
      </c>
      <c r="Q75" s="53">
        <v>2.1832084235239298E-3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29213.324422064394</v>
      </c>
      <c r="AE75" s="53">
        <v>1.3187725075422126E-2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-30144.519999999993</v>
      </c>
      <c r="AS75" s="53">
        <v>-1.7789342434414171E-2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-59357.844422064387</v>
      </c>
      <c r="BG75" s="55">
        <f t="shared" si="40"/>
        <v>-3.0977067509836296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572913.53999999992</v>
      </c>
      <c r="Q76" s="36">
        <v>0.33164601148598044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578763.91845220048</v>
      </c>
      <c r="AE76" s="36">
        <v>0.26127048499680083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533672.31999999995</v>
      </c>
      <c r="AS76" s="36">
        <v>0.31493882298501547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-45091.598452200531</v>
      </c>
      <c r="BG76" s="39">
        <f t="shared" si="40"/>
        <v>5.3668337988214629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-19554.250000000116</v>
      </c>
      <c r="Q78" s="36">
        <v>-1.131948988341203E-2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101414.53543111263</v>
      </c>
      <c r="AE78" s="36">
        <v>4.5781404149506204E-2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-259357.87</v>
      </c>
      <c r="AS78" s="36">
        <v>-0.15305620930405509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-360772.40543111262</v>
      </c>
      <c r="BG78" s="39">
        <f t="shared" si="40"/>
        <v>-19.883761345356131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188" priority="53" operator="greaterThanOrEqual">
      <formula>1</formula>
    </cfRule>
    <cfRule type="cellIs" dxfId="187" priority="52" operator="lessThanOrEqual">
      <formula>-1</formula>
    </cfRule>
  </conditionalFormatting>
  <conditionalFormatting sqref="U33:U34 Y33:Y34 AA33:AA34 AC33:AC34">
    <cfRule type="cellIs" dxfId="186" priority="49" operator="greaterThanOrEqual">
      <formula>0.0001</formula>
    </cfRule>
    <cfRule type="cellIs" dxfId="185" priority="48" operator="lessThanOrEqual">
      <formula>-0.0001</formula>
    </cfRule>
  </conditionalFormatting>
  <conditionalFormatting sqref="AB33:AB34">
    <cfRule type="cellIs" dxfId="184" priority="51" operator="greaterThanOrEqual">
      <formula>1</formula>
    </cfRule>
    <cfRule type="cellIs" dxfId="183" priority="50" operator="lessThanOrEqual">
      <formula>-1</formula>
    </cfRule>
  </conditionalFormatting>
  <conditionalFormatting sqref="AD33:AD34">
    <cfRule type="cellIs" dxfId="182" priority="47" operator="greaterThanOrEqual">
      <formula>1</formula>
    </cfRule>
    <cfRule type="cellIs" dxfId="181" priority="46" operator="lessThanOrEqual">
      <formula>-1</formula>
    </cfRule>
  </conditionalFormatting>
  <conditionalFormatting sqref="AE33:AE34">
    <cfRule type="cellIs" dxfId="180" priority="45" operator="greaterThanOrEqual">
      <formula>0.0001</formula>
    </cfRule>
    <cfRule type="cellIs" dxfId="179" priority="44" operator="lessThanOrEqual">
      <formula>-0.0001</formula>
    </cfRule>
  </conditionalFormatting>
  <conditionalFormatting sqref="AH33:AH34 AJ33:AJ34 AL33:AL34 AN33:AN34">
    <cfRule type="cellIs" dxfId="178" priority="63" operator="greaterThanOrEqual">
      <formula>1</formula>
    </cfRule>
    <cfRule type="cellIs" dxfId="177" priority="62" operator="lessThanOrEqual">
      <formula>-1</formula>
    </cfRule>
  </conditionalFormatting>
  <conditionalFormatting sqref="AI33:AI34 AM33:AM34 AO33:AO34 AQ33:AQ34">
    <cfRule type="cellIs" dxfId="176" priority="59" operator="greaterThanOrEqual">
      <formula>0.0001</formula>
    </cfRule>
    <cfRule type="cellIs" dxfId="175" priority="58" operator="lessThanOrEqual">
      <formula>-0.0001</formula>
    </cfRule>
  </conditionalFormatting>
  <conditionalFormatting sqref="AK33:AK34">
    <cfRule type="cellIs" dxfId="174" priority="43" operator="greaterThanOrEqual">
      <formula>0.0001</formula>
    </cfRule>
    <cfRule type="cellIs" dxfId="173" priority="42" operator="lessThanOrEqual">
      <formula>-0.0001</formula>
    </cfRule>
  </conditionalFormatting>
  <conditionalFormatting sqref="AP33:AP34">
    <cfRule type="cellIs" dxfId="172" priority="60" operator="lessThanOrEqual">
      <formula>-1</formula>
    </cfRule>
    <cfRule type="cellIs" dxfId="171" priority="61" operator="greaterThanOrEqual">
      <formula>1</formula>
    </cfRule>
  </conditionalFormatting>
  <conditionalFormatting sqref="AR33:AR34">
    <cfRule type="cellIs" dxfId="170" priority="56" operator="lessThanOrEqual">
      <formula>-1</formula>
    </cfRule>
    <cfRule type="cellIs" dxfId="169" priority="57" operator="greaterThanOrEqual">
      <formula>1</formula>
    </cfRule>
  </conditionalFormatting>
  <conditionalFormatting sqref="AS33:AS34">
    <cfRule type="cellIs" dxfId="168" priority="55" operator="greaterThanOrEqual">
      <formula>0.0001</formula>
    </cfRule>
    <cfRule type="cellIs" dxfId="167" priority="54" operator="lessThanOrEqual">
      <formula>-0.0001</formula>
    </cfRule>
  </conditionalFormatting>
  <conditionalFormatting sqref="AV27:AV29 AX27:AX29 AZ27:AZ29 BB27:BB29 BF27:BF29 AV40 AX40 AZ40 BB40 BF40">
    <cfRule type="cellIs" dxfId="166" priority="31" operator="greaterThanOrEqual">
      <formula>0.000001</formula>
    </cfRule>
  </conditionalFormatting>
  <conditionalFormatting sqref="AV27:AV29 AX27:AX29 AZ27:AZ29 BB27:BB29 BF27:BF29">
    <cfRule type="cellIs" dxfId="165" priority="30" operator="lessThanOrEqual">
      <formula>-0.000001</formula>
    </cfRule>
  </conditionalFormatting>
  <conditionalFormatting sqref="AV33:AV34 AX33:AX34 AZ33:AZ34 BB33:BB34">
    <cfRule type="cellIs" dxfId="164" priority="41" operator="greaterThanOrEqual">
      <formula>1</formula>
    </cfRule>
    <cfRule type="cellIs" dxfId="163" priority="40" operator="lessThanOrEqual">
      <formula>-1</formula>
    </cfRule>
  </conditionalFormatting>
  <conditionalFormatting sqref="AV36 AX36 AZ36 BB36 BD36 BF36 AX43:AX51 AZ43:AZ51 BD43:BD51 BF43:BF51 AV43:AV52">
    <cfRule type="cellIs" dxfId="162" priority="28" operator="lessThanOrEqual">
      <formula>-0.000001</formula>
    </cfRule>
    <cfRule type="cellIs" dxfId="161" priority="29" operator="greaterThanOrEqual">
      <formula>0.00001</formula>
    </cfRule>
  </conditionalFormatting>
  <conditionalFormatting sqref="AV39 AX39 AZ39 BF39">
    <cfRule type="cellIs" dxfId="160" priority="14" operator="lessThanOrEqual">
      <formula>-0.00001</formula>
    </cfRule>
    <cfRule type="cellIs" dxfId="159" priority="15" operator="greaterThanOrEqual">
      <formula>0.00001</formula>
    </cfRule>
  </conditionalFormatting>
  <conditionalFormatting sqref="AV40:BB40 BD40:BG40">
    <cfRule type="cellIs" dxfId="158" priority="18" operator="lessThanOrEqual">
      <formula>-0.000001</formula>
    </cfRule>
  </conditionalFormatting>
  <conditionalFormatting sqref="AV53:BB53 BD53:BG53 BF78:BG78">
    <cfRule type="cellIs" dxfId="157" priority="21" operator="greaterThanOrEqual">
      <formula>0.000001</formula>
    </cfRule>
    <cfRule type="cellIs" dxfId="156" priority="20" operator="lessThanOrEqual">
      <formula>-0.000001</formula>
    </cfRule>
  </conditionalFormatting>
  <conditionalFormatting sqref="AW29 AY29 BA29 BC29 BE29 BG29">
    <cfRule type="cellIs" dxfId="155" priority="24" operator="lessThanOrEqual">
      <formula>-0.000001</formula>
    </cfRule>
    <cfRule type="cellIs" dxfId="154" priority="25" operator="greaterThanOrEqual">
      <formula>0.000001</formula>
    </cfRule>
  </conditionalFormatting>
  <conditionalFormatting sqref="AW33:AW34 BA33:BA34 BC33:BC34 BE33:BE34">
    <cfRule type="cellIs" dxfId="153" priority="39" operator="greaterThanOrEqual">
      <formula>0.0001</formula>
    </cfRule>
    <cfRule type="cellIs" dxfId="152" priority="38" operator="lessThanOrEqual">
      <formula>-0.0001</formula>
    </cfRule>
  </conditionalFormatting>
  <conditionalFormatting sqref="AW36 AY36 BA36 BG36">
    <cfRule type="cellIs" dxfId="151" priority="13" operator="greaterThanOrEqual">
      <formula>0.000001</formula>
    </cfRule>
    <cfRule type="cellIs" dxfId="150" priority="12" operator="lessThanOrEqual">
      <formula>-0.00001</formula>
    </cfRule>
  </conditionalFormatting>
  <conditionalFormatting sqref="AW39 AY39 BA39 BC39 BE39 BG39">
    <cfRule type="cellIs" dxfId="149" priority="17" operator="greaterThanOrEqual">
      <formula>0.000001</formula>
    </cfRule>
    <cfRule type="cellIs" dxfId="148" priority="16" operator="lessThanOrEqual">
      <formula>-0.00001</formula>
    </cfRule>
  </conditionalFormatting>
  <conditionalFormatting sqref="AW40 AY40 BA40 BG40">
    <cfRule type="cellIs" dxfId="147" priority="19" operator="greaterThanOrEqual">
      <formula>0.0000001</formula>
    </cfRule>
  </conditionalFormatting>
  <conditionalFormatting sqref="AW43:AW51 AY43:AY51 BA43:BA51 BG43:BG51 BG56:BG76">
    <cfRule type="cellIs" dxfId="146" priority="23" operator="greaterThanOrEqual">
      <formula>0.000001</formula>
    </cfRule>
    <cfRule type="cellIs" dxfId="145" priority="22" operator="lessThanOrEqual">
      <formula>-0.0000001</formula>
    </cfRule>
  </conditionalFormatting>
  <conditionalFormatting sqref="AY33:AY34">
    <cfRule type="cellIs" dxfId="144" priority="33" operator="greaterThanOrEqual">
      <formula>0.0001</formula>
    </cfRule>
    <cfRule type="cellIs" dxfId="143" priority="32" operator="lessThanOrEqual">
      <formula>-0.0001</formula>
    </cfRule>
  </conditionalFormatting>
  <conditionalFormatting sqref="BD27:BD29 BD40">
    <cfRule type="cellIs" dxfId="142" priority="9" operator="greaterThanOrEqual">
      <formula>0.000001</formula>
    </cfRule>
  </conditionalFormatting>
  <conditionalFormatting sqref="BD27:BD29">
    <cfRule type="cellIs" dxfId="141" priority="8" operator="lessThanOrEqual">
      <formula>-0.000001</formula>
    </cfRule>
  </conditionalFormatting>
  <conditionalFormatting sqref="BD33:BD34">
    <cfRule type="cellIs" dxfId="140" priority="11" operator="greaterThanOrEqual">
      <formula>1</formula>
    </cfRule>
    <cfRule type="cellIs" dxfId="139" priority="10" operator="lessThanOrEqual">
      <formula>-1</formula>
    </cfRule>
  </conditionalFormatting>
  <conditionalFormatting sqref="BD39">
    <cfRule type="cellIs" dxfId="138" priority="4" operator="greaterThanOrEqual">
      <formula>0.00001</formula>
    </cfRule>
    <cfRule type="cellIs" dxfId="137" priority="3" operator="lessThanOrEqual">
      <formula>-0.00001</formula>
    </cfRule>
  </conditionalFormatting>
  <conditionalFormatting sqref="BE36">
    <cfRule type="cellIs" dxfId="136" priority="1" operator="lessThanOrEqual">
      <formula>-0.00001</formula>
    </cfRule>
    <cfRule type="cellIs" dxfId="135" priority="2" operator="greaterThanOrEqual">
      <formula>0.000001</formula>
    </cfRule>
  </conditionalFormatting>
  <conditionalFormatting sqref="BE40">
    <cfRule type="cellIs" dxfId="134" priority="5" operator="greaterThanOrEqual">
      <formula>0.0000001</formula>
    </cfRule>
  </conditionalFormatting>
  <conditionalFormatting sqref="BE43:BE51">
    <cfRule type="cellIs" dxfId="133" priority="7" operator="greaterThanOrEqual">
      <formula>0.000001</formula>
    </cfRule>
    <cfRule type="cellIs" dxfId="132" priority="6" operator="lessThanOrEqual">
      <formula>-0.0000001</formula>
    </cfRule>
  </conditionalFormatting>
  <conditionalFormatting sqref="BF33:BF34">
    <cfRule type="cellIs" dxfId="131" priority="36" operator="lessThanOrEqual">
      <formula>-1</formula>
    </cfRule>
    <cfRule type="cellIs" dxfId="130" priority="37" operator="greaterThanOrEqual">
      <formula>1</formula>
    </cfRule>
  </conditionalFormatting>
  <conditionalFormatting sqref="BF56:BF76">
    <cfRule type="cellIs" dxfId="129" priority="27" operator="greaterThanOrEqual">
      <formula>0.00001</formula>
    </cfRule>
    <cfRule type="cellIs" dxfId="128" priority="26" operator="lessThanOrEqual">
      <formula>-0.000001</formula>
    </cfRule>
  </conditionalFormatting>
  <conditionalFormatting sqref="BG33:BG34">
    <cfRule type="cellIs" dxfId="127" priority="34" operator="lessThanOrEqual">
      <formula>-0.0001</formula>
    </cfRule>
    <cfRule type="cellIs" dxfId="126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2E9C-7DED-42FC-9A21-0CB1DCFCA28E}">
  <sheetPr>
    <tabColor theme="4" tint="0.79998168889431442"/>
  </sheetPr>
  <dimension ref="A1:BI83"/>
  <sheetViews>
    <sheetView topLeftCell="L17" workbookViewId="0">
      <selection activeCell="AM54" sqref="AM54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1" customWidth="1"/>
    <col min="6" max="8" width="12.375" style="2" customWidth="1" outlineLevel="2"/>
    <col min="9" max="9" width="12.25" style="2" customWidth="1" outlineLevel="2"/>
    <col min="10" max="10" width="13.25" style="2" customWidth="1" outlineLevel="2"/>
    <col min="11" max="15" width="12.375" style="2" customWidth="1" outlineLevel="2"/>
    <col min="16" max="17" width="12.375" style="2" customWidth="1" outlineLevel="1"/>
    <col min="18" max="19" width="2.375" style="3" customWidth="1" outlineLevel="1"/>
    <col min="20" max="22" width="12.375" style="2" hidden="1" customWidth="1" outlineLevel="2"/>
    <col min="23" max="23" width="12.25" style="2" hidden="1" customWidth="1" outlineLevel="2"/>
    <col min="24" max="24" width="13.25" style="2" hidden="1" customWidth="1" outlineLevel="2"/>
    <col min="25" max="31" width="12.375" style="2" hidden="1" customWidth="1" outlineLevel="2"/>
    <col min="32" max="32" width="2.375" style="3" customWidth="1" outlineLevel="1" collapsed="1"/>
    <col min="33" max="33" width="2.375" style="3" customWidth="1" outlineLevel="1"/>
    <col min="34" max="34" width="12.375" style="2" customWidth="1"/>
    <col min="35" max="36" width="12.375" style="2" customWidth="1" outlineLevel="1"/>
    <col min="37" max="37" width="12.25" style="2" customWidth="1" outlineLevel="1"/>
    <col min="38" max="38" width="13.25" style="2" customWidth="1" outlineLevel="1"/>
    <col min="39" max="43" width="12.375" style="2" customWidth="1" outlineLevel="1"/>
    <col min="44" max="45" width="12.375" style="2" customWidth="1"/>
    <col min="46" max="47" width="2.375" style="3" customWidth="1"/>
    <col min="48" max="50" width="12.375" style="2" hidden="1" customWidth="1" outlineLevel="1"/>
    <col min="51" max="51" width="12.25" style="2" hidden="1" customWidth="1" outlineLevel="1"/>
    <col min="52" max="52" width="13.25" style="2" hidden="1" customWidth="1" outlineLevel="1"/>
    <col min="53" max="59" width="12.375" style="2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>
      <c r="K1" s="1"/>
      <c r="Y1" s="1"/>
      <c r="AM1" s="1"/>
      <c r="BA1" s="1"/>
    </row>
    <row r="2" spans="5:59">
      <c r="H2" s="4"/>
      <c r="K2" s="1"/>
      <c r="Y2" s="1"/>
      <c r="AM2" s="1"/>
      <c r="BA2" s="1"/>
    </row>
    <row r="3" spans="5:59">
      <c r="H3" s="4"/>
      <c r="K3" s="1"/>
      <c r="Y3" s="1"/>
      <c r="AM3" s="1"/>
      <c r="BA3" s="1"/>
    </row>
    <row r="4" spans="5:59">
      <c r="K4" s="1"/>
      <c r="Y4" s="1"/>
      <c r="AM4" s="1"/>
      <c r="BA4" s="1"/>
    </row>
    <row r="5" spans="5:59" ht="15">
      <c r="E5" s="5">
        <v>45931</v>
      </c>
      <c r="K5" s="1"/>
      <c r="Y5" s="1"/>
      <c r="AI5" s="6"/>
      <c r="AM5" s="1"/>
      <c r="AW5" s="6"/>
      <c r="BA5" s="1"/>
    </row>
    <row r="6" spans="5:59">
      <c r="K6" s="1"/>
      <c r="Y6" s="7"/>
      <c r="AJ6" s="8"/>
      <c r="AK6" s="8"/>
      <c r="AM6" s="7"/>
      <c r="BA6" s="7"/>
    </row>
    <row r="7" spans="5:59" hidden="1" outlineLevel="1">
      <c r="E7" s="9" t="s">
        <v>0</v>
      </c>
      <c r="F7" s="10">
        <f>EDATE($E$5,-12)</f>
        <v>45566</v>
      </c>
      <c r="G7" s="10"/>
      <c r="H7" s="10">
        <f>F7</f>
        <v>45566</v>
      </c>
      <c r="I7" s="10"/>
      <c r="J7" s="10">
        <f>H7</f>
        <v>45566</v>
      </c>
      <c r="K7" s="10"/>
      <c r="L7" s="10">
        <f>J7</f>
        <v>45566</v>
      </c>
      <c r="M7" s="10"/>
      <c r="N7" s="10">
        <f>L7</f>
        <v>45566</v>
      </c>
      <c r="O7" s="10"/>
      <c r="P7" s="10">
        <f>L7</f>
        <v>45566</v>
      </c>
      <c r="Q7" s="10"/>
      <c r="T7" s="10">
        <f>EDATE($E$5,0)</f>
        <v>45931</v>
      </c>
      <c r="U7" s="10"/>
      <c r="V7" s="10">
        <f>T7</f>
        <v>45931</v>
      </c>
      <c r="W7" s="10"/>
      <c r="X7" s="10">
        <f>V7</f>
        <v>45931</v>
      </c>
      <c r="Y7" s="10"/>
      <c r="Z7" s="10">
        <f>X7</f>
        <v>45931</v>
      </c>
      <c r="AA7" s="10"/>
      <c r="AB7" s="10">
        <f>Z7</f>
        <v>45931</v>
      </c>
      <c r="AC7" s="10"/>
      <c r="AD7" s="10">
        <f>Z7</f>
        <v>45931</v>
      </c>
      <c r="AE7" s="10"/>
      <c r="AH7" s="10">
        <f>EDATE($E$5,0)</f>
        <v>45931</v>
      </c>
      <c r="AI7" s="10"/>
      <c r="AJ7" s="10">
        <f>AH7</f>
        <v>45931</v>
      </c>
      <c r="AK7" s="10"/>
      <c r="AL7" s="10">
        <f>AJ7</f>
        <v>45931</v>
      </c>
      <c r="AM7" s="10"/>
      <c r="AN7" s="10">
        <f>AL7</f>
        <v>45931</v>
      </c>
      <c r="AO7" s="10"/>
      <c r="AP7" s="10">
        <f>AN7</f>
        <v>45931</v>
      </c>
      <c r="AQ7" s="10"/>
      <c r="AR7" s="10">
        <f>AN7</f>
        <v>45931</v>
      </c>
      <c r="AS7" s="10"/>
      <c r="AV7" s="10">
        <f>EDATE($E$5,0)</f>
        <v>45931</v>
      </c>
      <c r="AW7" s="10"/>
      <c r="AX7" s="10">
        <f>AV7</f>
        <v>45931</v>
      </c>
      <c r="AY7" s="10"/>
      <c r="AZ7" s="10">
        <f>AX7</f>
        <v>45931</v>
      </c>
      <c r="BA7" s="10"/>
      <c r="BB7" s="10"/>
      <c r="BC7" s="10"/>
      <c r="BD7" s="10">
        <f>BB7</f>
        <v>0</v>
      </c>
      <c r="BE7" s="10"/>
      <c r="BF7" s="10">
        <f>BB7</f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f>MONTH(F7)</f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f>MONTH(T7)</f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f>MONTH(AH7)</f>
        <v>10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f>MONTH(AV7)</f>
        <v>10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tr">
        <f>"Q"&amp;ROUNDUP(MONTH(F7)/3,0)&amp;"'"&amp;TEXT(F7,"yy")</f>
        <v>Q4'24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tr">
        <f>"Q"&amp;ROUNDUP(MONTH(T7)/3,0)&amp;"'"&amp;TEXT(T7,"yy")</f>
        <v>Q4'25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tr">
        <f>"Q"&amp;ROUNDUP(MONTH(AH7)/3,0)&amp;"'"&amp;TEXT(AH7,"yy")</f>
        <v>Q4'25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tr">
        <f>"Q"&amp;ROUNDUP(MONTH(AV7)/3,0)&amp;"'"&amp;TEXT(AV7,"yy")</f>
        <v>Q4'25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tr">
        <f>"H"&amp;ROUNDUP(MONTH(F7)/6,0)&amp;"'"&amp;TEXT(F7,"yy")</f>
        <v>H2'24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tr">
        <f>"H"&amp;ROUNDUP(MONTH(T7)/6,0)&amp;"'"&amp;TEXT(T7,"yy")</f>
        <v>H2'25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tr">
        <f>"H"&amp;ROUNDUP(MONTH(AH7)/6,0)&amp;"'"&amp;TEXT(AH7,"yy")</f>
        <v>H2'25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tr">
        <f>"H"&amp;ROUNDUP(MONTH(AV7)/6,0)&amp;"'"&amp;TEXT(AV7,"yy")</f>
        <v>H2'25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f>YEAR(F7)</f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f>YEAR(T7)</f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f>YEAR(AH7)</f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f>YEAR(AV7)</f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1"/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118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118</v>
      </c>
      <c r="Q17" s="20"/>
      <c r="R17" s="21"/>
      <c r="T17" s="18" t="s">
        <v>119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119</v>
      </c>
      <c r="AE17" s="20"/>
      <c r="AF17" s="21"/>
      <c r="AH17" s="18" t="s">
        <v>120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120</v>
      </c>
      <c r="AS17" s="20"/>
      <c r="AT17" s="21"/>
      <c r="AV17" s="18" t="str">
        <f>"STO"&amp;" "&amp;RIGHT(YEAR($E$5),2)&amp;"년"&amp;" "&amp;MONTH($E$5)&amp;"월 계획대비"</f>
        <v>STO 25년 10월 계획대비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tr">
        <f>"STO"&amp;" "&amp;RIGHT(YEAR($E$5),2)&amp;"년"&amp;" "&amp;MONTH($E$5)&amp;"월 당월 실적"</f>
        <v>STO 25년 10월 당월 실적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468854</v>
      </c>
      <c r="G27" s="24"/>
      <c r="H27" s="27">
        <v>2050944</v>
      </c>
      <c r="I27" s="24"/>
      <c r="J27" s="27">
        <v>203444</v>
      </c>
      <c r="K27" s="24"/>
      <c r="L27" s="27">
        <v>99976.68</v>
      </c>
      <c r="M27" s="24"/>
      <c r="N27" s="28">
        <v>0</v>
      </c>
      <c r="O27" s="16"/>
      <c r="P27" s="23">
        <v>2823218.68</v>
      </c>
      <c r="Q27" s="24"/>
      <c r="R27" s="21"/>
      <c r="T27" s="27">
        <v>293758.42549009772</v>
      </c>
      <c r="U27" s="24"/>
      <c r="V27" s="27">
        <v>3137983.4315715153</v>
      </c>
      <c r="W27" s="24"/>
      <c r="X27" s="27">
        <v>143398.03761200106</v>
      </c>
      <c r="Y27" s="24"/>
      <c r="Z27" s="27">
        <v>71618.645000000004</v>
      </c>
      <c r="AA27" s="24"/>
      <c r="AB27" s="28">
        <v>0</v>
      </c>
      <c r="AC27" s="16"/>
      <c r="AD27" s="23">
        <v>3646758.5396736139</v>
      </c>
      <c r="AE27" s="24"/>
      <c r="AF27" s="21"/>
      <c r="AH27" s="27">
        <v>563572</v>
      </c>
      <c r="AI27" s="24"/>
      <c r="AJ27" s="27">
        <v>3265535</v>
      </c>
      <c r="AK27" s="24"/>
      <c r="AL27" s="27">
        <v>82108</v>
      </c>
      <c r="AM27" s="24"/>
      <c r="AN27" s="27">
        <v>62323.82</v>
      </c>
      <c r="AO27" s="24"/>
      <c r="AP27" s="28">
        <v>8111.08</v>
      </c>
      <c r="AQ27" s="16"/>
      <c r="AR27" s="23">
        <v>3981649.9</v>
      </c>
      <c r="AS27" s="24"/>
      <c r="AT27" s="21"/>
      <c r="AV27" s="29">
        <f>AH27-T27</f>
        <v>269813.57450990228</v>
      </c>
      <c r="AW27" s="30"/>
      <c r="AX27" s="29">
        <f t="shared" ref="AX27:AX29" si="0">AJ27-V27</f>
        <v>127551.56842848472</v>
      </c>
      <c r="AY27" s="30"/>
      <c r="AZ27" s="29">
        <f t="shared" ref="AZ27:AZ29" si="1">AL27-X27</f>
        <v>-61290.037612001062</v>
      </c>
      <c r="BA27" s="30"/>
      <c r="BB27" s="29">
        <f t="shared" ref="BB27:BB29" si="2">AN27-Z27</f>
        <v>-9294.8250000000044</v>
      </c>
      <c r="BC27" s="30"/>
      <c r="BD27" s="29">
        <f t="shared" ref="BD27:BD29" si="3">AP27-AB27</f>
        <v>8111.08</v>
      </c>
      <c r="BE27" s="30"/>
      <c r="BF27" s="29">
        <f t="shared" ref="BF27:BF29" si="4">AR27-AD27</f>
        <v>334891.36032638606</v>
      </c>
      <c r="BG27" s="30"/>
    </row>
    <row r="28" spans="3:59">
      <c r="E28" s="26" t="s">
        <v>29</v>
      </c>
      <c r="F28" s="23">
        <v>293430.3</v>
      </c>
      <c r="G28" s="31"/>
      <c r="H28" s="23">
        <v>794812.21</v>
      </c>
      <c r="I28" s="31"/>
      <c r="J28" s="23">
        <v>54735.039999999979</v>
      </c>
      <c r="K28" s="31"/>
      <c r="L28" s="23">
        <v>0</v>
      </c>
      <c r="M28" s="31"/>
      <c r="N28" s="32">
        <v>0</v>
      </c>
      <c r="O28" s="32"/>
      <c r="P28" s="23">
        <v>1142977.55</v>
      </c>
      <c r="Q28" s="31"/>
      <c r="R28" s="21"/>
      <c r="T28" s="23">
        <v>186536.60018621205</v>
      </c>
      <c r="U28" s="31"/>
      <c r="V28" s="23">
        <v>1322629.5540188747</v>
      </c>
      <c r="W28" s="31"/>
      <c r="X28" s="23">
        <v>60707.190383641791</v>
      </c>
      <c r="Y28" s="31"/>
      <c r="Z28" s="23">
        <v>0</v>
      </c>
      <c r="AA28" s="31"/>
      <c r="AB28" s="32">
        <v>0</v>
      </c>
      <c r="AC28" s="32"/>
      <c r="AD28" s="23">
        <v>1569873.3445887284</v>
      </c>
      <c r="AE28" s="31"/>
      <c r="AF28" s="21"/>
      <c r="AH28" s="23">
        <v>361720.8</v>
      </c>
      <c r="AI28" s="31"/>
      <c r="AJ28" s="23">
        <v>1650177.6099999999</v>
      </c>
      <c r="AK28" s="31"/>
      <c r="AL28" s="23">
        <v>34226.9</v>
      </c>
      <c r="AM28" s="31"/>
      <c r="AN28" s="23">
        <v>0</v>
      </c>
      <c r="AO28" s="31"/>
      <c r="AP28" s="32">
        <v>0</v>
      </c>
      <c r="AQ28" s="32"/>
      <c r="AR28" s="23">
        <v>2046125.3099999998</v>
      </c>
      <c r="AS28" s="31"/>
      <c r="AT28" s="21"/>
      <c r="AV28" s="29">
        <f t="shared" ref="AV28:AV29" si="5">AH28-T28</f>
        <v>175184.19981378794</v>
      </c>
      <c r="AW28" s="33"/>
      <c r="AX28" s="29">
        <f t="shared" si="0"/>
        <v>327548.05598112522</v>
      </c>
      <c r="AY28" s="33"/>
      <c r="AZ28" s="29">
        <f t="shared" si="1"/>
        <v>-26480.29038364179</v>
      </c>
      <c r="BA28" s="33"/>
      <c r="BB28" s="29">
        <f t="shared" si="2"/>
        <v>0</v>
      </c>
      <c r="BC28" s="33"/>
      <c r="BD28" s="29">
        <f t="shared" si="3"/>
        <v>0</v>
      </c>
      <c r="BE28" s="33"/>
      <c r="BF28" s="29">
        <f t="shared" si="4"/>
        <v>476251.96541127143</v>
      </c>
      <c r="BG28" s="33"/>
    </row>
    <row r="29" spans="3:59" ht="15">
      <c r="C29" s="16" t="s">
        <v>30</v>
      </c>
      <c r="E29" s="34" t="s">
        <v>31</v>
      </c>
      <c r="F29" s="35">
        <v>175423.7</v>
      </c>
      <c r="G29" s="36">
        <v>0.62584578568168348</v>
      </c>
      <c r="H29" s="35">
        <v>1256131.79</v>
      </c>
      <c r="I29" s="36">
        <v>0.38753481811302504</v>
      </c>
      <c r="J29" s="35">
        <v>148708.96000000002</v>
      </c>
      <c r="K29" s="36">
        <v>0.26904229173630079</v>
      </c>
      <c r="L29" s="35">
        <v>99976.68</v>
      </c>
      <c r="M29" s="36">
        <v>0</v>
      </c>
      <c r="N29" s="37">
        <v>0</v>
      </c>
      <c r="O29" s="36">
        <v>0</v>
      </c>
      <c r="P29" s="35">
        <v>1680241.13</v>
      </c>
      <c r="Q29" s="36">
        <v>0.40484910293948617</v>
      </c>
      <c r="R29" s="21"/>
      <c r="T29" s="35">
        <v>107221.82530388566</v>
      </c>
      <c r="U29" s="36">
        <v>0.63500000000000001</v>
      </c>
      <c r="V29" s="35">
        <v>1815353.8775526406</v>
      </c>
      <c r="W29" s="36">
        <v>0.42149029236795432</v>
      </c>
      <c r="X29" s="35">
        <v>82690.847228359271</v>
      </c>
      <c r="Y29" s="36">
        <v>0.42334742786299584</v>
      </c>
      <c r="Z29" s="35">
        <v>71618.645000000004</v>
      </c>
      <c r="AA29" s="36">
        <v>0</v>
      </c>
      <c r="AB29" s="37">
        <v>0</v>
      </c>
      <c r="AC29" s="36">
        <v>0</v>
      </c>
      <c r="AD29" s="35">
        <v>2076885.1950848855</v>
      </c>
      <c r="AE29" s="36">
        <v>0.43048458720528082</v>
      </c>
      <c r="AF29" s="21"/>
      <c r="AH29" s="35">
        <v>201851.2</v>
      </c>
      <c r="AI29" s="36">
        <v>0.6418360032081083</v>
      </c>
      <c r="AJ29" s="35">
        <v>1615357.3900000001</v>
      </c>
      <c r="AK29" s="36">
        <v>0.50533147248460053</v>
      </c>
      <c r="AL29" s="35">
        <v>47881.1</v>
      </c>
      <c r="AM29" s="36">
        <v>0.41685219467043411</v>
      </c>
      <c r="AN29" s="35">
        <v>62323.82</v>
      </c>
      <c r="AO29" s="36">
        <v>0</v>
      </c>
      <c r="AP29" s="37">
        <v>8111.08</v>
      </c>
      <c r="AQ29" s="36">
        <v>0</v>
      </c>
      <c r="AR29" s="35">
        <v>1935524.5900000003</v>
      </c>
      <c r="AS29" s="36">
        <v>0.51388880524126435</v>
      </c>
      <c r="AT29" s="21"/>
      <c r="AV29" s="38">
        <f t="shared" si="5"/>
        <v>94629.374696114348</v>
      </c>
      <c r="AW29" s="39">
        <f>(AI29-U29)*100</f>
        <v>0.68360032081082878</v>
      </c>
      <c r="AX29" s="38">
        <f t="shared" si="0"/>
        <v>-199996.48755264049</v>
      </c>
      <c r="AY29" s="39">
        <f>(AK29-W29)*100</f>
        <v>8.3841180116646203</v>
      </c>
      <c r="AZ29" s="38">
        <f t="shared" si="1"/>
        <v>-34809.747228359272</v>
      </c>
      <c r="BA29" s="39">
        <f>(AM29-Y29)*100</f>
        <v>-0.64952331925617335</v>
      </c>
      <c r="BB29" s="38">
        <f t="shared" si="2"/>
        <v>-9294.8250000000044</v>
      </c>
      <c r="BC29" s="39">
        <f>(AO29-AA29)*100</f>
        <v>0</v>
      </c>
      <c r="BD29" s="38">
        <f t="shared" si="3"/>
        <v>8111.08</v>
      </c>
      <c r="BE29" s="39">
        <f>(AQ29-AC29)*100</f>
        <v>0</v>
      </c>
      <c r="BF29" s="38">
        <f t="shared" si="4"/>
        <v>-141360.60508488514</v>
      </c>
      <c r="BG29" s="39">
        <f>(AS29-AE29)*100</f>
        <v>8.3404218035983533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94629.374696114348</v>
      </c>
      <c r="AI33" s="51">
        <v>0.8825570207177309</v>
      </c>
      <c r="AJ33" s="41">
        <v>-199996.48755264049</v>
      </c>
      <c r="AK33" s="51">
        <v>-0.11016942207558156</v>
      </c>
      <c r="AL33" s="41">
        <v>-34809.747228359272</v>
      </c>
      <c r="AM33" s="51">
        <v>-0.42096251755927205</v>
      </c>
      <c r="AN33" s="41">
        <v>-9294.8250000000044</v>
      </c>
      <c r="AO33" s="51">
        <v>-0.12978219568381955</v>
      </c>
      <c r="AP33" s="41">
        <v>8111.08</v>
      </c>
      <c r="AQ33" s="51">
        <v>0</v>
      </c>
      <c r="AR33" s="41">
        <v>-141360.60508488514</v>
      </c>
      <c r="AS33" s="51">
        <v>-6.8063755001685378E-2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-68201.874696114348</v>
      </c>
      <c r="U34" s="51">
        <v>-0.38878369739159724</v>
      </c>
      <c r="V34" s="41">
        <v>559222.08755264059</v>
      </c>
      <c r="W34" s="51">
        <v>0.44519380211899628</v>
      </c>
      <c r="X34" s="41">
        <v>-66018.11277164075</v>
      </c>
      <c r="Y34" s="51">
        <v>-0.443941728673516</v>
      </c>
      <c r="Z34" s="41">
        <v>-28358.034999999989</v>
      </c>
      <c r="AA34" s="51">
        <v>-0.28364649636295169</v>
      </c>
      <c r="AB34" s="41">
        <v>0</v>
      </c>
      <c r="AC34" s="51">
        <v>0</v>
      </c>
      <c r="AD34" s="41">
        <v>396644.06508488557</v>
      </c>
      <c r="AE34" s="51">
        <v>0.23606377561111458</v>
      </c>
      <c r="AF34" s="49"/>
      <c r="AH34" s="41">
        <v>26427.5</v>
      </c>
      <c r="AI34" s="51">
        <v>0.15064954165258171</v>
      </c>
      <c r="AJ34" s="41">
        <v>359225.60000000009</v>
      </c>
      <c r="AK34" s="51">
        <v>0.28597763615233407</v>
      </c>
      <c r="AL34" s="41">
        <v>-100827.86000000002</v>
      </c>
      <c r="AM34" s="51">
        <v>-0.67802141848076947</v>
      </c>
      <c r="AN34" s="41">
        <v>-37652.859999999993</v>
      </c>
      <c r="AO34" s="51">
        <v>-0.37661642695076492</v>
      </c>
      <c r="AP34" s="41">
        <v>8111.08</v>
      </c>
      <c r="AQ34" s="51">
        <v>0</v>
      </c>
      <c r="AR34" s="41">
        <v>255283.46000000043</v>
      </c>
      <c r="AS34" s="51">
        <v>0.15193263362146148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96588.930000000008</v>
      </c>
      <c r="G36" s="53">
        <v>0.55060365275615553</v>
      </c>
      <c r="H36" s="23">
        <v>383690.73</v>
      </c>
      <c r="I36" s="53">
        <v>0.30545419919672601</v>
      </c>
      <c r="J36" s="23">
        <v>36508.839999999997</v>
      </c>
      <c r="K36" s="53">
        <v>0.24550531454190785</v>
      </c>
      <c r="L36" s="23">
        <v>0</v>
      </c>
      <c r="M36" s="53">
        <v>0</v>
      </c>
      <c r="N36" s="32">
        <v>52198.89</v>
      </c>
      <c r="O36" s="54">
        <v>0</v>
      </c>
      <c r="P36" s="23">
        <v>568987.39</v>
      </c>
      <c r="Q36" s="54">
        <v>0.33863436612815212</v>
      </c>
      <c r="R36" s="21"/>
      <c r="T36" s="23">
        <v>51559.325131827958</v>
      </c>
      <c r="U36" s="53">
        <v>0.4808659522974888</v>
      </c>
      <c r="V36" s="23">
        <v>626914.71697371325</v>
      </c>
      <c r="W36" s="53">
        <v>0.34534022524516533</v>
      </c>
      <c r="X36" s="23">
        <v>28556.475807555147</v>
      </c>
      <c r="Y36" s="53">
        <v>0.34534022524516533</v>
      </c>
      <c r="Z36" s="23">
        <v>0</v>
      </c>
      <c r="AA36" s="53">
        <v>0</v>
      </c>
      <c r="AB36" s="32">
        <v>0</v>
      </c>
      <c r="AC36" s="54">
        <v>0</v>
      </c>
      <c r="AD36" s="23">
        <v>707030.51791309635</v>
      </c>
      <c r="AE36" s="54">
        <v>0.34042831042675853</v>
      </c>
      <c r="AF36" s="21"/>
      <c r="AH36" s="23">
        <v>121962.49</v>
      </c>
      <c r="AI36" s="53">
        <v>0.6042197916088683</v>
      </c>
      <c r="AJ36" s="23">
        <v>674653.12</v>
      </c>
      <c r="AK36" s="53">
        <v>0.41764944660326836</v>
      </c>
      <c r="AL36" s="23">
        <v>14948.89</v>
      </c>
      <c r="AM36" s="53">
        <v>0.31220857499096721</v>
      </c>
      <c r="AN36" s="23">
        <v>0</v>
      </c>
      <c r="AO36" s="53">
        <v>0</v>
      </c>
      <c r="AP36" s="32">
        <v>0</v>
      </c>
      <c r="AQ36" s="54">
        <v>0</v>
      </c>
      <c r="AR36" s="23">
        <v>811564.5</v>
      </c>
      <c r="AS36" s="53">
        <v>0.41929950370715768</v>
      </c>
      <c r="AT36" s="21"/>
      <c r="AV36" s="29">
        <f t="shared" ref="AV36:AV38" si="6">AH36-T36</f>
        <v>70403.164868172054</v>
      </c>
      <c r="AW36" s="55">
        <f t="shared" ref="AW36:AW38" si="7">(AI36-U36)*100</f>
        <v>12.335383931137949</v>
      </c>
      <c r="AX36" s="29">
        <f t="shared" ref="AX36:AX38" si="8">AJ36-V36</f>
        <v>47738.403026286745</v>
      </c>
      <c r="AY36" s="55">
        <f t="shared" ref="AY36:AY38" si="9">(AK36-W36)*100</f>
        <v>7.2309221358103031</v>
      </c>
      <c r="AZ36" s="29">
        <f t="shared" ref="AZ36:AZ38" si="10">AL36-X36</f>
        <v>-13607.585807555148</v>
      </c>
      <c r="BA36" s="55">
        <f t="shared" ref="BA36:BA38" si="11">(AM36-Y36)*100</f>
        <v>-3.3131650254198117</v>
      </c>
      <c r="BB36" s="29">
        <f t="shared" ref="BB36:BB40" si="12">AN36-Z36</f>
        <v>0</v>
      </c>
      <c r="BC36" s="56">
        <f t="shared" ref="BC36:BC38" si="13">(AO36-AA36)*100</f>
        <v>0</v>
      </c>
      <c r="BD36" s="29">
        <f t="shared" ref="BD36:BD40" si="14">AP36-AB36</f>
        <v>0</v>
      </c>
      <c r="BE36" s="55">
        <f t="shared" ref="BE36:BE38" si="15">(AQ36-AC36)*100</f>
        <v>0</v>
      </c>
      <c r="BF36" s="29">
        <f t="shared" ref="BF36:BF38" si="16">AR36-AD36</f>
        <v>104533.98208690365</v>
      </c>
      <c r="BG36" s="55">
        <f t="shared" ref="BG36:BG38" si="17">(AS36-AE36)*100</f>
        <v>7.8871193280399154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f t="shared" si="6"/>
        <v>0</v>
      </c>
      <c r="AW37" s="55">
        <f t="shared" si="7"/>
        <v>0</v>
      </c>
      <c r="AX37" s="29">
        <f t="shared" si="8"/>
        <v>0</v>
      </c>
      <c r="AY37" s="55">
        <f t="shared" si="9"/>
        <v>0</v>
      </c>
      <c r="AZ37" s="29">
        <f t="shared" si="10"/>
        <v>0</v>
      </c>
      <c r="BA37" s="55">
        <f t="shared" si="11"/>
        <v>0</v>
      </c>
      <c r="BB37" s="29">
        <f t="shared" si="12"/>
        <v>0</v>
      </c>
      <c r="BC37" s="33">
        <f t="shared" si="13"/>
        <v>0</v>
      </c>
      <c r="BD37" s="29">
        <f t="shared" si="14"/>
        <v>0</v>
      </c>
      <c r="BE37" s="55">
        <f t="shared" si="15"/>
        <v>0</v>
      </c>
      <c r="BF37" s="29">
        <f t="shared" si="16"/>
        <v>0</v>
      </c>
      <c r="BG37" s="55">
        <f t="shared" si="17"/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f t="shared" si="6"/>
        <v>0</v>
      </c>
      <c r="AW38" s="55">
        <f t="shared" si="7"/>
        <v>0</v>
      </c>
      <c r="AX38" s="29">
        <f t="shared" si="8"/>
        <v>0</v>
      </c>
      <c r="AY38" s="55">
        <f t="shared" si="9"/>
        <v>0</v>
      </c>
      <c r="AZ38" s="29">
        <f t="shared" si="10"/>
        <v>0</v>
      </c>
      <c r="BA38" s="55">
        <f t="shared" si="11"/>
        <v>0</v>
      </c>
      <c r="BB38" s="29">
        <f t="shared" si="12"/>
        <v>0</v>
      </c>
      <c r="BC38" s="33">
        <f t="shared" si="13"/>
        <v>0</v>
      </c>
      <c r="BD38" s="29">
        <f t="shared" si="14"/>
        <v>0</v>
      </c>
      <c r="BE38" s="55">
        <f t="shared" si="15"/>
        <v>0</v>
      </c>
      <c r="BF38" s="29">
        <f t="shared" si="16"/>
        <v>0</v>
      </c>
      <c r="BG38" s="55">
        <f t="shared" si="17"/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0.2060106770977746</v>
      </c>
      <c r="G39" s="59">
        <v>4.8541173403618814</v>
      </c>
      <c r="H39" s="58">
        <v>0.18708006166916308</v>
      </c>
      <c r="I39" s="59">
        <v>5.345305058581947</v>
      </c>
      <c r="J39" s="58">
        <v>0.17945400208411158</v>
      </c>
      <c r="K39" s="59">
        <v>5.5724586155024376</v>
      </c>
      <c r="L39" s="58">
        <v>0</v>
      </c>
      <c r="M39" s="59">
        <v>0</v>
      </c>
      <c r="N39" s="60">
        <v>0</v>
      </c>
      <c r="O39" s="61">
        <v>0</v>
      </c>
      <c r="P39" s="62">
        <v>0.20153854677668823</v>
      </c>
      <c r="Q39" s="61">
        <v>4.9618299625234226</v>
      </c>
      <c r="R39" s="49"/>
      <c r="T39" s="58">
        <v>0.1755160725885834</v>
      </c>
      <c r="U39" s="59">
        <v>5.6974839127356702</v>
      </c>
      <c r="V39" s="58">
        <v>0.1997826727401654</v>
      </c>
      <c r="W39" s="59">
        <v>5.0054390918104605</v>
      </c>
      <c r="X39" s="58">
        <v>0.19914132914999697</v>
      </c>
      <c r="Y39" s="59">
        <v>5.0215593331044879</v>
      </c>
      <c r="Z39" s="58">
        <v>0</v>
      </c>
      <c r="AA39" s="63">
        <v>0</v>
      </c>
      <c r="AB39" s="60">
        <v>0</v>
      </c>
      <c r="AC39" s="61">
        <v>0</v>
      </c>
      <c r="AD39" s="62">
        <v>0.19387916973970418</v>
      </c>
      <c r="AE39" s="61">
        <v>5.1578516729907973</v>
      </c>
      <c r="AF39" s="49"/>
      <c r="AH39" s="58">
        <v>0.21640977550339621</v>
      </c>
      <c r="AI39" s="59">
        <v>4.6208633490510067</v>
      </c>
      <c r="AJ39" s="58">
        <v>0.20659803676886024</v>
      </c>
      <c r="AK39" s="59">
        <v>4.8403170506348507</v>
      </c>
      <c r="AL39" s="58">
        <v>0.18206374531105374</v>
      </c>
      <c r="AM39" s="59">
        <v>5.4925817234590664</v>
      </c>
      <c r="AN39" s="58">
        <v>0</v>
      </c>
      <c r="AO39" s="59">
        <v>0</v>
      </c>
      <c r="AP39" s="60">
        <v>0</v>
      </c>
      <c r="AQ39" s="61">
        <v>0</v>
      </c>
      <c r="AR39" s="62">
        <v>0.20382618270883135</v>
      </c>
      <c r="AS39" s="59">
        <v>4.9061410399296665</v>
      </c>
      <c r="AT39" s="49"/>
      <c r="AV39" s="64">
        <f>(AH39-T39)*100</f>
        <v>4.0893702914812815</v>
      </c>
      <c r="AW39" s="65">
        <f>(AI39-U39)</f>
        <v>-1.0766205636846635</v>
      </c>
      <c r="AX39" s="64">
        <f>(AJ39-V39)*100</f>
        <v>0.68153640286948425</v>
      </c>
      <c r="AY39" s="65">
        <f>(AK39-W39)</f>
        <v>-0.1651220411756098</v>
      </c>
      <c r="AZ39" s="64">
        <f>(AL39-X39)*100</f>
        <v>-1.7077583838943227</v>
      </c>
      <c r="BA39" s="65">
        <f>(AM39-Y39)</f>
        <v>0.47102239035457849</v>
      </c>
      <c r="BB39" s="66">
        <f t="shared" si="12"/>
        <v>0</v>
      </c>
      <c r="BC39" s="65">
        <f>(AO39-AA39)</f>
        <v>0</v>
      </c>
      <c r="BD39" s="64">
        <f t="shared" si="14"/>
        <v>0</v>
      </c>
      <c r="BE39" s="65">
        <f>(AQ39-AC39)</f>
        <v>0</v>
      </c>
      <c r="BF39" s="64">
        <f>(AR39-AD39)*100</f>
        <v>0.99470129691271725</v>
      </c>
      <c r="BG39" s="65">
        <f>(AS39-AE39)</f>
        <v>-0.25171063306113073</v>
      </c>
    </row>
    <row r="40" spans="1:61" ht="15">
      <c r="E40" s="34" t="s">
        <v>42</v>
      </c>
      <c r="F40" s="35">
        <v>78834.77</v>
      </c>
      <c r="G40" s="36">
        <v>0.44939634724384447</v>
      </c>
      <c r="H40" s="35">
        <v>872441.06</v>
      </c>
      <c r="I40" s="36">
        <v>0.69454580080327399</v>
      </c>
      <c r="J40" s="35">
        <v>112200.12000000002</v>
      </c>
      <c r="K40" s="36">
        <v>0.75449468545809217</v>
      </c>
      <c r="L40" s="35">
        <v>99976.68</v>
      </c>
      <c r="M40" s="36">
        <v>1</v>
      </c>
      <c r="N40" s="37">
        <v>-52198.89</v>
      </c>
      <c r="O40" s="36">
        <v>0</v>
      </c>
      <c r="P40" s="35">
        <v>1111253.7399999998</v>
      </c>
      <c r="Q40" s="36">
        <v>0.66136563387184777</v>
      </c>
      <c r="R40" s="21"/>
      <c r="T40" s="35">
        <v>55662.500172057706</v>
      </c>
      <c r="U40" s="36">
        <v>0.51913404770251126</v>
      </c>
      <c r="V40" s="35">
        <v>1188439.1605789275</v>
      </c>
      <c r="W40" s="36">
        <v>0.65465977475483472</v>
      </c>
      <c r="X40" s="35">
        <v>54134.37142080412</v>
      </c>
      <c r="Y40" s="36">
        <v>0.65465977475483461</v>
      </c>
      <c r="Z40" s="35">
        <v>71618.645000000004</v>
      </c>
      <c r="AA40" s="36">
        <v>1</v>
      </c>
      <c r="AB40" s="37">
        <v>0</v>
      </c>
      <c r="AC40" s="36">
        <v>0</v>
      </c>
      <c r="AD40" s="35">
        <v>1369854.6771717891</v>
      </c>
      <c r="AE40" s="36">
        <v>0.65957168957324142</v>
      </c>
      <c r="AF40" s="21"/>
      <c r="AH40" s="35">
        <v>79888.710000000006</v>
      </c>
      <c r="AI40" s="36">
        <v>0.3957802083911317</v>
      </c>
      <c r="AJ40" s="35">
        <v>940704.27000000014</v>
      </c>
      <c r="AK40" s="36">
        <v>0.5823505533967317</v>
      </c>
      <c r="AL40" s="35">
        <v>32932.21</v>
      </c>
      <c r="AM40" s="36">
        <v>0.68779142500903279</v>
      </c>
      <c r="AN40" s="35">
        <v>62323.82</v>
      </c>
      <c r="AO40" s="36">
        <v>1</v>
      </c>
      <c r="AP40" s="37">
        <v>8111.08</v>
      </c>
      <c r="AQ40" s="36">
        <v>1</v>
      </c>
      <c r="AR40" s="35">
        <v>1123960.0900000003</v>
      </c>
      <c r="AS40" s="36">
        <v>0.58070049629284226</v>
      </c>
      <c r="AT40" s="21"/>
      <c r="AV40" s="38">
        <f t="shared" ref="AV40" si="18">AH40-T40</f>
        <v>24226.209827942301</v>
      </c>
      <c r="AW40" s="39">
        <f>(AI40-U40)*100</f>
        <v>-12.335383931137955</v>
      </c>
      <c r="AX40" s="38">
        <f t="shared" ref="AX40" si="19">AJ40-V40</f>
        <v>-247734.89057892736</v>
      </c>
      <c r="AY40" s="39">
        <f>(AK40-W40)*100</f>
        <v>-7.2309221358103031</v>
      </c>
      <c r="AZ40" s="38">
        <f t="shared" ref="AZ40" si="20">AL40-X40</f>
        <v>-21202.161420804121</v>
      </c>
      <c r="BA40" s="39">
        <f>(AM40-Y40)*100</f>
        <v>3.3131650254198175</v>
      </c>
      <c r="BB40" s="38">
        <f t="shared" si="12"/>
        <v>-9294.8250000000044</v>
      </c>
      <c r="BC40" s="39">
        <f>(AO40-AA40)*100</f>
        <v>0</v>
      </c>
      <c r="BD40" s="38">
        <f t="shared" si="14"/>
        <v>8111.08</v>
      </c>
      <c r="BE40" s="39">
        <f>(AQ40-AC40)*100</f>
        <v>100</v>
      </c>
      <c r="BF40" s="38">
        <f t="shared" ref="BF40" si="21">AR40-AD40</f>
        <v>-245894.58717178879</v>
      </c>
      <c r="BG40" s="39">
        <f>(AS40-AE40)*100</f>
        <v>-7.8871193280399154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5406.949999999988</v>
      </c>
      <c r="G43" s="53">
        <v>3.0822232115728876E-2</v>
      </c>
      <c r="H43" s="23">
        <v>135788.83999999988</v>
      </c>
      <c r="I43" s="53">
        <v>0.10810079092099076</v>
      </c>
      <c r="J43" s="23">
        <v>27449.549999999992</v>
      </c>
      <c r="K43" s="53">
        <v>0.18458571696016157</v>
      </c>
      <c r="L43" s="23">
        <v>0</v>
      </c>
      <c r="M43" s="53">
        <v>0</v>
      </c>
      <c r="N43" s="32">
        <v>0</v>
      </c>
      <c r="O43" s="54">
        <v>0</v>
      </c>
      <c r="P43" s="23">
        <v>168645.33999999985</v>
      </c>
      <c r="Q43" s="54">
        <v>0.10036972490966214</v>
      </c>
      <c r="R43" s="21"/>
      <c r="T43" s="23">
        <v>15763.261267761043</v>
      </c>
      <c r="U43" s="53">
        <v>0.14701541615324273</v>
      </c>
      <c r="V43" s="23">
        <v>174732.26947990863</v>
      </c>
      <c r="W43" s="53">
        <v>9.625245614120867E-2</v>
      </c>
      <c r="X43" s="23">
        <v>20569.819950764148</v>
      </c>
      <c r="Y43" s="53">
        <v>0.24875570441258724</v>
      </c>
      <c r="Z43" s="23">
        <v>0</v>
      </c>
      <c r="AA43" s="53">
        <v>0</v>
      </c>
      <c r="AB43" s="32">
        <v>0</v>
      </c>
      <c r="AC43" s="54">
        <v>0</v>
      </c>
      <c r="AD43" s="23">
        <v>211065.35069843382</v>
      </c>
      <c r="AE43" s="54">
        <v>0.10162591133970082</v>
      </c>
      <c r="AF43" s="21"/>
      <c r="AH43" s="23">
        <v>10867.91</v>
      </c>
      <c r="AI43" s="53">
        <v>5.3841195890834435E-2</v>
      </c>
      <c r="AJ43" s="23">
        <v>218966.45999999996</v>
      </c>
      <c r="AK43" s="53">
        <v>0.13555295029789038</v>
      </c>
      <c r="AL43" s="23">
        <v>12224.75</v>
      </c>
      <c r="AM43" s="53">
        <v>0.25531472752296835</v>
      </c>
      <c r="AN43" s="23">
        <v>0</v>
      </c>
      <c r="AO43" s="53">
        <v>0</v>
      </c>
      <c r="AP43" s="32">
        <v>0</v>
      </c>
      <c r="AQ43" s="54">
        <v>0</v>
      </c>
      <c r="AR43" s="23">
        <v>242059.11999999997</v>
      </c>
      <c r="AS43" s="53">
        <v>0.12506124760729592</v>
      </c>
      <c r="AT43" s="21"/>
      <c r="AV43" s="29">
        <f t="shared" ref="AV43:AV51" si="22">AH43-T43</f>
        <v>-4895.3512677610433</v>
      </c>
      <c r="AW43" s="55">
        <f t="shared" ref="AW43:AW50" si="23">(AI43-U43)*100</f>
        <v>-9.3174220262408287</v>
      </c>
      <c r="AX43" s="29">
        <f t="shared" ref="AX43:AX51" si="24">AJ43-V43</f>
        <v>44234.190520091332</v>
      </c>
      <c r="AY43" s="55">
        <f t="shared" ref="AY43:AY50" si="25">(AK43-W43)*100</f>
        <v>3.9300494156681713</v>
      </c>
      <c r="AZ43" s="29">
        <f t="shared" ref="AZ43:AZ51" si="26">AL43-X43</f>
        <v>-8345.0699507641475</v>
      </c>
      <c r="BA43" s="55">
        <f t="shared" ref="BA43:BA50" si="27">(AM43-Y43)*100</f>
        <v>0.65590231103811181</v>
      </c>
      <c r="BB43" s="29">
        <f t="shared" ref="BB43:BB51" si="28">AN43-Z43</f>
        <v>0</v>
      </c>
      <c r="BC43" s="55">
        <f t="shared" ref="BC43:BC50" si="29">(AO43-AA43)*100</f>
        <v>0</v>
      </c>
      <c r="BD43" s="29">
        <f t="shared" ref="BD43:BD51" si="30">AP43-AB43</f>
        <v>0</v>
      </c>
      <c r="BE43" s="55">
        <f t="shared" ref="BE43:BE50" si="31">(AQ43-AC43)*100</f>
        <v>0</v>
      </c>
      <c r="BF43" s="29">
        <f t="shared" ref="BF43:BF51" si="32">AR43-AD43</f>
        <v>30993.76930156615</v>
      </c>
      <c r="BG43" s="55">
        <f t="shared" ref="BG43:BG50" si="33">(AS43-AE43)*100</f>
        <v>2.3435336267595099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-321.41000000001173</v>
      </c>
      <c r="G44" s="53">
        <v>-1.8321925714713104E-3</v>
      </c>
      <c r="H44" s="27">
        <v>79167.45999999989</v>
      </c>
      <c r="I44" s="53">
        <v>6.3024804109129251E-2</v>
      </c>
      <c r="J44" s="27">
        <v>20595.939999999991</v>
      </c>
      <c r="K44" s="53">
        <v>0.13849831240834437</v>
      </c>
      <c r="L44" s="27">
        <v>0</v>
      </c>
      <c r="M44" s="53">
        <v>0</v>
      </c>
      <c r="N44" s="27">
        <v>0</v>
      </c>
      <c r="O44" s="54">
        <v>0</v>
      </c>
      <c r="P44" s="23">
        <v>99441.98999999986</v>
      </c>
      <c r="Q44" s="54">
        <v>5.9183166168536694E-2</v>
      </c>
      <c r="R44" s="21"/>
      <c r="T44" s="27">
        <v>943.6942689109851</v>
      </c>
      <c r="U44" s="53">
        <v>8.8013262806932099E-3</v>
      </c>
      <c r="V44" s="27">
        <v>84932.484201988656</v>
      </c>
      <c r="W44" s="53">
        <v>4.6785635160286172E-2</v>
      </c>
      <c r="X44" s="27">
        <v>8493.2484201988664</v>
      </c>
      <c r="Y44" s="53">
        <v>0.10271086468305117</v>
      </c>
      <c r="Z44" s="27">
        <v>0</v>
      </c>
      <c r="AA44" s="53">
        <v>0</v>
      </c>
      <c r="AB44" s="27">
        <v>0</v>
      </c>
      <c r="AC44" s="54">
        <v>0</v>
      </c>
      <c r="AD44" s="23">
        <v>94369.426891098512</v>
      </c>
      <c r="AE44" s="54">
        <v>4.5437960227378622E-2</v>
      </c>
      <c r="AF44" s="21"/>
      <c r="AH44" s="23">
        <v>-2256.2400000000007</v>
      </c>
      <c r="AI44" s="53">
        <v>-1.1177738849211699E-2</v>
      </c>
      <c r="AJ44" s="23">
        <v>119155.33999999997</v>
      </c>
      <c r="AK44" s="53">
        <v>7.376407272944098E-2</v>
      </c>
      <c r="AL44" s="23">
        <v>3075.6400000000003</v>
      </c>
      <c r="AM44" s="53">
        <v>6.4234948654061846E-2</v>
      </c>
      <c r="AN44" s="23">
        <v>0</v>
      </c>
      <c r="AO44" s="53">
        <v>0</v>
      </c>
      <c r="AP44" s="32">
        <v>0</v>
      </c>
      <c r="AQ44" s="54">
        <v>0</v>
      </c>
      <c r="AR44" s="23">
        <v>119974.73999999996</v>
      </c>
      <c r="AS44" s="53">
        <v>6.1985644935670874E-2</v>
      </c>
      <c r="AT44" s="21"/>
      <c r="AV44" s="29">
        <f t="shared" si="22"/>
        <v>-3199.9342689109858</v>
      </c>
      <c r="AW44" s="55">
        <f t="shared" si="23"/>
        <v>-1.9979065129904909</v>
      </c>
      <c r="AX44" s="29">
        <f t="shared" si="24"/>
        <v>34222.855798011311</v>
      </c>
      <c r="AY44" s="55">
        <f t="shared" si="25"/>
        <v>2.6978437569154807</v>
      </c>
      <c r="AZ44" s="29">
        <f t="shared" si="26"/>
        <v>-5417.608420198866</v>
      </c>
      <c r="BA44" s="55">
        <f t="shared" si="27"/>
        <v>-3.8475916028989325</v>
      </c>
      <c r="BB44" s="29">
        <f t="shared" si="28"/>
        <v>0</v>
      </c>
      <c r="BC44" s="55">
        <f t="shared" si="29"/>
        <v>0</v>
      </c>
      <c r="BD44" s="29">
        <f t="shared" si="30"/>
        <v>0</v>
      </c>
      <c r="BE44" s="55">
        <f t="shared" si="31"/>
        <v>0</v>
      </c>
      <c r="BF44" s="29">
        <f t="shared" si="32"/>
        <v>25605.31310890145</v>
      </c>
      <c r="BG44" s="55">
        <f t="shared" si="33"/>
        <v>1.6547684708292252</v>
      </c>
      <c r="BH44" s="57"/>
    </row>
    <row r="45" spans="1:61" outlineLevel="1">
      <c r="B45" s="26" t="s">
        <v>47</v>
      </c>
      <c r="E45" s="69" t="s">
        <v>47</v>
      </c>
      <c r="F45" s="27">
        <v>948.61</v>
      </c>
      <c r="G45" s="53">
        <v>5.4075361538948267E-3</v>
      </c>
      <c r="H45" s="27">
        <v>19987.25</v>
      </c>
      <c r="I45" s="53">
        <v>1.5911746011937171E-2</v>
      </c>
      <c r="J45" s="27">
        <v>2680.67</v>
      </c>
      <c r="K45" s="53">
        <v>1.8026284361076828E-2</v>
      </c>
      <c r="L45" s="27">
        <v>0</v>
      </c>
      <c r="M45" s="53">
        <v>0</v>
      </c>
      <c r="N45" s="27">
        <v>0</v>
      </c>
      <c r="O45" s="54">
        <v>0</v>
      </c>
      <c r="P45" s="23">
        <v>23616.53</v>
      </c>
      <c r="Q45" s="54">
        <v>1.4055440959238987E-2</v>
      </c>
      <c r="R45" s="21"/>
      <c r="T45" s="27">
        <v>8266.0400199921496</v>
      </c>
      <c r="U45" s="53">
        <v>7.7092886607411565E-2</v>
      </c>
      <c r="V45" s="27">
        <v>31972.391370697584</v>
      </c>
      <c r="W45" s="53">
        <v>1.7612208708200183E-2</v>
      </c>
      <c r="X45" s="27">
        <v>2037.2535521648222</v>
      </c>
      <c r="Y45" s="53">
        <v>2.4636989708652243E-2</v>
      </c>
      <c r="Z45" s="27">
        <v>0</v>
      </c>
      <c r="AA45" s="53">
        <v>0</v>
      </c>
      <c r="AB45" s="27">
        <v>0</v>
      </c>
      <c r="AC45" s="54">
        <v>0</v>
      </c>
      <c r="AD45" s="23">
        <v>42275.684942854554</v>
      </c>
      <c r="AE45" s="54">
        <v>2.0355330686021227E-2</v>
      </c>
      <c r="AF45" s="21"/>
      <c r="AH45" s="23">
        <v>4786.6000000000004</v>
      </c>
      <c r="AI45" s="53">
        <v>2.3713507772061798E-2</v>
      </c>
      <c r="AJ45" s="23">
        <v>39149.25</v>
      </c>
      <c r="AK45" s="53">
        <v>2.4235658463171422E-2</v>
      </c>
      <c r="AL45" s="23">
        <v>1393.1100000000001</v>
      </c>
      <c r="AM45" s="53">
        <v>2.9095196225650627E-2</v>
      </c>
      <c r="AN45" s="23">
        <v>0</v>
      </c>
      <c r="AO45" s="53">
        <v>0</v>
      </c>
      <c r="AP45" s="32">
        <v>0</v>
      </c>
      <c r="AQ45" s="54">
        <v>0</v>
      </c>
      <c r="AR45" s="23">
        <v>45328.959999999999</v>
      </c>
      <c r="AS45" s="53">
        <v>2.3419469963954314E-2</v>
      </c>
      <c r="AT45" s="21"/>
      <c r="AV45" s="29">
        <f t="shared" si="22"/>
        <v>-3479.4400199921492</v>
      </c>
      <c r="AW45" s="55">
        <f t="shared" si="23"/>
        <v>-5.3379378835349769</v>
      </c>
      <c r="AX45" s="29">
        <f t="shared" si="24"/>
        <v>7176.8586293024164</v>
      </c>
      <c r="AY45" s="55">
        <f t="shared" si="25"/>
        <v>0.66234497549712379</v>
      </c>
      <c r="AZ45" s="29">
        <f t="shared" si="26"/>
        <v>-644.14355216482204</v>
      </c>
      <c r="BA45" s="55">
        <f t="shared" si="27"/>
        <v>0.44582065169983842</v>
      </c>
      <c r="BB45" s="29">
        <f t="shared" si="28"/>
        <v>0</v>
      </c>
      <c r="BC45" s="55">
        <f t="shared" si="29"/>
        <v>0</v>
      </c>
      <c r="BD45" s="29">
        <f t="shared" si="30"/>
        <v>0</v>
      </c>
      <c r="BE45" s="55">
        <f t="shared" si="31"/>
        <v>0</v>
      </c>
      <c r="BF45" s="29">
        <f t="shared" si="32"/>
        <v>3053.2750571454453</v>
      </c>
      <c r="BG45" s="55">
        <f t="shared" si="33"/>
        <v>0.30641392779330867</v>
      </c>
      <c r="BH45" s="57"/>
    </row>
    <row r="46" spans="1:61" outlineLevel="1">
      <c r="B46" s="26" t="s">
        <v>48</v>
      </c>
      <c r="E46" s="69" t="s">
        <v>48</v>
      </c>
      <c r="F46" s="27">
        <v>4779.75</v>
      </c>
      <c r="G46" s="53">
        <v>2.7246888533305362E-2</v>
      </c>
      <c r="H46" s="27">
        <v>36634.129999999997</v>
      </c>
      <c r="I46" s="53">
        <v>2.9164240799924343E-2</v>
      </c>
      <c r="J46" s="27">
        <v>4172.9399999999996</v>
      </c>
      <c r="K46" s="53">
        <v>2.8061120190740349E-2</v>
      </c>
      <c r="L46" s="27">
        <v>0</v>
      </c>
      <c r="M46" s="53">
        <v>0</v>
      </c>
      <c r="N46" s="27">
        <v>0</v>
      </c>
      <c r="O46" s="54">
        <v>0</v>
      </c>
      <c r="P46" s="23">
        <v>45586.82</v>
      </c>
      <c r="Q46" s="54">
        <v>2.7131117781886462E-2</v>
      </c>
      <c r="R46" s="21"/>
      <c r="T46" s="27">
        <v>6553.526978857908</v>
      </c>
      <c r="U46" s="53">
        <v>6.1121203265137959E-2</v>
      </c>
      <c r="V46" s="27">
        <v>57827.393907222402</v>
      </c>
      <c r="W46" s="53">
        <v>3.1854612272722321E-2</v>
      </c>
      <c r="X46" s="27">
        <v>10039.317978400457</v>
      </c>
      <c r="Y46" s="53">
        <v>0.12140785002088379</v>
      </c>
      <c r="Z46" s="27">
        <v>0</v>
      </c>
      <c r="AA46" s="53">
        <v>0</v>
      </c>
      <c r="AB46" s="27">
        <v>0</v>
      </c>
      <c r="AC46" s="54">
        <v>0</v>
      </c>
      <c r="AD46" s="23">
        <v>74420.238864480765</v>
      </c>
      <c r="AE46" s="54">
        <v>3.5832620426300983E-2</v>
      </c>
      <c r="AF46" s="21"/>
      <c r="AH46" s="23">
        <v>8337.5499999999993</v>
      </c>
      <c r="AI46" s="53">
        <v>4.1305426967984331E-2</v>
      </c>
      <c r="AJ46" s="23">
        <v>60661.87</v>
      </c>
      <c r="AK46" s="53">
        <v>3.7553219105277993E-2</v>
      </c>
      <c r="AL46" s="23">
        <v>7756</v>
      </c>
      <c r="AM46" s="53">
        <v>0.16198458264325591</v>
      </c>
      <c r="AN46" s="23">
        <v>0</v>
      </c>
      <c r="AO46" s="53">
        <v>0</v>
      </c>
      <c r="AP46" s="32">
        <v>0</v>
      </c>
      <c r="AQ46" s="54">
        <v>0</v>
      </c>
      <c r="AR46" s="23">
        <v>76755.42</v>
      </c>
      <c r="AS46" s="53">
        <v>3.9656132707670731E-2</v>
      </c>
      <c r="AT46" s="21"/>
      <c r="AV46" s="29">
        <f t="shared" si="22"/>
        <v>1784.0230211420912</v>
      </c>
      <c r="AW46" s="55">
        <f t="shared" si="23"/>
        <v>-1.9815776297153629</v>
      </c>
      <c r="AX46" s="29">
        <f t="shared" si="24"/>
        <v>2834.4760927776006</v>
      </c>
      <c r="AY46" s="55">
        <f t="shared" si="25"/>
        <v>0.56986068325556727</v>
      </c>
      <c r="AZ46" s="29">
        <f t="shared" si="26"/>
        <v>-2283.3179784004569</v>
      </c>
      <c r="BA46" s="55">
        <f t="shared" si="27"/>
        <v>4.0576732622372118</v>
      </c>
      <c r="BB46" s="29">
        <f t="shared" si="28"/>
        <v>0</v>
      </c>
      <c r="BC46" s="55">
        <f t="shared" si="29"/>
        <v>0</v>
      </c>
      <c r="BD46" s="29">
        <f t="shared" si="30"/>
        <v>0</v>
      </c>
      <c r="BE46" s="55">
        <f t="shared" si="31"/>
        <v>0</v>
      </c>
      <c r="BF46" s="29">
        <f t="shared" si="32"/>
        <v>2335.1811355192331</v>
      </c>
      <c r="BG46" s="55">
        <f t="shared" si="33"/>
        <v>0.38235122813697481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1352.96</v>
      </c>
      <c r="G47" s="53">
        <v>7.7125268706565876E-3</v>
      </c>
      <c r="H47" s="23">
        <v>74839.61</v>
      </c>
      <c r="I47" s="53">
        <v>5.9579425181174657E-2</v>
      </c>
      <c r="J47" s="23">
        <v>4166.34</v>
      </c>
      <c r="K47" s="53">
        <v>2.8016738197886661E-2</v>
      </c>
      <c r="L47" s="23">
        <v>0</v>
      </c>
      <c r="M47" s="53">
        <v>0</v>
      </c>
      <c r="N47" s="32">
        <v>0</v>
      </c>
      <c r="O47" s="54">
        <v>0</v>
      </c>
      <c r="P47" s="23">
        <v>80358.91</v>
      </c>
      <c r="Q47" s="54">
        <v>4.7825820095238357E-2</v>
      </c>
      <c r="R47" s="21"/>
      <c r="T47" s="23">
        <v>3870.7642553784094</v>
      </c>
      <c r="U47" s="53">
        <v>3.6100525657047688E-2</v>
      </c>
      <c r="V47" s="23">
        <v>89757.338151276126</v>
      </c>
      <c r="W47" s="53">
        <v>4.9443438693221618E-2</v>
      </c>
      <c r="X47" s="23">
        <v>9477.3549930773515</v>
      </c>
      <c r="Y47" s="53">
        <v>0.11461189854428099</v>
      </c>
      <c r="Z47" s="23">
        <v>0</v>
      </c>
      <c r="AA47" s="53">
        <v>0</v>
      </c>
      <c r="AB47" s="23">
        <v>0</v>
      </c>
      <c r="AC47" s="54">
        <v>0</v>
      </c>
      <c r="AD47" s="23">
        <v>103105.45739973188</v>
      </c>
      <c r="AE47" s="54">
        <v>4.9644273859594731E-2</v>
      </c>
      <c r="AF47" s="21"/>
      <c r="AH47" s="23">
        <v>2299.8099999999995</v>
      </c>
      <c r="AI47" s="53">
        <v>1.1393590922422057E-2</v>
      </c>
      <c r="AJ47" s="23">
        <v>81889.97</v>
      </c>
      <c r="AK47" s="53">
        <v>5.069464535027756E-2</v>
      </c>
      <c r="AL47" s="23">
        <v>5572.0399999999991</v>
      </c>
      <c r="AM47" s="53">
        <v>0.11637243087564821</v>
      </c>
      <c r="AN47" s="23">
        <v>0</v>
      </c>
      <c r="AO47" s="53">
        <v>0</v>
      </c>
      <c r="AP47" s="32">
        <v>0</v>
      </c>
      <c r="AQ47" s="54">
        <v>0</v>
      </c>
      <c r="AR47" s="23">
        <v>89761.819999999992</v>
      </c>
      <c r="AS47" s="53">
        <v>4.6375964668059308E-2</v>
      </c>
      <c r="AT47" s="21"/>
      <c r="AV47" s="29">
        <f t="shared" si="22"/>
        <v>-1570.9542553784099</v>
      </c>
      <c r="AW47" s="55">
        <f t="shared" si="23"/>
        <v>-2.4706934734625632</v>
      </c>
      <c r="AX47" s="29">
        <f t="shared" si="24"/>
        <v>-7867.368151276125</v>
      </c>
      <c r="AY47" s="55">
        <f t="shared" si="25"/>
        <v>0.12512066570559421</v>
      </c>
      <c r="AZ47" s="29">
        <f t="shared" si="26"/>
        <v>-3905.3149930773525</v>
      </c>
      <c r="BA47" s="55">
        <f t="shared" si="27"/>
        <v>0.17605323313672205</v>
      </c>
      <c r="BB47" s="29">
        <f t="shared" si="28"/>
        <v>0</v>
      </c>
      <c r="BC47" s="55">
        <f t="shared" si="29"/>
        <v>0</v>
      </c>
      <c r="BD47" s="29">
        <f t="shared" si="30"/>
        <v>0</v>
      </c>
      <c r="BE47" s="55">
        <f t="shared" si="31"/>
        <v>0</v>
      </c>
      <c r="BF47" s="29">
        <f t="shared" si="32"/>
        <v>-13343.637399731888</v>
      </c>
      <c r="BG47" s="55">
        <f t="shared" si="33"/>
        <v>-0.32683091915354234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8164.72</v>
      </c>
      <c r="G48" s="53">
        <v>4.6542855953899044E-2</v>
      </c>
      <c r="H48" s="23">
        <v>45520.630000000005</v>
      </c>
      <c r="I48" s="53">
        <v>3.6238737338221499E-2</v>
      </c>
      <c r="J48" s="23">
        <v>15255.16</v>
      </c>
      <c r="K48" s="53">
        <v>0.10258400031847441</v>
      </c>
      <c r="L48" s="23">
        <v>0</v>
      </c>
      <c r="M48" s="53">
        <v>0</v>
      </c>
      <c r="N48" s="32">
        <v>0</v>
      </c>
      <c r="O48" s="54">
        <v>0</v>
      </c>
      <c r="P48" s="23">
        <v>68940.510000000009</v>
      </c>
      <c r="Q48" s="54">
        <v>4.1030128812523485E-2</v>
      </c>
      <c r="R48" s="21"/>
      <c r="T48" s="23">
        <v>1845.7025389330779</v>
      </c>
      <c r="U48" s="53">
        <v>1.7213869785391449E-2</v>
      </c>
      <c r="V48" s="23">
        <v>80674.69489985086</v>
      </c>
      <c r="W48" s="53">
        <v>4.4440203035571231E-2</v>
      </c>
      <c r="X48" s="23">
        <v>4994.7061925638764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87515.103631347811</v>
      </c>
      <c r="AE48" s="54">
        <v>4.2137670314401243E-2</v>
      </c>
      <c r="AF48" s="21"/>
      <c r="AH48" s="23">
        <v>7073.08</v>
      </c>
      <c r="AI48" s="53">
        <v>3.5041059949111025E-2</v>
      </c>
      <c r="AJ48" s="23">
        <v>68261.179999999993</v>
      </c>
      <c r="AK48" s="53">
        <v>4.2257633154481056E-2</v>
      </c>
      <c r="AL48" s="23">
        <v>3081.3700000000003</v>
      </c>
      <c r="AM48" s="53">
        <v>6.4354620090181724E-2</v>
      </c>
      <c r="AN48" s="23">
        <v>0</v>
      </c>
      <c r="AO48" s="53">
        <v>0</v>
      </c>
      <c r="AP48" s="23">
        <v>0</v>
      </c>
      <c r="AQ48" s="54">
        <v>0</v>
      </c>
      <c r="AR48" s="23">
        <v>78415.62999999999</v>
      </c>
      <c r="AS48" s="53">
        <v>4.0513889828700127E-2</v>
      </c>
      <c r="AT48" s="21"/>
      <c r="AV48" s="29">
        <f t="shared" si="22"/>
        <v>5227.3774610669225</v>
      </c>
      <c r="AW48" s="55">
        <f t="shared" si="23"/>
        <v>1.7827190163719575</v>
      </c>
      <c r="AX48" s="29">
        <f t="shared" si="24"/>
        <v>-12413.514899850867</v>
      </c>
      <c r="AY48" s="55">
        <f t="shared" si="25"/>
        <v>-0.21825698810901753</v>
      </c>
      <c r="AZ48" s="29">
        <f t="shared" si="26"/>
        <v>-1913.336192563876</v>
      </c>
      <c r="BA48" s="55">
        <f t="shared" si="27"/>
        <v>0.39524551592736851</v>
      </c>
      <c r="BB48" s="29">
        <f t="shared" si="28"/>
        <v>0</v>
      </c>
      <c r="BC48" s="55">
        <f t="shared" si="29"/>
        <v>0</v>
      </c>
      <c r="BD48" s="29">
        <f t="shared" si="30"/>
        <v>0</v>
      </c>
      <c r="BE48" s="55">
        <f t="shared" si="31"/>
        <v>0</v>
      </c>
      <c r="BF48" s="29">
        <f t="shared" si="32"/>
        <v>-9099.4736313478206</v>
      </c>
      <c r="BG48" s="55">
        <f t="shared" si="33"/>
        <v>-0.16237804857011165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182353.59</v>
      </c>
      <c r="I49" s="53">
        <v>0.14517074677331429</v>
      </c>
      <c r="J49" s="23">
        <v>57506.31</v>
      </c>
      <c r="K49" s="53">
        <v>0.3867037332518497</v>
      </c>
      <c r="L49" s="23">
        <v>0</v>
      </c>
      <c r="M49" s="53">
        <v>0</v>
      </c>
      <c r="N49" s="32">
        <v>0</v>
      </c>
      <c r="O49" s="54">
        <v>0</v>
      </c>
      <c r="P49" s="23">
        <v>239859.9</v>
      </c>
      <c r="Q49" s="54">
        <v>0.14275326065848656</v>
      </c>
      <c r="R49" s="21"/>
      <c r="T49" s="23">
        <v>0</v>
      </c>
      <c r="U49" s="53">
        <v>0</v>
      </c>
      <c r="V49" s="23">
        <v>301371.76347760856</v>
      </c>
      <c r="W49" s="53">
        <v>0.16601268061514335</v>
      </c>
      <c r="X49" s="23">
        <v>35381.890510152356</v>
      </c>
      <c r="Y49" s="53">
        <v>0.42788158177218366</v>
      </c>
      <c r="Z49" s="23">
        <v>0</v>
      </c>
      <c r="AA49" s="53">
        <v>0</v>
      </c>
      <c r="AB49" s="23">
        <v>0</v>
      </c>
      <c r="AC49" s="54">
        <v>0</v>
      </c>
      <c r="AD49" s="23">
        <v>336753.65398776089</v>
      </c>
      <c r="AE49" s="54">
        <v>0.16214360561898908</v>
      </c>
      <c r="AF49" s="21"/>
      <c r="AH49" s="23">
        <v>0</v>
      </c>
      <c r="AI49" s="53">
        <v>0</v>
      </c>
      <c r="AJ49" s="23">
        <v>459005.46</v>
      </c>
      <c r="AK49" s="53">
        <v>0.28415102617012822</v>
      </c>
      <c r="AL49" s="23">
        <v>0</v>
      </c>
      <c r="AM49" s="53">
        <v>0</v>
      </c>
      <c r="AN49" s="23">
        <v>0</v>
      </c>
      <c r="AO49" s="53">
        <v>0</v>
      </c>
      <c r="AP49" s="32">
        <v>0</v>
      </c>
      <c r="AQ49" s="54">
        <v>0</v>
      </c>
      <c r="AR49" s="23">
        <v>459005.46</v>
      </c>
      <c r="AS49" s="53">
        <v>0.23714783184438898</v>
      </c>
      <c r="AT49" s="21"/>
      <c r="AV49" s="29">
        <f t="shared" si="22"/>
        <v>0</v>
      </c>
      <c r="AW49" s="55">
        <f t="shared" si="23"/>
        <v>0</v>
      </c>
      <c r="AX49" s="29">
        <f t="shared" si="24"/>
        <v>157633.69652239146</v>
      </c>
      <c r="AY49" s="55">
        <f t="shared" si="25"/>
        <v>11.813834555498486</v>
      </c>
      <c r="AZ49" s="29">
        <f t="shared" si="26"/>
        <v>-35381.890510152356</v>
      </c>
      <c r="BA49" s="55">
        <f t="shared" si="27"/>
        <v>-42.788158177218364</v>
      </c>
      <c r="BB49" s="29">
        <f t="shared" si="28"/>
        <v>0</v>
      </c>
      <c r="BC49" s="55">
        <f t="shared" si="29"/>
        <v>0</v>
      </c>
      <c r="BD49" s="29">
        <f t="shared" si="30"/>
        <v>0</v>
      </c>
      <c r="BE49" s="55">
        <f t="shared" si="31"/>
        <v>0</v>
      </c>
      <c r="BF49" s="29">
        <f t="shared" si="32"/>
        <v>122251.80601223913</v>
      </c>
      <c r="BG49" s="55">
        <f t="shared" si="33"/>
        <v>7.5004226225399897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f t="shared" si="22"/>
        <v>0</v>
      </c>
      <c r="AW50" s="55">
        <f t="shared" si="23"/>
        <v>0</v>
      </c>
      <c r="AX50" s="29">
        <f t="shared" si="24"/>
        <v>0</v>
      </c>
      <c r="AY50" s="55">
        <f t="shared" si="25"/>
        <v>0</v>
      </c>
      <c r="AZ50" s="29">
        <f t="shared" si="26"/>
        <v>0</v>
      </c>
      <c r="BA50" s="55">
        <f t="shared" si="27"/>
        <v>0</v>
      </c>
      <c r="BB50" s="29">
        <f t="shared" si="28"/>
        <v>0</v>
      </c>
      <c r="BC50" s="55">
        <f t="shared" si="29"/>
        <v>0</v>
      </c>
      <c r="BD50" s="29">
        <f t="shared" si="30"/>
        <v>0</v>
      </c>
      <c r="BE50" s="55">
        <f t="shared" si="31"/>
        <v>0</v>
      </c>
      <c r="BF50" s="29">
        <f t="shared" si="32"/>
        <v>0</v>
      </c>
      <c r="BG50" s="55">
        <f t="shared" si="33"/>
        <v>0</v>
      </c>
      <c r="BH50" s="57"/>
    </row>
    <row r="51" spans="2:60" ht="15">
      <c r="E51" s="34" t="s">
        <v>58</v>
      </c>
      <c r="F51" s="35">
        <v>14924.629999999988</v>
      </c>
      <c r="G51" s="36">
        <v>8.5077614940284513E-2</v>
      </c>
      <c r="H51" s="35">
        <v>438502.66999999993</v>
      </c>
      <c r="I51" s="36">
        <v>0.34908970021370123</v>
      </c>
      <c r="J51" s="35">
        <v>104377.35999999999</v>
      </c>
      <c r="K51" s="36">
        <v>0.70189018872837228</v>
      </c>
      <c r="L51" s="35">
        <v>0</v>
      </c>
      <c r="M51" s="36">
        <v>0</v>
      </c>
      <c r="N51" s="37">
        <v>0</v>
      </c>
      <c r="O51" s="70">
        <v>0</v>
      </c>
      <c r="P51" s="35">
        <v>557804.65999999992</v>
      </c>
      <c r="Q51" s="70">
        <v>0.33197893447591059</v>
      </c>
      <c r="R51" s="21"/>
      <c r="T51" s="35">
        <v>21479.728062072529</v>
      </c>
      <c r="U51" s="36">
        <v>0.20032981159568186</v>
      </c>
      <c r="V51" s="35">
        <v>646536.06600864418</v>
      </c>
      <c r="W51" s="36">
        <v>0.35614877848514487</v>
      </c>
      <c r="X51" s="35">
        <v>70423.771646557725</v>
      </c>
      <c r="Y51" s="36">
        <v>0.85165134965995992</v>
      </c>
      <c r="Z51" s="35">
        <v>0</v>
      </c>
      <c r="AA51" s="36">
        <v>0</v>
      </c>
      <c r="AB51" s="37">
        <v>0</v>
      </c>
      <c r="AC51" s="70">
        <v>0</v>
      </c>
      <c r="AD51" s="35">
        <v>738439.56571727432</v>
      </c>
      <c r="AE51" s="70">
        <v>0.35555146113268588</v>
      </c>
      <c r="AF51" s="21"/>
      <c r="AH51" s="35">
        <v>20240.8</v>
      </c>
      <c r="AI51" s="36">
        <v>0.10027584676236752</v>
      </c>
      <c r="AJ51" s="35">
        <v>828123.07</v>
      </c>
      <c r="AK51" s="36">
        <v>0.51265625497277723</v>
      </c>
      <c r="AL51" s="35">
        <v>20878.16</v>
      </c>
      <c r="AM51" s="36">
        <v>0.43604177848879833</v>
      </c>
      <c r="AN51" s="35">
        <v>0</v>
      </c>
      <c r="AO51" s="36">
        <v>0</v>
      </c>
      <c r="AP51" s="37">
        <v>0</v>
      </c>
      <c r="AQ51" s="70">
        <v>0</v>
      </c>
      <c r="AR51" s="35">
        <v>869242.03</v>
      </c>
      <c r="AS51" s="36">
        <v>0.44909893394844436</v>
      </c>
      <c r="AT51" s="21"/>
      <c r="AV51" s="38">
        <f t="shared" si="22"/>
        <v>-1238.9280620725294</v>
      </c>
      <c r="AW51" s="39">
        <f>(AI51-U51)*100</f>
        <v>-10.005396483331435</v>
      </c>
      <c r="AX51" s="38">
        <f t="shared" si="24"/>
        <v>181587.00399135577</v>
      </c>
      <c r="AY51" s="39">
        <f>(AK51-W51)*100</f>
        <v>15.650747648763236</v>
      </c>
      <c r="AZ51" s="38">
        <f t="shared" si="26"/>
        <v>-49545.611646557722</v>
      </c>
      <c r="BA51" s="39">
        <f>(AM51-Y51)*100</f>
        <v>-41.56095711711616</v>
      </c>
      <c r="BB51" s="38">
        <f t="shared" si="28"/>
        <v>0</v>
      </c>
      <c r="BC51" s="39">
        <f>(AO51-AA51)*100</f>
        <v>0</v>
      </c>
      <c r="BD51" s="38">
        <f t="shared" si="30"/>
        <v>0</v>
      </c>
      <c r="BE51" s="39">
        <f>(AQ51-AC51)*100</f>
        <v>0</v>
      </c>
      <c r="BF51" s="38">
        <f t="shared" si="32"/>
        <v>130802.4642827257</v>
      </c>
      <c r="BG51" s="39">
        <f>(AS51-AE51)*100</f>
        <v>9.3547472815758486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63910.140000000014</v>
      </c>
      <c r="G53" s="36">
        <v>0.36431873230355993</v>
      </c>
      <c r="H53" s="35">
        <v>433938.39000000013</v>
      </c>
      <c r="I53" s="36">
        <v>0.34545610058957277</v>
      </c>
      <c r="J53" s="35">
        <v>7822.7600000000384</v>
      </c>
      <c r="K53" s="36">
        <v>5.2604496729719834E-2</v>
      </c>
      <c r="L53" s="35">
        <v>99976.68</v>
      </c>
      <c r="M53" s="36">
        <v>1</v>
      </c>
      <c r="N53" s="37">
        <v>-52198.89</v>
      </c>
      <c r="O53" s="70">
        <v>0</v>
      </c>
      <c r="P53" s="35">
        <v>553449.07999999984</v>
      </c>
      <c r="Q53" s="70">
        <v>0.32938669939593723</v>
      </c>
      <c r="R53" s="21"/>
      <c r="T53" s="35">
        <v>34182.772109985177</v>
      </c>
      <c r="U53" s="36">
        <v>0.3188042361068294</v>
      </c>
      <c r="V53" s="35">
        <v>541903.09457028331</v>
      </c>
      <c r="W53" s="36">
        <v>0.29851099626968985</v>
      </c>
      <c r="X53" s="35">
        <v>-16289.400225753605</v>
      </c>
      <c r="Y53" s="36">
        <v>-0.19699157490512526</v>
      </c>
      <c r="Z53" s="35">
        <v>71618.645000000004</v>
      </c>
      <c r="AA53" s="36">
        <v>1</v>
      </c>
      <c r="AB53" s="37">
        <v>0</v>
      </c>
      <c r="AC53" s="70">
        <v>0</v>
      </c>
      <c r="AD53" s="35">
        <v>631415.11145451479</v>
      </c>
      <c r="AE53" s="70">
        <v>0.3040202284405556</v>
      </c>
      <c r="AF53" s="21"/>
      <c r="AH53" s="35">
        <v>59647.91</v>
      </c>
      <c r="AI53" s="36">
        <v>0.29550436162876415</v>
      </c>
      <c r="AJ53" s="35">
        <v>112581.20000000019</v>
      </c>
      <c r="AK53" s="36">
        <v>6.9694298423954457E-2</v>
      </c>
      <c r="AL53" s="35">
        <v>12054.05</v>
      </c>
      <c r="AM53" s="36">
        <v>0.25174964652023452</v>
      </c>
      <c r="AN53" s="35">
        <v>62323.82</v>
      </c>
      <c r="AO53" s="36">
        <v>1</v>
      </c>
      <c r="AP53" s="37">
        <v>8111.08</v>
      </c>
      <c r="AQ53" s="70">
        <v>1</v>
      </c>
      <c r="AR53" s="35">
        <v>254718.06000000029</v>
      </c>
      <c r="AS53" s="36">
        <v>0.13160156234439793</v>
      </c>
      <c r="AT53" s="21"/>
      <c r="AV53" s="38">
        <f t="shared" ref="AV53" si="34">AH53-T53</f>
        <v>25465.137890014827</v>
      </c>
      <c r="AW53" s="39">
        <f>(AI53-U53)*100</f>
        <v>-2.3299874478065252</v>
      </c>
      <c r="AX53" s="38">
        <f t="shared" ref="AX53" si="35">AJ53-V53</f>
        <v>-429321.89457028313</v>
      </c>
      <c r="AY53" s="39">
        <f>(AK53-W53)*100</f>
        <v>-22.881669784573539</v>
      </c>
      <c r="AZ53" s="38">
        <f t="shared" ref="AZ53" si="36">AL53-X53</f>
        <v>28343.450225753604</v>
      </c>
      <c r="BA53" s="39">
        <f>(AM53-Y53)*100</f>
        <v>44.874122142535974</v>
      </c>
      <c r="BB53" s="38">
        <f>AN53-Z53</f>
        <v>-9294.8250000000044</v>
      </c>
      <c r="BC53" s="39">
        <f>(AO53-AA53)*100</f>
        <v>0</v>
      </c>
      <c r="BD53" s="38">
        <f t="shared" ref="BD53" si="37">AP53-AB53</f>
        <v>8111.08</v>
      </c>
      <c r="BE53" s="39">
        <f>(AQ53-AC53)*100</f>
        <v>100</v>
      </c>
      <c r="BF53" s="38">
        <f t="shared" ref="BF53" si="38">AR53-AD53</f>
        <v>-376697.0514545145</v>
      </c>
      <c r="BG53" s="39">
        <f>(AS53-AE53)*100</f>
        <v>-17.241866609615766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92">
        <f>+AI53-G53</f>
        <v>-6.8814370674795788E-2</v>
      </c>
      <c r="AJ54" s="92"/>
      <c r="AK54" s="92">
        <f>+AK53-I53</f>
        <v>-0.2757618021656183</v>
      </c>
      <c r="AL54" s="92"/>
      <c r="AM54" s="92">
        <f>+AM53-K53</f>
        <v>0.19914514979051468</v>
      </c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422164.76</v>
      </c>
      <c r="Q56" s="53">
        <v>0.25125248540963879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375191.27942602045</v>
      </c>
      <c r="AE56" s="53">
        <v>0.18065094802251977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361157.57999999996</v>
      </c>
      <c r="AS56" s="53">
        <v>0.18659415740101751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f t="shared" ref="BF56:BF78" si="39">AR56-AD56</f>
        <v>-14033.699426020496</v>
      </c>
      <c r="BG56" s="55">
        <f t="shared" ref="BG56:BG78" si="40">(AS56-AE56)*100</f>
        <v>0.5943209378497738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272591.73</v>
      </c>
      <c r="Q57" s="53">
        <v>0.16223369677898553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262175.17333333328</v>
      </c>
      <c r="AE57" s="53">
        <v>0.12623479331153775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240003.27</v>
      </c>
      <c r="AS57" s="53">
        <v>0.12399908078667186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f t="shared" si="39"/>
        <v>-22171.903333333292</v>
      </c>
      <c r="BG57" s="55">
        <f t="shared" si="40"/>
        <v>-0.22357125248658877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52322.98</v>
      </c>
      <c r="Q58" s="53">
        <v>3.1140161412427755E-2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34363.554092687169</v>
      </c>
      <c r="AE58" s="53">
        <v>1.654571671752067E-2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58146.57</v>
      </c>
      <c r="AS58" s="53">
        <v>3.0041762476394056E-2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f t="shared" si="39"/>
        <v>23783.015907312831</v>
      </c>
      <c r="BG58" s="55">
        <f t="shared" si="40"/>
        <v>1.3496045758873385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53535.899999999994</v>
      </c>
      <c r="Q59" s="53">
        <v>3.1862033992704368E-2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78652.551999999996</v>
      </c>
      <c r="AE59" s="53">
        <v>3.7870437993461334E-2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63007.740000000005</v>
      </c>
      <c r="AS59" s="53">
        <v>3.2553314137951608E-2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f t="shared" si="39"/>
        <v>-15644.811999999991</v>
      </c>
      <c r="BG59" s="55">
        <f t="shared" si="40"/>
        <v>-0.53171238555097255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43714.15</v>
      </c>
      <c r="Q60" s="53">
        <v>2.6016593225521151E-2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f t="shared" si="39"/>
        <v>0</v>
      </c>
      <c r="BG60" s="55">
        <f t="shared" si="40"/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70844.78</v>
      </c>
      <c r="Q61" s="53">
        <v>4.2163460193359273E-2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70306.737173826506</v>
      </c>
      <c r="AE61" s="53">
        <v>3.3852009413044594E-2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61633.310000000005</v>
      </c>
      <c r="AS61" s="53">
        <v>3.1843206910639146E-2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f t="shared" si="39"/>
        <v>-8673.4271738265015</v>
      </c>
      <c r="BG61" s="55">
        <f t="shared" si="40"/>
        <v>-0.20088025024054476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47947.51</v>
      </c>
      <c r="Q62" s="53">
        <v>2.8536088745786153E-2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f t="shared" si="39"/>
        <v>0</v>
      </c>
      <c r="BG62" s="55">
        <f t="shared" si="40"/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f t="shared" si="39"/>
        <v>0</v>
      </c>
      <c r="BG63" s="55">
        <f t="shared" si="40"/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16250</v>
      </c>
      <c r="Q64" s="53">
        <v>9.6712309381451703E-3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f t="shared" si="39"/>
        <v>0</v>
      </c>
      <c r="BG64" s="55">
        <f t="shared" si="40"/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f t="shared" si="39"/>
        <v>0</v>
      </c>
      <c r="BG65" s="55">
        <f t="shared" si="40"/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f t="shared" si="39"/>
        <v>0</v>
      </c>
      <c r="BG66" s="55">
        <f t="shared" si="40"/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750</v>
      </c>
      <c r="Q67" s="53">
        <v>4.4636450483746939E-4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f t="shared" si="39"/>
        <v>0</v>
      </c>
      <c r="BG67" s="55">
        <f t="shared" si="40"/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5897.27</v>
      </c>
      <c r="Q68" s="53">
        <v>3.5097760045904843E-3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f t="shared" si="39"/>
        <v>0</v>
      </c>
      <c r="BG68" s="55">
        <f t="shared" si="40"/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0</v>
      </c>
      <c r="Q69" s="53">
        <v>0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f t="shared" si="39"/>
        <v>0</v>
      </c>
      <c r="BG69" s="55">
        <f t="shared" si="40"/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107995.38</v>
      </c>
      <c r="Q70" s="53">
        <v>6.4273739091245799E-2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96296.58823865396</v>
      </c>
      <c r="AE70" s="53">
        <v>4.6365869652567948E-2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120868.59000000003</v>
      </c>
      <c r="AS70" s="53">
        <v>6.2447457719976583E-2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f t="shared" si="39"/>
        <v>24572.001761346066</v>
      </c>
      <c r="BG70" s="55">
        <f t="shared" si="40"/>
        <v>1.6081588067408634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3557.5900000000006</v>
      </c>
      <c r="Q71" s="53">
        <v>2.1173091983529772E-3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11300.152082309773</v>
      </c>
      <c r="AE71" s="53">
        <v>5.4409132045683045E-3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2066.6999999999998</v>
      </c>
      <c r="AS71" s="53">
        <v>1.0677725360234247E-3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f t="shared" si="39"/>
        <v>-9233.4520823097737</v>
      </c>
      <c r="BG71" s="55">
        <f t="shared" si="40"/>
        <v>-0.43731406685448804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24622.300000000003</v>
      </c>
      <c r="Q72" s="53">
        <v>1.4654027663279499E-2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1.1872774700477449E-2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24669.66</v>
      </c>
      <c r="AS72" s="53">
        <v>1.2745722853358323E-2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f t="shared" si="39"/>
        <v>11.270000000000437</v>
      </c>
      <c r="BG72" s="55">
        <f t="shared" si="40"/>
        <v>8.7294815288087302E-2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17417.879999999997</v>
      </c>
      <c r="Q73" s="53">
        <v>1.0366297842024613E-2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15512.845704790727</v>
      </c>
      <c r="AE73" s="53">
        <v>7.4692841672246079E-3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57135.339999999975</v>
      </c>
      <c r="AS73" s="53">
        <v>2.9519304634615863E-2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f t="shared" si="39"/>
        <v>41622.494295209246</v>
      </c>
      <c r="BG73" s="55">
        <f t="shared" si="40"/>
        <v>2.2050020467391254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4142.3799999999992</v>
      </c>
      <c r="Q74" s="53">
        <v>2.4653485300648484E-3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4007.6951973434539</v>
      </c>
      <c r="AE74" s="53">
        <v>1.9296662169040371E-3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3994.58</v>
      </c>
      <c r="AS74" s="53">
        <v>2.0638229142828919E-3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f t="shared" si="39"/>
        <v>-13.115197343453929</v>
      </c>
      <c r="BG74" s="55">
        <f t="shared" si="40"/>
        <v>1.3415669737885483E-2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13642.49</v>
      </c>
      <c r="Q75" s="53">
        <v>8.1193643914668368E-3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29410.200219626644</v>
      </c>
      <c r="AE75" s="53">
        <v>1.4160725055592013E-2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11730.660000000007</v>
      </c>
      <c r="AS75" s="53">
        <v>6.0607134936994031E-3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f t="shared" si="39"/>
        <v>-17679.540219626637</v>
      </c>
      <c r="BG75" s="55">
        <f t="shared" si="40"/>
        <v>-0.81000115618926094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664387.56000000006</v>
      </c>
      <c r="Q76" s="36">
        <v>0.39541203231943267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626683.88804257161</v>
      </c>
      <c r="AE76" s="36">
        <v>0.30174219043289874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643256.41999999993</v>
      </c>
      <c r="AS76" s="36">
        <v>0.33234215846361315</v>
      </c>
      <c r="AT76" s="21"/>
      <c r="AV76" s="38">
        <f t="shared" ref="AV76:BC76" si="41">SUM(AV57:AV75)</f>
        <v>0</v>
      </c>
      <c r="AW76" s="73">
        <f t="shared" si="41"/>
        <v>0</v>
      </c>
      <c r="AX76" s="73">
        <f t="shared" si="41"/>
        <v>0</v>
      </c>
      <c r="AY76" s="73">
        <f t="shared" si="41"/>
        <v>0</v>
      </c>
      <c r="AZ76" s="73">
        <f t="shared" si="41"/>
        <v>0</v>
      </c>
      <c r="BA76" s="73">
        <f t="shared" si="41"/>
        <v>0</v>
      </c>
      <c r="BB76" s="73">
        <f t="shared" si="41"/>
        <v>0</v>
      </c>
      <c r="BC76" s="73">
        <f t="shared" si="41"/>
        <v>0</v>
      </c>
      <c r="BD76" s="73"/>
      <c r="BE76" s="73"/>
      <c r="BF76" s="38">
        <f t="shared" si="39"/>
        <v>16572.53195742832</v>
      </c>
      <c r="BG76" s="39">
        <f t="shared" si="40"/>
        <v>3.0599968030714408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23"/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-110938.48000000021</v>
      </c>
      <c r="Q78" s="36">
        <v>-6.6025332923495467E-2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4731.2234119431814</v>
      </c>
      <c r="AE78" s="36">
        <v>2.2780380076568504E-3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-388538.35999999964</v>
      </c>
      <c r="AS78" s="36">
        <v>-0.20074059611921519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f t="shared" si="39"/>
        <v>-393269.58341194282</v>
      </c>
      <c r="BG78" s="39">
        <f t="shared" si="40"/>
        <v>-20.301863412687204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</sheetData>
  <phoneticPr fontId="15" type="noConversion"/>
  <conditionalFormatting sqref="T33:T34 V33:V34 X33:X34 Z33:Z34">
    <cfRule type="cellIs" dxfId="125" priority="53" operator="greaterThanOrEqual">
      <formula>1</formula>
    </cfRule>
    <cfRule type="cellIs" dxfId="124" priority="52" operator="lessThanOrEqual">
      <formula>-1</formula>
    </cfRule>
  </conditionalFormatting>
  <conditionalFormatting sqref="U33:U34 Y33:Y34 AA33:AA34 AC33:AC34">
    <cfRule type="cellIs" dxfId="123" priority="49" operator="greaterThanOrEqual">
      <formula>0.0001</formula>
    </cfRule>
    <cfRule type="cellIs" dxfId="122" priority="48" operator="lessThanOrEqual">
      <formula>-0.0001</formula>
    </cfRule>
  </conditionalFormatting>
  <conditionalFormatting sqref="AB33:AB34">
    <cfRule type="cellIs" dxfId="121" priority="51" operator="greaterThanOrEqual">
      <formula>1</formula>
    </cfRule>
    <cfRule type="cellIs" dxfId="120" priority="50" operator="lessThanOrEqual">
      <formula>-1</formula>
    </cfRule>
  </conditionalFormatting>
  <conditionalFormatting sqref="AD33:AD34">
    <cfRule type="cellIs" dxfId="119" priority="47" operator="greaterThanOrEqual">
      <formula>1</formula>
    </cfRule>
    <cfRule type="cellIs" dxfId="118" priority="46" operator="lessThanOrEqual">
      <formula>-1</formula>
    </cfRule>
  </conditionalFormatting>
  <conditionalFormatting sqref="AE33:AE34">
    <cfRule type="cellIs" dxfId="117" priority="45" operator="greaterThanOrEqual">
      <formula>0.0001</formula>
    </cfRule>
    <cfRule type="cellIs" dxfId="116" priority="44" operator="lessThanOrEqual">
      <formula>-0.0001</formula>
    </cfRule>
  </conditionalFormatting>
  <conditionalFormatting sqref="AH33:AH34 AJ33:AJ34 AL33:AL34 AN33:AN34">
    <cfRule type="cellIs" dxfId="115" priority="63" operator="greaterThanOrEqual">
      <formula>1</formula>
    </cfRule>
    <cfRule type="cellIs" dxfId="114" priority="62" operator="lessThanOrEqual">
      <formula>-1</formula>
    </cfRule>
  </conditionalFormatting>
  <conditionalFormatting sqref="AI33:AI34 AM33:AM34 AO33:AO34 AQ33:AQ34">
    <cfRule type="cellIs" dxfId="113" priority="59" operator="greaterThanOrEqual">
      <formula>0.0001</formula>
    </cfRule>
    <cfRule type="cellIs" dxfId="112" priority="58" operator="lessThanOrEqual">
      <formula>-0.0001</formula>
    </cfRule>
  </conditionalFormatting>
  <conditionalFormatting sqref="AK33:AK34">
    <cfRule type="cellIs" dxfId="111" priority="43" operator="greaterThanOrEqual">
      <formula>0.0001</formula>
    </cfRule>
    <cfRule type="cellIs" dxfId="110" priority="42" operator="lessThanOrEqual">
      <formula>-0.0001</formula>
    </cfRule>
  </conditionalFormatting>
  <conditionalFormatting sqref="AP33:AP34">
    <cfRule type="cellIs" dxfId="109" priority="60" operator="lessThanOrEqual">
      <formula>-1</formula>
    </cfRule>
    <cfRule type="cellIs" dxfId="108" priority="61" operator="greaterThanOrEqual">
      <formula>1</formula>
    </cfRule>
  </conditionalFormatting>
  <conditionalFormatting sqref="AR33:AR34">
    <cfRule type="cellIs" dxfId="107" priority="56" operator="lessThanOrEqual">
      <formula>-1</formula>
    </cfRule>
    <cfRule type="cellIs" dxfId="106" priority="57" operator="greaterThanOrEqual">
      <formula>1</formula>
    </cfRule>
  </conditionalFormatting>
  <conditionalFormatting sqref="AS33:AS34">
    <cfRule type="cellIs" dxfId="105" priority="55" operator="greaterThanOrEqual">
      <formula>0.0001</formula>
    </cfRule>
    <cfRule type="cellIs" dxfId="104" priority="54" operator="lessThanOrEqual">
      <formula>-0.0001</formula>
    </cfRule>
  </conditionalFormatting>
  <conditionalFormatting sqref="AV27:AV29 AX27:AX29 AZ27:AZ29 BB27:BB29 BF27:BF29 AV40 AX40 AZ40 BB40 BF40">
    <cfRule type="cellIs" dxfId="103" priority="31" operator="greaterThanOrEqual">
      <formula>0.000001</formula>
    </cfRule>
  </conditionalFormatting>
  <conditionalFormatting sqref="AV27:AV29 AX27:AX29 AZ27:AZ29 BB27:BB29 BF27:BF29">
    <cfRule type="cellIs" dxfId="102" priority="30" operator="lessThanOrEqual">
      <formula>-0.000001</formula>
    </cfRule>
  </conditionalFormatting>
  <conditionalFormatting sqref="AV33:AV34 AX33:AX34 AZ33:AZ34 BB33:BB34">
    <cfRule type="cellIs" dxfId="101" priority="41" operator="greaterThanOrEqual">
      <formula>1</formula>
    </cfRule>
    <cfRule type="cellIs" dxfId="100" priority="40" operator="lessThanOrEqual">
      <formula>-1</formula>
    </cfRule>
  </conditionalFormatting>
  <conditionalFormatting sqref="AV36 AX36 AZ36 BB36 BD36 BF36 AX43:AX51 AZ43:AZ51 BD43:BD51 BF43:BF51 AV43:AV52">
    <cfRule type="cellIs" dxfId="99" priority="28" operator="lessThanOrEqual">
      <formula>-0.000001</formula>
    </cfRule>
    <cfRule type="cellIs" dxfId="98" priority="29" operator="greaterThanOrEqual">
      <formula>0.00001</formula>
    </cfRule>
  </conditionalFormatting>
  <conditionalFormatting sqref="AV39 AX39 AZ39 BF39">
    <cfRule type="cellIs" dxfId="97" priority="14" operator="lessThanOrEqual">
      <formula>-0.00001</formula>
    </cfRule>
    <cfRule type="cellIs" dxfId="96" priority="15" operator="greaterThanOrEqual">
      <formula>0.00001</formula>
    </cfRule>
  </conditionalFormatting>
  <conditionalFormatting sqref="AV40:BB40 BD40:BG40">
    <cfRule type="cellIs" dxfId="95" priority="18" operator="lessThanOrEqual">
      <formula>-0.000001</formula>
    </cfRule>
  </conditionalFormatting>
  <conditionalFormatting sqref="AV53:BB53 BD53:BG53 BF78:BG78">
    <cfRule type="cellIs" dxfId="94" priority="21" operator="greaterThanOrEqual">
      <formula>0.000001</formula>
    </cfRule>
    <cfRule type="cellIs" dxfId="93" priority="20" operator="lessThanOrEqual">
      <formula>-0.000001</formula>
    </cfRule>
  </conditionalFormatting>
  <conditionalFormatting sqref="AW29 AY29 BA29 BC29 BE29 BG29">
    <cfRule type="cellIs" dxfId="92" priority="24" operator="lessThanOrEqual">
      <formula>-0.000001</formula>
    </cfRule>
    <cfRule type="cellIs" dxfId="91" priority="25" operator="greaterThanOrEqual">
      <formula>0.000001</formula>
    </cfRule>
  </conditionalFormatting>
  <conditionalFormatting sqref="AW33:AW34 BA33:BA34 BC33:BC34 BE33:BE34">
    <cfRule type="cellIs" dxfId="90" priority="39" operator="greaterThanOrEqual">
      <formula>0.0001</formula>
    </cfRule>
    <cfRule type="cellIs" dxfId="89" priority="38" operator="lessThanOrEqual">
      <formula>-0.0001</formula>
    </cfRule>
  </conditionalFormatting>
  <conditionalFormatting sqref="AW36 AY36 BA36 BG36">
    <cfRule type="cellIs" dxfId="88" priority="13" operator="greaterThanOrEqual">
      <formula>0.000001</formula>
    </cfRule>
    <cfRule type="cellIs" dxfId="87" priority="12" operator="lessThanOrEqual">
      <formula>-0.00001</formula>
    </cfRule>
  </conditionalFormatting>
  <conditionalFormatting sqref="AW39 AY39 BA39 BC39 BE39 BG39">
    <cfRule type="cellIs" dxfId="86" priority="17" operator="greaterThanOrEqual">
      <formula>0.000001</formula>
    </cfRule>
    <cfRule type="cellIs" dxfId="85" priority="16" operator="lessThanOrEqual">
      <formula>-0.00001</formula>
    </cfRule>
  </conditionalFormatting>
  <conditionalFormatting sqref="AW40 AY40 BA40 BG40">
    <cfRule type="cellIs" dxfId="84" priority="19" operator="greaterThanOrEqual">
      <formula>0.0000001</formula>
    </cfRule>
  </conditionalFormatting>
  <conditionalFormatting sqref="AW43:AW51 AY43:AY51 BA43:BA51 BG43:BG51 BG56:BG76">
    <cfRule type="cellIs" dxfId="83" priority="23" operator="greaterThanOrEqual">
      <formula>0.000001</formula>
    </cfRule>
    <cfRule type="cellIs" dxfId="82" priority="22" operator="lessThanOrEqual">
      <formula>-0.0000001</formula>
    </cfRule>
  </conditionalFormatting>
  <conditionalFormatting sqref="AY33:AY34">
    <cfRule type="cellIs" dxfId="81" priority="33" operator="greaterThanOrEqual">
      <formula>0.0001</formula>
    </cfRule>
    <cfRule type="cellIs" dxfId="80" priority="32" operator="lessThanOrEqual">
      <formula>-0.0001</formula>
    </cfRule>
  </conditionalFormatting>
  <conditionalFormatting sqref="BD27:BD29 BD40">
    <cfRule type="cellIs" dxfId="79" priority="9" operator="greaterThanOrEqual">
      <formula>0.000001</formula>
    </cfRule>
  </conditionalFormatting>
  <conditionalFormatting sqref="BD27:BD29">
    <cfRule type="cellIs" dxfId="78" priority="8" operator="lessThanOrEqual">
      <formula>-0.000001</formula>
    </cfRule>
  </conditionalFormatting>
  <conditionalFormatting sqref="BD33:BD34">
    <cfRule type="cellIs" dxfId="77" priority="11" operator="greaterThanOrEqual">
      <formula>1</formula>
    </cfRule>
    <cfRule type="cellIs" dxfId="76" priority="10" operator="lessThanOrEqual">
      <formula>-1</formula>
    </cfRule>
  </conditionalFormatting>
  <conditionalFormatting sqref="BD39">
    <cfRule type="cellIs" dxfId="75" priority="4" operator="greaterThanOrEqual">
      <formula>0.00001</formula>
    </cfRule>
    <cfRule type="cellIs" dxfId="74" priority="3" operator="lessThanOrEqual">
      <formula>-0.00001</formula>
    </cfRule>
  </conditionalFormatting>
  <conditionalFormatting sqref="BE36">
    <cfRule type="cellIs" dxfId="73" priority="1" operator="lessThanOrEqual">
      <formula>-0.00001</formula>
    </cfRule>
    <cfRule type="cellIs" dxfId="72" priority="2" operator="greaterThanOrEqual">
      <formula>0.000001</formula>
    </cfRule>
  </conditionalFormatting>
  <conditionalFormatting sqref="BE40">
    <cfRule type="cellIs" dxfId="71" priority="5" operator="greaterThanOrEqual">
      <formula>0.0000001</formula>
    </cfRule>
  </conditionalFormatting>
  <conditionalFormatting sqref="BE43:BE51">
    <cfRule type="cellIs" dxfId="70" priority="7" operator="greaterThanOrEqual">
      <formula>0.000001</formula>
    </cfRule>
    <cfRule type="cellIs" dxfId="69" priority="6" operator="lessThanOrEqual">
      <formula>-0.0000001</formula>
    </cfRule>
  </conditionalFormatting>
  <conditionalFormatting sqref="BF33:BF34">
    <cfRule type="cellIs" dxfId="68" priority="36" operator="lessThanOrEqual">
      <formula>-1</formula>
    </cfRule>
    <cfRule type="cellIs" dxfId="67" priority="37" operator="greaterThanOrEqual">
      <formula>1</formula>
    </cfRule>
  </conditionalFormatting>
  <conditionalFormatting sqref="BF56:BF76">
    <cfRule type="cellIs" dxfId="66" priority="27" operator="greaterThanOrEqual">
      <formula>0.00001</formula>
    </cfRule>
    <cfRule type="cellIs" dxfId="65" priority="26" operator="lessThanOrEqual">
      <formula>-0.000001</formula>
    </cfRule>
  </conditionalFormatting>
  <conditionalFormatting sqref="BG33:BG34">
    <cfRule type="cellIs" dxfId="64" priority="34" operator="lessThanOrEqual">
      <formula>-0.0001</formula>
    </cfRule>
    <cfRule type="cellIs" dxfId="63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A7D0-478A-45B0-8E4B-24DFC5B20657}">
  <sheetPr>
    <tabColor theme="4" tint="0.79998168889431442"/>
  </sheetPr>
  <dimension ref="A1:BI87"/>
  <sheetViews>
    <sheetView showGridLines="0" tabSelected="1" zoomScale="130" zoomScaleNormal="130" workbookViewId="0">
      <pane xSplit="5" ySplit="18" topLeftCell="K61" activePane="bottomRight" state="frozen"/>
      <selection activeCell="AJ47" sqref="AJ47"/>
      <selection pane="topRight" activeCell="AJ47" sqref="AJ47"/>
      <selection pane="bottomLeft" activeCell="AJ47" sqref="AJ47"/>
      <selection pane="bottomRight" activeCell="M70" sqref="M70"/>
    </sheetView>
  </sheetViews>
  <sheetFormatPr defaultColWidth="8.75" defaultRowHeight="14.25" outlineLevelRow="1" outlineLevelCol="2"/>
  <cols>
    <col min="1" max="1" width="5.375" style="9" customWidth="1"/>
    <col min="2" max="2" width="28.375" style="26" hidden="1" customWidth="1" outlineLevel="1"/>
    <col min="3" max="3" width="11.75" style="17" hidden="1" customWidth="1" outlineLevel="1"/>
    <col min="4" max="4" width="5.375" style="17" customWidth="1" collapsed="1"/>
    <col min="5" max="5" width="27.375" style="98" customWidth="1"/>
    <col min="6" max="8" width="12.375" style="99" customWidth="1" outlineLevel="2"/>
    <col min="9" max="9" width="12.25" style="99" customWidth="1" outlineLevel="2"/>
    <col min="10" max="10" width="13.25" style="99" customWidth="1" outlineLevel="2"/>
    <col min="11" max="15" width="12.375" style="99" customWidth="1" outlineLevel="2"/>
    <col min="16" max="17" width="12.375" style="99" customWidth="1" outlineLevel="1"/>
    <col min="18" max="19" width="2.375" style="3" customWidth="1" outlineLevel="1"/>
    <col min="20" max="22" width="12.375" style="99" customWidth="1" outlineLevel="2"/>
    <col min="23" max="23" width="12.25" style="99" customWidth="1" outlineLevel="2"/>
    <col min="24" max="24" width="13.25" style="99" customWidth="1" outlineLevel="2"/>
    <col min="25" max="31" width="12.375" style="99" customWidth="1" outlineLevel="2"/>
    <col min="32" max="33" width="2.375" style="3" customWidth="1" outlineLevel="1"/>
    <col min="34" max="34" width="12.375" style="99" customWidth="1"/>
    <col min="35" max="36" width="12.375" style="99" customWidth="1" outlineLevel="1"/>
    <col min="37" max="37" width="12.25" style="99" customWidth="1" outlineLevel="1"/>
    <col min="38" max="38" width="13.25" style="99" customWidth="1" outlineLevel="1"/>
    <col min="39" max="43" width="12.375" style="99" customWidth="1" outlineLevel="1"/>
    <col min="44" max="45" width="12.375" style="99" customWidth="1"/>
    <col min="46" max="47" width="2.375" style="3" customWidth="1"/>
    <col min="48" max="50" width="12.375" style="99" hidden="1" customWidth="1" outlineLevel="1"/>
    <col min="51" max="51" width="12.25" style="99" hidden="1" customWidth="1" outlineLevel="1"/>
    <col min="52" max="52" width="13.25" style="99" hidden="1" customWidth="1" outlineLevel="1"/>
    <col min="53" max="59" width="12.375" style="99" hidden="1" customWidth="1" outlineLevel="1"/>
    <col min="60" max="60" width="10.625" style="3" bestFit="1" customWidth="1" collapsed="1"/>
    <col min="61" max="61" width="8.75" style="3"/>
    <col min="62" max="62" width="13.75" style="3" bestFit="1" customWidth="1"/>
    <col min="63" max="16384" width="8.75" style="3"/>
  </cols>
  <sheetData>
    <row r="1" spans="5:59" ht="15">
      <c r="K1" s="98"/>
      <c r="Y1" s="98"/>
      <c r="AM1" s="98"/>
      <c r="AN1" s="100">
        <v>662527.91</v>
      </c>
      <c r="BA1" s="98"/>
    </row>
    <row r="2" spans="5:59" ht="15">
      <c r="H2" s="4"/>
      <c r="K2" s="98"/>
      <c r="Y2" s="98"/>
      <c r="AJ2" s="99">
        <v>521248.54</v>
      </c>
      <c r="AK2" s="99">
        <v>521248.54000000004</v>
      </c>
      <c r="AL2" s="99" t="s">
        <v>160</v>
      </c>
      <c r="AM2" s="98"/>
      <c r="AN2" s="100">
        <v>141279.37</v>
      </c>
      <c r="BA2" s="98"/>
    </row>
    <row r="3" spans="5:59" ht="15">
      <c r="H3" s="4"/>
      <c r="K3" s="98"/>
      <c r="Y3" s="98"/>
      <c r="AJ3" s="99">
        <v>273377.46000000002</v>
      </c>
      <c r="AK3" s="99">
        <v>273377.46000000002</v>
      </c>
      <c r="AL3" s="99" t="s">
        <v>161</v>
      </c>
      <c r="AM3" s="98"/>
      <c r="AN3" s="100">
        <v>273377.46000000002</v>
      </c>
      <c r="BA3" s="98"/>
    </row>
    <row r="4" spans="5:59">
      <c r="K4" s="98"/>
      <c r="Y4" s="101">
        <v>1.6587216866392489</v>
      </c>
      <c r="AK4" s="99">
        <v>247871.08000000002</v>
      </c>
      <c r="AM4" s="98"/>
      <c r="BA4" s="98"/>
    </row>
    <row r="5" spans="5:59" ht="15">
      <c r="E5" s="102">
        <v>45992</v>
      </c>
      <c r="K5" s="98"/>
      <c r="Y5" s="98"/>
      <c r="AH5" s="103">
        <v>1.065082600178602</v>
      </c>
      <c r="AI5" s="6"/>
      <c r="AJ5" s="104"/>
      <c r="AK5" s="8">
        <v>0.47553337991124156</v>
      </c>
      <c r="AM5" s="98"/>
      <c r="AW5" s="6"/>
      <c r="BA5" s="98"/>
    </row>
    <row r="6" spans="5:59">
      <c r="K6" s="98"/>
      <c r="Y6" s="105"/>
      <c r="AH6" s="99">
        <v>121045.86</v>
      </c>
      <c r="AJ6" s="104"/>
      <c r="AK6" s="8"/>
      <c r="AM6" s="105"/>
      <c r="BA6" s="105"/>
    </row>
    <row r="7" spans="5:59" hidden="1" outlineLevel="1">
      <c r="E7" s="9" t="s">
        <v>0</v>
      </c>
      <c r="F7" s="10">
        <v>45627</v>
      </c>
      <c r="G7" s="10"/>
      <c r="H7" s="10">
        <v>45627</v>
      </c>
      <c r="I7" s="10"/>
      <c r="J7" s="10">
        <v>45627</v>
      </c>
      <c r="K7" s="10"/>
      <c r="L7" s="10">
        <v>45627</v>
      </c>
      <c r="M7" s="10"/>
      <c r="N7" s="10">
        <v>45627</v>
      </c>
      <c r="O7" s="10"/>
      <c r="P7" s="10">
        <v>45627</v>
      </c>
      <c r="Q7" s="10"/>
      <c r="T7" s="10">
        <v>45992</v>
      </c>
      <c r="U7" s="10"/>
      <c r="V7" s="10">
        <v>45992</v>
      </c>
      <c r="W7" s="10"/>
      <c r="X7" s="10">
        <v>45992</v>
      </c>
      <c r="Y7" s="10"/>
      <c r="Z7" s="10">
        <v>45992</v>
      </c>
      <c r="AA7" s="10"/>
      <c r="AB7" s="10">
        <v>45992</v>
      </c>
      <c r="AC7" s="10"/>
      <c r="AD7" s="10">
        <v>45992</v>
      </c>
      <c r="AE7" s="10"/>
      <c r="AH7" s="10">
        <v>45992</v>
      </c>
      <c r="AI7" s="10"/>
      <c r="AJ7" s="10">
        <v>45992</v>
      </c>
      <c r="AK7" s="10"/>
      <c r="AL7" s="10">
        <v>45992</v>
      </c>
      <c r="AM7" s="10"/>
      <c r="AN7" s="10">
        <v>45992</v>
      </c>
      <c r="AO7" s="10"/>
      <c r="AP7" s="10">
        <v>45992</v>
      </c>
      <c r="AQ7" s="10"/>
      <c r="AR7" s="10">
        <v>45992</v>
      </c>
      <c r="AS7" s="10"/>
      <c r="AV7" s="10">
        <v>45992</v>
      </c>
      <c r="AW7" s="10"/>
      <c r="AX7" s="10">
        <v>45992</v>
      </c>
      <c r="AY7" s="10"/>
      <c r="AZ7" s="10">
        <v>45992</v>
      </c>
      <c r="BA7" s="10"/>
      <c r="BB7" s="10"/>
      <c r="BC7" s="10"/>
      <c r="BD7" s="10">
        <v>0</v>
      </c>
      <c r="BE7" s="10"/>
      <c r="BF7" s="10">
        <v>0</v>
      </c>
      <c r="BG7" s="10"/>
    </row>
    <row r="8" spans="5:59" hidden="1" outlineLevel="1">
      <c r="E8" s="9" t="s">
        <v>1</v>
      </c>
      <c r="F8" s="11" t="s">
        <v>2</v>
      </c>
      <c r="G8" s="11"/>
      <c r="H8" s="11" t="s">
        <v>3</v>
      </c>
      <c r="I8" s="11"/>
      <c r="J8" s="11" t="s">
        <v>4</v>
      </c>
      <c r="K8" s="11"/>
      <c r="L8" s="11" t="s">
        <v>5</v>
      </c>
      <c r="M8" s="11"/>
      <c r="N8" s="11" t="s">
        <v>6</v>
      </c>
      <c r="O8" s="11"/>
      <c r="P8" s="11"/>
      <c r="Q8" s="11"/>
      <c r="T8" s="11" t="s">
        <v>2</v>
      </c>
      <c r="U8" s="11"/>
      <c r="V8" s="11" t="s">
        <v>3</v>
      </c>
      <c r="W8" s="11"/>
      <c r="X8" s="11" t="s">
        <v>4</v>
      </c>
      <c r="Y8" s="11"/>
      <c r="Z8" s="11" t="s">
        <v>5</v>
      </c>
      <c r="AA8" s="11"/>
      <c r="AB8" s="11" t="s">
        <v>6</v>
      </c>
      <c r="AC8" s="11"/>
      <c r="AD8" s="11"/>
      <c r="AE8" s="11"/>
      <c r="AH8" s="11" t="s">
        <v>2</v>
      </c>
      <c r="AI8" s="11"/>
      <c r="AJ8" s="11" t="s">
        <v>3</v>
      </c>
      <c r="AK8" s="11"/>
      <c r="AL8" s="11" t="s">
        <v>4</v>
      </c>
      <c r="AM8" s="11"/>
      <c r="AN8" s="11" t="s">
        <v>5</v>
      </c>
      <c r="AO8" s="11"/>
      <c r="AP8" s="11" t="s">
        <v>6</v>
      </c>
      <c r="AQ8" s="11"/>
      <c r="AR8" s="11"/>
      <c r="AS8" s="11"/>
      <c r="AV8" s="11" t="s">
        <v>2</v>
      </c>
      <c r="AW8" s="11"/>
      <c r="AX8" s="11" t="s">
        <v>3</v>
      </c>
      <c r="AY8" s="11"/>
      <c r="AZ8" s="11" t="s">
        <v>4</v>
      </c>
      <c r="BA8" s="11"/>
      <c r="BB8" s="11"/>
      <c r="BC8" s="11"/>
      <c r="BD8" s="11" t="s">
        <v>6</v>
      </c>
      <c r="BE8" s="11"/>
      <c r="BF8" s="11"/>
      <c r="BG8" s="11"/>
    </row>
    <row r="9" spans="5:59" hidden="1" outlineLevel="1">
      <c r="E9" s="9" t="s">
        <v>7</v>
      </c>
      <c r="F9" s="11">
        <v>12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T9" s="11">
        <v>12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H9" s="11">
        <v>12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V9" s="11">
        <v>12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</row>
    <row r="10" spans="5:59" hidden="1" outlineLevel="1">
      <c r="E10" s="9" t="s">
        <v>8</v>
      </c>
      <c r="F10" s="11" t="s">
        <v>162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T10" s="11" t="s">
        <v>163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H10" s="11" t="s">
        <v>163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V10" s="11" t="s">
        <v>163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</row>
    <row r="11" spans="5:59" hidden="1" outlineLevel="1">
      <c r="E11" s="9" t="s">
        <v>9</v>
      </c>
      <c r="F11" s="11" t="s">
        <v>164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T11" s="11" t="s">
        <v>165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H11" s="11" t="s">
        <v>165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V11" s="11" t="s">
        <v>165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5:59" hidden="1" outlineLevel="1">
      <c r="E12" s="9" t="s">
        <v>10</v>
      </c>
      <c r="F12" s="11">
        <v>2024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T12" s="11">
        <v>2025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H12" s="11">
        <v>2025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V12" s="11">
        <v>2025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</row>
    <row r="13" spans="5:59" hidden="1" outlineLevel="1">
      <c r="E13" s="9" t="s">
        <v>11</v>
      </c>
      <c r="F13" s="11" t="s">
        <v>12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T13" s="11" t="s">
        <v>13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H13" s="11" t="s">
        <v>12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V13" s="11" t="s">
        <v>12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</row>
    <row r="14" spans="5:59" collapsed="1"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T14" s="11"/>
      <c r="U14" s="11"/>
      <c r="V14" s="11"/>
      <c r="W14" s="11"/>
      <c r="X14" s="11"/>
      <c r="Y14" s="12"/>
      <c r="Z14" s="13"/>
      <c r="AA14" s="11"/>
      <c r="AB14" s="11"/>
      <c r="AC14" s="11"/>
      <c r="AD14" s="11"/>
      <c r="AE14" s="11"/>
      <c r="AH14" s="11"/>
      <c r="AI14" s="11"/>
      <c r="AJ14" s="106">
        <v>1.3035661168027139</v>
      </c>
      <c r="AK14" s="11"/>
      <c r="AL14" s="11"/>
      <c r="AM14" s="12"/>
      <c r="AN14" s="13"/>
      <c r="AO14" s="11"/>
      <c r="AP14" s="11"/>
      <c r="AQ14" s="11"/>
      <c r="AR14" s="11"/>
      <c r="AS14" s="11"/>
      <c r="AV14" s="11"/>
      <c r="AW14" s="11"/>
      <c r="AX14" s="11"/>
      <c r="AY14" s="11"/>
      <c r="AZ14" s="11"/>
      <c r="BA14" s="12"/>
      <c r="BB14" s="13"/>
      <c r="BC14" s="11"/>
      <c r="BD14" s="11"/>
      <c r="BE14" s="11"/>
      <c r="BF14" s="11"/>
      <c r="BG14" s="11"/>
    </row>
    <row r="15" spans="5:59" ht="15">
      <c r="F15" s="14" t="s">
        <v>14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4" t="s">
        <v>15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H15" s="14" t="s">
        <v>16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V15" s="14" t="s">
        <v>17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5:59" ht="9.6" customHeight="1"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spans="3:59" ht="15">
      <c r="E17" s="16"/>
      <c r="F17" s="18" t="s">
        <v>166</v>
      </c>
      <c r="G17" s="19"/>
      <c r="H17" s="19"/>
      <c r="I17" s="19"/>
      <c r="J17" s="19"/>
      <c r="K17" s="19"/>
      <c r="L17" s="19"/>
      <c r="M17" s="19"/>
      <c r="N17" s="19"/>
      <c r="O17" s="19"/>
      <c r="P17" s="18" t="s">
        <v>166</v>
      </c>
      <c r="Q17" s="20"/>
      <c r="R17" s="21"/>
      <c r="T17" s="18" t="s">
        <v>167</v>
      </c>
      <c r="U17" s="19"/>
      <c r="V17" s="19"/>
      <c r="W17" s="19"/>
      <c r="X17" s="19"/>
      <c r="Y17" s="19"/>
      <c r="Z17" s="19"/>
      <c r="AA17" s="19"/>
      <c r="AB17" s="19"/>
      <c r="AC17" s="19"/>
      <c r="AD17" s="18" t="s">
        <v>167</v>
      </c>
      <c r="AE17" s="20"/>
      <c r="AF17" s="21"/>
      <c r="AH17" s="18" t="s">
        <v>168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8" t="s">
        <v>168</v>
      </c>
      <c r="AS17" s="20"/>
      <c r="AT17" s="21"/>
      <c r="AV17" s="18" t="s">
        <v>169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8" t="s">
        <v>168</v>
      </c>
      <c r="BG17" s="20"/>
    </row>
    <row r="18" spans="3:59" ht="15">
      <c r="E18" s="16"/>
      <c r="F18" s="22" t="s">
        <v>18</v>
      </c>
      <c r="G18" s="22"/>
      <c r="H18" s="22" t="s">
        <v>19</v>
      </c>
      <c r="I18" s="22"/>
      <c r="J18" s="22" t="s">
        <v>20</v>
      </c>
      <c r="K18" s="22"/>
      <c r="L18" s="22" t="s">
        <v>21</v>
      </c>
      <c r="M18" s="22"/>
      <c r="N18" s="20" t="s">
        <v>22</v>
      </c>
      <c r="O18" s="18"/>
      <c r="P18" s="22" t="s">
        <v>23</v>
      </c>
      <c r="Q18" s="22"/>
      <c r="R18" s="21"/>
      <c r="T18" s="22" t="s">
        <v>18</v>
      </c>
      <c r="U18" s="22"/>
      <c r="V18" s="22" t="s">
        <v>19</v>
      </c>
      <c r="W18" s="22"/>
      <c r="X18" s="22" t="s">
        <v>20</v>
      </c>
      <c r="Y18" s="22"/>
      <c r="Z18" s="22" t="s">
        <v>21</v>
      </c>
      <c r="AA18" s="22"/>
      <c r="AB18" s="20" t="s">
        <v>22</v>
      </c>
      <c r="AC18" s="18"/>
      <c r="AD18" s="22" t="s">
        <v>23</v>
      </c>
      <c r="AE18" s="22"/>
      <c r="AF18" s="21"/>
      <c r="AH18" s="22" t="s">
        <v>18</v>
      </c>
      <c r="AI18" s="22"/>
      <c r="AJ18" s="22" t="s">
        <v>19</v>
      </c>
      <c r="AK18" s="22"/>
      <c r="AL18" s="22" t="s">
        <v>20</v>
      </c>
      <c r="AM18" s="22"/>
      <c r="AN18" s="22" t="s">
        <v>21</v>
      </c>
      <c r="AO18" s="22"/>
      <c r="AP18" s="20" t="s">
        <v>22</v>
      </c>
      <c r="AQ18" s="18"/>
      <c r="AR18" s="22" t="s">
        <v>23</v>
      </c>
      <c r="AS18" s="22"/>
      <c r="AT18" s="21"/>
      <c r="AV18" s="22" t="s">
        <v>18</v>
      </c>
      <c r="AW18" s="22"/>
      <c r="AX18" s="22" t="s">
        <v>19</v>
      </c>
      <c r="AY18" s="22"/>
      <c r="AZ18" s="22" t="s">
        <v>20</v>
      </c>
      <c r="BA18" s="22"/>
      <c r="BB18" s="22" t="s">
        <v>21</v>
      </c>
      <c r="BC18" s="22"/>
      <c r="BD18" s="20" t="s">
        <v>22</v>
      </c>
      <c r="BE18" s="18"/>
      <c r="BF18" s="22" t="s">
        <v>23</v>
      </c>
      <c r="BG18" s="22"/>
    </row>
    <row r="19" spans="3:59" hidden="1" outlineLevel="1">
      <c r="E19" s="16" t="s">
        <v>24</v>
      </c>
      <c r="F19" s="23"/>
      <c r="G19" s="24"/>
      <c r="H19" s="25"/>
      <c r="I19" s="24"/>
      <c r="J19" s="25"/>
      <c r="K19" s="24"/>
      <c r="L19" s="25"/>
      <c r="M19" s="24"/>
      <c r="N19" s="16"/>
      <c r="O19" s="16"/>
      <c r="P19" s="25"/>
      <c r="Q19" s="24"/>
      <c r="R19" s="21"/>
      <c r="T19" s="23"/>
      <c r="U19" s="24"/>
      <c r="V19" s="25"/>
      <c r="W19" s="24"/>
      <c r="X19" s="25"/>
      <c r="Y19" s="24"/>
      <c r="Z19" s="25"/>
      <c r="AA19" s="24"/>
      <c r="AB19" s="16"/>
      <c r="AC19" s="16"/>
      <c r="AD19" s="25"/>
      <c r="AE19" s="24"/>
      <c r="AF19" s="21"/>
      <c r="AH19" s="23"/>
      <c r="AI19" s="24"/>
      <c r="AJ19" s="25"/>
      <c r="AK19" s="24"/>
      <c r="AL19" s="25"/>
      <c r="AM19" s="24"/>
      <c r="AN19" s="25"/>
      <c r="AO19" s="24"/>
      <c r="AP19" s="16"/>
      <c r="AQ19" s="16"/>
      <c r="AR19" s="25"/>
      <c r="AS19" s="24"/>
      <c r="AT19" s="21"/>
      <c r="AV19" s="23"/>
      <c r="AW19" s="24"/>
      <c r="AX19" s="25"/>
      <c r="AY19" s="24"/>
      <c r="AZ19" s="25"/>
      <c r="BA19" s="24"/>
      <c r="BB19" s="25"/>
      <c r="BC19" s="24"/>
      <c r="BD19" s="16"/>
      <c r="BE19" s="16"/>
      <c r="BF19" s="25"/>
      <c r="BG19" s="24"/>
    </row>
    <row r="20" spans="3:59" hidden="1" outlineLevel="1">
      <c r="E20" s="16" t="s">
        <v>21</v>
      </c>
      <c r="F20" s="23"/>
      <c r="G20" s="24"/>
      <c r="H20" s="25"/>
      <c r="I20" s="24"/>
      <c r="J20" s="25"/>
      <c r="K20" s="24"/>
      <c r="L20" s="25"/>
      <c r="M20" s="24"/>
      <c r="N20" s="16"/>
      <c r="O20" s="16"/>
      <c r="P20" s="25"/>
      <c r="Q20" s="24"/>
      <c r="R20" s="21"/>
      <c r="T20" s="23"/>
      <c r="U20" s="24"/>
      <c r="V20" s="25"/>
      <c r="W20" s="24"/>
      <c r="X20" s="25"/>
      <c r="Y20" s="24"/>
      <c r="Z20" s="25"/>
      <c r="AA20" s="24"/>
      <c r="AB20" s="16"/>
      <c r="AC20" s="16"/>
      <c r="AD20" s="25"/>
      <c r="AE20" s="24"/>
      <c r="AF20" s="21"/>
      <c r="AH20" s="23"/>
      <c r="AI20" s="24"/>
      <c r="AJ20" s="25"/>
      <c r="AK20" s="24"/>
      <c r="AL20" s="25"/>
      <c r="AM20" s="24"/>
      <c r="AN20" s="25"/>
      <c r="AO20" s="24"/>
      <c r="AP20" s="16"/>
      <c r="AQ20" s="16"/>
      <c r="AR20" s="25"/>
      <c r="AS20" s="24"/>
      <c r="AT20" s="21"/>
      <c r="AV20" s="23"/>
      <c r="AW20" s="24"/>
      <c r="AX20" s="25"/>
      <c r="AY20" s="24"/>
      <c r="AZ20" s="25"/>
      <c r="BA20" s="24"/>
      <c r="BB20" s="25"/>
      <c r="BC20" s="24"/>
      <c r="BD20" s="16"/>
      <c r="BE20" s="16"/>
      <c r="BF20" s="25"/>
      <c r="BG20" s="24"/>
    </row>
    <row r="21" spans="3:59" hidden="1" outlineLevel="1">
      <c r="E21" s="16" t="s">
        <v>18</v>
      </c>
      <c r="F21" s="23"/>
      <c r="G21" s="24"/>
      <c r="H21" s="25"/>
      <c r="I21" s="24"/>
      <c r="J21" s="25"/>
      <c r="K21" s="24"/>
      <c r="L21" s="25"/>
      <c r="M21" s="24"/>
      <c r="N21" s="16"/>
      <c r="O21" s="16"/>
      <c r="P21" s="25"/>
      <c r="Q21" s="24"/>
      <c r="R21" s="21"/>
      <c r="T21" s="23"/>
      <c r="U21" s="24"/>
      <c r="V21" s="25"/>
      <c r="W21" s="24"/>
      <c r="X21" s="25"/>
      <c r="Y21" s="24"/>
      <c r="Z21" s="25"/>
      <c r="AA21" s="24"/>
      <c r="AB21" s="16"/>
      <c r="AC21" s="16"/>
      <c r="AD21" s="25"/>
      <c r="AE21" s="24"/>
      <c r="AF21" s="21"/>
      <c r="AH21" s="23"/>
      <c r="AI21" s="24"/>
      <c r="AJ21" s="25"/>
      <c r="AK21" s="24"/>
      <c r="AL21" s="25"/>
      <c r="AM21" s="24"/>
      <c r="AN21" s="25"/>
      <c r="AO21" s="24"/>
      <c r="AP21" s="16"/>
      <c r="AQ21" s="16"/>
      <c r="AR21" s="25"/>
      <c r="AS21" s="24"/>
      <c r="AT21" s="21"/>
      <c r="AV21" s="23"/>
      <c r="AW21" s="24"/>
      <c r="AX21" s="25"/>
      <c r="AY21" s="24"/>
      <c r="AZ21" s="25"/>
      <c r="BA21" s="24"/>
      <c r="BB21" s="25"/>
      <c r="BC21" s="24"/>
      <c r="BD21" s="16"/>
      <c r="BE21" s="16"/>
      <c r="BF21" s="25"/>
      <c r="BG21" s="24"/>
    </row>
    <row r="22" spans="3:59" hidden="1" outlineLevel="1">
      <c r="E22" s="16" t="s">
        <v>19</v>
      </c>
      <c r="F22" s="23"/>
      <c r="G22" s="24"/>
      <c r="H22" s="25"/>
      <c r="I22" s="24"/>
      <c r="J22" s="25"/>
      <c r="K22" s="24"/>
      <c r="L22" s="25"/>
      <c r="M22" s="24"/>
      <c r="N22" s="16"/>
      <c r="O22" s="16"/>
      <c r="P22" s="25"/>
      <c r="Q22" s="24"/>
      <c r="R22" s="21"/>
      <c r="T22" s="23"/>
      <c r="U22" s="24"/>
      <c r="V22" s="25"/>
      <c r="W22" s="24"/>
      <c r="X22" s="25"/>
      <c r="Y22" s="24"/>
      <c r="Z22" s="25"/>
      <c r="AA22" s="24"/>
      <c r="AB22" s="16"/>
      <c r="AC22" s="16"/>
      <c r="AD22" s="25"/>
      <c r="AE22" s="24"/>
      <c r="AF22" s="21"/>
      <c r="AH22" s="23"/>
      <c r="AI22" s="24"/>
      <c r="AJ22" s="25"/>
      <c r="AK22" s="24"/>
      <c r="AL22" s="25"/>
      <c r="AM22" s="24"/>
      <c r="AN22" s="25"/>
      <c r="AO22" s="24"/>
      <c r="AP22" s="16"/>
      <c r="AQ22" s="16"/>
      <c r="AR22" s="25"/>
      <c r="AS22" s="24"/>
      <c r="AT22" s="21"/>
      <c r="AV22" s="23"/>
      <c r="AW22" s="24"/>
      <c r="AX22" s="25"/>
      <c r="AY22" s="24"/>
      <c r="AZ22" s="25"/>
      <c r="BA22" s="24"/>
      <c r="BB22" s="25"/>
      <c r="BC22" s="24"/>
      <c r="BD22" s="16"/>
      <c r="BE22" s="16"/>
      <c r="BF22" s="25"/>
      <c r="BG22" s="24"/>
    </row>
    <row r="23" spans="3:59" hidden="1" outlineLevel="1">
      <c r="E23" s="16" t="s">
        <v>25</v>
      </c>
      <c r="F23" s="23"/>
      <c r="G23" s="24"/>
      <c r="H23" s="25"/>
      <c r="I23" s="24"/>
      <c r="J23" s="25"/>
      <c r="K23" s="24"/>
      <c r="L23" s="25"/>
      <c r="M23" s="24"/>
      <c r="N23" s="16"/>
      <c r="O23" s="16"/>
      <c r="P23" s="25"/>
      <c r="Q23" s="24"/>
      <c r="R23" s="21"/>
      <c r="T23" s="23"/>
      <c r="U23" s="24"/>
      <c r="V23" s="25"/>
      <c r="W23" s="24"/>
      <c r="X23" s="25"/>
      <c r="Y23" s="24"/>
      <c r="Z23" s="25"/>
      <c r="AA23" s="24"/>
      <c r="AB23" s="16"/>
      <c r="AC23" s="16"/>
      <c r="AD23" s="25"/>
      <c r="AE23" s="24"/>
      <c r="AF23" s="21"/>
      <c r="AH23" s="23"/>
      <c r="AI23" s="24"/>
      <c r="AJ23" s="25"/>
      <c r="AK23" s="24"/>
      <c r="AL23" s="25"/>
      <c r="AM23" s="24"/>
      <c r="AN23" s="25"/>
      <c r="AO23" s="24"/>
      <c r="AP23" s="16"/>
      <c r="AQ23" s="16"/>
      <c r="AR23" s="25"/>
      <c r="AS23" s="24"/>
      <c r="AT23" s="21"/>
      <c r="AV23" s="23"/>
      <c r="AW23" s="24"/>
      <c r="AX23" s="25"/>
      <c r="AY23" s="24"/>
      <c r="AZ23" s="25"/>
      <c r="BA23" s="24"/>
      <c r="BB23" s="25"/>
      <c r="BC23" s="24"/>
      <c r="BD23" s="16"/>
      <c r="BE23" s="16"/>
      <c r="BF23" s="25"/>
      <c r="BG23" s="24"/>
    </row>
    <row r="24" spans="3:59" hidden="1" outlineLevel="1">
      <c r="E24" s="16" t="s">
        <v>26</v>
      </c>
      <c r="F24" s="23"/>
      <c r="G24" s="24"/>
      <c r="H24" s="25"/>
      <c r="I24" s="24"/>
      <c r="J24" s="25"/>
      <c r="K24" s="24"/>
      <c r="L24" s="25"/>
      <c r="M24" s="24"/>
      <c r="N24" s="16"/>
      <c r="O24" s="16"/>
      <c r="P24" s="25"/>
      <c r="Q24" s="24"/>
      <c r="R24" s="21"/>
      <c r="T24" s="23"/>
      <c r="U24" s="24"/>
      <c r="V24" s="25"/>
      <c r="W24" s="24"/>
      <c r="X24" s="25"/>
      <c r="Y24" s="24"/>
      <c r="Z24" s="25"/>
      <c r="AA24" s="24"/>
      <c r="AB24" s="16"/>
      <c r="AC24" s="16"/>
      <c r="AD24" s="25"/>
      <c r="AE24" s="24"/>
      <c r="AF24" s="21"/>
      <c r="AH24" s="23"/>
      <c r="AI24" s="24"/>
      <c r="AJ24" s="25"/>
      <c r="AK24" s="24"/>
      <c r="AL24" s="25"/>
      <c r="AM24" s="24"/>
      <c r="AN24" s="25"/>
      <c r="AO24" s="24"/>
      <c r="AP24" s="16"/>
      <c r="AQ24" s="16"/>
      <c r="AR24" s="25"/>
      <c r="AS24" s="24"/>
      <c r="AT24" s="21"/>
      <c r="AV24" s="23"/>
      <c r="AW24" s="24"/>
      <c r="AX24" s="25"/>
      <c r="AY24" s="24"/>
      <c r="AZ24" s="25"/>
      <c r="BA24" s="24"/>
      <c r="BB24" s="25"/>
      <c r="BC24" s="24"/>
      <c r="BD24" s="16"/>
      <c r="BE24" s="16"/>
      <c r="BF24" s="25"/>
      <c r="BG24" s="24"/>
    </row>
    <row r="25" spans="3:59" hidden="1" outlineLevel="1">
      <c r="E25" s="16" t="s">
        <v>20</v>
      </c>
      <c r="F25" s="23"/>
      <c r="G25" s="24"/>
      <c r="H25" s="25"/>
      <c r="I25" s="24"/>
      <c r="J25" s="25"/>
      <c r="K25" s="24"/>
      <c r="L25" s="25"/>
      <c r="M25" s="24"/>
      <c r="N25" s="16"/>
      <c r="O25" s="16"/>
      <c r="P25" s="25"/>
      <c r="Q25" s="24"/>
      <c r="R25" s="21"/>
      <c r="T25" s="23"/>
      <c r="U25" s="24"/>
      <c r="V25" s="25"/>
      <c r="W25" s="24"/>
      <c r="X25" s="25"/>
      <c r="Y25" s="24"/>
      <c r="Z25" s="25"/>
      <c r="AA25" s="24"/>
      <c r="AB25" s="16"/>
      <c r="AC25" s="16"/>
      <c r="AD25" s="25"/>
      <c r="AE25" s="24"/>
      <c r="AF25" s="21"/>
      <c r="AH25" s="23"/>
      <c r="AI25" s="24"/>
      <c r="AJ25" s="25"/>
      <c r="AK25" s="24"/>
      <c r="AL25" s="25"/>
      <c r="AM25" s="24"/>
      <c r="AN25" s="25"/>
      <c r="AO25" s="24"/>
      <c r="AP25" s="16"/>
      <c r="AQ25" s="16"/>
      <c r="AR25" s="25"/>
      <c r="AS25" s="24"/>
      <c r="AT25" s="21"/>
      <c r="AV25" s="23"/>
      <c r="AW25" s="24"/>
      <c r="AX25" s="25"/>
      <c r="AY25" s="24"/>
      <c r="AZ25" s="25"/>
      <c r="BA25" s="24"/>
      <c r="BB25" s="25"/>
      <c r="BC25" s="24"/>
      <c r="BD25" s="16"/>
      <c r="BE25" s="16"/>
      <c r="BF25" s="25"/>
      <c r="BG25" s="24"/>
    </row>
    <row r="26" spans="3:59" hidden="1" outlineLevel="1">
      <c r="E26" s="16" t="s">
        <v>27</v>
      </c>
      <c r="F26" s="23"/>
      <c r="G26" s="24"/>
      <c r="H26" s="25"/>
      <c r="I26" s="24"/>
      <c r="J26" s="25"/>
      <c r="K26" s="24"/>
      <c r="L26" s="25"/>
      <c r="M26" s="24"/>
      <c r="N26" s="16"/>
      <c r="O26" s="16"/>
      <c r="P26" s="25"/>
      <c r="Q26" s="24"/>
      <c r="R26" s="21"/>
      <c r="T26" s="23"/>
      <c r="U26" s="24"/>
      <c r="V26" s="25"/>
      <c r="W26" s="24"/>
      <c r="X26" s="25"/>
      <c r="Y26" s="24"/>
      <c r="Z26" s="25"/>
      <c r="AA26" s="24"/>
      <c r="AB26" s="16"/>
      <c r="AC26" s="16"/>
      <c r="AD26" s="25"/>
      <c r="AE26" s="24"/>
      <c r="AF26" s="21"/>
      <c r="AH26" s="23"/>
      <c r="AI26" s="24"/>
      <c r="AJ26" s="25"/>
      <c r="AK26" s="24"/>
      <c r="AL26" s="25"/>
      <c r="AM26" s="24"/>
      <c r="AN26" s="25"/>
      <c r="AO26" s="24"/>
      <c r="AP26" s="16"/>
      <c r="AQ26" s="16"/>
      <c r="AR26" s="25"/>
      <c r="AS26" s="24"/>
      <c r="AT26" s="21"/>
      <c r="AV26" s="23"/>
      <c r="AW26" s="24"/>
      <c r="AX26" s="25"/>
      <c r="AY26" s="24"/>
      <c r="AZ26" s="25"/>
      <c r="BA26" s="24"/>
      <c r="BB26" s="25"/>
      <c r="BC26" s="24"/>
      <c r="BD26" s="16"/>
      <c r="BE26" s="16"/>
      <c r="BF26" s="25"/>
      <c r="BG26" s="24"/>
    </row>
    <row r="27" spans="3:59" collapsed="1">
      <c r="E27" s="26" t="s">
        <v>28</v>
      </c>
      <c r="F27" s="27">
        <v>184688</v>
      </c>
      <c r="G27" s="24"/>
      <c r="H27" s="27">
        <v>3163654</v>
      </c>
      <c r="I27" s="24"/>
      <c r="J27" s="27">
        <v>225205</v>
      </c>
      <c r="K27" s="24"/>
      <c r="L27" s="27">
        <v>113649.27</v>
      </c>
      <c r="M27" s="24"/>
      <c r="N27" s="28">
        <v>0</v>
      </c>
      <c r="O27" s="16"/>
      <c r="P27" s="23">
        <v>3687196.27</v>
      </c>
      <c r="Q27" s="24"/>
      <c r="R27" s="21"/>
      <c r="T27" s="27">
        <v>44849.493417358892</v>
      </c>
      <c r="U27" s="24"/>
      <c r="V27" s="27">
        <v>4644396.3818961456</v>
      </c>
      <c r="W27" s="24"/>
      <c r="X27" s="27">
        <v>148331.95598804127</v>
      </c>
      <c r="Y27" s="24"/>
      <c r="Z27" s="27">
        <v>51618.645000000004</v>
      </c>
      <c r="AA27" s="24"/>
      <c r="AB27" s="28">
        <v>0</v>
      </c>
      <c r="AC27" s="16"/>
      <c r="AD27" s="23">
        <v>4889196.4763015453</v>
      </c>
      <c r="AE27" s="24"/>
      <c r="AF27" s="21"/>
      <c r="AH27" s="27">
        <v>64955</v>
      </c>
      <c r="AI27" s="24"/>
      <c r="AJ27" s="27">
        <v>7703761</v>
      </c>
      <c r="AK27" s="24"/>
      <c r="AL27" s="27">
        <v>196556</v>
      </c>
      <c r="AM27" s="24"/>
      <c r="AN27" s="27">
        <v>102076.42</v>
      </c>
      <c r="AO27" s="24"/>
      <c r="AP27" s="28">
        <v>18969.439999999999</v>
      </c>
      <c r="AQ27" s="16"/>
      <c r="AR27" s="23">
        <v>8086317.8600000003</v>
      </c>
      <c r="AS27" s="24"/>
      <c r="AT27" s="21"/>
      <c r="AV27" s="29">
        <v>20105.506582641108</v>
      </c>
      <c r="AW27" s="30"/>
      <c r="AX27" s="29">
        <v>3059364.6181038544</v>
      </c>
      <c r="AY27" s="30"/>
      <c r="AZ27" s="29">
        <v>48224.044011958729</v>
      </c>
      <c r="BA27" s="30"/>
      <c r="BB27" s="29">
        <v>50457.774999999994</v>
      </c>
      <c r="BC27" s="30"/>
      <c r="BD27" s="29">
        <v>18969.439999999999</v>
      </c>
      <c r="BE27" s="30"/>
      <c r="BF27" s="29">
        <v>3197121.3836984551</v>
      </c>
      <c r="BG27" s="30"/>
    </row>
    <row r="28" spans="3:59">
      <c r="E28" s="26" t="s">
        <v>29</v>
      </c>
      <c r="F28" s="23">
        <v>158540.13</v>
      </c>
      <c r="G28" s="31"/>
      <c r="H28" s="23">
        <v>1204212.1299999999</v>
      </c>
      <c r="I28" s="31"/>
      <c r="J28" s="23">
        <v>49048.41</v>
      </c>
      <c r="K28" s="31"/>
      <c r="L28" s="23">
        <v>0</v>
      </c>
      <c r="M28" s="31"/>
      <c r="N28" s="32">
        <v>0</v>
      </c>
      <c r="O28" s="32"/>
      <c r="P28" s="23">
        <v>1411800.6699999997</v>
      </c>
      <c r="Q28" s="31"/>
      <c r="R28" s="21"/>
      <c r="T28" s="23">
        <v>28479.428320022897</v>
      </c>
      <c r="U28" s="31"/>
      <c r="V28" s="23">
        <v>2092122.3720742655</v>
      </c>
      <c r="W28" s="31"/>
      <c r="X28" s="23">
        <v>69395.646405921274</v>
      </c>
      <c r="Y28" s="31"/>
      <c r="Z28" s="23">
        <v>0</v>
      </c>
      <c r="AA28" s="31"/>
      <c r="AB28" s="32">
        <v>0</v>
      </c>
      <c r="AC28" s="32"/>
      <c r="AD28" s="23">
        <v>2189997.4468002096</v>
      </c>
      <c r="AE28" s="31"/>
      <c r="AF28" s="21"/>
      <c r="AH28" s="23">
        <v>48237.9</v>
      </c>
      <c r="AI28" s="31"/>
      <c r="AJ28" s="23">
        <v>4376703.08</v>
      </c>
      <c r="AK28" s="31"/>
      <c r="AL28" s="23">
        <v>126078.02</v>
      </c>
      <c r="AM28" s="31"/>
      <c r="AN28" s="23">
        <v>0</v>
      </c>
      <c r="AO28" s="31"/>
      <c r="AP28" s="32">
        <v>0</v>
      </c>
      <c r="AQ28" s="32"/>
      <c r="AR28" s="23">
        <v>4551019</v>
      </c>
      <c r="AS28" s="31"/>
      <c r="AT28" s="21"/>
      <c r="AV28" s="29">
        <v>19758.471679977105</v>
      </c>
      <c r="AW28" s="33"/>
      <c r="AX28" s="29">
        <v>2284580.7079257346</v>
      </c>
      <c r="AY28" s="33"/>
      <c r="AZ28" s="29">
        <v>56682.37359407873</v>
      </c>
      <c r="BA28" s="33"/>
      <c r="BB28" s="29">
        <v>0</v>
      </c>
      <c r="BC28" s="33"/>
      <c r="BD28" s="29">
        <v>0</v>
      </c>
      <c r="BE28" s="33"/>
      <c r="BF28" s="29">
        <v>2361021.5531997904</v>
      </c>
      <c r="BG28" s="33"/>
    </row>
    <row r="29" spans="3:59" ht="15">
      <c r="C29" s="16" t="s">
        <v>30</v>
      </c>
      <c r="E29" s="34" t="s">
        <v>31</v>
      </c>
      <c r="F29" s="35">
        <v>26147.870000000003</v>
      </c>
      <c r="G29" s="36">
        <v>0.85842139175257737</v>
      </c>
      <c r="H29" s="35">
        <v>1959441.87</v>
      </c>
      <c r="I29" s="36">
        <v>0.38063964327325295</v>
      </c>
      <c r="J29" s="35">
        <v>176156.59</v>
      </c>
      <c r="K29" s="36">
        <v>0.21779449834595144</v>
      </c>
      <c r="L29" s="35">
        <v>113649.27</v>
      </c>
      <c r="M29" s="36">
        <v>0</v>
      </c>
      <c r="N29" s="37">
        <v>0</v>
      </c>
      <c r="O29" s="36">
        <v>0</v>
      </c>
      <c r="P29" s="35">
        <v>2275395.6</v>
      </c>
      <c r="Q29" s="36">
        <v>0.38289273654532086</v>
      </c>
      <c r="R29" s="21"/>
      <c r="T29" s="35">
        <v>16370.065097335995</v>
      </c>
      <c r="U29" s="36">
        <v>0.63500000000000001</v>
      </c>
      <c r="V29" s="35">
        <v>2552274.0098218801</v>
      </c>
      <c r="W29" s="36">
        <v>0.45046163161898867</v>
      </c>
      <c r="X29" s="35">
        <v>78936.309582119997</v>
      </c>
      <c r="Y29" s="36">
        <v>0.46784016258449423</v>
      </c>
      <c r="Z29" s="35">
        <v>51618.645000000004</v>
      </c>
      <c r="AA29" s="36">
        <v>0</v>
      </c>
      <c r="AB29" s="37">
        <v>0</v>
      </c>
      <c r="AC29" s="36">
        <v>0</v>
      </c>
      <c r="AD29" s="35">
        <v>2699199.0295013362</v>
      </c>
      <c r="AE29" s="36">
        <v>0.4479258416828531</v>
      </c>
      <c r="AF29" s="21"/>
      <c r="AH29" s="35">
        <v>16717.099999999999</v>
      </c>
      <c r="AI29" s="36">
        <v>0.74263567084904936</v>
      </c>
      <c r="AJ29" s="35">
        <v>3327057.9199999999</v>
      </c>
      <c r="AK29" s="36">
        <v>0.5681255012973534</v>
      </c>
      <c r="AL29" s="35">
        <v>70477.98</v>
      </c>
      <c r="AM29" s="36">
        <v>0.64143562140051691</v>
      </c>
      <c r="AN29" s="35">
        <v>102076.42</v>
      </c>
      <c r="AO29" s="36">
        <v>0</v>
      </c>
      <c r="AP29" s="37">
        <v>18969.439999999999</v>
      </c>
      <c r="AQ29" s="36">
        <v>0</v>
      </c>
      <c r="AR29" s="35">
        <v>3535298.86</v>
      </c>
      <c r="AS29" s="36">
        <v>0.56280486109904171</v>
      </c>
      <c r="AT29" s="21"/>
      <c r="AV29" s="38">
        <v>347.03490266400331</v>
      </c>
      <c r="AW29" s="39">
        <v>10.763567084904935</v>
      </c>
      <c r="AX29" s="38">
        <v>774783.91017811978</v>
      </c>
      <c r="AY29" s="39">
        <v>11.766386967836473</v>
      </c>
      <c r="AZ29" s="38">
        <v>-8458.3295821200009</v>
      </c>
      <c r="BA29" s="39">
        <v>17.359545881602266</v>
      </c>
      <c r="BB29" s="38">
        <v>50457.774999999994</v>
      </c>
      <c r="BC29" s="39">
        <v>0</v>
      </c>
      <c r="BD29" s="38">
        <v>18969.439999999999</v>
      </c>
      <c r="BE29" s="39">
        <v>0</v>
      </c>
      <c r="BF29" s="38">
        <v>836099.83049866371</v>
      </c>
      <c r="BG29" s="39">
        <v>11.487901941618862</v>
      </c>
    </row>
    <row r="30" spans="3:59" hidden="1" outlineLevel="1">
      <c r="E30" s="40" t="s">
        <v>32</v>
      </c>
      <c r="F30" s="41"/>
      <c r="G30" s="42"/>
      <c r="H30" s="41"/>
      <c r="I30" s="42"/>
      <c r="J30" s="41"/>
      <c r="K30" s="42"/>
      <c r="L30" s="41"/>
      <c r="M30" s="42"/>
      <c r="N30" s="43"/>
      <c r="O30" s="43"/>
      <c r="P30" s="41"/>
      <c r="Q30" s="42"/>
      <c r="R30" s="21"/>
      <c r="T30" s="41"/>
      <c r="U30" s="42"/>
      <c r="V30" s="41"/>
      <c r="W30" s="42"/>
      <c r="X30" s="41"/>
      <c r="Y30" s="42"/>
      <c r="Z30" s="41"/>
      <c r="AA30" s="42"/>
      <c r="AB30" s="43"/>
      <c r="AC30" s="43"/>
      <c r="AD30" s="41"/>
      <c r="AE30" s="42"/>
      <c r="AF30" s="21"/>
      <c r="AH30" s="41"/>
      <c r="AI30" s="42"/>
      <c r="AJ30" s="41"/>
      <c r="AK30" s="42"/>
      <c r="AL30" s="41"/>
      <c r="AM30" s="42"/>
      <c r="AN30" s="41"/>
      <c r="AO30" s="42"/>
      <c r="AP30" s="43"/>
      <c r="AQ30" s="43"/>
      <c r="AR30" s="41"/>
      <c r="AS30" s="42"/>
      <c r="AT30" s="21"/>
      <c r="AV30" s="44"/>
      <c r="AW30" s="45"/>
      <c r="AX30" s="44"/>
      <c r="AY30" s="45"/>
      <c r="AZ30" s="44"/>
      <c r="BA30" s="45"/>
      <c r="BB30" s="44"/>
      <c r="BC30" s="45"/>
      <c r="BD30" s="44"/>
      <c r="BE30" s="45"/>
      <c r="BF30" s="44"/>
      <c r="BG30" s="45"/>
    </row>
    <row r="31" spans="3:59" hidden="1" outlineLevel="1">
      <c r="E31" s="40" t="s">
        <v>33</v>
      </c>
      <c r="F31" s="23"/>
      <c r="G31" s="31"/>
      <c r="H31" s="23"/>
      <c r="I31" s="31"/>
      <c r="J31" s="23"/>
      <c r="K31" s="31"/>
      <c r="L31" s="23"/>
      <c r="M31" s="31"/>
      <c r="N31" s="32"/>
      <c r="O31" s="32"/>
      <c r="P31" s="23"/>
      <c r="Q31" s="31"/>
      <c r="R31" s="21"/>
      <c r="T31" s="23"/>
      <c r="U31" s="31"/>
      <c r="V31" s="23"/>
      <c r="W31" s="31"/>
      <c r="X31" s="23"/>
      <c r="Y31" s="31"/>
      <c r="Z31" s="23"/>
      <c r="AA31" s="31"/>
      <c r="AB31" s="32"/>
      <c r="AC31" s="32"/>
      <c r="AD31" s="23"/>
      <c r="AE31" s="31"/>
      <c r="AF31" s="21"/>
      <c r="AH31" s="23"/>
      <c r="AI31" s="31"/>
      <c r="AJ31" s="23"/>
      <c r="AK31" s="31"/>
      <c r="AL31" s="23"/>
      <c r="AM31" s="31"/>
      <c r="AN31" s="23"/>
      <c r="AO31" s="31"/>
      <c r="AP31" s="32"/>
      <c r="AQ31" s="32"/>
      <c r="AR31" s="23"/>
      <c r="AS31" s="31"/>
      <c r="AT31" s="21"/>
      <c r="AV31" s="29"/>
      <c r="AW31" s="33"/>
      <c r="AX31" s="29"/>
      <c r="AY31" s="33"/>
      <c r="AZ31" s="29"/>
      <c r="BA31" s="33"/>
      <c r="BB31" s="29"/>
      <c r="BC31" s="33"/>
      <c r="BD31" s="29"/>
      <c r="BE31" s="33"/>
      <c r="BF31" s="29"/>
      <c r="BG31" s="33"/>
    </row>
    <row r="32" spans="3:59" ht="7.5" customHeight="1" collapsed="1">
      <c r="E32" s="40"/>
      <c r="F32" s="23"/>
      <c r="G32" s="31"/>
      <c r="H32" s="23"/>
      <c r="I32" s="31"/>
      <c r="J32" s="23"/>
      <c r="K32" s="31"/>
      <c r="L32" s="23"/>
      <c r="M32" s="31"/>
      <c r="N32" s="32"/>
      <c r="O32" s="32"/>
      <c r="P32" s="23"/>
      <c r="Q32" s="31"/>
      <c r="R32" s="21"/>
      <c r="T32" s="23"/>
      <c r="U32" s="31"/>
      <c r="V32" s="23"/>
      <c r="W32" s="31"/>
      <c r="X32" s="23"/>
      <c r="Y32" s="31"/>
      <c r="Z32" s="23"/>
      <c r="AA32" s="31"/>
      <c r="AB32" s="32"/>
      <c r="AC32" s="32"/>
      <c r="AD32" s="23"/>
      <c r="AE32" s="31"/>
      <c r="AF32" s="21"/>
      <c r="AH32" s="23"/>
      <c r="AI32" s="31"/>
      <c r="AJ32" s="23"/>
      <c r="AK32" s="31"/>
      <c r="AL32" s="23"/>
      <c r="AM32" s="31"/>
      <c r="AN32" s="23"/>
      <c r="AO32" s="31"/>
      <c r="AP32" s="32"/>
      <c r="AQ32" s="32"/>
      <c r="AR32" s="23"/>
      <c r="AS32" s="31"/>
      <c r="AT32" s="21"/>
      <c r="AV32" s="29"/>
      <c r="AW32" s="33"/>
      <c r="AX32" s="29"/>
      <c r="AY32" s="33"/>
      <c r="AZ32" s="29"/>
      <c r="BA32" s="33"/>
      <c r="BB32" s="29"/>
      <c r="BC32" s="33"/>
      <c r="BD32" s="29"/>
      <c r="BE32" s="33"/>
      <c r="BF32" s="29"/>
      <c r="BG32" s="33"/>
    </row>
    <row r="33" spans="1:61" s="50" customFormat="1">
      <c r="A33" s="46"/>
      <c r="B33" s="47"/>
      <c r="C33" s="48"/>
      <c r="D33" s="48"/>
      <c r="E33" s="40" t="s">
        <v>34</v>
      </c>
      <c r="F33" s="41" t="s">
        <v>35</v>
      </c>
      <c r="G33" s="42" t="s">
        <v>35</v>
      </c>
      <c r="H33" s="41" t="s">
        <v>35</v>
      </c>
      <c r="I33" s="42" t="s">
        <v>35</v>
      </c>
      <c r="J33" s="41" t="s">
        <v>35</v>
      </c>
      <c r="K33" s="42" t="s">
        <v>35</v>
      </c>
      <c r="L33" s="41" t="s">
        <v>35</v>
      </c>
      <c r="M33" s="42" t="s">
        <v>35</v>
      </c>
      <c r="N33" s="43" t="s">
        <v>35</v>
      </c>
      <c r="O33" s="43" t="s">
        <v>35</v>
      </c>
      <c r="P33" s="41" t="s">
        <v>35</v>
      </c>
      <c r="Q33" s="42" t="s">
        <v>35</v>
      </c>
      <c r="R33" s="49"/>
      <c r="T33" s="41"/>
      <c r="U33" s="51"/>
      <c r="V33" s="41"/>
      <c r="W33" s="51"/>
      <c r="X33" s="41"/>
      <c r="Y33" s="51"/>
      <c r="Z33" s="41"/>
      <c r="AA33" s="51"/>
      <c r="AB33" s="41"/>
      <c r="AC33" s="51"/>
      <c r="AD33" s="41"/>
      <c r="AE33" s="51"/>
      <c r="AF33" s="49"/>
      <c r="AH33" s="41">
        <v>347.03490266400331</v>
      </c>
      <c r="AI33" s="51">
        <v>2.1199359965922149E-2</v>
      </c>
      <c r="AJ33" s="41">
        <v>774783.91017811978</v>
      </c>
      <c r="AK33" s="51">
        <v>0.30356611680271395</v>
      </c>
      <c r="AL33" s="41">
        <v>-8458.3295821200009</v>
      </c>
      <c r="AM33" s="51">
        <v>-0.1071538513378375</v>
      </c>
      <c r="AN33" s="41">
        <v>50457.774999999994</v>
      </c>
      <c r="AO33" s="51">
        <v>0.97751064562039525</v>
      </c>
      <c r="AP33" s="41">
        <v>18969.439999999999</v>
      </c>
      <c r="AQ33" s="51">
        <v>0</v>
      </c>
      <c r="AR33" s="41">
        <v>836099.83049866371</v>
      </c>
      <c r="AS33" s="51">
        <v>0.30975849552418122</v>
      </c>
      <c r="AT33" s="49"/>
      <c r="AV33" s="44"/>
      <c r="AW33" s="52"/>
      <c r="AX33" s="44"/>
      <c r="AY33" s="52"/>
      <c r="AZ33" s="44"/>
      <c r="BA33" s="52"/>
      <c r="BB33" s="44"/>
      <c r="BC33" s="52"/>
      <c r="BD33" s="44"/>
      <c r="BE33" s="52"/>
      <c r="BF33" s="44"/>
      <c r="BG33" s="52"/>
    </row>
    <row r="34" spans="1:61" s="50" customFormat="1">
      <c r="A34" s="46"/>
      <c r="B34" s="47"/>
      <c r="C34" s="48"/>
      <c r="D34" s="48"/>
      <c r="E34" s="40" t="s">
        <v>36</v>
      </c>
      <c r="F34" s="41" t="s">
        <v>35</v>
      </c>
      <c r="G34" s="42" t="s">
        <v>35</v>
      </c>
      <c r="H34" s="41" t="s">
        <v>35</v>
      </c>
      <c r="I34" s="42" t="s">
        <v>35</v>
      </c>
      <c r="J34" s="41" t="s">
        <v>35</v>
      </c>
      <c r="K34" s="42" t="s">
        <v>35</v>
      </c>
      <c r="L34" s="41" t="s">
        <v>35</v>
      </c>
      <c r="M34" s="42" t="s">
        <v>35</v>
      </c>
      <c r="N34" s="43" t="s">
        <v>35</v>
      </c>
      <c r="O34" s="43" t="s">
        <v>35</v>
      </c>
      <c r="P34" s="41" t="s">
        <v>35</v>
      </c>
      <c r="Q34" s="42" t="s">
        <v>35</v>
      </c>
      <c r="R34" s="49"/>
      <c r="T34" s="41">
        <v>-9777.8049026640074</v>
      </c>
      <c r="U34" s="51">
        <v>-0.37394269218349363</v>
      </c>
      <c r="V34" s="41">
        <v>592832.13982188003</v>
      </c>
      <c r="W34" s="51">
        <v>0.30255153209616781</v>
      </c>
      <c r="X34" s="41">
        <v>-97220.28041788</v>
      </c>
      <c r="Y34" s="51">
        <v>-0.55189692544502589</v>
      </c>
      <c r="Z34" s="41">
        <v>-62030.625</v>
      </c>
      <c r="AA34" s="51">
        <v>-0.54580750936631617</v>
      </c>
      <c r="AB34" s="41">
        <v>0</v>
      </c>
      <c r="AC34" s="51">
        <v>0</v>
      </c>
      <c r="AD34" s="41">
        <v>423803.42950133607</v>
      </c>
      <c r="AE34" s="51">
        <v>0.18625483388529718</v>
      </c>
      <c r="AF34" s="49"/>
      <c r="AH34" s="41">
        <v>-9430.7700000000041</v>
      </c>
      <c r="AI34" s="51">
        <v>-0.36067067795579533</v>
      </c>
      <c r="AJ34" s="41">
        <v>1367616.0499999998</v>
      </c>
      <c r="AK34" s="51">
        <v>0.69796204263002704</v>
      </c>
      <c r="AL34" s="41">
        <v>-105678.61</v>
      </c>
      <c r="AM34" s="51">
        <v>-0.59991289567991757</v>
      </c>
      <c r="AN34" s="41">
        <v>-11572.850000000006</v>
      </c>
      <c r="AO34" s="51">
        <v>-0.10182951461104861</v>
      </c>
      <c r="AP34" s="41">
        <v>18969.439999999999</v>
      </c>
      <c r="AQ34" s="51">
        <v>0</v>
      </c>
      <c r="AR34" s="41">
        <v>1259903.2599999998</v>
      </c>
      <c r="AS34" s="51">
        <v>0.55370734653789411</v>
      </c>
      <c r="AT34" s="49"/>
      <c r="AV34" s="44"/>
      <c r="AW34" s="52"/>
      <c r="AX34" s="44"/>
      <c r="AY34" s="52"/>
      <c r="AZ34" s="44"/>
      <c r="BA34" s="52"/>
      <c r="BB34" s="44"/>
      <c r="BC34" s="52"/>
      <c r="BD34" s="44"/>
      <c r="BE34" s="52"/>
      <c r="BF34" s="44"/>
      <c r="BG34" s="52"/>
    </row>
    <row r="35" spans="1:61" ht="7.5" customHeight="1">
      <c r="E35" s="40"/>
      <c r="F35" s="23"/>
      <c r="G35" s="31"/>
      <c r="H35" s="23"/>
      <c r="I35" s="31"/>
      <c r="J35" s="23"/>
      <c r="K35" s="31"/>
      <c r="L35" s="23"/>
      <c r="M35" s="31"/>
      <c r="N35" s="32"/>
      <c r="O35" s="32"/>
      <c r="P35" s="23"/>
      <c r="Q35" s="31"/>
      <c r="R35" s="21"/>
      <c r="T35" s="23"/>
      <c r="U35" s="31"/>
      <c r="V35" s="23"/>
      <c r="W35" s="31"/>
      <c r="X35" s="23"/>
      <c r="Y35" s="31"/>
      <c r="Z35" s="23"/>
      <c r="AA35" s="31"/>
      <c r="AB35" s="32"/>
      <c r="AC35" s="32"/>
      <c r="AD35" s="23"/>
      <c r="AE35" s="31"/>
      <c r="AF35" s="21"/>
      <c r="AH35" s="23"/>
      <c r="AI35" s="31"/>
      <c r="AJ35" s="23"/>
      <c r="AK35" s="31"/>
      <c r="AL35" s="23"/>
      <c r="AM35" s="31"/>
      <c r="AN35" s="23"/>
      <c r="AO35" s="31"/>
      <c r="AP35" s="32"/>
      <c r="AQ35" s="32"/>
      <c r="AR35" s="23"/>
      <c r="AS35" s="31"/>
      <c r="AT35" s="21"/>
      <c r="AV35" s="29"/>
      <c r="AW35" s="33"/>
      <c r="AX35" s="29"/>
      <c r="AY35" s="33"/>
      <c r="AZ35" s="29"/>
      <c r="BA35" s="33"/>
      <c r="BB35" s="29"/>
      <c r="BC35" s="33"/>
      <c r="BD35" s="29"/>
      <c r="BE35" s="33"/>
      <c r="BF35" s="29"/>
      <c r="BG35" s="33"/>
    </row>
    <row r="36" spans="1:61">
      <c r="C36" s="16" t="s">
        <v>37</v>
      </c>
      <c r="E36" s="26" t="s">
        <v>38</v>
      </c>
      <c r="F36" s="23">
        <v>48345.74</v>
      </c>
      <c r="G36" s="53">
        <v>1.8489360701273179</v>
      </c>
      <c r="H36" s="23">
        <v>512368.18</v>
      </c>
      <c r="I36" s="53">
        <v>0.26148679776859107</v>
      </c>
      <c r="J36" s="23">
        <v>44754.850000000006</v>
      </c>
      <c r="K36" s="53">
        <v>0.25406287667126165</v>
      </c>
      <c r="L36" s="23">
        <v>0</v>
      </c>
      <c r="M36" s="53">
        <v>0</v>
      </c>
      <c r="N36" s="32">
        <v>44158.11</v>
      </c>
      <c r="O36" s="54">
        <v>0</v>
      </c>
      <c r="P36" s="23">
        <v>649626.88</v>
      </c>
      <c r="Q36" s="54">
        <v>0.28550063118694613</v>
      </c>
      <c r="R36" s="21"/>
      <c r="T36" s="23">
        <v>7871.8069422023573</v>
      </c>
      <c r="U36" s="53">
        <v>0.4808659522974888</v>
      </c>
      <c r="V36" s="23">
        <v>928920.59938729159</v>
      </c>
      <c r="W36" s="53">
        <v>0.36395802167500024</v>
      </c>
      <c r="X36" s="23">
        <v>28729.503073833755</v>
      </c>
      <c r="Y36" s="53">
        <v>0.36395802167500019</v>
      </c>
      <c r="Z36" s="23">
        <v>0</v>
      </c>
      <c r="AA36" s="53">
        <v>0</v>
      </c>
      <c r="AB36" s="32">
        <v>0</v>
      </c>
      <c r="AC36" s="54">
        <v>0</v>
      </c>
      <c r="AD36" s="23">
        <v>965521.90940332774</v>
      </c>
      <c r="AE36" s="54">
        <v>0.35770682296877648</v>
      </c>
      <c r="AF36" s="21"/>
      <c r="AH36" s="23">
        <v>14116.65</v>
      </c>
      <c r="AI36" s="53">
        <v>0.84444371332348322</v>
      </c>
      <c r="AJ36" s="23">
        <v>1627817.49</v>
      </c>
      <c r="AK36" s="53">
        <v>0.48926635157586917</v>
      </c>
      <c r="AL36" s="23">
        <v>42377.18</v>
      </c>
      <c r="AM36" s="53">
        <v>0.60128255662265007</v>
      </c>
      <c r="AN36" s="23">
        <v>0</v>
      </c>
      <c r="AO36" s="53">
        <v>0</v>
      </c>
      <c r="AP36" s="32">
        <v>0</v>
      </c>
      <c r="AQ36" s="54">
        <v>0</v>
      </c>
      <c r="AR36" s="23">
        <v>1684311.3199999998</v>
      </c>
      <c r="AS36" s="53">
        <v>0.47642685574820115</v>
      </c>
      <c r="AT36" s="21"/>
      <c r="AV36" s="29">
        <v>6244.8430577976424</v>
      </c>
      <c r="AW36" s="55">
        <v>36.357776102599445</v>
      </c>
      <c r="AX36" s="29">
        <v>698896.8906127084</v>
      </c>
      <c r="AY36" s="55">
        <v>12.530832990086893</v>
      </c>
      <c r="AZ36" s="29">
        <v>13647.676926166245</v>
      </c>
      <c r="BA36" s="55">
        <v>23.732453494764989</v>
      </c>
      <c r="BB36" s="29">
        <v>0</v>
      </c>
      <c r="BC36" s="56">
        <v>0</v>
      </c>
      <c r="BD36" s="29">
        <v>0</v>
      </c>
      <c r="BE36" s="55">
        <v>0</v>
      </c>
      <c r="BF36" s="29">
        <v>718789.4105966721</v>
      </c>
      <c r="BG36" s="55">
        <v>11.872003277942467</v>
      </c>
      <c r="BI36" s="57"/>
    </row>
    <row r="37" spans="1:61" hidden="1" outlineLevel="1">
      <c r="E37" s="40" t="s">
        <v>39</v>
      </c>
      <c r="F37" s="23"/>
      <c r="G37" s="31"/>
      <c r="H37" s="23"/>
      <c r="I37" s="31"/>
      <c r="J37" s="23"/>
      <c r="K37" s="31"/>
      <c r="L37" s="23"/>
      <c r="M37" s="31"/>
      <c r="N37" s="32"/>
      <c r="O37" s="32"/>
      <c r="P37" s="23"/>
      <c r="Q37" s="31"/>
      <c r="R37" s="21"/>
      <c r="T37" s="23"/>
      <c r="U37" s="31"/>
      <c r="V37" s="23"/>
      <c r="W37" s="31"/>
      <c r="X37" s="23"/>
      <c r="Y37" s="31"/>
      <c r="Z37" s="23"/>
      <c r="AA37" s="31"/>
      <c r="AB37" s="32"/>
      <c r="AC37" s="32"/>
      <c r="AD37" s="23"/>
      <c r="AE37" s="31"/>
      <c r="AF37" s="21"/>
      <c r="AH37" s="23"/>
      <c r="AI37" s="31"/>
      <c r="AJ37" s="23"/>
      <c r="AK37" s="31"/>
      <c r="AL37" s="23"/>
      <c r="AM37" s="31"/>
      <c r="AN37" s="23"/>
      <c r="AO37" s="31"/>
      <c r="AP37" s="32"/>
      <c r="AQ37" s="32"/>
      <c r="AR37" s="23"/>
      <c r="AS37" s="31"/>
      <c r="AT37" s="21"/>
      <c r="AV37" s="29">
        <v>0</v>
      </c>
      <c r="AW37" s="55">
        <v>0</v>
      </c>
      <c r="AX37" s="29">
        <v>0</v>
      </c>
      <c r="AY37" s="55">
        <v>0</v>
      </c>
      <c r="AZ37" s="29">
        <v>0</v>
      </c>
      <c r="BA37" s="55">
        <v>0</v>
      </c>
      <c r="BB37" s="29">
        <v>0</v>
      </c>
      <c r="BC37" s="33">
        <v>0</v>
      </c>
      <c r="BD37" s="29">
        <v>0</v>
      </c>
      <c r="BE37" s="55">
        <v>0</v>
      </c>
      <c r="BF37" s="29">
        <v>0</v>
      </c>
      <c r="BG37" s="55">
        <v>0</v>
      </c>
    </row>
    <row r="38" spans="1:61" hidden="1" outlineLevel="1">
      <c r="E38" s="40" t="s">
        <v>40</v>
      </c>
      <c r="F38" s="23"/>
      <c r="G38" s="31"/>
      <c r="H38" s="23"/>
      <c r="I38" s="31"/>
      <c r="J38" s="23"/>
      <c r="K38" s="31"/>
      <c r="L38" s="23"/>
      <c r="M38" s="31"/>
      <c r="N38" s="32"/>
      <c r="O38" s="32"/>
      <c r="P38" s="23"/>
      <c r="Q38" s="31"/>
      <c r="R38" s="21"/>
      <c r="T38" s="23"/>
      <c r="U38" s="31"/>
      <c r="V38" s="23"/>
      <c r="W38" s="31"/>
      <c r="X38" s="23"/>
      <c r="Y38" s="31"/>
      <c r="Z38" s="23"/>
      <c r="AA38" s="31"/>
      <c r="AB38" s="32"/>
      <c r="AC38" s="32"/>
      <c r="AD38" s="23"/>
      <c r="AE38" s="31"/>
      <c r="AF38" s="21"/>
      <c r="AH38" s="23"/>
      <c r="AI38" s="31"/>
      <c r="AJ38" s="23"/>
      <c r="AK38" s="31"/>
      <c r="AL38" s="23"/>
      <c r="AM38" s="31"/>
      <c r="AN38" s="23"/>
      <c r="AO38" s="31"/>
      <c r="AP38" s="32"/>
      <c r="AQ38" s="32"/>
      <c r="AR38" s="23"/>
      <c r="AS38" s="31"/>
      <c r="AT38" s="21"/>
      <c r="AV38" s="29">
        <v>0</v>
      </c>
      <c r="AW38" s="55">
        <v>0</v>
      </c>
      <c r="AX38" s="29">
        <v>0</v>
      </c>
      <c r="AY38" s="55">
        <v>0</v>
      </c>
      <c r="AZ38" s="29">
        <v>0</v>
      </c>
      <c r="BA38" s="55">
        <v>0</v>
      </c>
      <c r="BB38" s="29">
        <v>0</v>
      </c>
      <c r="BC38" s="33">
        <v>0</v>
      </c>
      <c r="BD38" s="29">
        <v>0</v>
      </c>
      <c r="BE38" s="55">
        <v>0</v>
      </c>
      <c r="BF38" s="29">
        <v>0</v>
      </c>
      <c r="BG38" s="55">
        <v>0</v>
      </c>
    </row>
    <row r="39" spans="1:61" s="50" customFormat="1" collapsed="1">
      <c r="A39" s="46"/>
      <c r="B39" s="47"/>
      <c r="C39" s="48"/>
      <c r="D39" s="48"/>
      <c r="E39" s="40" t="s">
        <v>41</v>
      </c>
      <c r="F39" s="58">
        <v>0.26176979554708479</v>
      </c>
      <c r="G39" s="59">
        <v>3.8201504413832534</v>
      </c>
      <c r="H39" s="58">
        <v>0.16195455634528932</v>
      </c>
      <c r="I39" s="59">
        <v>6.1745715746828784</v>
      </c>
      <c r="J39" s="58">
        <v>0.19872937989831491</v>
      </c>
      <c r="K39" s="59">
        <v>5.031968602285561</v>
      </c>
      <c r="L39" s="58">
        <v>0</v>
      </c>
      <c r="M39" s="59">
        <v>0</v>
      </c>
      <c r="N39" s="60">
        <v>0</v>
      </c>
      <c r="O39" s="61">
        <v>0</v>
      </c>
      <c r="P39" s="62">
        <v>0.17618451322635992</v>
      </c>
      <c r="Q39" s="61">
        <v>5.6758677688952774</v>
      </c>
      <c r="R39" s="49"/>
      <c r="T39" s="58">
        <v>0.17551607258858343</v>
      </c>
      <c r="U39" s="59">
        <v>5.6974839127356693</v>
      </c>
      <c r="V39" s="58">
        <v>0.20000889739046038</v>
      </c>
      <c r="W39" s="59">
        <v>4.9997775751334954</v>
      </c>
      <c r="X39" s="58">
        <v>0.19368384164063723</v>
      </c>
      <c r="Y39" s="59">
        <v>5.1630533116717556</v>
      </c>
      <c r="Z39" s="58">
        <v>0</v>
      </c>
      <c r="AA39" s="63">
        <v>0</v>
      </c>
      <c r="AB39" s="60">
        <v>0</v>
      </c>
      <c r="AC39" s="61">
        <v>0</v>
      </c>
      <c r="AD39" s="62">
        <v>0.19748069321478795</v>
      </c>
      <c r="AE39" s="61">
        <v>5.0637861540842364</v>
      </c>
      <c r="AF39" s="49"/>
      <c r="AH39" s="58">
        <v>0.21732968978523592</v>
      </c>
      <c r="AI39" s="59">
        <v>4.601304133771114</v>
      </c>
      <c r="AJ39" s="58">
        <v>0.21130166031890138</v>
      </c>
      <c r="AK39" s="59">
        <v>4.7325704799989587</v>
      </c>
      <c r="AL39" s="58">
        <v>0.21559850627810903</v>
      </c>
      <c r="AM39" s="59">
        <v>4.6382510587065964</v>
      </c>
      <c r="AN39" s="58">
        <v>0</v>
      </c>
      <c r="AO39" s="59">
        <v>0</v>
      </c>
      <c r="AP39" s="60">
        <v>0</v>
      </c>
      <c r="AQ39" s="61">
        <v>0</v>
      </c>
      <c r="AR39" s="62">
        <v>0.20829150537498162</v>
      </c>
      <c r="AS39" s="59">
        <v>4.8009639096886199</v>
      </c>
      <c r="AT39" s="49"/>
      <c r="AV39" s="64">
        <v>4.1813617196652499</v>
      </c>
      <c r="AW39" s="65">
        <v>-1.0961797789645553</v>
      </c>
      <c r="AX39" s="64">
        <v>1.1292762928441002</v>
      </c>
      <c r="AY39" s="65">
        <v>-0.26720709513453667</v>
      </c>
      <c r="AZ39" s="64">
        <v>2.1914664637471799</v>
      </c>
      <c r="BA39" s="65">
        <v>-0.52480225296515925</v>
      </c>
      <c r="BB39" s="66">
        <v>0</v>
      </c>
      <c r="BC39" s="65">
        <v>0</v>
      </c>
      <c r="BD39" s="64">
        <v>0</v>
      </c>
      <c r="BE39" s="65">
        <v>0</v>
      </c>
      <c r="BF39" s="64">
        <v>1.0810812160193666</v>
      </c>
      <c r="BG39" s="65">
        <v>-0.26282224439561652</v>
      </c>
    </row>
    <row r="40" spans="1:61" ht="15">
      <c r="E40" s="34" t="s">
        <v>42</v>
      </c>
      <c r="F40" s="35">
        <v>-22197.869999999995</v>
      </c>
      <c r="G40" s="36">
        <v>-0.84893607012731798</v>
      </c>
      <c r="H40" s="35">
        <v>1447073.6900000002</v>
      </c>
      <c r="I40" s="36">
        <v>0.73851320223140893</v>
      </c>
      <c r="J40" s="35">
        <v>131401.74</v>
      </c>
      <c r="K40" s="36">
        <v>0.74593712332873829</v>
      </c>
      <c r="L40" s="35">
        <v>113649.27</v>
      </c>
      <c r="M40" s="36">
        <v>1</v>
      </c>
      <c r="N40" s="37">
        <v>-44158.11</v>
      </c>
      <c r="O40" s="36">
        <v>0</v>
      </c>
      <c r="P40" s="35">
        <v>1625768.7200000002</v>
      </c>
      <c r="Q40" s="36">
        <v>0.71449936881305398</v>
      </c>
      <c r="R40" s="21"/>
      <c r="T40" s="35">
        <v>8498.258155133637</v>
      </c>
      <c r="U40" s="36">
        <v>0.51913404770251115</v>
      </c>
      <c r="V40" s="35">
        <v>1623353.4104345886</v>
      </c>
      <c r="W40" s="36">
        <v>0.63604197832499976</v>
      </c>
      <c r="X40" s="35">
        <v>50206.806508286245</v>
      </c>
      <c r="Y40" s="36">
        <v>0.63604197832499987</v>
      </c>
      <c r="Z40" s="35">
        <v>51618.645000000004</v>
      </c>
      <c r="AA40" s="36">
        <v>1</v>
      </c>
      <c r="AB40" s="37">
        <v>0</v>
      </c>
      <c r="AC40" s="36">
        <v>0</v>
      </c>
      <c r="AD40" s="35">
        <v>1733677.1200980083</v>
      </c>
      <c r="AE40" s="36">
        <v>0.64229317703122346</v>
      </c>
      <c r="AF40" s="21"/>
      <c r="AH40" s="35">
        <v>2600.4499999999989</v>
      </c>
      <c r="AI40" s="36">
        <v>0.1555562866765168</v>
      </c>
      <c r="AJ40" s="35">
        <v>1699240.43</v>
      </c>
      <c r="AK40" s="36">
        <v>0.51073364842413083</v>
      </c>
      <c r="AL40" s="35">
        <v>28100.799999999996</v>
      </c>
      <c r="AM40" s="36">
        <v>0.39871744337734988</v>
      </c>
      <c r="AN40" s="35">
        <v>102076.42</v>
      </c>
      <c r="AO40" s="36">
        <v>1</v>
      </c>
      <c r="AP40" s="37">
        <v>18969.439999999999</v>
      </c>
      <c r="AQ40" s="36">
        <v>1</v>
      </c>
      <c r="AR40" s="35">
        <v>1850987.54</v>
      </c>
      <c r="AS40" s="36">
        <v>0.52357314425179891</v>
      </c>
      <c r="AT40" s="21"/>
      <c r="AV40" s="38">
        <v>-5897.8081551336381</v>
      </c>
      <c r="AW40" s="39">
        <v>-36.357776102599438</v>
      </c>
      <c r="AX40" s="38">
        <v>75887.019565411378</v>
      </c>
      <c r="AY40" s="39">
        <v>-12.530832990086893</v>
      </c>
      <c r="AZ40" s="38">
        <v>-22106.006508286249</v>
      </c>
      <c r="BA40" s="39">
        <v>-23.732453494765</v>
      </c>
      <c r="BB40" s="38">
        <v>50457.774999999994</v>
      </c>
      <c r="BC40" s="39">
        <v>0</v>
      </c>
      <c r="BD40" s="38">
        <v>18969.439999999999</v>
      </c>
      <c r="BE40" s="39">
        <v>100</v>
      </c>
      <c r="BF40" s="38">
        <v>117310.41990199173</v>
      </c>
      <c r="BG40" s="39">
        <v>-11.872003277942456</v>
      </c>
    </row>
    <row r="41" spans="1:61">
      <c r="E41" s="16"/>
      <c r="F41" s="23"/>
      <c r="G41" s="31"/>
      <c r="H41" s="23"/>
      <c r="I41" s="31"/>
      <c r="J41" s="23"/>
      <c r="K41" s="31"/>
      <c r="L41" s="23"/>
      <c r="M41" s="31"/>
      <c r="N41" s="32"/>
      <c r="O41" s="32"/>
      <c r="P41" s="23"/>
      <c r="Q41" s="31"/>
      <c r="R41" s="21"/>
      <c r="T41" s="23"/>
      <c r="U41" s="31"/>
      <c r="V41" s="23"/>
      <c r="W41" s="31"/>
      <c r="X41" s="23"/>
      <c r="Y41" s="31"/>
      <c r="Z41" s="23"/>
      <c r="AA41" s="31"/>
      <c r="AB41" s="32"/>
      <c r="AC41" s="32"/>
      <c r="AD41" s="23"/>
      <c r="AE41" s="31"/>
      <c r="AF41" s="21"/>
      <c r="AH41" s="23"/>
      <c r="AI41" s="31"/>
      <c r="AJ41" s="23"/>
      <c r="AK41" s="31"/>
      <c r="AL41" s="23"/>
      <c r="AM41" s="31"/>
      <c r="AN41" s="23"/>
      <c r="AO41" s="31"/>
      <c r="AP41" s="32"/>
      <c r="AQ41" s="32"/>
      <c r="AR41" s="23"/>
      <c r="AS41" s="31"/>
      <c r="AT41" s="21"/>
      <c r="AV41" s="29"/>
      <c r="AW41" s="55"/>
      <c r="AX41" s="29"/>
      <c r="AY41" s="55"/>
      <c r="AZ41" s="29"/>
      <c r="BA41" s="55"/>
      <c r="BB41" s="29"/>
      <c r="BC41" s="55"/>
      <c r="BD41" s="29"/>
      <c r="BE41" s="55"/>
      <c r="BF41" s="29"/>
      <c r="BG41" s="55"/>
    </row>
    <row r="42" spans="1:61" ht="14.65" customHeight="1">
      <c r="E42" s="67" t="s">
        <v>43</v>
      </c>
      <c r="F42" s="23"/>
      <c r="G42" s="53"/>
      <c r="H42" s="23"/>
      <c r="I42" s="53"/>
      <c r="J42" s="23"/>
      <c r="K42" s="53"/>
      <c r="L42" s="23"/>
      <c r="M42" s="53"/>
      <c r="N42" s="32"/>
      <c r="O42" s="54"/>
      <c r="P42" s="23"/>
      <c r="Q42" s="54"/>
      <c r="R42" s="21"/>
      <c r="T42" s="23"/>
      <c r="U42" s="53"/>
      <c r="V42" s="23"/>
      <c r="W42" s="53"/>
      <c r="X42" s="23"/>
      <c r="Y42" s="53"/>
      <c r="Z42" s="23"/>
      <c r="AA42" s="53"/>
      <c r="AB42" s="32"/>
      <c r="AC42" s="54"/>
      <c r="AD42" s="23"/>
      <c r="AE42" s="54"/>
      <c r="AF42" s="21"/>
      <c r="AH42" s="23"/>
      <c r="AI42" s="53"/>
      <c r="AJ42" s="23"/>
      <c r="AK42" s="53"/>
      <c r="AL42" s="23"/>
      <c r="AM42" s="53"/>
      <c r="AN42" s="23"/>
      <c r="AO42" s="53"/>
      <c r="AP42" s="32"/>
      <c r="AQ42" s="54"/>
      <c r="AR42" s="23"/>
      <c r="AS42" s="53"/>
      <c r="AT42" s="21"/>
      <c r="AV42" s="29"/>
      <c r="AW42" s="55"/>
      <c r="AX42" s="29"/>
      <c r="AY42" s="55"/>
      <c r="AZ42" s="29"/>
      <c r="BA42" s="55"/>
      <c r="BB42" s="29"/>
      <c r="BC42" s="55"/>
      <c r="BD42" s="29"/>
      <c r="BE42" s="55"/>
      <c r="BF42" s="29"/>
      <c r="BG42" s="55"/>
    </row>
    <row r="43" spans="1:61">
      <c r="E43" s="68" t="s">
        <v>44</v>
      </c>
      <c r="F43" s="23">
        <v>4650.4429999999938</v>
      </c>
      <c r="G43" s="53">
        <v>0.17785169499465897</v>
      </c>
      <c r="H43" s="23">
        <v>179434.48399999997</v>
      </c>
      <c r="I43" s="53">
        <v>9.1574282833917373E-2</v>
      </c>
      <c r="J43" s="23">
        <v>12825.992999999995</v>
      </c>
      <c r="K43" s="53">
        <v>7.281017985191468E-2</v>
      </c>
      <c r="L43" s="23">
        <v>0</v>
      </c>
      <c r="M43" s="53">
        <v>0</v>
      </c>
      <c r="N43" s="32">
        <v>0</v>
      </c>
      <c r="O43" s="54">
        <v>0</v>
      </c>
      <c r="P43" s="23">
        <v>196910.91999999995</v>
      </c>
      <c r="Q43" s="54">
        <v>8.6539202238063551E-2</v>
      </c>
      <c r="R43" s="21"/>
      <c r="T43" s="23">
        <v>19205.959252853994</v>
      </c>
      <c r="U43" s="53">
        <v>1.1732365838899139</v>
      </c>
      <c r="V43" s="23">
        <v>212893.81624685141</v>
      </c>
      <c r="W43" s="53">
        <v>8.3413385642597593E-2</v>
      </c>
      <c r="X43" s="23">
        <v>25062.270877975032</v>
      </c>
      <c r="Y43" s="53">
        <v>0.31749990607176715</v>
      </c>
      <c r="Z43" s="23">
        <v>0</v>
      </c>
      <c r="AA43" s="53">
        <v>0</v>
      </c>
      <c r="AB43" s="32">
        <v>0</v>
      </c>
      <c r="AC43" s="54">
        <v>0</v>
      </c>
      <c r="AD43" s="23">
        <v>257162.04637768044</v>
      </c>
      <c r="AE43" s="54">
        <v>9.52734657826214E-2</v>
      </c>
      <c r="AF43" s="21"/>
      <c r="AH43" s="23">
        <v>5578.8700000000008</v>
      </c>
      <c r="AI43" s="53">
        <v>0.33372235615028928</v>
      </c>
      <c r="AJ43" s="23">
        <v>562928.23</v>
      </c>
      <c r="AK43" s="53">
        <v>0.16919700333921447</v>
      </c>
      <c r="AL43" s="23">
        <v>9408.73</v>
      </c>
      <c r="AM43" s="53">
        <v>0.13349886021137383</v>
      </c>
      <c r="AN43" s="23">
        <v>0</v>
      </c>
      <c r="AO43" s="53">
        <v>0</v>
      </c>
      <c r="AP43" s="32">
        <v>0</v>
      </c>
      <c r="AQ43" s="54">
        <v>0</v>
      </c>
      <c r="AR43" s="23">
        <v>577915.82999999996</v>
      </c>
      <c r="AS43" s="53">
        <v>0.16347014860293876</v>
      </c>
      <c r="AT43" s="21"/>
      <c r="AV43" s="29">
        <v>-13627.089252853993</v>
      </c>
      <c r="AW43" s="55">
        <v>-83.951422773962463</v>
      </c>
      <c r="AX43" s="29">
        <v>350034.41375314858</v>
      </c>
      <c r="AY43" s="55">
        <v>8.5783617696616883</v>
      </c>
      <c r="AZ43" s="29">
        <v>-15653.540877975032</v>
      </c>
      <c r="BA43" s="55">
        <v>-18.40010458603933</v>
      </c>
      <c r="BB43" s="29">
        <v>0</v>
      </c>
      <c r="BC43" s="55">
        <v>0</v>
      </c>
      <c r="BD43" s="29">
        <v>0</v>
      </c>
      <c r="BE43" s="55">
        <v>0</v>
      </c>
      <c r="BF43" s="29">
        <v>320753.78362231952</v>
      </c>
      <c r="BG43" s="55">
        <v>6.8196682820317367</v>
      </c>
      <c r="BH43" s="57"/>
    </row>
    <row r="44" spans="1:61" outlineLevel="1">
      <c r="B44" s="26" t="s">
        <v>45</v>
      </c>
      <c r="C44" s="16" t="s">
        <v>46</v>
      </c>
      <c r="E44" s="69" t="s">
        <v>45</v>
      </c>
      <c r="F44" s="27">
        <v>-78.417000000006553</v>
      </c>
      <c r="G44" s="53">
        <v>-2.9989823262853359E-3</v>
      </c>
      <c r="H44" s="27">
        <v>107773.30399999997</v>
      </c>
      <c r="I44" s="53">
        <v>5.5002041984537141E-2</v>
      </c>
      <c r="J44" s="27">
        <v>6688.6329999999934</v>
      </c>
      <c r="K44" s="53">
        <v>3.796981424311173E-2</v>
      </c>
      <c r="L44" s="27">
        <v>0</v>
      </c>
      <c r="M44" s="53">
        <v>0</v>
      </c>
      <c r="N44" s="27">
        <v>0</v>
      </c>
      <c r="O44" s="54">
        <v>0</v>
      </c>
      <c r="P44" s="23">
        <v>114383.51999999996</v>
      </c>
      <c r="Q44" s="54">
        <v>5.0269728920984094E-2</v>
      </c>
      <c r="R44" s="21"/>
      <c r="T44" s="27">
        <v>1149.7972004641251</v>
      </c>
      <c r="U44" s="53">
        <v>7.0237790358649146E-2</v>
      </c>
      <c r="V44" s="27">
        <v>103481.74804177126</v>
      </c>
      <c r="W44" s="53">
        <v>4.0544920977741386E-2</v>
      </c>
      <c r="X44" s="27">
        <v>10348.174804177126</v>
      </c>
      <c r="Y44" s="53">
        <v>0.13109524449469714</v>
      </c>
      <c r="Z44" s="27">
        <v>0</v>
      </c>
      <c r="AA44" s="53">
        <v>0</v>
      </c>
      <c r="AB44" s="27">
        <v>0</v>
      </c>
      <c r="AC44" s="54">
        <v>0</v>
      </c>
      <c r="AD44" s="23">
        <v>114979.72004641251</v>
      </c>
      <c r="AE44" s="54">
        <v>4.2597718356343087E-2</v>
      </c>
      <c r="AF44" s="21"/>
      <c r="AH44" s="23">
        <v>-648.16000000000008</v>
      </c>
      <c r="AI44" s="53">
        <v>-3.8772275095560839E-2</v>
      </c>
      <c r="AJ44" s="72">
        <v>335853.88</v>
      </c>
      <c r="AK44" s="107">
        <v>0.10094620775342558</v>
      </c>
      <c r="AL44" s="23">
        <v>1317.65</v>
      </c>
      <c r="AM44" s="53">
        <v>1.8695910410599172E-2</v>
      </c>
      <c r="AN44" s="23">
        <v>0</v>
      </c>
      <c r="AO44" s="53">
        <v>0</v>
      </c>
      <c r="AP44" s="32">
        <v>0</v>
      </c>
      <c r="AQ44" s="54">
        <v>0</v>
      </c>
      <c r="AR44" s="23">
        <v>336523.37000000005</v>
      </c>
      <c r="AS44" s="53">
        <v>9.5189511078562689E-2</v>
      </c>
      <c r="AT44" s="21"/>
      <c r="AV44" s="29">
        <v>-1797.9572004641252</v>
      </c>
      <c r="AW44" s="55">
        <v>-10.901006545421</v>
      </c>
      <c r="AX44" s="29">
        <v>232372.13195822874</v>
      </c>
      <c r="AY44" s="55">
        <v>6.0401286775684193</v>
      </c>
      <c r="AZ44" s="29">
        <v>-9030.5248041771265</v>
      </c>
      <c r="BA44" s="55">
        <v>-11.239933408409797</v>
      </c>
      <c r="BB44" s="29">
        <v>0</v>
      </c>
      <c r="BC44" s="55">
        <v>0</v>
      </c>
      <c r="BD44" s="29">
        <v>0</v>
      </c>
      <c r="BE44" s="55">
        <v>0</v>
      </c>
      <c r="BF44" s="29">
        <v>221543.64995358756</v>
      </c>
      <c r="BG44" s="55">
        <v>5.2591792722219601</v>
      </c>
      <c r="BH44" s="57"/>
    </row>
    <row r="45" spans="1:61" outlineLevel="1">
      <c r="B45" s="26" t="s">
        <v>47</v>
      </c>
      <c r="E45" s="69" t="s">
        <v>47</v>
      </c>
      <c r="F45" s="27">
        <v>237.05</v>
      </c>
      <c r="G45" s="53">
        <v>9.0657479940048653E-3</v>
      </c>
      <c r="H45" s="27">
        <v>18685.650000000001</v>
      </c>
      <c r="I45" s="53">
        <v>9.5362104311877346E-3</v>
      </c>
      <c r="J45" s="27">
        <v>1777.97</v>
      </c>
      <c r="K45" s="53">
        <v>1.0093122261279014E-2</v>
      </c>
      <c r="L45" s="27">
        <v>0</v>
      </c>
      <c r="M45" s="53">
        <v>0</v>
      </c>
      <c r="N45" s="27">
        <v>0</v>
      </c>
      <c r="O45" s="54">
        <v>0</v>
      </c>
      <c r="P45" s="23">
        <v>20700.670000000002</v>
      </c>
      <c r="Q45" s="54">
        <v>9.0976136193635961E-3</v>
      </c>
      <c r="R45" s="21"/>
      <c r="T45" s="27">
        <v>10071.344064512798</v>
      </c>
      <c r="U45" s="53">
        <v>0.61522932282974074</v>
      </c>
      <c r="V45" s="27">
        <v>38955.165143255756</v>
      </c>
      <c r="W45" s="53">
        <v>1.5262924354260217E-2</v>
      </c>
      <c r="X45" s="27">
        <v>2482.1899507960866</v>
      </c>
      <c r="Y45" s="53">
        <v>3.1445477549387889E-2</v>
      </c>
      <c r="Z45" s="27">
        <v>0</v>
      </c>
      <c r="AA45" s="53">
        <v>0</v>
      </c>
      <c r="AB45" s="27">
        <v>0</v>
      </c>
      <c r="AC45" s="54">
        <v>0</v>
      </c>
      <c r="AD45" s="23">
        <v>51508.699158564639</v>
      </c>
      <c r="AE45" s="54">
        <v>1.9082957053404327E-2</v>
      </c>
      <c r="AF45" s="21"/>
      <c r="AH45" s="23">
        <v>4649.76</v>
      </c>
      <c r="AI45" s="53">
        <v>0.27814393644830748</v>
      </c>
      <c r="AJ45" s="23">
        <v>38313.919999999998</v>
      </c>
      <c r="AK45" s="53">
        <v>1.1515856026936855E-2</v>
      </c>
      <c r="AL45" s="23">
        <v>933.29</v>
      </c>
      <c r="AM45" s="53">
        <v>1.3242292131528175E-2</v>
      </c>
      <c r="AN45" s="23">
        <v>0</v>
      </c>
      <c r="AO45" s="53">
        <v>0</v>
      </c>
      <c r="AP45" s="32">
        <v>0</v>
      </c>
      <c r="AQ45" s="54">
        <v>0</v>
      </c>
      <c r="AR45" s="23">
        <v>43896.97</v>
      </c>
      <c r="AS45" s="53">
        <v>1.2416763543436326E-2</v>
      </c>
      <c r="AT45" s="21"/>
      <c r="AV45" s="29">
        <v>-5421.5840645127973</v>
      </c>
      <c r="AW45" s="55">
        <v>-33.708538638143324</v>
      </c>
      <c r="AX45" s="29">
        <v>-641.24514325575728</v>
      </c>
      <c r="AY45" s="55">
        <v>-0.37470683273233618</v>
      </c>
      <c r="AZ45" s="29">
        <v>-1548.8999507960866</v>
      </c>
      <c r="BA45" s="55">
        <v>-1.8203185417859715</v>
      </c>
      <c r="BB45" s="29">
        <v>0</v>
      </c>
      <c r="BC45" s="55">
        <v>0</v>
      </c>
      <c r="BD45" s="29">
        <v>0</v>
      </c>
      <c r="BE45" s="55">
        <v>0</v>
      </c>
      <c r="BF45" s="29">
        <v>-7611.7291585646381</v>
      </c>
      <c r="BG45" s="55">
        <v>-0.66661935099680014</v>
      </c>
      <c r="BH45" s="57"/>
    </row>
    <row r="46" spans="1:61" outlineLevel="1">
      <c r="B46" s="26" t="s">
        <v>48</v>
      </c>
      <c r="E46" s="69" t="s">
        <v>48</v>
      </c>
      <c r="F46" s="27">
        <v>4491.8100000000004</v>
      </c>
      <c r="G46" s="53">
        <v>0.17178492932693945</v>
      </c>
      <c r="H46" s="27">
        <v>52975.53</v>
      </c>
      <c r="I46" s="53">
        <v>2.7036030418192501E-2</v>
      </c>
      <c r="J46" s="27">
        <v>4359.3900000000003</v>
      </c>
      <c r="K46" s="53">
        <v>2.4747243347523928E-2</v>
      </c>
      <c r="L46" s="27">
        <v>0</v>
      </c>
      <c r="M46" s="53">
        <v>0</v>
      </c>
      <c r="N46" s="27">
        <v>0</v>
      </c>
      <c r="O46" s="54">
        <v>0</v>
      </c>
      <c r="P46" s="23">
        <v>61826.729999999996</v>
      </c>
      <c r="Q46" s="54">
        <v>2.7171859697715857E-2</v>
      </c>
      <c r="R46" s="21"/>
      <c r="T46" s="27">
        <v>7984.8179878770734</v>
      </c>
      <c r="U46" s="53">
        <v>0.48776947070152421</v>
      </c>
      <c r="V46" s="27">
        <v>70456.9030618244</v>
      </c>
      <c r="W46" s="53">
        <v>2.7605540310595998E-2</v>
      </c>
      <c r="X46" s="27">
        <v>12231.906123001821</v>
      </c>
      <c r="Y46" s="53">
        <v>0.15495918402768213</v>
      </c>
      <c r="Z46" s="27">
        <v>0</v>
      </c>
      <c r="AA46" s="53">
        <v>0</v>
      </c>
      <c r="AB46" s="27">
        <v>0</v>
      </c>
      <c r="AC46" s="54">
        <v>0</v>
      </c>
      <c r="AD46" s="23">
        <v>90673.627172703302</v>
      </c>
      <c r="AE46" s="54">
        <v>3.3592790372873993E-2</v>
      </c>
      <c r="AF46" s="21"/>
      <c r="AH46" s="23">
        <v>1577.27</v>
      </c>
      <c r="AI46" s="53">
        <v>9.4350694797542642E-2</v>
      </c>
      <c r="AJ46" s="72">
        <v>188760.43</v>
      </c>
      <c r="AK46" s="107">
        <v>5.6734939558852046E-2</v>
      </c>
      <c r="AL46" s="23">
        <v>7157.79</v>
      </c>
      <c r="AM46" s="53">
        <v>0.10156065766924649</v>
      </c>
      <c r="AN46" s="23">
        <v>0</v>
      </c>
      <c r="AO46" s="53">
        <v>0</v>
      </c>
      <c r="AP46" s="32">
        <v>0</v>
      </c>
      <c r="AQ46" s="54">
        <v>0</v>
      </c>
      <c r="AR46" s="23">
        <v>197495.49</v>
      </c>
      <c r="AS46" s="53">
        <v>5.5863873980939761E-2</v>
      </c>
      <c r="AT46" s="21"/>
      <c r="AV46" s="29">
        <v>-6407.547987877073</v>
      </c>
      <c r="AW46" s="55">
        <v>-39.341877590398155</v>
      </c>
      <c r="AX46" s="29">
        <v>118303.52693817559</v>
      </c>
      <c r="AY46" s="55">
        <v>2.9129399248256047</v>
      </c>
      <c r="AZ46" s="29">
        <v>-5074.1161230018215</v>
      </c>
      <c r="BA46" s="55">
        <v>-5.3398526358435641</v>
      </c>
      <c r="BB46" s="29">
        <v>0</v>
      </c>
      <c r="BC46" s="55">
        <v>0</v>
      </c>
      <c r="BD46" s="29">
        <v>0</v>
      </c>
      <c r="BE46" s="55">
        <v>0</v>
      </c>
      <c r="BF46" s="29">
        <v>106821.86282729669</v>
      </c>
      <c r="BG46" s="55">
        <v>2.2271083608065769</v>
      </c>
      <c r="BH46" s="57"/>
    </row>
    <row r="47" spans="1:61">
      <c r="B47" s="26" t="s">
        <v>49</v>
      </c>
      <c r="C47" s="16" t="s">
        <v>50</v>
      </c>
      <c r="E47" s="68" t="s">
        <v>51</v>
      </c>
      <c r="F47" s="23">
        <v>1398.96</v>
      </c>
      <c r="G47" s="53">
        <v>5.3501872236629597E-2</v>
      </c>
      <c r="H47" s="23">
        <v>77230.81</v>
      </c>
      <c r="I47" s="53">
        <v>3.9414698227306942E-2</v>
      </c>
      <c r="J47" s="23">
        <v>5992.2000000000007</v>
      </c>
      <c r="K47" s="53">
        <v>3.4016326042641952E-2</v>
      </c>
      <c r="L47" s="23">
        <v>0</v>
      </c>
      <c r="M47" s="53">
        <v>0</v>
      </c>
      <c r="N47" s="32">
        <v>0</v>
      </c>
      <c r="O47" s="54">
        <v>0</v>
      </c>
      <c r="P47" s="23">
        <v>84621.97</v>
      </c>
      <c r="Q47" s="54">
        <v>3.7190003355899955E-2</v>
      </c>
      <c r="R47" s="21"/>
      <c r="T47" s="23">
        <v>6683.1515985026399</v>
      </c>
      <c r="U47" s="53">
        <v>0.40825443019100954</v>
      </c>
      <c r="V47" s="23">
        <v>94230.832512760389</v>
      </c>
      <c r="W47" s="53">
        <v>3.6920343250816022E-2</v>
      </c>
      <c r="X47" s="23">
        <v>12864.836941148995</v>
      </c>
      <c r="Y47" s="53">
        <v>0.16297743090922295</v>
      </c>
      <c r="Z47" s="23">
        <v>0</v>
      </c>
      <c r="AA47" s="53">
        <v>0</v>
      </c>
      <c r="AB47" s="23">
        <v>0</v>
      </c>
      <c r="AC47" s="54">
        <v>0</v>
      </c>
      <c r="AD47" s="23">
        <v>113778.82105241202</v>
      </c>
      <c r="AE47" s="54">
        <v>4.2152808966233253E-2</v>
      </c>
      <c r="AF47" s="21"/>
      <c r="AH47" s="23">
        <v>1451.8200000000002</v>
      </c>
      <c r="AI47" s="53">
        <v>8.6846402785172083E-2</v>
      </c>
      <c r="AJ47" s="23">
        <v>159815.63999999998</v>
      </c>
      <c r="AK47" s="53">
        <v>4.8035124077431143E-2</v>
      </c>
      <c r="AL47" s="23">
        <v>5901.2199999999993</v>
      </c>
      <c r="AM47" s="53">
        <v>8.3731400928346689E-2</v>
      </c>
      <c r="AN47" s="23">
        <v>0</v>
      </c>
      <c r="AO47" s="53">
        <v>0</v>
      </c>
      <c r="AP47" s="32">
        <v>0</v>
      </c>
      <c r="AQ47" s="54">
        <v>0</v>
      </c>
      <c r="AR47" s="23">
        <v>167168.68</v>
      </c>
      <c r="AS47" s="53">
        <v>4.7285586486456199E-2</v>
      </c>
      <c r="AT47" s="21"/>
      <c r="AV47" s="29">
        <v>-5231.3315985026402</v>
      </c>
      <c r="AW47" s="55">
        <v>-32.140802740583744</v>
      </c>
      <c r="AX47" s="29">
        <v>65584.807487239596</v>
      </c>
      <c r="AY47" s="55">
        <v>1.111478082661512</v>
      </c>
      <c r="AZ47" s="29">
        <v>-6963.6169411489955</v>
      </c>
      <c r="BA47" s="55">
        <v>-7.9246029980876269</v>
      </c>
      <c r="BB47" s="29">
        <v>0</v>
      </c>
      <c r="BC47" s="55">
        <v>0</v>
      </c>
      <c r="BD47" s="29">
        <v>0</v>
      </c>
      <c r="BE47" s="55">
        <v>0</v>
      </c>
      <c r="BF47" s="29">
        <v>53389.858947587971</v>
      </c>
      <c r="BG47" s="55">
        <v>0.51327775202229464</v>
      </c>
      <c r="BH47" s="57"/>
    </row>
    <row r="48" spans="1:61">
      <c r="B48" s="26" t="s">
        <v>52</v>
      </c>
      <c r="C48" s="16" t="s">
        <v>50</v>
      </c>
      <c r="E48" s="68" t="s">
        <v>53</v>
      </c>
      <c r="F48" s="23">
        <v>4913.2700000000004</v>
      </c>
      <c r="G48" s="53">
        <v>0.1879032594241902</v>
      </c>
      <c r="H48" s="23">
        <v>72332.87</v>
      </c>
      <c r="I48" s="53">
        <v>3.6915037443800258E-2</v>
      </c>
      <c r="J48" s="23">
        <v>12348.25</v>
      </c>
      <c r="K48" s="53">
        <v>7.0098143929784293E-2</v>
      </c>
      <c r="L48" s="23">
        <v>0</v>
      </c>
      <c r="M48" s="53">
        <v>0</v>
      </c>
      <c r="N48" s="32">
        <v>0</v>
      </c>
      <c r="O48" s="54">
        <v>0</v>
      </c>
      <c r="P48" s="23">
        <v>89594.39</v>
      </c>
      <c r="Q48" s="54">
        <v>3.9375302474875133E-2</v>
      </c>
      <c r="R48" s="21"/>
      <c r="T48" s="23">
        <v>281.79216896392325</v>
      </c>
      <c r="U48" s="53">
        <v>1.7213869785391449E-2</v>
      </c>
      <c r="V48" s="23">
        <v>113423.57519889588</v>
      </c>
      <c r="W48" s="53">
        <v>4.4440203035571231E-2</v>
      </c>
      <c r="X48" s="23">
        <v>4767.9239904164288</v>
      </c>
      <c r="Y48" s="53">
        <v>6.0402164930908039E-2</v>
      </c>
      <c r="Z48" s="23">
        <v>0</v>
      </c>
      <c r="AA48" s="53">
        <v>0</v>
      </c>
      <c r="AB48" s="23">
        <v>0</v>
      </c>
      <c r="AC48" s="54">
        <v>0</v>
      </c>
      <c r="AD48" s="23">
        <v>118473.29135827623</v>
      </c>
      <c r="AE48" s="54">
        <v>4.3892017618339017E-2</v>
      </c>
      <c r="AF48" s="21"/>
      <c r="AH48" s="23">
        <v>1786.42</v>
      </c>
      <c r="AI48" s="53">
        <v>0.1068618360840098</v>
      </c>
      <c r="AJ48" s="23">
        <v>164328.57999999999</v>
      </c>
      <c r="AK48" s="53">
        <v>4.9391559735755965E-2</v>
      </c>
      <c r="AL48" s="23">
        <v>4049.36</v>
      </c>
      <c r="AM48" s="53">
        <v>5.7455676226815813E-2</v>
      </c>
      <c r="AN48" s="23">
        <v>0</v>
      </c>
      <c r="AO48" s="53">
        <v>0</v>
      </c>
      <c r="AP48" s="23">
        <v>0</v>
      </c>
      <c r="AQ48" s="54">
        <v>0</v>
      </c>
      <c r="AR48" s="23">
        <v>170164.36</v>
      </c>
      <c r="AS48" s="53">
        <v>4.8132949076899259E-2</v>
      </c>
      <c r="AT48" s="21"/>
      <c r="AV48" s="29">
        <v>1504.6278310360767</v>
      </c>
      <c r="AW48" s="55">
        <v>8.9647966298618353</v>
      </c>
      <c r="AX48" s="29">
        <v>50905.004801104107</v>
      </c>
      <c r="AY48" s="55">
        <v>0.49513567001847336</v>
      </c>
      <c r="AZ48" s="29">
        <v>-718.56399041642862</v>
      </c>
      <c r="BA48" s="55">
        <v>-0.29464887040922261</v>
      </c>
      <c r="BB48" s="29">
        <v>0</v>
      </c>
      <c r="BC48" s="55">
        <v>0</v>
      </c>
      <c r="BD48" s="29">
        <v>0</v>
      </c>
      <c r="BE48" s="55">
        <v>0</v>
      </c>
      <c r="BF48" s="29">
        <v>51691.068641723759</v>
      </c>
      <c r="BG48" s="55">
        <v>0.4240931458560242</v>
      </c>
      <c r="BH48" s="57"/>
    </row>
    <row r="49" spans="2:60">
      <c r="B49" s="26" t="s">
        <v>54</v>
      </c>
      <c r="C49" s="16" t="s">
        <v>50</v>
      </c>
      <c r="E49" s="68" t="s">
        <v>55</v>
      </c>
      <c r="F49" s="23">
        <v>0</v>
      </c>
      <c r="G49" s="53">
        <v>0</v>
      </c>
      <c r="H49" s="23">
        <v>274226.43000000005</v>
      </c>
      <c r="I49" s="53">
        <v>0.13995129643728602</v>
      </c>
      <c r="J49" s="23">
        <v>74327.89</v>
      </c>
      <c r="K49" s="53">
        <v>0.42194214817623343</v>
      </c>
      <c r="L49" s="23">
        <v>0</v>
      </c>
      <c r="M49" s="53">
        <v>0</v>
      </c>
      <c r="N49" s="32">
        <v>0</v>
      </c>
      <c r="O49" s="54">
        <v>0</v>
      </c>
      <c r="P49" s="23">
        <v>348554.32000000007</v>
      </c>
      <c r="Q49" s="54">
        <v>0.15318405291809478</v>
      </c>
      <c r="R49" s="21"/>
      <c r="T49" s="23">
        <v>0</v>
      </c>
      <c r="U49" s="53">
        <v>0</v>
      </c>
      <c r="V49" s="23">
        <v>390950.07121132949</v>
      </c>
      <c r="W49" s="53">
        <v>0.15317715484577354</v>
      </c>
      <c r="X49" s="23">
        <v>45898.635143910098</v>
      </c>
      <c r="Y49" s="53">
        <v>0.58146416252409494</v>
      </c>
      <c r="Z49" s="23">
        <v>0</v>
      </c>
      <c r="AA49" s="53">
        <v>0</v>
      </c>
      <c r="AB49" s="23">
        <v>0</v>
      </c>
      <c r="AC49" s="54">
        <v>0</v>
      </c>
      <c r="AD49" s="23">
        <v>436848.70635523961</v>
      </c>
      <c r="AE49" s="54">
        <v>0.1618438290695241</v>
      </c>
      <c r="AF49" s="21"/>
      <c r="AH49" s="23">
        <v>0</v>
      </c>
      <c r="AI49" s="53">
        <v>0</v>
      </c>
      <c r="AJ49" s="23">
        <v>840795.37</v>
      </c>
      <c r="AK49" s="53">
        <v>0.25271437715157058</v>
      </c>
      <c r="AL49" s="23">
        <v>0</v>
      </c>
      <c r="AM49" s="53">
        <v>0</v>
      </c>
      <c r="AN49" s="23">
        <v>0</v>
      </c>
      <c r="AO49" s="53">
        <v>0</v>
      </c>
      <c r="AP49" s="32">
        <v>0</v>
      </c>
      <c r="AQ49" s="54">
        <v>0</v>
      </c>
      <c r="AR49" s="23">
        <v>840795.37</v>
      </c>
      <c r="AS49" s="53">
        <v>0.23782865418059734</v>
      </c>
      <c r="AT49" s="21"/>
      <c r="AV49" s="29">
        <v>0</v>
      </c>
      <c r="AW49" s="55">
        <v>0</v>
      </c>
      <c r="AX49" s="29">
        <v>449845.29878867051</v>
      </c>
      <c r="AY49" s="55">
        <v>9.9537222305797037</v>
      </c>
      <c r="AZ49" s="29">
        <v>-45898.635143910098</v>
      </c>
      <c r="BA49" s="55">
        <v>-58.146416252409495</v>
      </c>
      <c r="BB49" s="29">
        <v>0</v>
      </c>
      <c r="BC49" s="55">
        <v>0</v>
      </c>
      <c r="BD49" s="29">
        <v>0</v>
      </c>
      <c r="BE49" s="55">
        <v>0</v>
      </c>
      <c r="BF49" s="29">
        <v>403946.66364476038</v>
      </c>
      <c r="BG49" s="55">
        <v>7.5984825111073242</v>
      </c>
      <c r="BH49" s="57"/>
    </row>
    <row r="50" spans="2:60">
      <c r="B50" s="26" t="s">
        <v>56</v>
      </c>
      <c r="C50" s="16" t="s">
        <v>50</v>
      </c>
      <c r="E50" s="68" t="s">
        <v>57</v>
      </c>
      <c r="F50" s="23">
        <v>0</v>
      </c>
      <c r="G50" s="53">
        <v>0</v>
      </c>
      <c r="H50" s="23">
        <v>0</v>
      </c>
      <c r="I50" s="53">
        <v>0</v>
      </c>
      <c r="J50" s="23">
        <v>0</v>
      </c>
      <c r="K50" s="53">
        <v>0</v>
      </c>
      <c r="L50" s="23">
        <v>0</v>
      </c>
      <c r="M50" s="53">
        <v>0</v>
      </c>
      <c r="N50" s="32">
        <v>0</v>
      </c>
      <c r="O50" s="54">
        <v>0</v>
      </c>
      <c r="P50" s="23">
        <v>0</v>
      </c>
      <c r="Q50" s="54">
        <v>0</v>
      </c>
      <c r="R50" s="21"/>
      <c r="T50" s="23">
        <v>0</v>
      </c>
      <c r="U50" s="53">
        <v>0</v>
      </c>
      <c r="V50" s="23">
        <v>0</v>
      </c>
      <c r="W50" s="53">
        <v>0</v>
      </c>
      <c r="X50" s="23">
        <v>0</v>
      </c>
      <c r="Y50" s="53">
        <v>0</v>
      </c>
      <c r="Z50" s="23">
        <v>0</v>
      </c>
      <c r="AA50" s="53">
        <v>0</v>
      </c>
      <c r="AB50" s="23">
        <v>0</v>
      </c>
      <c r="AC50" s="54">
        <v>0</v>
      </c>
      <c r="AD50" s="23">
        <v>0</v>
      </c>
      <c r="AE50" s="54">
        <v>0</v>
      </c>
      <c r="AF50" s="21"/>
      <c r="AH50" s="23">
        <v>0</v>
      </c>
      <c r="AI50" s="53">
        <v>0</v>
      </c>
      <c r="AJ50" s="23">
        <v>0</v>
      </c>
      <c r="AK50" s="53">
        <v>0</v>
      </c>
      <c r="AL50" s="23">
        <v>0</v>
      </c>
      <c r="AM50" s="53">
        <v>0</v>
      </c>
      <c r="AN50" s="23">
        <v>0</v>
      </c>
      <c r="AO50" s="53">
        <v>0</v>
      </c>
      <c r="AP50" s="32">
        <v>0</v>
      </c>
      <c r="AQ50" s="54">
        <v>0</v>
      </c>
      <c r="AR50" s="23">
        <v>0</v>
      </c>
      <c r="AS50" s="53">
        <v>0</v>
      </c>
      <c r="AT50" s="21"/>
      <c r="AV50" s="29">
        <v>0</v>
      </c>
      <c r="AW50" s="55">
        <v>0</v>
      </c>
      <c r="AX50" s="29">
        <v>0</v>
      </c>
      <c r="AY50" s="55">
        <v>0</v>
      </c>
      <c r="AZ50" s="29">
        <v>0</v>
      </c>
      <c r="BA50" s="55">
        <v>0</v>
      </c>
      <c r="BB50" s="29">
        <v>0</v>
      </c>
      <c r="BC50" s="55">
        <v>0</v>
      </c>
      <c r="BD50" s="29">
        <v>0</v>
      </c>
      <c r="BE50" s="55">
        <v>0</v>
      </c>
      <c r="BF50" s="29">
        <v>0</v>
      </c>
      <c r="BG50" s="55">
        <v>0</v>
      </c>
      <c r="BH50" s="57"/>
    </row>
    <row r="51" spans="2:60" ht="15">
      <c r="E51" s="34" t="s">
        <v>58</v>
      </c>
      <c r="F51" s="35">
        <v>10962.672999999995</v>
      </c>
      <c r="G51" s="36">
        <v>0.41925682665547881</v>
      </c>
      <c r="H51" s="35">
        <v>603224.59400000004</v>
      </c>
      <c r="I51" s="36">
        <v>0.30785531494231061</v>
      </c>
      <c r="J51" s="35">
        <v>105494.33299999998</v>
      </c>
      <c r="K51" s="36">
        <v>0.5988667980005743</v>
      </c>
      <c r="L51" s="35">
        <v>0</v>
      </c>
      <c r="M51" s="36">
        <v>0</v>
      </c>
      <c r="N51" s="37">
        <v>0</v>
      </c>
      <c r="O51" s="70">
        <v>0</v>
      </c>
      <c r="P51" s="35">
        <v>719681.6</v>
      </c>
      <c r="Q51" s="70">
        <v>0.31628856098693342</v>
      </c>
      <c r="R51" s="21"/>
      <c r="T51" s="35">
        <v>26170.903020320558</v>
      </c>
      <c r="U51" s="36">
        <v>1.5987048838663149</v>
      </c>
      <c r="V51" s="35">
        <v>811498.29516983707</v>
      </c>
      <c r="W51" s="36">
        <v>0.31795108677475836</v>
      </c>
      <c r="X51" s="35">
        <v>88593.666953450564</v>
      </c>
      <c r="Y51" s="36">
        <v>1.1223436644359932</v>
      </c>
      <c r="Z51" s="35">
        <v>0</v>
      </c>
      <c r="AA51" s="36">
        <v>0</v>
      </c>
      <c r="AB51" s="37">
        <v>0</v>
      </c>
      <c r="AC51" s="70">
        <v>0</v>
      </c>
      <c r="AD51" s="35">
        <v>926262.8651436083</v>
      </c>
      <c r="AE51" s="70">
        <v>0.34316212143671776</v>
      </c>
      <c r="AF51" s="21"/>
      <c r="AH51" s="35">
        <v>8817.11</v>
      </c>
      <c r="AI51" s="36">
        <v>0.5274305950194712</v>
      </c>
      <c r="AJ51" s="35">
        <v>1727867.8199999998</v>
      </c>
      <c r="AK51" s="36">
        <v>0.51933806430397211</v>
      </c>
      <c r="AL51" s="35">
        <v>19359.309999999998</v>
      </c>
      <c r="AM51" s="36">
        <v>0.27468593736653629</v>
      </c>
      <c r="AN51" s="35">
        <v>0</v>
      </c>
      <c r="AO51" s="36">
        <v>0</v>
      </c>
      <c r="AP51" s="37">
        <v>0</v>
      </c>
      <c r="AQ51" s="70">
        <v>0</v>
      </c>
      <c r="AR51" s="35">
        <v>1756044.2399999998</v>
      </c>
      <c r="AS51" s="36">
        <v>0.49671733834689152</v>
      </c>
      <c r="AT51" s="21"/>
      <c r="AV51" s="38">
        <v>-17353.793020320558</v>
      </c>
      <c r="AW51" s="39">
        <v>-107.12742888468436</v>
      </c>
      <c r="AX51" s="38">
        <v>916369.52483016276</v>
      </c>
      <c r="AY51" s="39">
        <v>20.138697752921374</v>
      </c>
      <c r="AZ51" s="38">
        <v>-69234.356953450566</v>
      </c>
      <c r="BA51" s="39">
        <v>-84.765772706945697</v>
      </c>
      <c r="BB51" s="38">
        <v>0</v>
      </c>
      <c r="BC51" s="39">
        <v>0</v>
      </c>
      <c r="BD51" s="38">
        <v>0</v>
      </c>
      <c r="BE51" s="39">
        <v>0</v>
      </c>
      <c r="BF51" s="38">
        <v>829781.37485639146</v>
      </c>
      <c r="BG51" s="39">
        <v>15.355521691017376</v>
      </c>
      <c r="BH51" s="57"/>
    </row>
    <row r="52" spans="2:60">
      <c r="E52" s="16"/>
      <c r="F52" s="23"/>
      <c r="G52" s="53"/>
      <c r="H52" s="23"/>
      <c r="I52" s="53"/>
      <c r="J52" s="23"/>
      <c r="K52" s="53"/>
      <c r="L52" s="23"/>
      <c r="M52" s="53"/>
      <c r="N52" s="32"/>
      <c r="O52" s="54"/>
      <c r="P52" s="23"/>
      <c r="Q52" s="54"/>
      <c r="R52" s="21"/>
      <c r="T52" s="23"/>
      <c r="U52" s="53"/>
      <c r="V52" s="23"/>
      <c r="W52" s="53"/>
      <c r="X52" s="23"/>
      <c r="Y52" s="53"/>
      <c r="Z52" s="23"/>
      <c r="AA52" s="53"/>
      <c r="AB52" s="32"/>
      <c r="AC52" s="54"/>
      <c r="AD52" s="23"/>
      <c r="AE52" s="54"/>
      <c r="AF52" s="21"/>
      <c r="AH52" s="23"/>
      <c r="AI52" s="53"/>
      <c r="AJ52" s="23"/>
      <c r="AK52" s="53"/>
      <c r="AL52" s="23"/>
      <c r="AM52" s="53"/>
      <c r="AN52" s="23"/>
      <c r="AO52" s="53"/>
      <c r="AP52" s="32"/>
      <c r="AQ52" s="54"/>
      <c r="AR52" s="23"/>
      <c r="AS52" s="53"/>
      <c r="AT52" s="21"/>
      <c r="AV52" s="29"/>
      <c r="AW52" s="55"/>
      <c r="AX52" s="29"/>
      <c r="AY52" s="55"/>
      <c r="AZ52" s="29"/>
      <c r="BA52" s="55"/>
      <c r="BB52" s="29"/>
      <c r="BC52" s="55"/>
      <c r="BD52" s="29"/>
      <c r="BE52" s="55"/>
      <c r="BF52" s="29"/>
      <c r="BG52" s="55"/>
    </row>
    <row r="53" spans="2:60" ht="15">
      <c r="E53" s="34" t="s">
        <v>59</v>
      </c>
      <c r="F53" s="35">
        <v>-33160.542999999991</v>
      </c>
      <c r="G53" s="36">
        <v>-1.2681928967827967</v>
      </c>
      <c r="H53" s="35">
        <v>843849.09600000014</v>
      </c>
      <c r="I53" s="36">
        <v>0.43065788728909832</v>
      </c>
      <c r="J53" s="35">
        <v>25907.407000000007</v>
      </c>
      <c r="K53" s="36">
        <v>0.14707032532816403</v>
      </c>
      <c r="L53" s="35">
        <v>113649.27</v>
      </c>
      <c r="M53" s="36">
        <v>1</v>
      </c>
      <c r="N53" s="37">
        <v>-44158.11</v>
      </c>
      <c r="O53" s="70">
        <v>0</v>
      </c>
      <c r="P53" s="35">
        <v>906087.12000000023</v>
      </c>
      <c r="Q53" s="70">
        <v>0.39821080782612051</v>
      </c>
      <c r="R53" s="21"/>
      <c r="T53" s="35">
        <v>-17672.644865186921</v>
      </c>
      <c r="U53" s="36">
        <v>-1.0795708361638039</v>
      </c>
      <c r="V53" s="35">
        <v>811855.11526475148</v>
      </c>
      <c r="W53" s="36">
        <v>0.31809089155024139</v>
      </c>
      <c r="X53" s="35">
        <v>-38386.860445164319</v>
      </c>
      <c r="Y53" s="36">
        <v>-0.48630168611099339</v>
      </c>
      <c r="Z53" s="35">
        <v>51618.645000000004</v>
      </c>
      <c r="AA53" s="36">
        <v>1</v>
      </c>
      <c r="AB53" s="37">
        <v>0</v>
      </c>
      <c r="AC53" s="70">
        <v>0</v>
      </c>
      <c r="AD53" s="35">
        <v>807414.25495440001</v>
      </c>
      <c r="AE53" s="70">
        <v>0.2991310555945057</v>
      </c>
      <c r="AF53" s="21"/>
      <c r="AH53" s="35">
        <v>-6216.6600000000017</v>
      </c>
      <c r="AI53" s="36">
        <v>-0.37187430834295437</v>
      </c>
      <c r="AJ53" s="35">
        <v>-28627.389999999898</v>
      </c>
      <c r="AK53" s="36">
        <v>-8.6044158798413393E-3</v>
      </c>
      <c r="AL53" s="35">
        <v>8741.489999999998</v>
      </c>
      <c r="AM53" s="36">
        <v>0.12403150601081357</v>
      </c>
      <c r="AN53" s="35">
        <v>102076.42</v>
      </c>
      <c r="AO53" s="36">
        <v>1</v>
      </c>
      <c r="AP53" s="37">
        <v>18969.439999999999</v>
      </c>
      <c r="AQ53" s="70">
        <v>1</v>
      </c>
      <c r="AR53" s="35">
        <v>94943.300000000279</v>
      </c>
      <c r="AS53" s="36">
        <v>2.6855805904907368E-2</v>
      </c>
      <c r="AT53" s="21"/>
      <c r="AV53" s="38">
        <v>11455.98486518692</v>
      </c>
      <c r="AW53" s="39">
        <v>70.769652782084961</v>
      </c>
      <c r="AX53" s="38">
        <v>-840482.50526475138</v>
      </c>
      <c r="AY53" s="39">
        <v>-32.669530743008274</v>
      </c>
      <c r="AZ53" s="38">
        <v>47128.350445164317</v>
      </c>
      <c r="BA53" s="39">
        <v>61.033319212180693</v>
      </c>
      <c r="BB53" s="38">
        <v>50457.774999999994</v>
      </c>
      <c r="BC53" s="39">
        <v>0</v>
      </c>
      <c r="BD53" s="38">
        <v>18969.439999999999</v>
      </c>
      <c r="BE53" s="39">
        <v>100</v>
      </c>
      <c r="BF53" s="38">
        <v>-712470.95495439973</v>
      </c>
      <c r="BG53" s="39">
        <v>-27.22752496895983</v>
      </c>
    </row>
    <row r="54" spans="2:60">
      <c r="E54" s="16"/>
      <c r="F54" s="29"/>
      <c r="G54" s="71"/>
      <c r="H54" s="71"/>
      <c r="I54" s="71"/>
      <c r="J54" s="71"/>
      <c r="K54" s="71"/>
      <c r="L54" s="71"/>
      <c r="M54" s="71"/>
      <c r="N54" s="71"/>
      <c r="O54" s="71"/>
      <c r="P54" s="23"/>
      <c r="Q54" s="31"/>
      <c r="R54" s="21"/>
      <c r="T54" s="29"/>
      <c r="U54" s="71"/>
      <c r="V54" s="71"/>
      <c r="W54" s="71"/>
      <c r="X54" s="71"/>
      <c r="Y54" s="71"/>
      <c r="Z54" s="71"/>
      <c r="AA54" s="71"/>
      <c r="AB54" s="71"/>
      <c r="AC54" s="71"/>
      <c r="AD54" s="23"/>
      <c r="AE54" s="31"/>
      <c r="AF54" s="21"/>
      <c r="AH54" s="29"/>
      <c r="AI54" s="71"/>
      <c r="AJ54" s="71"/>
      <c r="AK54" s="71"/>
      <c r="AL54" s="71"/>
      <c r="AM54" s="71"/>
      <c r="AN54" s="71"/>
      <c r="AO54" s="71"/>
      <c r="AP54" s="71"/>
      <c r="AQ54" s="71"/>
      <c r="AR54" s="23"/>
      <c r="AS54" s="31"/>
      <c r="AT54" s="21"/>
      <c r="AV54" s="29"/>
      <c r="AW54" s="71"/>
      <c r="AX54" s="71"/>
      <c r="AY54" s="71"/>
      <c r="AZ54" s="71"/>
      <c r="BA54" s="71"/>
      <c r="BB54" s="71"/>
      <c r="BC54" s="71"/>
      <c r="BD54" s="71"/>
      <c r="BE54" s="71"/>
      <c r="BF54" s="29"/>
      <c r="BG54" s="33"/>
    </row>
    <row r="55" spans="2:60" ht="15">
      <c r="E55" s="67" t="s">
        <v>60</v>
      </c>
      <c r="F55" s="29"/>
      <c r="G55" s="71"/>
      <c r="H55" s="71"/>
      <c r="I55" s="71"/>
      <c r="J55" s="71"/>
      <c r="K55" s="71"/>
      <c r="L55" s="71"/>
      <c r="M55" s="71"/>
      <c r="N55" s="71"/>
      <c r="O55" s="71"/>
      <c r="P55" s="23"/>
      <c r="Q55" s="31"/>
      <c r="R55" s="21"/>
      <c r="T55" s="29"/>
      <c r="U55" s="71"/>
      <c r="V55" s="71"/>
      <c r="W55" s="71"/>
      <c r="X55" s="71"/>
      <c r="Y55" s="71"/>
      <c r="Z55" s="71"/>
      <c r="AA55" s="71"/>
      <c r="AB55" s="71"/>
      <c r="AC55" s="71"/>
      <c r="AD55" s="23"/>
      <c r="AE55" s="31"/>
      <c r="AF55" s="21"/>
      <c r="AH55" s="29"/>
      <c r="AI55" s="71"/>
      <c r="AJ55" s="71"/>
      <c r="AK55" s="71"/>
      <c r="AL55" s="71"/>
      <c r="AM55" s="71"/>
      <c r="AN55" s="71"/>
      <c r="AO55" s="71"/>
      <c r="AP55" s="71"/>
      <c r="AQ55" s="71"/>
      <c r="AR55" s="23"/>
      <c r="AS55" s="31"/>
      <c r="AT55" s="21"/>
      <c r="AV55" s="29"/>
      <c r="AW55" s="71"/>
      <c r="AX55" s="71"/>
      <c r="AY55" s="71"/>
      <c r="AZ55" s="71"/>
      <c r="BA55" s="71"/>
      <c r="BB55" s="71"/>
      <c r="BC55" s="71"/>
      <c r="BD55" s="71"/>
      <c r="BE55" s="71"/>
      <c r="BF55" s="29"/>
      <c r="BG55" s="33"/>
    </row>
    <row r="56" spans="2:60">
      <c r="E56" s="68" t="s">
        <v>61</v>
      </c>
      <c r="F56" s="29"/>
      <c r="G56" s="71"/>
      <c r="H56" s="71"/>
      <c r="I56" s="71"/>
      <c r="J56" s="71"/>
      <c r="K56" s="71"/>
      <c r="L56" s="71"/>
      <c r="M56" s="71"/>
      <c r="N56" s="71"/>
      <c r="O56" s="71"/>
      <c r="P56" s="23">
        <v>276426.98999999993</v>
      </c>
      <c r="Q56" s="53">
        <v>0.12148524414831421</v>
      </c>
      <c r="R56" s="21"/>
      <c r="T56" s="29"/>
      <c r="U56" s="71"/>
      <c r="V56" s="71"/>
      <c r="W56" s="71"/>
      <c r="X56" s="71"/>
      <c r="Y56" s="71"/>
      <c r="Z56" s="71"/>
      <c r="AA56" s="71"/>
      <c r="AB56" s="71"/>
      <c r="AC56" s="71"/>
      <c r="AD56" s="23">
        <v>373296.22335421131</v>
      </c>
      <c r="AE56" s="53">
        <v>0.13829888766045384</v>
      </c>
      <c r="AF56" s="21"/>
      <c r="AH56" s="29"/>
      <c r="AI56" s="71"/>
      <c r="AJ56" s="71"/>
      <c r="AK56" s="71"/>
      <c r="AL56" s="71"/>
      <c r="AM56" s="71"/>
      <c r="AN56" s="71"/>
      <c r="AO56" s="71"/>
      <c r="AP56" s="71"/>
      <c r="AQ56" s="71"/>
      <c r="AR56" s="23">
        <v>350802.31</v>
      </c>
      <c r="AS56" s="53">
        <v>9.9228473713817794E-2</v>
      </c>
      <c r="AT56" s="21"/>
      <c r="AV56" s="29"/>
      <c r="AW56" s="71"/>
      <c r="AX56" s="71"/>
      <c r="AY56" s="71"/>
      <c r="AZ56" s="71"/>
      <c r="BA56" s="71"/>
      <c r="BB56" s="71"/>
      <c r="BC56" s="71"/>
      <c r="BD56" s="71"/>
      <c r="BE56" s="71"/>
      <c r="BF56" s="29">
        <v>-22493.913354211312</v>
      </c>
      <c r="BG56" s="55">
        <v>-3.9070413946636044</v>
      </c>
    </row>
    <row r="57" spans="2:60" outlineLevel="1">
      <c r="B57" s="26" t="s">
        <v>62</v>
      </c>
      <c r="C57" s="16" t="s">
        <v>63</v>
      </c>
      <c r="E57" s="69" t="s">
        <v>64</v>
      </c>
      <c r="F57" s="29"/>
      <c r="G57" s="71"/>
      <c r="H57" s="71"/>
      <c r="I57" s="71"/>
      <c r="J57" s="71"/>
      <c r="K57" s="71"/>
      <c r="L57" s="71"/>
      <c r="M57" s="71"/>
      <c r="N57" s="71"/>
      <c r="O57" s="71"/>
      <c r="P57" s="23">
        <v>266936.96999999997</v>
      </c>
      <c r="Q57" s="53">
        <v>0.11731453203126523</v>
      </c>
      <c r="R57" s="21"/>
      <c r="T57" s="29"/>
      <c r="U57" s="71"/>
      <c r="V57" s="71"/>
      <c r="W57" s="71"/>
      <c r="X57" s="71"/>
      <c r="Y57" s="71"/>
      <c r="Z57" s="71"/>
      <c r="AA57" s="71"/>
      <c r="AB57" s="71"/>
      <c r="AC57" s="71"/>
      <c r="AD57" s="23">
        <v>262175.17333333328</v>
      </c>
      <c r="AE57" s="53">
        <v>9.713073043812144E-2</v>
      </c>
      <c r="AF57" s="21"/>
      <c r="AH57" s="29"/>
      <c r="AI57" s="71"/>
      <c r="AJ57" s="71"/>
      <c r="AK57" s="71"/>
      <c r="AL57" s="71"/>
      <c r="AM57" s="71"/>
      <c r="AN57" s="71"/>
      <c r="AO57" s="71"/>
      <c r="AP57" s="71"/>
      <c r="AQ57" s="71"/>
      <c r="AR57" s="23">
        <v>243115.22</v>
      </c>
      <c r="AS57" s="53">
        <v>6.8767940032091093E-2</v>
      </c>
      <c r="AT57" s="21"/>
      <c r="AV57" s="29"/>
      <c r="AW57" s="71"/>
      <c r="AX57" s="71"/>
      <c r="AY57" s="71"/>
      <c r="AZ57" s="71"/>
      <c r="BA57" s="71"/>
      <c r="BB57" s="71"/>
      <c r="BC57" s="71"/>
      <c r="BD57" s="71"/>
      <c r="BE57" s="71"/>
      <c r="BF57" s="29">
        <v>-19059.95333333328</v>
      </c>
      <c r="BG57" s="55">
        <v>-2.8362790406030349</v>
      </c>
    </row>
    <row r="58" spans="2:60" outlineLevel="1">
      <c r="B58" s="26" t="s">
        <v>65</v>
      </c>
      <c r="C58" s="16" t="s">
        <v>63</v>
      </c>
      <c r="E58" s="69" t="s">
        <v>66</v>
      </c>
      <c r="F58" s="29"/>
      <c r="G58" s="71"/>
      <c r="H58" s="71"/>
      <c r="I58" s="71"/>
      <c r="J58" s="71"/>
      <c r="K58" s="71"/>
      <c r="L58" s="71"/>
      <c r="M58" s="71"/>
      <c r="N58" s="71"/>
      <c r="O58" s="71"/>
      <c r="P58" s="23">
        <v>43967.51</v>
      </c>
      <c r="Q58" s="53">
        <v>1.9323017940264982E-2</v>
      </c>
      <c r="R58" s="21"/>
      <c r="T58" s="29"/>
      <c r="U58" s="71"/>
      <c r="V58" s="71"/>
      <c r="W58" s="71"/>
      <c r="X58" s="71"/>
      <c r="Y58" s="71"/>
      <c r="Z58" s="71"/>
      <c r="AA58" s="71"/>
      <c r="AB58" s="71"/>
      <c r="AC58" s="71"/>
      <c r="AD58" s="23">
        <v>32468.498020878062</v>
      </c>
      <c r="AE58" s="53">
        <v>1.2028938090895971E-2</v>
      </c>
      <c r="AF58" s="21"/>
      <c r="AH58" s="29"/>
      <c r="AI58" s="71"/>
      <c r="AJ58" s="71"/>
      <c r="AK58" s="71"/>
      <c r="AL58" s="71"/>
      <c r="AM58" s="71"/>
      <c r="AN58" s="71"/>
      <c r="AO58" s="71"/>
      <c r="AP58" s="71"/>
      <c r="AQ58" s="71"/>
      <c r="AR58" s="23">
        <v>53862.22</v>
      </c>
      <c r="AS58" s="53">
        <v>1.5235549279700784E-2</v>
      </c>
      <c r="AT58" s="21"/>
      <c r="AV58" s="29"/>
      <c r="AW58" s="71"/>
      <c r="AX58" s="71"/>
      <c r="AY58" s="71"/>
      <c r="AZ58" s="71"/>
      <c r="BA58" s="71"/>
      <c r="BB58" s="71"/>
      <c r="BC58" s="71"/>
      <c r="BD58" s="71"/>
      <c r="BE58" s="71"/>
      <c r="BF58" s="29">
        <v>21393.72197912194</v>
      </c>
      <c r="BG58" s="55">
        <v>0.32066111888048138</v>
      </c>
    </row>
    <row r="59" spans="2:60" outlineLevel="1">
      <c r="B59" s="26" t="s">
        <v>67</v>
      </c>
      <c r="C59" s="16" t="s">
        <v>63</v>
      </c>
      <c r="E59" s="69" t="s">
        <v>68</v>
      </c>
      <c r="F59" s="29"/>
      <c r="G59" s="71"/>
      <c r="H59" s="71"/>
      <c r="I59" s="71"/>
      <c r="J59" s="71"/>
      <c r="K59" s="71"/>
      <c r="L59" s="71"/>
      <c r="M59" s="71"/>
      <c r="N59" s="71"/>
      <c r="O59" s="71"/>
      <c r="P59" s="23">
        <v>57480.459999999992</v>
      </c>
      <c r="Q59" s="53">
        <v>2.5261743496383656E-2</v>
      </c>
      <c r="R59" s="21"/>
      <c r="T59" s="29"/>
      <c r="U59" s="71"/>
      <c r="V59" s="71"/>
      <c r="W59" s="71"/>
      <c r="X59" s="71"/>
      <c r="Y59" s="71"/>
      <c r="Z59" s="71"/>
      <c r="AA59" s="71"/>
      <c r="AB59" s="71"/>
      <c r="AC59" s="71"/>
      <c r="AD59" s="23">
        <v>78652.551999999996</v>
      </c>
      <c r="AE59" s="53">
        <v>2.9139219131436436E-2</v>
      </c>
      <c r="AF59" s="21"/>
      <c r="AH59" s="29"/>
      <c r="AI59" s="71"/>
      <c r="AJ59" s="71"/>
      <c r="AK59" s="71"/>
      <c r="AL59" s="71"/>
      <c r="AM59" s="71"/>
      <c r="AN59" s="71"/>
      <c r="AO59" s="71"/>
      <c r="AP59" s="71"/>
      <c r="AQ59" s="71"/>
      <c r="AR59" s="23">
        <v>53824.869999999995</v>
      </c>
      <c r="AS59" s="53">
        <v>1.5224984402025915E-2</v>
      </c>
      <c r="AT59" s="21"/>
      <c r="AV59" s="29"/>
      <c r="AW59" s="71"/>
      <c r="AX59" s="71"/>
      <c r="AY59" s="71"/>
      <c r="AZ59" s="71"/>
      <c r="BA59" s="71"/>
      <c r="BB59" s="71"/>
      <c r="BC59" s="71"/>
      <c r="BD59" s="71"/>
      <c r="BE59" s="71"/>
      <c r="BF59" s="29">
        <v>-24827.682000000001</v>
      </c>
      <c r="BG59" s="55">
        <v>-1.3914234729410522</v>
      </c>
    </row>
    <row r="60" spans="2:60" outlineLevel="1">
      <c r="B60" s="26" t="s">
        <v>69</v>
      </c>
      <c r="C60" s="16" t="s">
        <v>63</v>
      </c>
      <c r="E60" s="69" t="s">
        <v>70</v>
      </c>
      <c r="F60" s="29"/>
      <c r="G60" s="71"/>
      <c r="H60" s="71"/>
      <c r="I60" s="71"/>
      <c r="J60" s="71"/>
      <c r="K60" s="71"/>
      <c r="L60" s="71"/>
      <c r="M60" s="71"/>
      <c r="N60" s="71"/>
      <c r="O60" s="71"/>
      <c r="P60" s="23">
        <v>-91957.95</v>
      </c>
      <c r="Q60" s="53">
        <v>-4.0414049319599632E-2</v>
      </c>
      <c r="R60" s="21"/>
      <c r="T60" s="29"/>
      <c r="U60" s="71"/>
      <c r="V60" s="71"/>
      <c r="W60" s="71"/>
      <c r="X60" s="71"/>
      <c r="Y60" s="71"/>
      <c r="Z60" s="71"/>
      <c r="AA60" s="71"/>
      <c r="AB60" s="71"/>
      <c r="AC60" s="71"/>
      <c r="AD60" s="23">
        <v>0</v>
      </c>
      <c r="AE60" s="53">
        <v>0</v>
      </c>
      <c r="AF60" s="21"/>
      <c r="AH60" s="29"/>
      <c r="AI60" s="71"/>
      <c r="AJ60" s="71"/>
      <c r="AK60" s="71"/>
      <c r="AL60" s="71"/>
      <c r="AM60" s="71"/>
      <c r="AN60" s="71"/>
      <c r="AO60" s="71"/>
      <c r="AP60" s="71"/>
      <c r="AQ60" s="71"/>
      <c r="AR60" s="23">
        <v>0</v>
      </c>
      <c r="AS60" s="53">
        <v>0</v>
      </c>
      <c r="AT60" s="21"/>
      <c r="AV60" s="29"/>
      <c r="AW60" s="71"/>
      <c r="AX60" s="71"/>
      <c r="AY60" s="71"/>
      <c r="AZ60" s="71"/>
      <c r="BA60" s="71"/>
      <c r="BB60" s="71"/>
      <c r="BC60" s="71"/>
      <c r="BD60" s="71"/>
      <c r="BE60" s="71"/>
      <c r="BF60" s="29">
        <v>0</v>
      </c>
      <c r="BG60" s="55">
        <v>0</v>
      </c>
    </row>
    <row r="61" spans="2:60">
      <c r="B61" s="26" t="s">
        <v>71</v>
      </c>
      <c r="C61" s="16" t="s">
        <v>72</v>
      </c>
      <c r="E61" s="68" t="s">
        <v>73</v>
      </c>
      <c r="F61" s="29"/>
      <c r="G61" s="71"/>
      <c r="H61" s="71"/>
      <c r="I61" s="71"/>
      <c r="J61" s="71"/>
      <c r="K61" s="71"/>
      <c r="L61" s="71"/>
      <c r="M61" s="71"/>
      <c r="N61" s="71"/>
      <c r="O61" s="71"/>
      <c r="P61" s="23">
        <v>116206.12000000001</v>
      </c>
      <c r="Q61" s="53">
        <v>5.1070732491528069E-2</v>
      </c>
      <c r="R61" s="21"/>
      <c r="T61" s="29"/>
      <c r="U61" s="71"/>
      <c r="V61" s="71"/>
      <c r="W61" s="71"/>
      <c r="X61" s="71"/>
      <c r="Y61" s="71"/>
      <c r="Z61" s="71"/>
      <c r="AA61" s="71"/>
      <c r="AB61" s="71"/>
      <c r="AC61" s="71"/>
      <c r="AD61" s="23">
        <v>85661.73626286794</v>
      </c>
      <c r="AE61" s="53">
        <v>3.1735983647968903E-2</v>
      </c>
      <c r="AF61" s="21"/>
      <c r="AH61" s="29"/>
      <c r="AI61" s="71"/>
      <c r="AJ61" s="71"/>
      <c r="AK61" s="71"/>
      <c r="AL61" s="71"/>
      <c r="AM61" s="71"/>
      <c r="AN61" s="71"/>
      <c r="AO61" s="71"/>
      <c r="AP61" s="71"/>
      <c r="AQ61" s="71"/>
      <c r="AR61" s="23">
        <v>107664.9</v>
      </c>
      <c r="AS61" s="53">
        <v>3.0454256984655606E-2</v>
      </c>
      <c r="AT61" s="21"/>
      <c r="AV61" s="29"/>
      <c r="AW61" s="71"/>
      <c r="AX61" s="71"/>
      <c r="AY61" s="71"/>
      <c r="AZ61" s="71"/>
      <c r="BA61" s="71"/>
      <c r="BB61" s="71"/>
      <c r="BC61" s="71"/>
      <c r="BD61" s="71"/>
      <c r="BE61" s="71"/>
      <c r="BF61" s="29">
        <v>22003.163737132054</v>
      </c>
      <c r="BG61" s="55">
        <v>-0.1281726663313297</v>
      </c>
    </row>
    <row r="62" spans="2:60" hidden="1" outlineLevel="1">
      <c r="C62" s="16"/>
      <c r="E62" s="69" t="s">
        <v>74</v>
      </c>
      <c r="F62" s="29"/>
      <c r="G62" s="71"/>
      <c r="H62" s="71"/>
      <c r="I62" s="71"/>
      <c r="J62" s="71"/>
      <c r="K62" s="71"/>
      <c r="L62" s="71"/>
      <c r="M62" s="71"/>
      <c r="N62" s="71"/>
      <c r="O62" s="71"/>
      <c r="P62" s="23">
        <v>63354.51</v>
      </c>
      <c r="Q62" s="53">
        <v>2.7843294590180274E-2</v>
      </c>
      <c r="R62" s="21"/>
      <c r="T62" s="29"/>
      <c r="U62" s="71"/>
      <c r="V62" s="71"/>
      <c r="W62" s="71"/>
      <c r="X62" s="71"/>
      <c r="Y62" s="71"/>
      <c r="Z62" s="71"/>
      <c r="AA62" s="71"/>
      <c r="AB62" s="71"/>
      <c r="AC62" s="71"/>
      <c r="AD62" s="72"/>
      <c r="AE62" s="53">
        <v>0</v>
      </c>
      <c r="AF62" s="21"/>
      <c r="AH62" s="29"/>
      <c r="AI62" s="71"/>
      <c r="AJ62" s="71"/>
      <c r="AK62" s="71"/>
      <c r="AL62" s="71"/>
      <c r="AM62" s="71"/>
      <c r="AN62" s="71"/>
      <c r="AO62" s="71"/>
      <c r="AP62" s="71"/>
      <c r="AQ62" s="71"/>
      <c r="AR62" s="23"/>
      <c r="AS62" s="53">
        <v>0</v>
      </c>
      <c r="AT62" s="21"/>
      <c r="AV62" s="29"/>
      <c r="AW62" s="71"/>
      <c r="AX62" s="71"/>
      <c r="AY62" s="71"/>
      <c r="AZ62" s="71"/>
      <c r="BA62" s="71"/>
      <c r="BB62" s="71"/>
      <c r="BC62" s="71"/>
      <c r="BD62" s="71"/>
      <c r="BE62" s="71"/>
      <c r="BF62" s="29">
        <v>0</v>
      </c>
      <c r="BG62" s="55">
        <v>0</v>
      </c>
    </row>
    <row r="63" spans="2:60" hidden="1" outlineLevel="1">
      <c r="C63" s="16"/>
      <c r="E63" s="69" t="s">
        <v>75</v>
      </c>
      <c r="F63" s="29"/>
      <c r="G63" s="71"/>
      <c r="H63" s="71"/>
      <c r="I63" s="71"/>
      <c r="J63" s="71"/>
      <c r="K63" s="71"/>
      <c r="L63" s="71"/>
      <c r="M63" s="71"/>
      <c r="N63" s="71"/>
      <c r="O63" s="71"/>
      <c r="P63" s="23">
        <v>0</v>
      </c>
      <c r="Q63" s="53">
        <v>0</v>
      </c>
      <c r="R63" s="21"/>
      <c r="T63" s="29"/>
      <c r="U63" s="71"/>
      <c r="V63" s="71"/>
      <c r="W63" s="71"/>
      <c r="X63" s="71"/>
      <c r="Y63" s="71"/>
      <c r="Z63" s="71"/>
      <c r="AA63" s="71"/>
      <c r="AB63" s="71"/>
      <c r="AC63" s="71"/>
      <c r="AD63" s="72"/>
      <c r="AE63" s="53">
        <v>0</v>
      </c>
      <c r="AF63" s="21"/>
      <c r="AH63" s="29"/>
      <c r="AI63" s="71"/>
      <c r="AJ63" s="71"/>
      <c r="AK63" s="71"/>
      <c r="AL63" s="71"/>
      <c r="AM63" s="71"/>
      <c r="AN63" s="71"/>
      <c r="AO63" s="71"/>
      <c r="AP63" s="71"/>
      <c r="AQ63" s="71"/>
      <c r="AR63" s="23"/>
      <c r="AS63" s="53">
        <v>0</v>
      </c>
      <c r="AT63" s="21"/>
      <c r="AV63" s="29"/>
      <c r="AW63" s="71"/>
      <c r="AX63" s="71"/>
      <c r="AY63" s="71"/>
      <c r="AZ63" s="71"/>
      <c r="BA63" s="71"/>
      <c r="BB63" s="71"/>
      <c r="BC63" s="71"/>
      <c r="BD63" s="71"/>
      <c r="BE63" s="71"/>
      <c r="BF63" s="29">
        <v>0</v>
      </c>
      <c r="BG63" s="55">
        <v>0</v>
      </c>
    </row>
    <row r="64" spans="2:60" hidden="1" outlineLevel="1">
      <c r="C64" s="16"/>
      <c r="E64" s="69" t="s">
        <v>71</v>
      </c>
      <c r="F64" s="29"/>
      <c r="G64" s="71"/>
      <c r="H64" s="71"/>
      <c r="I64" s="71"/>
      <c r="J64" s="71"/>
      <c r="K64" s="71"/>
      <c r="L64" s="71"/>
      <c r="M64" s="71"/>
      <c r="N64" s="71"/>
      <c r="O64" s="71"/>
      <c r="P64" s="23">
        <v>2291.67</v>
      </c>
      <c r="Q64" s="53">
        <v>1.0071523386966205E-3</v>
      </c>
      <c r="R64" s="21"/>
      <c r="T64" s="29"/>
      <c r="U64" s="71"/>
      <c r="V64" s="71"/>
      <c r="W64" s="71"/>
      <c r="X64" s="71"/>
      <c r="Y64" s="71"/>
      <c r="Z64" s="71"/>
      <c r="AA64" s="71"/>
      <c r="AB64" s="71"/>
      <c r="AC64" s="71"/>
      <c r="AD64" s="72"/>
      <c r="AE64" s="53">
        <v>0</v>
      </c>
      <c r="AF64" s="21"/>
      <c r="AH64" s="29"/>
      <c r="AI64" s="71"/>
      <c r="AJ64" s="71"/>
      <c r="AK64" s="71"/>
      <c r="AL64" s="71"/>
      <c r="AM64" s="71"/>
      <c r="AN64" s="71"/>
      <c r="AO64" s="71"/>
      <c r="AP64" s="71"/>
      <c r="AQ64" s="71"/>
      <c r="AR64" s="23"/>
      <c r="AS64" s="53">
        <v>0</v>
      </c>
      <c r="AT64" s="21"/>
      <c r="AV64" s="29"/>
      <c r="AW64" s="71"/>
      <c r="AX64" s="71"/>
      <c r="AY64" s="71"/>
      <c r="AZ64" s="71"/>
      <c r="BA64" s="71"/>
      <c r="BB64" s="71"/>
      <c r="BC64" s="71"/>
      <c r="BD64" s="71"/>
      <c r="BE64" s="71"/>
      <c r="BF64" s="29">
        <v>0</v>
      </c>
      <c r="BG64" s="55">
        <v>0</v>
      </c>
    </row>
    <row r="65" spans="2:59" hidden="1" outlineLevel="1">
      <c r="E65" s="69" t="s">
        <v>76</v>
      </c>
      <c r="F65" s="29"/>
      <c r="G65" s="71"/>
      <c r="H65" s="71"/>
      <c r="I65" s="71"/>
      <c r="J65" s="71"/>
      <c r="K65" s="71"/>
      <c r="L65" s="71"/>
      <c r="M65" s="71"/>
      <c r="N65" s="71"/>
      <c r="O65" s="71"/>
      <c r="P65" s="23">
        <v>0</v>
      </c>
      <c r="Q65" s="53">
        <v>0</v>
      </c>
      <c r="R65" s="21"/>
      <c r="T65" s="29"/>
      <c r="U65" s="71"/>
      <c r="V65" s="71"/>
      <c r="W65" s="71"/>
      <c r="X65" s="71"/>
      <c r="Y65" s="71"/>
      <c r="Z65" s="71"/>
      <c r="AA65" s="71"/>
      <c r="AB65" s="71"/>
      <c r="AC65" s="71"/>
      <c r="AD65" s="72"/>
      <c r="AE65" s="53">
        <v>0</v>
      </c>
      <c r="AF65" s="21"/>
      <c r="AH65" s="29"/>
      <c r="AI65" s="71"/>
      <c r="AJ65" s="71"/>
      <c r="AK65" s="71"/>
      <c r="AL65" s="71"/>
      <c r="AM65" s="71"/>
      <c r="AN65" s="71"/>
      <c r="AO65" s="71"/>
      <c r="AP65" s="71"/>
      <c r="AQ65" s="71"/>
      <c r="AR65" s="23"/>
      <c r="AS65" s="53">
        <v>0</v>
      </c>
      <c r="AT65" s="21"/>
      <c r="AV65" s="29"/>
      <c r="AW65" s="71"/>
      <c r="AX65" s="71"/>
      <c r="AY65" s="71"/>
      <c r="AZ65" s="71"/>
      <c r="BA65" s="71"/>
      <c r="BB65" s="71"/>
      <c r="BC65" s="71"/>
      <c r="BD65" s="71"/>
      <c r="BE65" s="71"/>
      <c r="BF65" s="29">
        <v>0</v>
      </c>
      <c r="BG65" s="55">
        <v>0</v>
      </c>
    </row>
    <row r="66" spans="2:59" hidden="1" outlineLevel="1">
      <c r="E66" s="69" t="s">
        <v>77</v>
      </c>
      <c r="F66" s="29"/>
      <c r="G66" s="71"/>
      <c r="H66" s="71"/>
      <c r="I66" s="71"/>
      <c r="J66" s="71"/>
      <c r="K66" s="71"/>
      <c r="L66" s="71"/>
      <c r="M66" s="71"/>
      <c r="N66" s="71"/>
      <c r="O66" s="71"/>
      <c r="P66" s="23">
        <v>0</v>
      </c>
      <c r="Q66" s="53">
        <v>0</v>
      </c>
      <c r="R66" s="21"/>
      <c r="T66" s="29"/>
      <c r="U66" s="71"/>
      <c r="V66" s="71"/>
      <c r="W66" s="71"/>
      <c r="X66" s="71"/>
      <c r="Y66" s="71"/>
      <c r="Z66" s="71"/>
      <c r="AA66" s="71"/>
      <c r="AB66" s="71"/>
      <c r="AC66" s="71"/>
      <c r="AD66" s="72"/>
      <c r="AE66" s="53">
        <v>0</v>
      </c>
      <c r="AF66" s="21"/>
      <c r="AH66" s="29"/>
      <c r="AI66" s="71"/>
      <c r="AJ66" s="71"/>
      <c r="AK66" s="71"/>
      <c r="AL66" s="71"/>
      <c r="AM66" s="71"/>
      <c r="AN66" s="71"/>
      <c r="AO66" s="71"/>
      <c r="AP66" s="71"/>
      <c r="AQ66" s="71"/>
      <c r="AR66" s="23"/>
      <c r="AS66" s="53">
        <v>0</v>
      </c>
      <c r="AT66" s="21"/>
      <c r="AV66" s="29"/>
      <c r="AW66" s="71"/>
      <c r="AX66" s="71"/>
      <c r="AY66" s="71"/>
      <c r="AZ66" s="71"/>
      <c r="BA66" s="71"/>
      <c r="BB66" s="71"/>
      <c r="BC66" s="71"/>
      <c r="BD66" s="71"/>
      <c r="BE66" s="71"/>
      <c r="BF66" s="29">
        <v>0</v>
      </c>
      <c r="BG66" s="55">
        <v>0</v>
      </c>
    </row>
    <row r="67" spans="2:59" hidden="1" outlineLevel="1">
      <c r="C67" s="16"/>
      <c r="E67" s="69" t="s">
        <v>78</v>
      </c>
      <c r="F67" s="29"/>
      <c r="G67" s="71"/>
      <c r="H67" s="71"/>
      <c r="I67" s="71"/>
      <c r="J67" s="71"/>
      <c r="K67" s="71"/>
      <c r="L67" s="71"/>
      <c r="M67" s="71"/>
      <c r="N67" s="71"/>
      <c r="O67" s="71"/>
      <c r="P67" s="23">
        <v>15420</v>
      </c>
      <c r="Q67" s="53">
        <v>6.7768435519520208E-3</v>
      </c>
      <c r="R67" s="21"/>
      <c r="T67" s="29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53">
        <v>0</v>
      </c>
      <c r="AF67" s="21"/>
      <c r="AH67" s="29"/>
      <c r="AI67" s="71"/>
      <c r="AJ67" s="71"/>
      <c r="AK67" s="71"/>
      <c r="AL67" s="71"/>
      <c r="AM67" s="71"/>
      <c r="AN67" s="71"/>
      <c r="AO67" s="71"/>
      <c r="AP67" s="71"/>
      <c r="AQ67" s="71"/>
      <c r="AR67" s="23"/>
      <c r="AS67" s="53">
        <v>0</v>
      </c>
      <c r="AT67" s="21"/>
      <c r="AV67" s="29"/>
      <c r="AW67" s="71"/>
      <c r="AX67" s="71"/>
      <c r="AY67" s="71"/>
      <c r="AZ67" s="71"/>
      <c r="BA67" s="71"/>
      <c r="BB67" s="71"/>
      <c r="BC67" s="71"/>
      <c r="BD67" s="71"/>
      <c r="BE67" s="71"/>
      <c r="BF67" s="29">
        <v>0</v>
      </c>
      <c r="BG67" s="55">
        <v>0</v>
      </c>
    </row>
    <row r="68" spans="2:59" hidden="1" outlineLevel="1">
      <c r="C68" s="16"/>
      <c r="E68" s="69" t="s">
        <v>79</v>
      </c>
      <c r="F68" s="29"/>
      <c r="G68" s="71"/>
      <c r="H68" s="71"/>
      <c r="I68" s="71"/>
      <c r="J68" s="71"/>
      <c r="K68" s="71"/>
      <c r="L68" s="71"/>
      <c r="M68" s="71"/>
      <c r="N68" s="71"/>
      <c r="O68" s="71"/>
      <c r="P68" s="23">
        <v>14313.94</v>
      </c>
      <c r="Q68" s="53">
        <v>6.2907478594051956E-3</v>
      </c>
      <c r="R68" s="21"/>
      <c r="T68" s="29"/>
      <c r="U68" s="71"/>
      <c r="V68" s="71"/>
      <c r="W68" s="71"/>
      <c r="X68" s="71"/>
      <c r="Y68" s="71"/>
      <c r="Z68" s="71"/>
      <c r="AA68" s="71"/>
      <c r="AB68" s="71"/>
      <c r="AC68" s="71"/>
      <c r="AD68" s="72"/>
      <c r="AE68" s="53">
        <v>0</v>
      </c>
      <c r="AF68" s="21"/>
      <c r="AH68" s="29"/>
      <c r="AI68" s="71"/>
      <c r="AJ68" s="71"/>
      <c r="AK68" s="71"/>
      <c r="AL68" s="71"/>
      <c r="AM68" s="71"/>
      <c r="AN68" s="71"/>
      <c r="AO68" s="71"/>
      <c r="AP68" s="71"/>
      <c r="AQ68" s="71"/>
      <c r="AR68" s="23"/>
      <c r="AS68" s="53">
        <v>0</v>
      </c>
      <c r="AT68" s="21"/>
      <c r="AV68" s="29"/>
      <c r="AW68" s="71"/>
      <c r="AX68" s="71"/>
      <c r="AY68" s="71"/>
      <c r="AZ68" s="71"/>
      <c r="BA68" s="71"/>
      <c r="BB68" s="71"/>
      <c r="BC68" s="71"/>
      <c r="BD68" s="71"/>
      <c r="BE68" s="71"/>
      <c r="BF68" s="29">
        <v>0</v>
      </c>
      <c r="BG68" s="55">
        <v>0</v>
      </c>
    </row>
    <row r="69" spans="2:59" hidden="1" outlineLevel="1">
      <c r="E69" s="69" t="s">
        <v>80</v>
      </c>
      <c r="F69" s="29"/>
      <c r="G69" s="71"/>
      <c r="H69" s="71"/>
      <c r="I69" s="71"/>
      <c r="J69" s="71"/>
      <c r="K69" s="71"/>
      <c r="L69" s="71"/>
      <c r="M69" s="71"/>
      <c r="N69" s="71"/>
      <c r="O69" s="71"/>
      <c r="P69" s="23">
        <v>20826</v>
      </c>
      <c r="Q69" s="53">
        <v>9.1526941512939542E-3</v>
      </c>
      <c r="R69" s="21"/>
      <c r="T69" s="29"/>
      <c r="U69" s="71"/>
      <c r="V69" s="71"/>
      <c r="W69" s="71"/>
      <c r="X69" s="71"/>
      <c r="Y69" s="71"/>
      <c r="Z69" s="71"/>
      <c r="AA69" s="71"/>
      <c r="AB69" s="71"/>
      <c r="AC69" s="71"/>
      <c r="AD69" s="72"/>
      <c r="AE69" s="53">
        <v>0</v>
      </c>
      <c r="AF69" s="21"/>
      <c r="AH69" s="29"/>
      <c r="AI69" s="71"/>
      <c r="AJ69" s="71"/>
      <c r="AK69" s="71"/>
      <c r="AL69" s="71"/>
      <c r="AM69" s="71"/>
      <c r="AN69" s="71"/>
      <c r="AO69" s="71"/>
      <c r="AP69" s="71"/>
      <c r="AQ69" s="71"/>
      <c r="AR69" s="23"/>
      <c r="AS69" s="53">
        <v>0</v>
      </c>
      <c r="AT69" s="21"/>
      <c r="AV69" s="29"/>
      <c r="AW69" s="71"/>
      <c r="AX69" s="71"/>
      <c r="AY69" s="71"/>
      <c r="AZ69" s="71"/>
      <c r="BA69" s="71"/>
      <c r="BB69" s="71"/>
      <c r="BC69" s="71"/>
      <c r="BD69" s="71"/>
      <c r="BE69" s="71"/>
      <c r="BF69" s="29">
        <v>0</v>
      </c>
      <c r="BG69" s="55">
        <v>0</v>
      </c>
    </row>
    <row r="70" spans="2:59" collapsed="1">
      <c r="B70" s="26" t="s">
        <v>49</v>
      </c>
      <c r="C70" s="16" t="s">
        <v>72</v>
      </c>
      <c r="E70" s="68" t="s">
        <v>51</v>
      </c>
      <c r="F70" s="29"/>
      <c r="G70" s="71"/>
      <c r="H70" s="71"/>
      <c r="I70" s="71"/>
      <c r="J70" s="71"/>
      <c r="K70" s="71"/>
      <c r="L70" s="71"/>
      <c r="M70" s="71"/>
      <c r="N70" s="71"/>
      <c r="O70" s="71"/>
      <c r="P70" s="23">
        <v>126695.42000000001</v>
      </c>
      <c r="Q70" s="53">
        <v>5.5680612197720698E-2</v>
      </c>
      <c r="R70" s="21"/>
      <c r="T70" s="29"/>
      <c r="U70" s="71"/>
      <c r="V70" s="71"/>
      <c r="W70" s="71"/>
      <c r="X70" s="71"/>
      <c r="Y70" s="71"/>
      <c r="Z70" s="71"/>
      <c r="AA70" s="71"/>
      <c r="AB70" s="71"/>
      <c r="AC70" s="71"/>
      <c r="AD70" s="23">
        <v>65441.796462696926</v>
      </c>
      <c r="AE70" s="53">
        <v>2.4244894780799834E-2</v>
      </c>
      <c r="AF70" s="21"/>
      <c r="AH70" s="29"/>
      <c r="AI70" s="71"/>
      <c r="AJ70" s="71"/>
      <c r="AK70" s="71"/>
      <c r="AL70" s="71"/>
      <c r="AM70" s="71"/>
      <c r="AN70" s="71"/>
      <c r="AO70" s="71"/>
      <c r="AP70" s="71"/>
      <c r="AQ70" s="71"/>
      <c r="AR70" s="23">
        <v>162254.04</v>
      </c>
      <c r="AS70" s="53">
        <v>4.5895423958584369E-2</v>
      </c>
      <c r="AT70" s="21"/>
      <c r="AV70" s="29"/>
      <c r="AW70" s="71"/>
      <c r="AX70" s="71"/>
      <c r="AY70" s="71"/>
      <c r="AZ70" s="71"/>
      <c r="BA70" s="71"/>
      <c r="BB70" s="71"/>
      <c r="BC70" s="71"/>
      <c r="BD70" s="71"/>
      <c r="BE70" s="71"/>
      <c r="BF70" s="29">
        <v>96812.243537303089</v>
      </c>
      <c r="BG70" s="55">
        <v>2.1650529177784534</v>
      </c>
    </row>
    <row r="71" spans="2:59">
      <c r="B71" s="26" t="s">
        <v>81</v>
      </c>
      <c r="C71" s="16" t="s">
        <v>72</v>
      </c>
      <c r="E71" s="68" t="s">
        <v>82</v>
      </c>
      <c r="F71" s="29"/>
      <c r="G71" s="71"/>
      <c r="H71" s="71"/>
      <c r="I71" s="71"/>
      <c r="J71" s="71"/>
      <c r="K71" s="71"/>
      <c r="L71" s="71"/>
      <c r="M71" s="71"/>
      <c r="N71" s="71"/>
      <c r="O71" s="71"/>
      <c r="P71" s="23">
        <v>14113.750000000002</v>
      </c>
      <c r="Q71" s="53">
        <v>6.2027675539145814E-3</v>
      </c>
      <c r="R71" s="21"/>
      <c r="T71" s="29"/>
      <c r="U71" s="71"/>
      <c r="V71" s="71"/>
      <c r="W71" s="71"/>
      <c r="X71" s="71"/>
      <c r="Y71" s="71"/>
      <c r="Z71" s="71"/>
      <c r="AA71" s="71"/>
      <c r="AB71" s="71"/>
      <c r="AC71" s="71"/>
      <c r="AD71" s="23">
        <v>13768.106533117241</v>
      </c>
      <c r="AE71" s="53">
        <v>5.1008119010997246E-3</v>
      </c>
      <c r="AF71" s="21"/>
      <c r="AH71" s="29"/>
      <c r="AI71" s="71"/>
      <c r="AJ71" s="71"/>
      <c r="AK71" s="71"/>
      <c r="AL71" s="71"/>
      <c r="AM71" s="71"/>
      <c r="AN71" s="71"/>
      <c r="AO71" s="71"/>
      <c r="AP71" s="71"/>
      <c r="AQ71" s="71"/>
      <c r="AR71" s="23">
        <v>7688.0899999999974</v>
      </c>
      <c r="AS71" s="53">
        <v>2.1746648033032201E-3</v>
      </c>
      <c r="AT71" s="21"/>
      <c r="AV71" s="29"/>
      <c r="AW71" s="71"/>
      <c r="AX71" s="71"/>
      <c r="AY71" s="71"/>
      <c r="AZ71" s="71"/>
      <c r="BA71" s="71"/>
      <c r="BB71" s="71"/>
      <c r="BC71" s="71"/>
      <c r="BD71" s="71"/>
      <c r="BE71" s="71"/>
      <c r="BF71" s="29">
        <v>-6080.0165331172439</v>
      </c>
      <c r="BG71" s="55">
        <v>-0.29261470977965043</v>
      </c>
    </row>
    <row r="72" spans="2:59">
      <c r="B72" s="26" t="s">
        <v>83</v>
      </c>
      <c r="C72" s="16" t="s">
        <v>72</v>
      </c>
      <c r="E72" s="68" t="s">
        <v>84</v>
      </c>
      <c r="F72" s="29"/>
      <c r="G72" s="71"/>
      <c r="H72" s="71"/>
      <c r="I72" s="71"/>
      <c r="J72" s="71"/>
      <c r="K72" s="71"/>
      <c r="L72" s="71"/>
      <c r="M72" s="71"/>
      <c r="N72" s="71"/>
      <c r="O72" s="71"/>
      <c r="P72" s="23">
        <v>24626.66</v>
      </c>
      <c r="Q72" s="53">
        <v>1.0823023477763602E-2</v>
      </c>
      <c r="R72" s="21"/>
      <c r="T72" s="29"/>
      <c r="U72" s="71"/>
      <c r="V72" s="71"/>
      <c r="W72" s="71"/>
      <c r="X72" s="71"/>
      <c r="Y72" s="71"/>
      <c r="Z72" s="71"/>
      <c r="AA72" s="71"/>
      <c r="AB72" s="71"/>
      <c r="AC72" s="71"/>
      <c r="AD72" s="23">
        <v>24658.39</v>
      </c>
      <c r="AE72" s="53">
        <v>9.1354471198648573E-3</v>
      </c>
      <c r="AF72" s="21"/>
      <c r="AH72" s="29"/>
      <c r="AI72" s="71"/>
      <c r="AJ72" s="71"/>
      <c r="AK72" s="71"/>
      <c r="AL72" s="71"/>
      <c r="AM72" s="71"/>
      <c r="AN72" s="71"/>
      <c r="AO72" s="71"/>
      <c r="AP72" s="71"/>
      <c r="AQ72" s="71"/>
      <c r="AR72" s="23">
        <v>24674.22</v>
      </c>
      <c r="AS72" s="53">
        <v>6.9793873098468401E-3</v>
      </c>
      <c r="AT72" s="21"/>
      <c r="AV72" s="29"/>
      <c r="AW72" s="71"/>
      <c r="AX72" s="71"/>
      <c r="AY72" s="71"/>
      <c r="AZ72" s="71"/>
      <c r="BA72" s="71"/>
      <c r="BB72" s="71"/>
      <c r="BC72" s="71"/>
      <c r="BD72" s="71"/>
      <c r="BE72" s="71"/>
      <c r="BF72" s="29">
        <v>15.830000000001746</v>
      </c>
      <c r="BG72" s="55">
        <v>-0.21560598100180173</v>
      </c>
    </row>
    <row r="73" spans="2:59">
      <c r="B73" s="26" t="s">
        <v>85</v>
      </c>
      <c r="C73" s="16" t="s">
        <v>72</v>
      </c>
      <c r="E73" s="68" t="s">
        <v>86</v>
      </c>
      <c r="F73" s="29"/>
      <c r="G73" s="71"/>
      <c r="H73" s="71"/>
      <c r="I73" s="71"/>
      <c r="J73" s="71"/>
      <c r="K73" s="71"/>
      <c r="L73" s="71"/>
      <c r="M73" s="71"/>
      <c r="N73" s="71"/>
      <c r="O73" s="71"/>
      <c r="P73" s="23">
        <v>8297.119999999999</v>
      </c>
      <c r="Q73" s="53">
        <v>3.6464516324106449E-3</v>
      </c>
      <c r="R73" s="21"/>
      <c r="T73" s="29"/>
      <c r="U73" s="71"/>
      <c r="V73" s="71"/>
      <c r="W73" s="71"/>
      <c r="X73" s="71"/>
      <c r="Y73" s="71"/>
      <c r="Z73" s="71"/>
      <c r="AA73" s="71"/>
      <c r="AB73" s="71"/>
      <c r="AC73" s="71"/>
      <c r="AD73" s="23">
        <v>18900.852903540064</v>
      </c>
      <c r="AE73" s="53">
        <v>7.002393190335395E-3</v>
      </c>
      <c r="AF73" s="21"/>
      <c r="AH73" s="29"/>
      <c r="AI73" s="71"/>
      <c r="AJ73" s="71"/>
      <c r="AK73" s="71"/>
      <c r="AL73" s="71"/>
      <c r="AM73" s="71"/>
      <c r="AN73" s="71"/>
      <c r="AO73" s="71"/>
      <c r="AP73" s="71"/>
      <c r="AQ73" s="71"/>
      <c r="AR73" s="23">
        <v>4262.32</v>
      </c>
      <c r="AS73" s="53">
        <v>1.2056463028418481E-3</v>
      </c>
      <c r="AT73" s="21"/>
      <c r="AV73" s="29"/>
      <c r="AW73" s="71"/>
      <c r="AX73" s="71"/>
      <c r="AY73" s="71"/>
      <c r="AZ73" s="71"/>
      <c r="BA73" s="71"/>
      <c r="BB73" s="71"/>
      <c r="BC73" s="71"/>
      <c r="BD73" s="71"/>
      <c r="BE73" s="71"/>
      <c r="BF73" s="29">
        <v>-14638.532903540065</v>
      </c>
      <c r="BG73" s="55">
        <v>-0.57967468874935468</v>
      </c>
    </row>
    <row r="74" spans="2:59">
      <c r="B74" s="26" t="s">
        <v>87</v>
      </c>
      <c r="C74" s="16" t="s">
        <v>72</v>
      </c>
      <c r="E74" s="68" t="s">
        <v>88</v>
      </c>
      <c r="F74" s="29"/>
      <c r="G74" s="71"/>
      <c r="H74" s="71"/>
      <c r="I74" s="71"/>
      <c r="J74" s="71"/>
      <c r="K74" s="71"/>
      <c r="L74" s="71"/>
      <c r="M74" s="71"/>
      <c r="N74" s="71"/>
      <c r="O74" s="71"/>
      <c r="P74" s="23">
        <v>4318.51</v>
      </c>
      <c r="Q74" s="53">
        <v>1.897916125002615E-3</v>
      </c>
      <c r="R74" s="21"/>
      <c r="T74" s="29"/>
      <c r="U74" s="71"/>
      <c r="V74" s="71"/>
      <c r="W74" s="71"/>
      <c r="X74" s="71"/>
      <c r="Y74" s="71"/>
      <c r="Z74" s="71"/>
      <c r="AA74" s="71"/>
      <c r="AB74" s="71"/>
      <c r="AC74" s="71"/>
      <c r="AD74" s="23">
        <v>4882.976266812193</v>
      </c>
      <c r="AE74" s="53">
        <v>1.8090463924456505E-3</v>
      </c>
      <c r="AF74" s="21"/>
      <c r="AH74" s="29"/>
      <c r="AI74" s="71"/>
      <c r="AJ74" s="71"/>
      <c r="AK74" s="71"/>
      <c r="AL74" s="71"/>
      <c r="AM74" s="71"/>
      <c r="AN74" s="71"/>
      <c r="AO74" s="71"/>
      <c r="AP74" s="71"/>
      <c r="AQ74" s="71"/>
      <c r="AR74" s="23">
        <v>3909.58</v>
      </c>
      <c r="AS74" s="53">
        <v>1.1058697311943806E-3</v>
      </c>
      <c r="AT74" s="21"/>
      <c r="AV74" s="29"/>
      <c r="AW74" s="71"/>
      <c r="AX74" s="71"/>
      <c r="AY74" s="71"/>
      <c r="AZ74" s="71"/>
      <c r="BA74" s="71"/>
      <c r="BB74" s="71"/>
      <c r="BC74" s="71"/>
      <c r="BD74" s="71"/>
      <c r="BE74" s="71"/>
      <c r="BF74" s="29">
        <v>-973.39626681219306</v>
      </c>
      <c r="BG74" s="55">
        <v>-7.0317666125126993E-2</v>
      </c>
    </row>
    <row r="75" spans="2:59">
      <c r="B75" s="26" t="s">
        <v>56</v>
      </c>
      <c r="C75" s="16" t="s">
        <v>72</v>
      </c>
      <c r="E75" s="68" t="s">
        <v>57</v>
      </c>
      <c r="F75" s="29"/>
      <c r="G75" s="71"/>
      <c r="H75" s="71"/>
      <c r="I75" s="71"/>
      <c r="J75" s="71"/>
      <c r="K75" s="71"/>
      <c r="L75" s="71"/>
      <c r="M75" s="71"/>
      <c r="N75" s="71"/>
      <c r="O75" s="71"/>
      <c r="P75" s="23">
        <v>434382.51</v>
      </c>
      <c r="Q75" s="53">
        <v>0.190904170685748</v>
      </c>
      <c r="R75" s="21"/>
      <c r="T75" s="29"/>
      <c r="U75" s="71"/>
      <c r="V75" s="71"/>
      <c r="W75" s="71"/>
      <c r="X75" s="71"/>
      <c r="Y75" s="71"/>
      <c r="Z75" s="71"/>
      <c r="AA75" s="71"/>
      <c r="AB75" s="71"/>
      <c r="AC75" s="71"/>
      <c r="AD75" s="23">
        <v>36657.736784823297</v>
      </c>
      <c r="AE75" s="53">
        <v>1.3580968422175091E-2</v>
      </c>
      <c r="AF75" s="21"/>
      <c r="AH75" s="29"/>
      <c r="AI75" s="71"/>
      <c r="AJ75" s="71"/>
      <c r="AK75" s="71"/>
      <c r="AL75" s="71"/>
      <c r="AM75" s="71"/>
      <c r="AN75" s="71"/>
      <c r="AO75" s="71"/>
      <c r="AP75" s="71"/>
      <c r="AQ75" s="71"/>
      <c r="AR75" s="23">
        <v>-88284.450000000012</v>
      </c>
      <c r="AS75" s="53">
        <v>-2.4972273489772236E-2</v>
      </c>
      <c r="AT75" s="21"/>
      <c r="AV75" s="29"/>
      <c r="AW75" s="71"/>
      <c r="AX75" s="71"/>
      <c r="AY75" s="71"/>
      <c r="AZ75" s="71"/>
      <c r="BA75" s="71"/>
      <c r="BB75" s="71"/>
      <c r="BC75" s="71"/>
      <c r="BD75" s="71"/>
      <c r="BE75" s="71"/>
      <c r="BF75" s="29">
        <v>-124942.18678482331</v>
      </c>
      <c r="BG75" s="55">
        <v>-3.8553241911947325</v>
      </c>
    </row>
    <row r="76" spans="2:59" ht="15">
      <c r="E76" s="34" t="s">
        <v>89</v>
      </c>
      <c r="F76" s="35"/>
      <c r="G76" s="37"/>
      <c r="H76" s="37"/>
      <c r="I76" s="37"/>
      <c r="J76" s="37"/>
      <c r="K76" s="37"/>
      <c r="L76" s="37"/>
      <c r="M76" s="37"/>
      <c r="N76" s="37"/>
      <c r="O76" s="37"/>
      <c r="P76" s="35">
        <v>1005067.08</v>
      </c>
      <c r="Q76" s="36">
        <v>0.44171091831240245</v>
      </c>
      <c r="R76" s="21"/>
      <c r="T76" s="35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/>
      <c r="AD76" s="35">
        <v>623267.81856806902</v>
      </c>
      <c r="AE76" s="36">
        <v>0.23090843311514331</v>
      </c>
      <c r="AF76" s="21"/>
      <c r="AH76" s="35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/>
      <c r="AQ76" s="37"/>
      <c r="AR76" s="35">
        <v>572971.00999999978</v>
      </c>
      <c r="AS76" s="36">
        <v>0.16207144931447176</v>
      </c>
      <c r="AT76" s="21"/>
      <c r="AV76" s="38">
        <v>0</v>
      </c>
      <c r="AW76" s="73">
        <v>0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/>
      <c r="BE76" s="73"/>
      <c r="BF76" s="38">
        <v>-50296.808568069246</v>
      </c>
      <c r="BG76" s="39">
        <v>-6.8836983800671545</v>
      </c>
    </row>
    <row r="77" spans="2:59">
      <c r="E77" s="16"/>
      <c r="F77" s="23"/>
      <c r="G77" s="32"/>
      <c r="H77" s="32"/>
      <c r="I77" s="32"/>
      <c r="J77" s="32"/>
      <c r="K77" s="32"/>
      <c r="L77" s="32"/>
      <c r="M77" s="32"/>
      <c r="N77" s="32"/>
      <c r="O77" s="32"/>
      <c r="P77" s="23"/>
      <c r="Q77" s="53"/>
      <c r="R77" s="21"/>
      <c r="T77" s="23"/>
      <c r="U77" s="32"/>
      <c r="V77" s="32"/>
      <c r="W77" s="32"/>
      <c r="X77" s="32"/>
      <c r="Y77" s="32"/>
      <c r="Z77" s="32"/>
      <c r="AA77" s="32"/>
      <c r="AB77" s="32"/>
      <c r="AC77" s="32"/>
      <c r="AD77" s="23"/>
      <c r="AE77" s="53"/>
      <c r="AF77" s="21"/>
      <c r="AH77" s="23"/>
      <c r="AI77" s="32"/>
      <c r="AJ77" s="32"/>
      <c r="AK77" s="32"/>
      <c r="AL77" s="32"/>
      <c r="AM77" s="32"/>
      <c r="AN77" s="32"/>
      <c r="AO77" s="32"/>
      <c r="AP77" s="32"/>
      <c r="AQ77" s="32"/>
      <c r="AR77" s="113">
        <f>AR76/P76</f>
        <v>0.57008235709003607</v>
      </c>
      <c r="AS77" s="53"/>
      <c r="AT77" s="21"/>
      <c r="AV77" s="29"/>
      <c r="AW77" s="71"/>
      <c r="AX77" s="71"/>
      <c r="AY77" s="71"/>
      <c r="AZ77" s="71"/>
      <c r="BA77" s="71"/>
      <c r="BB77" s="71"/>
      <c r="BC77" s="71"/>
      <c r="BD77" s="71"/>
      <c r="BE77" s="71"/>
      <c r="BF77" s="29"/>
      <c r="BG77" s="55"/>
    </row>
    <row r="78" spans="2:59" ht="15">
      <c r="E78" s="34" t="s">
        <v>90</v>
      </c>
      <c r="F78" s="35"/>
      <c r="G78" s="37"/>
      <c r="H78" s="37"/>
      <c r="I78" s="37"/>
      <c r="J78" s="37"/>
      <c r="K78" s="37"/>
      <c r="L78" s="37"/>
      <c r="M78" s="37"/>
      <c r="N78" s="37"/>
      <c r="O78" s="37"/>
      <c r="P78" s="35">
        <v>-98979.95999999973</v>
      </c>
      <c r="Q78" s="36">
        <v>-4.3500110486281912E-2</v>
      </c>
      <c r="R78" s="21"/>
      <c r="T78" s="35"/>
      <c r="U78" s="37"/>
      <c r="V78" s="37"/>
      <c r="W78" s="37"/>
      <c r="X78" s="37"/>
      <c r="Y78" s="37"/>
      <c r="Z78" s="37"/>
      <c r="AA78" s="37"/>
      <c r="AB78" s="37"/>
      <c r="AC78" s="37"/>
      <c r="AD78" s="35">
        <v>184146.43638633098</v>
      </c>
      <c r="AE78" s="36">
        <v>6.822262247936238E-2</v>
      </c>
      <c r="AF78" s="21"/>
      <c r="AH78" s="35"/>
      <c r="AI78" s="37"/>
      <c r="AJ78" s="37"/>
      <c r="AK78" s="37"/>
      <c r="AL78" s="37"/>
      <c r="AM78" s="37"/>
      <c r="AN78" s="37"/>
      <c r="AO78" s="37"/>
      <c r="AP78" s="37"/>
      <c r="AQ78" s="37"/>
      <c r="AR78" s="35">
        <v>-478027.7099999995</v>
      </c>
      <c r="AS78" s="36">
        <v>-0.13521564340956441</v>
      </c>
      <c r="AT78" s="21"/>
      <c r="AV78" s="38"/>
      <c r="AW78" s="73"/>
      <c r="AX78" s="73"/>
      <c r="AY78" s="73"/>
      <c r="AZ78" s="73"/>
      <c r="BA78" s="73"/>
      <c r="BB78" s="73"/>
      <c r="BC78" s="73"/>
      <c r="BD78" s="73"/>
      <c r="BE78" s="73"/>
      <c r="BF78" s="38">
        <v>-662174.14638633048</v>
      </c>
      <c r="BG78" s="39">
        <v>-20.343826588892679</v>
      </c>
    </row>
    <row r="79" spans="2:59">
      <c r="E79" s="16"/>
      <c r="F79" s="23"/>
      <c r="G79" s="32"/>
      <c r="H79" s="32"/>
      <c r="I79" s="32"/>
      <c r="J79" s="32"/>
      <c r="K79" s="32"/>
      <c r="L79" s="32"/>
      <c r="M79" s="32"/>
      <c r="N79" s="32"/>
      <c r="O79" s="32"/>
      <c r="P79" s="23"/>
      <c r="Q79" s="31"/>
      <c r="R79" s="21"/>
      <c r="T79" s="23"/>
      <c r="U79" s="32"/>
      <c r="V79" s="32"/>
      <c r="W79" s="32"/>
      <c r="X79" s="32"/>
      <c r="Y79" s="32"/>
      <c r="Z79" s="32"/>
      <c r="AA79" s="32"/>
      <c r="AB79" s="32"/>
      <c r="AC79" s="32"/>
      <c r="AD79" s="23"/>
      <c r="AE79" s="31"/>
      <c r="AF79" s="21"/>
      <c r="AH79" s="23"/>
      <c r="AI79" s="32"/>
      <c r="AJ79" s="32"/>
      <c r="AK79" s="32"/>
      <c r="AL79" s="32"/>
      <c r="AM79" s="32"/>
      <c r="AN79" s="32"/>
      <c r="AO79" s="32"/>
      <c r="AP79" s="32"/>
      <c r="AQ79" s="32"/>
      <c r="AR79" s="23"/>
      <c r="AS79" s="31"/>
      <c r="AT79" s="21"/>
      <c r="AV79" s="29"/>
      <c r="AW79" s="71"/>
      <c r="AX79" s="71"/>
      <c r="AY79" s="71"/>
      <c r="AZ79" s="71"/>
      <c r="BA79" s="71"/>
      <c r="BB79" s="71"/>
      <c r="BC79" s="71"/>
      <c r="BD79" s="71"/>
      <c r="BE79" s="71"/>
      <c r="BF79" s="29"/>
      <c r="BG79" s="33"/>
    </row>
    <row r="80" spans="2:59" ht="15">
      <c r="E80" s="34" t="s">
        <v>91</v>
      </c>
      <c r="F80" s="35"/>
      <c r="G80" s="37"/>
      <c r="H80" s="37"/>
      <c r="I80" s="37"/>
      <c r="J80" s="37"/>
      <c r="K80" s="37"/>
      <c r="L80" s="37"/>
      <c r="M80" s="37"/>
      <c r="N80" s="37"/>
      <c r="O80" s="37"/>
      <c r="P80" s="35"/>
      <c r="Q80" s="74"/>
      <c r="R80" s="21"/>
      <c r="T80" s="35"/>
      <c r="U80" s="37"/>
      <c r="V80" s="37"/>
      <c r="W80" s="37"/>
      <c r="X80" s="37"/>
      <c r="Y80" s="37"/>
      <c r="Z80" s="37"/>
      <c r="AA80" s="37"/>
      <c r="AB80" s="37"/>
      <c r="AC80" s="37"/>
      <c r="AD80" s="35"/>
      <c r="AE80" s="74"/>
      <c r="AF80" s="21"/>
      <c r="AH80" s="35"/>
      <c r="AI80" s="37"/>
      <c r="AJ80" s="37"/>
      <c r="AK80" s="37"/>
      <c r="AL80" s="37"/>
      <c r="AM80" s="37"/>
      <c r="AN80" s="37"/>
      <c r="AO80" s="37"/>
      <c r="AP80" s="37"/>
      <c r="AQ80" s="37"/>
      <c r="AR80" s="35"/>
      <c r="AS80" s="74"/>
      <c r="AT80" s="21"/>
      <c r="AV80" s="38"/>
      <c r="AW80" s="73"/>
      <c r="AX80" s="73"/>
      <c r="AY80" s="73"/>
      <c r="AZ80" s="73"/>
      <c r="BA80" s="73"/>
      <c r="BB80" s="73"/>
      <c r="BC80" s="73"/>
      <c r="BD80" s="73"/>
      <c r="BE80" s="73"/>
      <c r="BF80" s="38"/>
      <c r="BG80" s="75"/>
    </row>
    <row r="81" spans="5:59">
      <c r="E81" s="16"/>
      <c r="F81" s="23"/>
      <c r="G81" s="32"/>
      <c r="H81" s="32"/>
      <c r="I81" s="32"/>
      <c r="J81" s="32"/>
      <c r="K81" s="32"/>
      <c r="L81" s="32"/>
      <c r="M81" s="32"/>
      <c r="N81" s="32"/>
      <c r="O81" s="32"/>
      <c r="P81" s="23"/>
      <c r="Q81" s="31"/>
      <c r="R81" s="21"/>
      <c r="T81" s="23"/>
      <c r="U81" s="32"/>
      <c r="V81" s="32"/>
      <c r="W81" s="32"/>
      <c r="X81" s="32"/>
      <c r="Y81" s="32"/>
      <c r="Z81" s="32"/>
      <c r="AA81" s="32"/>
      <c r="AB81" s="32"/>
      <c r="AC81" s="32"/>
      <c r="AD81" s="23"/>
      <c r="AE81" s="31"/>
      <c r="AF81" s="21"/>
      <c r="AH81" s="23"/>
      <c r="AI81" s="32"/>
      <c r="AJ81" s="32"/>
      <c r="AK81" s="32"/>
      <c r="AL81" s="32"/>
      <c r="AM81" s="32"/>
      <c r="AN81" s="32"/>
      <c r="AO81" s="32"/>
      <c r="AP81" s="32"/>
      <c r="AQ81" s="32"/>
      <c r="AR81" s="23"/>
      <c r="AS81" s="31"/>
      <c r="AT81" s="21"/>
      <c r="AV81" s="29"/>
      <c r="AW81" s="71"/>
      <c r="AX81" s="71"/>
      <c r="AY81" s="71"/>
      <c r="AZ81" s="71"/>
      <c r="BA81" s="71"/>
      <c r="BB81" s="71"/>
      <c r="BC81" s="71"/>
      <c r="BD81" s="71"/>
      <c r="BE81" s="71"/>
      <c r="BF81" s="29"/>
      <c r="BG81" s="33"/>
    </row>
    <row r="82" spans="5:59" ht="15">
      <c r="E82" s="34" t="s">
        <v>92</v>
      </c>
      <c r="F82" s="35"/>
      <c r="G82" s="37"/>
      <c r="H82" s="37"/>
      <c r="I82" s="37"/>
      <c r="J82" s="37"/>
      <c r="K82" s="37"/>
      <c r="L82" s="37"/>
      <c r="M82" s="37"/>
      <c r="N82" s="37"/>
      <c r="O82" s="37"/>
      <c r="P82" s="35"/>
      <c r="Q82" s="74"/>
      <c r="R82" s="21"/>
      <c r="T82" s="35"/>
      <c r="U82" s="37"/>
      <c r="V82" s="37"/>
      <c r="W82" s="37"/>
      <c r="X82" s="37"/>
      <c r="Y82" s="37"/>
      <c r="Z82" s="37"/>
      <c r="AA82" s="37"/>
      <c r="AB82" s="37"/>
      <c r="AC82" s="37"/>
      <c r="AD82" s="35"/>
      <c r="AE82" s="74"/>
      <c r="AF82" s="21"/>
      <c r="AH82" s="35"/>
      <c r="AI82" s="37"/>
      <c r="AJ82" s="37"/>
      <c r="AK82" s="37"/>
      <c r="AL82" s="37"/>
      <c r="AM82" s="37"/>
      <c r="AN82" s="37"/>
      <c r="AO82" s="37"/>
      <c r="AP82" s="37"/>
      <c r="AQ82" s="37"/>
      <c r="AR82" s="35"/>
      <c r="AS82" s="74"/>
      <c r="AT82" s="21"/>
      <c r="AV82" s="38"/>
      <c r="AW82" s="73"/>
      <c r="AX82" s="73"/>
      <c r="AY82" s="73"/>
      <c r="AZ82" s="73"/>
      <c r="BA82" s="73"/>
      <c r="BB82" s="73"/>
      <c r="BC82" s="73"/>
      <c r="BD82" s="73"/>
      <c r="BE82" s="73"/>
      <c r="BF82" s="38"/>
      <c r="BG82" s="75"/>
    </row>
    <row r="83" spans="5:59" ht="15">
      <c r="E83" s="34" t="s">
        <v>93</v>
      </c>
      <c r="F83" s="35"/>
      <c r="G83" s="37"/>
      <c r="H83" s="37"/>
      <c r="I83" s="37"/>
      <c r="J83" s="37"/>
      <c r="K83" s="37"/>
      <c r="L83" s="37"/>
      <c r="M83" s="37"/>
      <c r="N83" s="37"/>
      <c r="O83" s="37"/>
      <c r="P83" s="35"/>
      <c r="Q83" s="74"/>
      <c r="R83" s="21"/>
      <c r="T83" s="35"/>
      <c r="U83" s="37"/>
      <c r="V83" s="37"/>
      <c r="W83" s="37"/>
      <c r="X83" s="37"/>
      <c r="Y83" s="37"/>
      <c r="Z83" s="37"/>
      <c r="AA83" s="37"/>
      <c r="AB83" s="37"/>
      <c r="AC83" s="37"/>
      <c r="AD83" s="35"/>
      <c r="AE83" s="74"/>
      <c r="AF83" s="21"/>
      <c r="AH83" s="35"/>
      <c r="AI83" s="37"/>
      <c r="AJ83" s="37"/>
      <c r="AK83" s="37"/>
      <c r="AL83" s="37"/>
      <c r="AM83" s="37"/>
      <c r="AN83" s="37"/>
      <c r="AO83" s="37"/>
      <c r="AP83" s="37"/>
      <c r="AQ83" s="37"/>
      <c r="AR83" s="35"/>
      <c r="AS83" s="74"/>
      <c r="AT83" s="21"/>
      <c r="AV83" s="38"/>
      <c r="AW83" s="73"/>
      <c r="AX83" s="73"/>
      <c r="AY83" s="73"/>
      <c r="AZ83" s="73"/>
      <c r="BA83" s="73"/>
      <c r="BB83" s="73"/>
      <c r="BC83" s="73"/>
      <c r="BD83" s="73"/>
      <c r="BE83" s="73"/>
      <c r="BF83" s="38"/>
      <c r="BG83" s="75"/>
    </row>
    <row r="87" spans="5:59">
      <c r="AR87" s="8"/>
    </row>
  </sheetData>
  <phoneticPr fontId="15" type="noConversion"/>
  <conditionalFormatting sqref="T33:T34 V33:V34 X33:X34 Z33:Z34">
    <cfRule type="cellIs" dxfId="61" priority="52" operator="lessThanOrEqual">
      <formula>-1</formula>
    </cfRule>
    <cfRule type="cellIs" dxfId="62" priority="53" operator="greaterThanOrEqual">
      <formula>1</formula>
    </cfRule>
  </conditionalFormatting>
  <conditionalFormatting sqref="U33:U34 Y33:Y34 AA33:AA34 AC33:AC34">
    <cfRule type="cellIs" dxfId="59" priority="48" operator="lessThanOrEqual">
      <formula>-0.0001</formula>
    </cfRule>
    <cfRule type="cellIs" dxfId="60" priority="49" operator="greaterThanOrEqual">
      <formula>0.0001</formula>
    </cfRule>
  </conditionalFormatting>
  <conditionalFormatting sqref="AB33:AB34">
    <cfRule type="cellIs" dxfId="57" priority="50" operator="lessThanOrEqual">
      <formula>-1</formula>
    </cfRule>
    <cfRule type="cellIs" dxfId="58" priority="51" operator="greaterThanOrEqual">
      <formula>1</formula>
    </cfRule>
  </conditionalFormatting>
  <conditionalFormatting sqref="AD33:AD34">
    <cfRule type="cellIs" dxfId="55" priority="46" operator="lessThanOrEqual">
      <formula>-1</formula>
    </cfRule>
    <cfRule type="cellIs" dxfId="56" priority="47" operator="greaterThanOrEqual">
      <formula>1</formula>
    </cfRule>
  </conditionalFormatting>
  <conditionalFormatting sqref="AE33:AE34">
    <cfRule type="cellIs" dxfId="53" priority="44" operator="lessThanOrEqual">
      <formula>-0.0001</formula>
    </cfRule>
    <cfRule type="cellIs" dxfId="54" priority="45" operator="greaterThanOrEqual">
      <formula>0.0001</formula>
    </cfRule>
  </conditionalFormatting>
  <conditionalFormatting sqref="AH33:AH34 AJ33:AJ34 AL33:AL34 AN33:AN34">
    <cfRule type="cellIs" dxfId="51" priority="62" operator="lessThanOrEqual">
      <formula>-1</formula>
    </cfRule>
    <cfRule type="cellIs" dxfId="52" priority="63" operator="greaterThanOrEqual">
      <formula>1</formula>
    </cfRule>
  </conditionalFormatting>
  <conditionalFormatting sqref="AI33:AI34 AM33:AM34 AO33:AO34 AQ33:AQ34">
    <cfRule type="cellIs" dxfId="49" priority="58" operator="lessThanOrEqual">
      <formula>-0.0001</formula>
    </cfRule>
    <cfRule type="cellIs" dxfId="50" priority="59" operator="greaterThanOrEqual">
      <formula>0.0001</formula>
    </cfRule>
  </conditionalFormatting>
  <conditionalFormatting sqref="AK33:AK34">
    <cfRule type="cellIs" dxfId="47" priority="42" operator="lessThanOrEqual">
      <formula>-0.0001</formula>
    </cfRule>
    <cfRule type="cellIs" dxfId="48" priority="43" operator="greaterThanOrEqual">
      <formula>0.0001</formula>
    </cfRule>
  </conditionalFormatting>
  <conditionalFormatting sqref="AP33:AP34">
    <cfRule type="cellIs" dxfId="46" priority="60" operator="lessThanOrEqual">
      <formula>-1</formula>
    </cfRule>
    <cfRule type="cellIs" dxfId="45" priority="61" operator="greaterThanOrEqual">
      <formula>1</formula>
    </cfRule>
  </conditionalFormatting>
  <conditionalFormatting sqref="AR33:AR34">
    <cfRule type="cellIs" dxfId="44" priority="56" operator="lessThanOrEqual">
      <formula>-1</formula>
    </cfRule>
    <cfRule type="cellIs" dxfId="43" priority="57" operator="greaterThanOrEqual">
      <formula>1</formula>
    </cfRule>
  </conditionalFormatting>
  <conditionalFormatting sqref="AS33:AS34">
    <cfRule type="cellIs" dxfId="41" priority="54" operator="lessThanOrEqual">
      <formula>-0.0001</formula>
    </cfRule>
    <cfRule type="cellIs" dxfId="42" priority="55" operator="greaterThanOrEqual">
      <formula>0.0001</formula>
    </cfRule>
  </conditionalFormatting>
  <conditionalFormatting sqref="AV27:AV29 AX27:AX29 AZ27:AZ29 BB27:BB29 BF27:BF29 AV40 AX40 AZ40 BB40 BF40">
    <cfRule type="cellIs" dxfId="40" priority="31" operator="greaterThanOrEqual">
      <formula>0.000001</formula>
    </cfRule>
  </conditionalFormatting>
  <conditionalFormatting sqref="AV27:AV29 AX27:AX29 AZ27:AZ29 BB27:BB29 BF27:BF29">
    <cfRule type="cellIs" dxfId="39" priority="30" operator="lessThanOrEqual">
      <formula>-0.000001</formula>
    </cfRule>
  </conditionalFormatting>
  <conditionalFormatting sqref="AV33:AV34 AX33:AX34 AZ33:AZ34 BB33:BB34">
    <cfRule type="cellIs" dxfId="37" priority="40" operator="lessThanOrEqual">
      <formula>-1</formula>
    </cfRule>
    <cfRule type="cellIs" dxfId="38" priority="41" operator="greaterThanOrEqual">
      <formula>1</formula>
    </cfRule>
  </conditionalFormatting>
  <conditionalFormatting sqref="AV36 AX36 AZ36 BB36 BD36 BF36 AX43:AX51 AZ43:AZ51 BD43:BD51 BF43:BF51 AV43:AV52">
    <cfRule type="cellIs" dxfId="36" priority="28" operator="lessThanOrEqual">
      <formula>-0.000001</formula>
    </cfRule>
    <cfRule type="cellIs" dxfId="35" priority="29" operator="greaterThanOrEqual">
      <formula>0.00001</formula>
    </cfRule>
  </conditionalFormatting>
  <conditionalFormatting sqref="AV39 AX39 AZ39 BF39">
    <cfRule type="cellIs" dxfId="34" priority="14" operator="lessThanOrEqual">
      <formula>-0.00001</formula>
    </cfRule>
    <cfRule type="cellIs" dxfId="33" priority="15" operator="greaterThanOrEqual">
      <formula>0.00001</formula>
    </cfRule>
  </conditionalFormatting>
  <conditionalFormatting sqref="AV40:BB40 BD40:BG40">
    <cfRule type="cellIs" dxfId="32" priority="18" operator="lessThanOrEqual">
      <formula>-0.000001</formula>
    </cfRule>
  </conditionalFormatting>
  <conditionalFormatting sqref="AV53:BB53 BD53:BG53 BF78:BG78">
    <cfRule type="cellIs" dxfId="30" priority="20" operator="lessThanOrEqual">
      <formula>-0.000001</formula>
    </cfRule>
    <cfRule type="cellIs" dxfId="31" priority="21" operator="greaterThanOrEqual">
      <formula>0.000001</formula>
    </cfRule>
  </conditionalFormatting>
  <conditionalFormatting sqref="AW29 AY29 BA29 BC29 BE29 BG29">
    <cfRule type="cellIs" dxfId="29" priority="24" operator="lessThanOrEqual">
      <formula>-0.000001</formula>
    </cfRule>
    <cfRule type="cellIs" dxfId="28" priority="25" operator="greaterThanOrEqual">
      <formula>0.000001</formula>
    </cfRule>
  </conditionalFormatting>
  <conditionalFormatting sqref="AW33:AW34 BA33:BA34 BC33:BC34 BE33:BE34">
    <cfRule type="cellIs" dxfId="26" priority="38" operator="lessThanOrEqual">
      <formula>-0.0001</formula>
    </cfRule>
    <cfRule type="cellIs" dxfId="27" priority="39" operator="greaterThanOrEqual">
      <formula>0.0001</formula>
    </cfRule>
  </conditionalFormatting>
  <conditionalFormatting sqref="AW36 AY36 BA36 BG36">
    <cfRule type="cellIs" dxfId="24" priority="12" operator="lessThanOrEqual">
      <formula>-0.00001</formula>
    </cfRule>
    <cfRule type="cellIs" dxfId="25" priority="13" operator="greaterThanOrEqual">
      <formula>0.000001</formula>
    </cfRule>
  </conditionalFormatting>
  <conditionalFormatting sqref="AW39 AY39 BA39 BC39 BE39 BG39">
    <cfRule type="cellIs" dxfId="22" priority="16" operator="lessThanOrEqual">
      <formula>-0.00001</formula>
    </cfRule>
    <cfRule type="cellIs" dxfId="23" priority="17" operator="greaterThanOrEqual">
      <formula>0.000001</formula>
    </cfRule>
  </conditionalFormatting>
  <conditionalFormatting sqref="AW40 AY40 BA40 BG40">
    <cfRule type="cellIs" dxfId="21" priority="19" operator="greaterThanOrEqual">
      <formula>0.0000001</formula>
    </cfRule>
  </conditionalFormatting>
  <conditionalFormatting sqref="AW43:AW51 AY43:AY51 BA43:BA51 BG43:BG51 BG56:BG76">
    <cfRule type="cellIs" dxfId="19" priority="22" operator="lessThanOrEqual">
      <formula>-0.0000001</formula>
    </cfRule>
    <cfRule type="cellIs" dxfId="20" priority="23" operator="greaterThanOrEqual">
      <formula>0.000001</formula>
    </cfRule>
  </conditionalFormatting>
  <conditionalFormatting sqref="AY33:AY34">
    <cfRule type="cellIs" dxfId="17" priority="32" operator="lessThanOrEqual">
      <formula>-0.0001</formula>
    </cfRule>
    <cfRule type="cellIs" dxfId="18" priority="33" operator="greaterThanOrEqual">
      <formula>0.0001</formula>
    </cfRule>
  </conditionalFormatting>
  <conditionalFormatting sqref="BD27:BD29 BD40">
    <cfRule type="cellIs" dxfId="16" priority="9" operator="greaterThanOrEqual">
      <formula>0.000001</formula>
    </cfRule>
  </conditionalFormatting>
  <conditionalFormatting sqref="BD27:BD29">
    <cfRule type="cellIs" dxfId="15" priority="8" operator="lessThanOrEqual">
      <formula>-0.000001</formula>
    </cfRule>
  </conditionalFormatting>
  <conditionalFormatting sqref="BD33:BD34">
    <cfRule type="cellIs" dxfId="13" priority="10" operator="lessThanOrEqual">
      <formula>-1</formula>
    </cfRule>
    <cfRule type="cellIs" dxfId="14" priority="11" operator="greaterThanOrEqual">
      <formula>1</formula>
    </cfRule>
  </conditionalFormatting>
  <conditionalFormatting sqref="BD39">
    <cfRule type="cellIs" dxfId="11" priority="3" operator="lessThanOrEqual">
      <formula>-0.00001</formula>
    </cfRule>
    <cfRule type="cellIs" dxfId="12" priority="4" operator="greaterThanOrEqual">
      <formula>0.00001</formula>
    </cfRule>
  </conditionalFormatting>
  <conditionalFormatting sqref="BE36">
    <cfRule type="cellIs" dxfId="10" priority="1" operator="lessThanOrEqual">
      <formula>-0.00001</formula>
    </cfRule>
    <cfRule type="cellIs" dxfId="9" priority="2" operator="greaterThanOrEqual">
      <formula>0.000001</formula>
    </cfRule>
  </conditionalFormatting>
  <conditionalFormatting sqref="BE40">
    <cfRule type="cellIs" dxfId="8" priority="5" operator="greaterThanOrEqual">
      <formula>0.0000001</formula>
    </cfRule>
  </conditionalFormatting>
  <conditionalFormatting sqref="BE43:BE51">
    <cfRule type="cellIs" dxfId="6" priority="6" operator="lessThanOrEqual">
      <formula>-0.0000001</formula>
    </cfRule>
    <cfRule type="cellIs" dxfId="7" priority="7" operator="greaterThanOrEqual">
      <formula>0.000001</formula>
    </cfRule>
  </conditionalFormatting>
  <conditionalFormatting sqref="BF33:BF34">
    <cfRule type="cellIs" dxfId="5" priority="36" operator="lessThanOrEqual">
      <formula>-1</formula>
    </cfRule>
    <cfRule type="cellIs" dxfId="4" priority="37" operator="greaterThanOrEqual">
      <formula>1</formula>
    </cfRule>
  </conditionalFormatting>
  <conditionalFormatting sqref="BF56:BF76">
    <cfRule type="cellIs" dxfId="2" priority="26" operator="lessThanOrEqual">
      <formula>-0.000001</formula>
    </cfRule>
    <cfRule type="cellIs" dxfId="3" priority="27" operator="greaterThanOrEqual">
      <formula>0.00001</formula>
    </cfRule>
  </conditionalFormatting>
  <conditionalFormatting sqref="BG33:BG34">
    <cfRule type="cellIs" dxfId="1" priority="34" operator="lessThanOrEqual">
      <formula>-0.0001</formula>
    </cfRule>
    <cfRule type="cellIs" dxfId="0" priority="35" operator="greaterThanOrEqual">
      <formula>0.0001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11월</vt:lpstr>
      <vt:lpstr>YTD -12월까지</vt:lpstr>
      <vt:lpstr>Sheet1</vt:lpstr>
      <vt:lpstr>Sheet2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2025-11-11T06:59:39Z</dcterms:created>
  <dcterms:modified xsi:type="dcterms:W3CDTF">2026-01-12T05:59:42Z</dcterms:modified>
</cp:coreProperties>
</file>