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0401\Documents\업무인수인계\6.실적보고\2025년\stodashboard\"/>
    </mc:Choice>
  </mc:AlternateContent>
  <xr:revisionPtr revIDLastSave="0" documentId="13_ncr:1_{A60391A2-6EC4-47F2-B5DE-E435190CA3DC}" xr6:coauthVersionLast="47" xr6:coauthVersionMax="47" xr10:uidLastSave="{00000000-0000-0000-0000-000000000000}"/>
  <bookViews>
    <workbookView xWindow="-120" yWindow="-120" windowWidth="29040" windowHeight="15720" xr2:uid="{445C2D3C-912F-4869-B45D-C9CFD8AEF8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K38" i="1"/>
  <c r="K28" i="1"/>
  <c r="K22" i="1"/>
  <c r="K21" i="1"/>
  <c r="K16" i="1"/>
  <c r="D5" i="1"/>
  <c r="D4" i="1"/>
  <c r="E5" i="1" l="1"/>
  <c r="E6" i="1"/>
  <c r="E7" i="1"/>
  <c r="E8" i="1"/>
  <c r="E9" i="1"/>
  <c r="E10" i="1"/>
  <c r="E11" i="1"/>
  <c r="E12" i="1"/>
  <c r="E13" i="1"/>
  <c r="E14" i="1"/>
  <c r="E16" i="1"/>
  <c r="E17" i="1"/>
  <c r="E18" i="1"/>
  <c r="E19" i="1"/>
  <c r="E20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D21" i="1"/>
  <c r="E21" i="1" s="1"/>
  <c r="D20" i="1"/>
  <c r="D19" i="1"/>
  <c r="D18" i="1"/>
  <c r="D17" i="1"/>
  <c r="D38" i="1"/>
  <c r="D35" i="1"/>
  <c r="D36" i="1"/>
  <c r="D33" i="1"/>
  <c r="D32" i="1"/>
  <c r="D31" i="1"/>
  <c r="D30" i="1"/>
  <c r="D29" i="1"/>
  <c r="D28" i="1"/>
  <c r="D25" i="1"/>
  <c r="D24" i="1"/>
  <c r="D16" i="1"/>
  <c r="D14" i="1"/>
  <c r="D13" i="1"/>
  <c r="E4" i="1"/>
  <c r="D6" i="1"/>
  <c r="D7" i="1"/>
  <c r="D8" i="1"/>
  <c r="D9" i="1"/>
  <c r="D11" i="1"/>
  <c r="D12" i="1"/>
  <c r="D15" i="1"/>
  <c r="E15" i="1" s="1"/>
  <c r="D23" i="1"/>
  <c r="D26" i="1"/>
  <c r="D27" i="1"/>
  <c r="D34" i="1"/>
  <c r="D37" i="1"/>
  <c r="D39" i="1"/>
  <c r="M7" i="1"/>
  <c r="M6" i="1"/>
  <c r="M5" i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L9" i="1" s="1"/>
  <c r="M9" i="1" s="1"/>
  <c r="L14" i="1"/>
  <c r="L8" i="1" s="1"/>
  <c r="L13" i="1"/>
  <c r="M13" i="1" s="1"/>
  <c r="L12" i="1"/>
  <c r="M12" i="1" s="1"/>
  <c r="L11" i="1"/>
  <c r="M11" i="1" s="1"/>
  <c r="L10" i="1"/>
  <c r="M10" i="1" s="1"/>
  <c r="L4" i="1" l="1"/>
  <c r="M4" i="1" s="1"/>
  <c r="M8" i="1"/>
  <c r="M15" i="1"/>
  <c r="M14" i="1"/>
  <c r="D10" i="1"/>
  <c r="D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AD0401</author>
  </authors>
  <commentList>
    <comment ref="D1" authorId="0" shapeId="0" xr:uid="{B8A510FF-813E-4CF1-96BD-30D09BF00AEF}">
      <text>
        <r>
          <rPr>
            <b/>
            <sz val="9"/>
            <color indexed="81"/>
            <rFont val="Tahoma"/>
            <family val="2"/>
          </rPr>
          <t>AD0401:</t>
        </r>
        <r>
          <rPr>
            <sz val="9"/>
            <color indexed="81"/>
            <rFont val="Tahoma"/>
            <family val="2"/>
          </rPr>
          <t xml:space="preserve">
a</t>
        </r>
      </text>
    </comment>
  </commentList>
</comments>
</file>

<file path=xl/sharedStrings.xml><?xml version="1.0" encoding="utf-8"?>
<sst xmlns="http://schemas.openxmlformats.org/spreadsheetml/2006/main" count="82" uniqueCount="34">
  <si>
    <t>구분</t>
  </si>
  <si>
    <t>1.TAG매출</t>
  </si>
  <si>
    <t>Ecommerce (US)</t>
  </si>
  <si>
    <t>Ecommerce (EU)</t>
  </si>
  <si>
    <t>Wholesale</t>
  </si>
  <si>
    <t>Other Income</t>
  </si>
  <si>
    <t>License</t>
  </si>
  <si>
    <t>2. 실판매출</t>
  </si>
  <si>
    <t>3. 매출원가</t>
  </si>
  <si>
    <t>매출총이익</t>
  </si>
  <si>
    <t>4. 직접비</t>
  </si>
  <si>
    <t>SEM광고비</t>
  </si>
  <si>
    <t>운반비</t>
  </si>
  <si>
    <t>보관료</t>
  </si>
  <si>
    <t>지급수수료</t>
  </si>
  <si>
    <t>기타비용</t>
  </si>
  <si>
    <t>직접이익</t>
  </si>
  <si>
    <t>5. 영업비</t>
  </si>
  <si>
    <t>급여</t>
  </si>
  <si>
    <t>광고선전비</t>
  </si>
  <si>
    <t>출장비/식대</t>
  </si>
  <si>
    <t>사무실임차료</t>
  </si>
  <si>
    <t>샘플</t>
  </si>
  <si>
    <t>감가상각비</t>
  </si>
  <si>
    <t>영업이익</t>
  </si>
  <si>
    <t>24년 대비 영업이익 증감</t>
  </si>
  <si>
    <t>25YTD</t>
    <phoneticPr fontId="1" type="noConversion"/>
  </si>
  <si>
    <t>24YTD</t>
    <phoneticPr fontId="1" type="noConversion"/>
  </si>
  <si>
    <t>YTD YoY</t>
    <phoneticPr fontId="1" type="noConversion"/>
  </si>
  <si>
    <t>25 Total</t>
    <phoneticPr fontId="1" type="noConversion"/>
  </si>
  <si>
    <t>24 Total</t>
  </si>
  <si>
    <t>24 Total</t>
    <phoneticPr fontId="1" type="noConversion"/>
  </si>
  <si>
    <t>Total YoY</t>
    <phoneticPr fontId="1" type="noConversion"/>
  </si>
  <si>
    <t>24.12월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</si>
</sst>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  <xf numFmtId="3" fontId="0" fillId="2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0401\Documents\&#50629;&#47924;&#51064;&#49688;&#51064;&#44228;\6.&#49892;&#51201;&#48372;&#44256;\2025&#45380;\11&#50900;\251204%20STO%20Company%20Budget%20Model_&#49688;&#51221;&#48376;.xlsx" TargetMode="External"/><Relationship Id="rId1" Type="http://schemas.openxmlformats.org/officeDocument/2006/relationships/externalLinkPath" Target="/Users/AD0401/Documents/&#50629;&#47924;&#51064;&#49688;&#51064;&#44228;/6.&#49892;&#51201;&#48372;&#44256;/2025&#45380;/11&#50900;/251204%20STO%20Company%20Budget%20Model_&#49688;&#51221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 Total"/>
      <sheetName val="26 Total"/>
      <sheetName val="보고자료"/>
      <sheetName val="TOC"/>
      <sheetName val="OUTPUT-&gt;"/>
      <sheetName val="미국실적"/>
      <sheetName val="손익_표"/>
      <sheetName val="영업비"/>
      <sheetName val="미국연간"/>
      <sheetName val="STO P&amp;L"/>
      <sheetName val="FINANCIALS-&gt;"/>
      <sheetName val="STO BS"/>
      <sheetName val="STO CF"/>
      <sheetName val="Dashboard for Yoon V3"/>
      <sheetName val="Current &amp; YTD"/>
      <sheetName val="BUDGET-&gt;"/>
      <sheetName val="미국연간 - Stretch Goal"/>
      <sheetName val="STO P&amp;L Monthly - Reforecast"/>
      <sheetName val="STO P&amp;L Monthly - Stretch Goal"/>
      <sheetName val="STO P&amp;L Monthly - KPI Tracking"/>
      <sheetName val="DATA-&gt;"/>
      <sheetName val="STO - IS"/>
      <sheetName val="STO - BS"/>
      <sheetName val="NS Vendor Details"/>
      <sheetName val="G&amp;A Vendor Analysis"/>
      <sheetName val="Direct Costs Vendor Analysis"/>
      <sheetName val="MSRP - Sales"/>
      <sheetName val="Net Sales Breakdown"/>
      <sheetName val="Inventory - MSRP"/>
      <sheetName val="G&amp;A Analysis"/>
      <sheetName val="G&amp;A Vendor x GL Analysis"/>
      <sheetName val="HQ Salaries"/>
      <sheetName val="Direct Costs Analysis"/>
      <sheetName val="STO Headcounts"/>
      <sheetName val="Number of Orders Shipped"/>
      <sheetName val="Direct Costs Breakdown - Budget"/>
      <sheetName val="Direct Costs Breakdown - Actual"/>
      <sheetName val="G&amp;A Budget Bottom-Up"/>
      <sheetName val="Ref"/>
      <sheetName val="Vendor 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1">
          <cell r="AP31">
            <v>976931.59999999986</v>
          </cell>
        </row>
        <row r="32">
          <cell r="AP32">
            <v>2528852.8900000006</v>
          </cell>
        </row>
        <row r="34">
          <cell r="AP34">
            <v>15248021.559999999</v>
          </cell>
        </row>
        <row r="35">
          <cell r="AP35">
            <v>1839043.24</v>
          </cell>
        </row>
        <row r="37">
          <cell r="AP37">
            <v>216333.55</v>
          </cell>
        </row>
        <row r="38">
          <cell r="AP38">
            <v>20809182.839999996</v>
          </cell>
        </row>
        <row r="42">
          <cell r="AP42">
            <v>1244038.0799999998</v>
          </cell>
        </row>
        <row r="43">
          <cell r="AP43">
            <v>4574158.1100000003</v>
          </cell>
        </row>
        <row r="44">
          <cell r="AP44">
            <v>427578.23</v>
          </cell>
        </row>
        <row r="45">
          <cell r="AP45">
            <v>391574.98</v>
          </cell>
        </row>
        <row r="46">
          <cell r="AP46">
            <v>6637349.4000000004</v>
          </cell>
        </row>
        <row r="49">
          <cell r="AP49">
            <v>14171833.439999996</v>
          </cell>
        </row>
        <row r="52">
          <cell r="AP52">
            <v>1128558.72</v>
          </cell>
        </row>
        <row r="53">
          <cell r="AP53">
            <v>1061476.9699999997</v>
          </cell>
        </row>
        <row r="54">
          <cell r="AP54">
            <v>1685290.4100000001</v>
          </cell>
        </row>
        <row r="56">
          <cell r="AP56">
            <v>3145130.77</v>
          </cell>
        </row>
        <row r="57">
          <cell r="AP57">
            <v>0</v>
          </cell>
        </row>
        <row r="58">
          <cell r="AP58">
            <v>7020456.8699999992</v>
          </cell>
        </row>
        <row r="59">
          <cell r="AP59">
            <v>7151376.5699999966</v>
          </cell>
        </row>
        <row r="62">
          <cell r="AP62">
            <v>2930287.83</v>
          </cell>
        </row>
        <row r="63">
          <cell r="AP63">
            <v>425253.56999999995</v>
          </cell>
        </row>
        <row r="64">
          <cell r="AP64">
            <v>639536.68999999994</v>
          </cell>
        </row>
        <row r="65">
          <cell r="AP65">
            <v>124662.61</v>
          </cell>
        </row>
        <row r="66">
          <cell r="AP66">
            <v>698476.71000000008</v>
          </cell>
        </row>
        <row r="67">
          <cell r="AP67">
            <v>1094694.4399999997</v>
          </cell>
        </row>
        <row r="68">
          <cell r="AP68">
            <v>136164.59</v>
          </cell>
        </row>
        <row r="70">
          <cell r="AP70">
            <v>295377.55</v>
          </cell>
        </row>
        <row r="71">
          <cell r="AP71">
            <v>158714.57</v>
          </cell>
        </row>
        <row r="72">
          <cell r="AP72">
            <v>47549.62</v>
          </cell>
        </row>
        <row r="73">
          <cell r="AP73">
            <v>518200.57999999996</v>
          </cell>
        </row>
        <row r="74">
          <cell r="AP74">
            <v>7068918.7599999998</v>
          </cell>
        </row>
        <row r="75">
          <cell r="AP75">
            <v>82457.809999996796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5D68-49F9-4199-A4EC-8B7EB02A8838}">
  <dimension ref="B1:R40"/>
  <sheetViews>
    <sheetView tabSelected="1" topLeftCell="C1" zoomScale="130" zoomScaleNormal="130" workbookViewId="0">
      <pane xSplit="8" ySplit="3" topLeftCell="K4" activePane="bottomRight" state="frozen"/>
      <selection activeCell="C1" sqref="C1"/>
      <selection pane="topRight" activeCell="K1" sqref="K1"/>
      <selection pane="bottomLeft" activeCell="C4" sqref="C4"/>
      <selection pane="bottomRight" activeCell="M10" sqref="M10"/>
    </sheetView>
  </sheetViews>
  <sheetFormatPr defaultRowHeight="16.5" x14ac:dyDescent="0.3"/>
  <cols>
    <col min="2" max="2" width="23.625" bestFit="1" customWidth="1"/>
    <col min="10" max="10" width="15.625" customWidth="1"/>
    <col min="11" max="11" width="12.875" customWidth="1"/>
    <col min="12" max="12" width="11.625" customWidth="1"/>
    <col min="17" max="17" width="9.25" bestFit="1" customWidth="1"/>
  </cols>
  <sheetData>
    <row r="1" spans="2:18" x14ac:dyDescent="0.3">
      <c r="D1">
        <v>375</v>
      </c>
      <c r="E1" s="1"/>
      <c r="L1">
        <v>1000</v>
      </c>
    </row>
    <row r="3" spans="2:18" x14ac:dyDescent="0.3">
      <c r="B3" t="s">
        <v>0</v>
      </c>
      <c r="C3" s="1" t="s">
        <v>26</v>
      </c>
      <c r="D3" t="s">
        <v>27</v>
      </c>
      <c r="E3" t="s">
        <v>28</v>
      </c>
      <c r="J3" t="s">
        <v>0</v>
      </c>
      <c r="K3" t="s">
        <v>29</v>
      </c>
      <c r="L3" t="s">
        <v>31</v>
      </c>
      <c r="M3" t="s">
        <v>32</v>
      </c>
      <c r="P3" s="1" t="s">
        <v>30</v>
      </c>
      <c r="Q3" t="s">
        <v>33</v>
      </c>
    </row>
    <row r="4" spans="2:18" x14ac:dyDescent="0.3">
      <c r="B4" t="s">
        <v>1</v>
      </c>
      <c r="C4" s="1">
        <v>36577</v>
      </c>
      <c r="D4" s="1">
        <f>+P4-Q4+3572.97012</f>
        <v>30726</v>
      </c>
      <c r="E4" s="1">
        <f>+C4-D4</f>
        <v>5851</v>
      </c>
      <c r="J4" t="s">
        <v>1</v>
      </c>
      <c r="K4" s="1">
        <v>44786</v>
      </c>
      <c r="L4" s="1">
        <f>+L5+L6+L7+L8+L9</f>
        <v>30840.226149999999</v>
      </c>
      <c r="M4" s="1">
        <f>+K4-L4</f>
        <v>13945.773850000001</v>
      </c>
      <c r="O4" s="2"/>
      <c r="P4" s="1">
        <v>30840.226149999999</v>
      </c>
      <c r="Q4" s="1">
        <v>3687.1962699999999</v>
      </c>
    </row>
    <row r="5" spans="2:18" x14ac:dyDescent="0.3">
      <c r="B5" t="s">
        <v>2</v>
      </c>
      <c r="C5" s="1">
        <v>30458</v>
      </c>
      <c r="D5" s="1">
        <f>+P5-Q5+3572.97012</f>
        <v>21606.992120000003</v>
      </c>
      <c r="E5" s="1">
        <f t="shared" ref="E5:E39" si="0">+C5-D5</f>
        <v>8851.0078799999974</v>
      </c>
      <c r="F5" s="2"/>
      <c r="J5" t="s">
        <v>2</v>
      </c>
      <c r="K5" s="1">
        <v>37931</v>
      </c>
      <c r="L5" s="1">
        <v>21197.675999999999</v>
      </c>
      <c r="M5" s="1">
        <f t="shared" ref="M5:M9" si="1">+K5-L5</f>
        <v>16733.324000000001</v>
      </c>
      <c r="P5" s="1">
        <v>21197.675999999999</v>
      </c>
      <c r="Q5" s="1">
        <v>3163.654</v>
      </c>
    </row>
    <row r="6" spans="2:18" x14ac:dyDescent="0.3">
      <c r="B6" t="s">
        <v>3</v>
      </c>
      <c r="C6" s="1">
        <v>1296</v>
      </c>
      <c r="D6" s="1">
        <f t="shared" ref="D6:D39" si="2">+P6-Q6</f>
        <v>1827.9790000000003</v>
      </c>
      <c r="E6" s="1">
        <f t="shared" si="0"/>
        <v>-531.97900000000027</v>
      </c>
      <c r="J6" t="s">
        <v>3</v>
      </c>
      <c r="K6" s="1">
        <v>1644</v>
      </c>
      <c r="L6" s="1">
        <v>2053.1840000000002</v>
      </c>
      <c r="M6" s="1">
        <f t="shared" si="1"/>
        <v>-409.1840000000002</v>
      </c>
      <c r="P6" s="1">
        <v>2053.1840000000002</v>
      </c>
      <c r="Q6" s="1">
        <v>225.20500000000001</v>
      </c>
    </row>
    <row r="7" spans="2:18" x14ac:dyDescent="0.3">
      <c r="B7" t="s">
        <v>4</v>
      </c>
      <c r="C7" s="1">
        <v>4070</v>
      </c>
      <c r="D7" s="1">
        <f t="shared" si="2"/>
        <v>6211.4129999999996</v>
      </c>
      <c r="E7" s="1">
        <f t="shared" si="0"/>
        <v>-2141.4129999999996</v>
      </c>
      <c r="J7" t="s">
        <v>4</v>
      </c>
      <c r="K7" s="1">
        <v>4228</v>
      </c>
      <c r="L7" s="1">
        <v>6396.1009999999997</v>
      </c>
      <c r="M7" s="1">
        <f t="shared" si="1"/>
        <v>-2168.1009999999997</v>
      </c>
      <c r="P7" s="1">
        <v>6396.1009999999997</v>
      </c>
      <c r="Q7" s="1">
        <v>184.68799999999999</v>
      </c>
    </row>
    <row r="8" spans="2:18" x14ac:dyDescent="0.3">
      <c r="B8" t="s">
        <v>5</v>
      </c>
      <c r="C8" s="1">
        <v>70</v>
      </c>
      <c r="D8" s="1">
        <f t="shared" si="2"/>
        <v>216.33355</v>
      </c>
      <c r="E8" s="1">
        <f t="shared" si="0"/>
        <v>-146.33355</v>
      </c>
      <c r="J8" t="s">
        <v>5</v>
      </c>
      <c r="K8" s="1">
        <v>201</v>
      </c>
      <c r="L8" s="1">
        <f>+L14</f>
        <v>216.33355</v>
      </c>
      <c r="M8" s="1">
        <f t="shared" si="1"/>
        <v>-15.333550000000002</v>
      </c>
      <c r="P8" s="1">
        <v>216.33355</v>
      </c>
      <c r="Q8" s="1">
        <v>0</v>
      </c>
    </row>
    <row r="9" spans="2:18" x14ac:dyDescent="0.3">
      <c r="B9" t="s">
        <v>6</v>
      </c>
      <c r="C9" s="1">
        <v>681</v>
      </c>
      <c r="D9" s="1">
        <f t="shared" si="2"/>
        <v>863.28232999999989</v>
      </c>
      <c r="E9" s="1">
        <f t="shared" si="0"/>
        <v>-182.28232999999989</v>
      </c>
      <c r="J9" t="s">
        <v>6</v>
      </c>
      <c r="K9" s="1">
        <v>782</v>
      </c>
      <c r="L9" s="1">
        <f>+L15</f>
        <v>976.93159999999989</v>
      </c>
      <c r="M9" s="1">
        <f t="shared" si="1"/>
        <v>-194.93159999999989</v>
      </c>
      <c r="P9" s="1">
        <v>976.93159999999989</v>
      </c>
      <c r="Q9" s="1">
        <v>113.64927</v>
      </c>
    </row>
    <row r="10" spans="2:18" x14ac:dyDescent="0.3">
      <c r="B10" t="s">
        <v>7</v>
      </c>
      <c r="C10" s="1">
        <v>19283</v>
      </c>
      <c r="D10" s="1">
        <f t="shared" si="2"/>
        <v>18533.787239999998</v>
      </c>
      <c r="E10" s="1">
        <f t="shared" si="0"/>
        <v>749.21276000000216</v>
      </c>
      <c r="J10" t="s">
        <v>7</v>
      </c>
      <c r="K10" s="3">
        <v>21982</v>
      </c>
      <c r="L10" s="1">
        <f>+[1]미국연간!$AP$38/1000</f>
        <v>20809.182839999998</v>
      </c>
      <c r="M10" s="1">
        <f>+K10-L10</f>
        <v>1172.8171600000023</v>
      </c>
      <c r="P10" s="1">
        <v>20809.182839999998</v>
      </c>
      <c r="Q10" s="1">
        <v>2275.3956000000003</v>
      </c>
    </row>
    <row r="11" spans="2:18" x14ac:dyDescent="0.3">
      <c r="B11" t="s">
        <v>2</v>
      </c>
      <c r="C11" s="1">
        <v>16176</v>
      </c>
      <c r="D11" s="1">
        <f>+P11-Q17</f>
        <v>14735.65338</v>
      </c>
      <c r="E11" s="1">
        <f t="shared" si="0"/>
        <v>1440.3466200000003</v>
      </c>
      <c r="J11" t="s">
        <v>2</v>
      </c>
      <c r="K11" s="3">
        <v>18728</v>
      </c>
      <c r="L11" s="1">
        <f>(+[1]미국연간!$AP$34)/1000</f>
        <v>15248.021559999999</v>
      </c>
      <c r="M11" s="1">
        <f t="shared" ref="M11:M38" si="3">+K11-L11</f>
        <v>3479.9784400000008</v>
      </c>
      <c r="P11" s="1">
        <v>15248.021559999999</v>
      </c>
      <c r="Q11" s="1">
        <v>1959.4418700000001</v>
      </c>
    </row>
    <row r="12" spans="2:18" x14ac:dyDescent="0.3">
      <c r="B12" t="s">
        <v>3</v>
      </c>
      <c r="C12" s="1">
        <v>749</v>
      </c>
      <c r="D12" s="1">
        <f>+P12-Q18</f>
        <v>1794.2883899999999</v>
      </c>
      <c r="E12" s="1">
        <f t="shared" si="0"/>
        <v>-1045.2883899999999</v>
      </c>
      <c r="J12" t="s">
        <v>3</v>
      </c>
      <c r="K12" s="3">
        <v>827</v>
      </c>
      <c r="L12" s="1">
        <f>(+[1]미국연간!$AP$35)/1000</f>
        <v>1839.04324</v>
      </c>
      <c r="M12" s="1">
        <f t="shared" si="3"/>
        <v>-1012.04324</v>
      </c>
      <c r="P12" s="1">
        <v>1839.04324</v>
      </c>
      <c r="Q12" s="1">
        <v>176.15658999999999</v>
      </c>
    </row>
    <row r="13" spans="2:18" x14ac:dyDescent="0.3">
      <c r="B13" t="s">
        <v>4</v>
      </c>
      <c r="C13" s="1">
        <v>1498</v>
      </c>
      <c r="D13" s="1">
        <f>+P13-Q19</f>
        <v>2480.5071500000004</v>
      </c>
      <c r="E13" s="1">
        <f t="shared" si="0"/>
        <v>-982.50715000000037</v>
      </c>
      <c r="J13" t="s">
        <v>4</v>
      </c>
      <c r="K13" s="3">
        <v>1514</v>
      </c>
      <c r="L13" s="1">
        <f>(+[1]미국연간!$AP$32)/1000</f>
        <v>2528.8528900000006</v>
      </c>
      <c r="M13" s="1">
        <f t="shared" si="3"/>
        <v>-1014.8528900000006</v>
      </c>
      <c r="P13" s="1">
        <v>2528.8528900000006</v>
      </c>
      <c r="Q13" s="1">
        <v>26.147870000000001</v>
      </c>
    </row>
    <row r="14" spans="2:18" x14ac:dyDescent="0.3">
      <c r="B14" t="s">
        <v>5</v>
      </c>
      <c r="C14" s="1">
        <v>130</v>
      </c>
      <c r="D14" s="1">
        <f>+P14-Q20</f>
        <v>172.17544000000001</v>
      </c>
      <c r="E14" s="1">
        <f t="shared" si="0"/>
        <v>-42.175440000000009</v>
      </c>
      <c r="J14" t="s">
        <v>5</v>
      </c>
      <c r="K14" s="3">
        <v>131</v>
      </c>
      <c r="L14" s="1">
        <f>(+[1]미국연간!$AP$37)/1000</f>
        <v>216.33355</v>
      </c>
      <c r="M14" s="1">
        <f t="shared" si="3"/>
        <v>-85.333550000000002</v>
      </c>
      <c r="P14" s="1">
        <v>216.33355</v>
      </c>
      <c r="Q14" s="1">
        <v>0</v>
      </c>
    </row>
    <row r="15" spans="2:18" x14ac:dyDescent="0.3">
      <c r="B15" t="s">
        <v>6</v>
      </c>
      <c r="C15" s="1">
        <v>729</v>
      </c>
      <c r="D15" s="1">
        <f>+P15-Q21</f>
        <v>-649.06840000000011</v>
      </c>
      <c r="E15" s="1">
        <f t="shared" si="0"/>
        <v>1378.0684000000001</v>
      </c>
      <c r="J15" t="s">
        <v>6</v>
      </c>
      <c r="K15" s="3">
        <v>782</v>
      </c>
      <c r="L15" s="1">
        <f>(+[1]미국연간!$AP$31)/1000</f>
        <v>976.93159999999989</v>
      </c>
      <c r="M15" s="1">
        <f t="shared" si="3"/>
        <v>-194.93159999999989</v>
      </c>
      <c r="P15" s="1">
        <v>976.93159999999989</v>
      </c>
      <c r="Q15" s="1">
        <v>113.64927</v>
      </c>
    </row>
    <row r="16" spans="2:18" x14ac:dyDescent="0.3">
      <c r="B16" t="s">
        <v>8</v>
      </c>
      <c r="C16" s="1">
        <v>7387</v>
      </c>
      <c r="D16" s="1">
        <f t="shared" si="2"/>
        <v>5987.7225200000003</v>
      </c>
      <c r="E16" s="1">
        <f t="shared" si="0"/>
        <v>1399.2774799999997</v>
      </c>
      <c r="J16" t="s">
        <v>8</v>
      </c>
      <c r="K16" s="3">
        <f>+SUM(K17:K20)</f>
        <v>8352</v>
      </c>
      <c r="L16" s="1">
        <f>(+[1]미국연간!$AP$46)/1000</f>
        <v>6637.3494000000001</v>
      </c>
      <c r="M16" s="1">
        <f t="shared" si="3"/>
        <v>1714.6505999999999</v>
      </c>
      <c r="P16" s="1">
        <v>6637.3494000000001</v>
      </c>
      <c r="Q16" s="1">
        <v>649.62688000000003</v>
      </c>
      <c r="R16" s="2">
        <f>+Q16/Q4</f>
        <v>0.17618451322635995</v>
      </c>
    </row>
    <row r="17" spans="2:17" x14ac:dyDescent="0.3">
      <c r="B17" t="s">
        <v>2</v>
      </c>
      <c r="C17" s="1">
        <v>6393</v>
      </c>
      <c r="D17" s="1">
        <f t="shared" si="2"/>
        <v>4061.7899300000004</v>
      </c>
      <c r="E17" s="1">
        <f t="shared" si="0"/>
        <v>2331.2100699999996</v>
      </c>
      <c r="J17" t="s">
        <v>2</v>
      </c>
      <c r="K17" s="3">
        <v>7321</v>
      </c>
      <c r="L17" s="1">
        <f>(+[1]미국연간!$AP$43)/1000</f>
        <v>4574.1581100000003</v>
      </c>
      <c r="M17" s="1">
        <f t="shared" si="3"/>
        <v>2746.8418899999997</v>
      </c>
      <c r="P17" s="1">
        <v>4574.1581100000003</v>
      </c>
      <c r="Q17" s="1">
        <v>512.36817999999994</v>
      </c>
    </row>
    <row r="18" spans="2:17" x14ac:dyDescent="0.3">
      <c r="B18" t="s">
        <v>3</v>
      </c>
      <c r="C18" s="1">
        <v>285</v>
      </c>
      <c r="D18" s="1">
        <f t="shared" si="2"/>
        <v>382.82337999999993</v>
      </c>
      <c r="E18" s="1">
        <f t="shared" si="0"/>
        <v>-97.823379999999929</v>
      </c>
      <c r="J18" t="s">
        <v>3</v>
      </c>
      <c r="K18" s="3">
        <v>315</v>
      </c>
      <c r="L18" s="1">
        <f>(+[1]미국연간!$AP$44)/1000</f>
        <v>427.57822999999996</v>
      </c>
      <c r="M18" s="1">
        <f t="shared" si="3"/>
        <v>-112.57822999999996</v>
      </c>
      <c r="P18" s="1">
        <v>427.57822999999996</v>
      </c>
      <c r="Q18" s="1">
        <v>44.754850000000005</v>
      </c>
    </row>
    <row r="19" spans="2:17" x14ac:dyDescent="0.3">
      <c r="B19" t="s">
        <v>4</v>
      </c>
      <c r="C19" s="1">
        <v>814</v>
      </c>
      <c r="D19" s="1">
        <f t="shared" si="2"/>
        <v>1195.6923399999998</v>
      </c>
      <c r="E19" s="1">
        <f t="shared" si="0"/>
        <v>-381.69233999999983</v>
      </c>
      <c r="J19" t="s">
        <v>4</v>
      </c>
      <c r="K19" s="3">
        <v>822</v>
      </c>
      <c r="L19" s="1">
        <f>(+[1]미국연간!$AP$42)/1000</f>
        <v>1244.0380799999998</v>
      </c>
      <c r="M19" s="1">
        <f t="shared" si="3"/>
        <v>-422.03807999999981</v>
      </c>
      <c r="P19" s="1">
        <v>1244.0380799999998</v>
      </c>
      <c r="Q19" s="1">
        <v>48.345739999999999</v>
      </c>
    </row>
    <row r="20" spans="2:17" x14ac:dyDescent="0.3">
      <c r="B20" t="s">
        <v>5</v>
      </c>
      <c r="C20" s="1">
        <v>-106</v>
      </c>
      <c r="D20" s="1">
        <f t="shared" si="2"/>
        <v>347.41686999999996</v>
      </c>
      <c r="E20" s="1">
        <f t="shared" si="0"/>
        <v>-453.41686999999996</v>
      </c>
      <c r="J20" t="s">
        <v>5</v>
      </c>
      <c r="K20" s="3">
        <v>-106</v>
      </c>
      <c r="L20" s="1">
        <f>(+[1]미국연간!$AP$45)/1000</f>
        <v>391.57497999999998</v>
      </c>
      <c r="M20" s="1">
        <f t="shared" si="3"/>
        <v>-497.57497999999998</v>
      </c>
      <c r="P20" s="1">
        <v>391.57497999999998</v>
      </c>
      <c r="Q20" s="1">
        <v>44.158110000000001</v>
      </c>
    </row>
    <row r="21" spans="2:17" x14ac:dyDescent="0.3">
      <c r="B21" t="s">
        <v>9</v>
      </c>
      <c r="C21" s="1">
        <v>11897</v>
      </c>
      <c r="D21" s="1">
        <f t="shared" si="2"/>
        <v>12545.833439999995</v>
      </c>
      <c r="E21" s="1">
        <f>+C21-D21</f>
        <v>-648.83343999999488</v>
      </c>
      <c r="J21" t="s">
        <v>9</v>
      </c>
      <c r="K21" s="3">
        <f>+K10-K16</f>
        <v>13630</v>
      </c>
      <c r="L21" s="1">
        <f>(+[1]미국연간!$AP$49)/1000</f>
        <v>14171.833439999995</v>
      </c>
      <c r="M21" s="1">
        <f t="shared" si="3"/>
        <v>-541.83343999999488</v>
      </c>
      <c r="P21" s="1">
        <v>14171.833439999995</v>
      </c>
      <c r="Q21" s="1">
        <v>1626</v>
      </c>
    </row>
    <row r="22" spans="2:17" x14ac:dyDescent="0.3">
      <c r="B22" t="s">
        <v>10</v>
      </c>
      <c r="C22" s="1">
        <v>6810</v>
      </c>
      <c r="D22" s="1">
        <f t="shared" si="2"/>
        <v>6300.7752699999992</v>
      </c>
      <c r="E22" s="1">
        <f t="shared" si="0"/>
        <v>509.22473000000082</v>
      </c>
      <c r="J22" t="s">
        <v>10</v>
      </c>
      <c r="K22" s="1">
        <f>+SUM(K23:K27)</f>
        <v>7726</v>
      </c>
      <c r="L22" s="1">
        <f>(+[1]미국연간!$AP$58)/1000</f>
        <v>7020.4568699999991</v>
      </c>
      <c r="M22" s="1">
        <f t="shared" si="3"/>
        <v>705.54313000000093</v>
      </c>
      <c r="P22" s="1">
        <v>7020.4568699999991</v>
      </c>
      <c r="Q22" s="1">
        <v>719.6816</v>
      </c>
    </row>
    <row r="23" spans="2:17" x14ac:dyDescent="0.3">
      <c r="B23" t="s">
        <v>11</v>
      </c>
      <c r="C23" s="1">
        <v>3153</v>
      </c>
      <c r="D23" s="1">
        <f t="shared" si="2"/>
        <v>2796.57645</v>
      </c>
      <c r="E23" s="1">
        <f t="shared" si="0"/>
        <v>356.42354999999998</v>
      </c>
      <c r="J23" t="s">
        <v>11</v>
      </c>
      <c r="K23" s="1">
        <v>3590</v>
      </c>
      <c r="L23" s="1">
        <f>(+[1]미국연간!$AP$56)/1000</f>
        <v>3145.1307700000002</v>
      </c>
      <c r="M23" s="1">
        <f t="shared" si="3"/>
        <v>444.86922999999979</v>
      </c>
      <c r="P23" s="1">
        <v>3145.1307700000002</v>
      </c>
      <c r="Q23" s="1">
        <v>348.55432000000002</v>
      </c>
    </row>
    <row r="24" spans="2:17" x14ac:dyDescent="0.3">
      <c r="B24" t="s">
        <v>12</v>
      </c>
      <c r="C24" s="1">
        <v>893</v>
      </c>
      <c r="D24" s="1">
        <f t="shared" si="2"/>
        <v>1014.1752</v>
      </c>
      <c r="E24" s="1">
        <f t="shared" si="0"/>
        <v>-121.17520000000002</v>
      </c>
      <c r="J24" t="s">
        <v>12</v>
      </c>
      <c r="K24" s="1">
        <v>1008</v>
      </c>
      <c r="L24" s="1">
        <f>(+[1]미국연간!$AP$52)/1000</f>
        <v>1128.55872</v>
      </c>
      <c r="M24" s="1">
        <f t="shared" si="3"/>
        <v>-120.55871999999999</v>
      </c>
      <c r="P24" s="1">
        <v>1128.55872</v>
      </c>
      <c r="Q24" s="1">
        <v>114.38351999999996</v>
      </c>
    </row>
    <row r="25" spans="2:17" x14ac:dyDescent="0.3">
      <c r="B25" t="s">
        <v>13</v>
      </c>
      <c r="C25" s="1">
        <v>1105</v>
      </c>
      <c r="D25" s="1">
        <f t="shared" si="2"/>
        <v>978.94956999999977</v>
      </c>
      <c r="E25" s="1">
        <f t="shared" si="0"/>
        <v>126.05043000000023</v>
      </c>
      <c r="J25" t="s">
        <v>13</v>
      </c>
      <c r="K25" s="1">
        <v>1247</v>
      </c>
      <c r="L25" s="1">
        <f>(+[1]미국연간!$AP$53)/1000</f>
        <v>1061.4769699999997</v>
      </c>
      <c r="M25" s="1">
        <f t="shared" si="3"/>
        <v>185.52303000000029</v>
      </c>
      <c r="P25" s="1">
        <v>1061.4769699999997</v>
      </c>
      <c r="Q25" s="1">
        <v>82.5274</v>
      </c>
    </row>
    <row r="26" spans="2:17" x14ac:dyDescent="0.3">
      <c r="B26" t="s">
        <v>14</v>
      </c>
      <c r="C26" s="1">
        <v>1658</v>
      </c>
      <c r="D26" s="1">
        <f t="shared" si="2"/>
        <v>1511.0740500000002</v>
      </c>
      <c r="E26" s="1">
        <f t="shared" si="0"/>
        <v>146.92594999999983</v>
      </c>
      <c r="J26" t="s">
        <v>14</v>
      </c>
      <c r="K26" s="1">
        <v>1881</v>
      </c>
      <c r="L26" s="1">
        <f>(+[1]미국연간!$AP$54)/1000</f>
        <v>1685.2904100000001</v>
      </c>
      <c r="M26" s="1">
        <f t="shared" si="3"/>
        <v>195.70958999999993</v>
      </c>
      <c r="P26" s="1">
        <v>1685.2904100000001</v>
      </c>
      <c r="Q26" s="1">
        <v>174.21635999999998</v>
      </c>
    </row>
    <row r="27" spans="2:17" x14ac:dyDescent="0.3">
      <c r="B27" t="s">
        <v>15</v>
      </c>
      <c r="C27" s="1">
        <v>0</v>
      </c>
      <c r="D27" s="1">
        <f t="shared" si="2"/>
        <v>0</v>
      </c>
      <c r="E27" s="1">
        <f t="shared" si="0"/>
        <v>0</v>
      </c>
      <c r="J27" t="s">
        <v>15</v>
      </c>
      <c r="K27" s="1"/>
      <c r="L27" s="1">
        <f>(+[1]미국연간!$AP$57)/1000</f>
        <v>0</v>
      </c>
      <c r="M27" s="1">
        <f t="shared" si="3"/>
        <v>0</v>
      </c>
      <c r="P27" s="1">
        <v>0</v>
      </c>
      <c r="Q27" s="1">
        <v>0</v>
      </c>
    </row>
    <row r="28" spans="2:17" x14ac:dyDescent="0.3">
      <c r="B28" t="s">
        <v>16</v>
      </c>
      <c r="C28" s="1">
        <v>5087</v>
      </c>
      <c r="D28" s="1">
        <f t="shared" si="2"/>
        <v>6245.2894499999966</v>
      </c>
      <c r="E28" s="1">
        <f t="shared" si="0"/>
        <v>-1158.2894499999966</v>
      </c>
      <c r="J28" t="s">
        <v>16</v>
      </c>
      <c r="K28" s="1">
        <f>+K21-K22</f>
        <v>5904</v>
      </c>
      <c r="L28" s="1">
        <f>(+[1]미국연간!$AP$59)/1000</f>
        <v>7151.3765699999967</v>
      </c>
      <c r="M28" s="1">
        <f t="shared" si="3"/>
        <v>-1247.3765699999967</v>
      </c>
      <c r="P28" s="1">
        <v>7151.3765699999967</v>
      </c>
      <c r="Q28" s="1">
        <v>906.08712000000037</v>
      </c>
    </row>
    <row r="29" spans="2:17" x14ac:dyDescent="0.3">
      <c r="B29" t="s">
        <v>17</v>
      </c>
      <c r="C29" s="1">
        <v>6531</v>
      </c>
      <c r="D29" s="1">
        <f t="shared" si="2"/>
        <v>6063.8516799999998</v>
      </c>
      <c r="E29" s="1">
        <f t="shared" si="0"/>
        <v>467.14832000000024</v>
      </c>
      <c r="J29" t="s">
        <v>17</v>
      </c>
      <c r="K29" s="1">
        <v>7164</v>
      </c>
      <c r="L29" s="1">
        <f>(+[1]미국연간!$AP$74)/1000</f>
        <v>7068.9187599999996</v>
      </c>
      <c r="M29" s="1">
        <f t="shared" si="3"/>
        <v>95.081240000000435</v>
      </c>
      <c r="P29" s="1">
        <v>7068.9187599999996</v>
      </c>
      <c r="Q29" s="1">
        <v>1005.0670799999999</v>
      </c>
    </row>
    <row r="30" spans="2:17" x14ac:dyDescent="0.3">
      <c r="B30" t="s">
        <v>18</v>
      </c>
      <c r="C30" s="1">
        <v>3786</v>
      </c>
      <c r="D30" s="1">
        <f t="shared" si="2"/>
        <v>3843.3137099999994</v>
      </c>
      <c r="E30" s="1">
        <f t="shared" si="0"/>
        <v>-57.313709999999446</v>
      </c>
      <c r="J30" t="s">
        <v>18</v>
      </c>
      <c r="K30" s="1">
        <v>4159</v>
      </c>
      <c r="L30" s="1">
        <f>(+[1]미국연간!$AP$62+[1]미국연간!$AP$63+[1]미국연간!$AP$64+[1]미국연간!$AP$65)/1000</f>
        <v>4119.7406999999994</v>
      </c>
      <c r="M30" s="1">
        <f t="shared" si="3"/>
        <v>39.259300000000621</v>
      </c>
      <c r="P30" s="1">
        <v>4119.7406999999994</v>
      </c>
      <c r="Q30" s="1">
        <v>276.42698999999993</v>
      </c>
    </row>
    <row r="31" spans="2:17" x14ac:dyDescent="0.3">
      <c r="B31" t="s">
        <v>19</v>
      </c>
      <c r="C31" s="1">
        <v>929</v>
      </c>
      <c r="D31" s="1">
        <f t="shared" si="2"/>
        <v>582.27058999999997</v>
      </c>
      <c r="E31" s="1">
        <f t="shared" si="0"/>
        <v>346.72941000000003</v>
      </c>
      <c r="J31" t="s">
        <v>19</v>
      </c>
      <c r="K31" s="1">
        <v>1015</v>
      </c>
      <c r="L31" s="1">
        <f>(+[1]미국연간!$AP$66)/1000</f>
        <v>698.47671000000003</v>
      </c>
      <c r="M31" s="1">
        <f t="shared" si="3"/>
        <v>316.52328999999997</v>
      </c>
      <c r="P31" s="1">
        <v>698.47671000000003</v>
      </c>
      <c r="Q31" s="1">
        <v>116.20612000000001</v>
      </c>
    </row>
    <row r="32" spans="2:17" x14ac:dyDescent="0.3">
      <c r="B32" t="s">
        <v>20</v>
      </c>
      <c r="C32" s="1">
        <v>61</v>
      </c>
      <c r="D32" s="1">
        <f t="shared" si="2"/>
        <v>122.05084000000001</v>
      </c>
      <c r="E32" s="1">
        <f t="shared" si="0"/>
        <v>-61.050840000000008</v>
      </c>
      <c r="J32" t="s">
        <v>20</v>
      </c>
      <c r="K32" s="1">
        <v>74</v>
      </c>
      <c r="L32" s="1">
        <f>(+[1]미국연간!$AP$68)/1000</f>
        <v>136.16459</v>
      </c>
      <c r="M32" s="1">
        <f t="shared" si="3"/>
        <v>-62.164590000000004</v>
      </c>
      <c r="P32" s="1">
        <v>136.16459</v>
      </c>
      <c r="Q32" s="1">
        <v>14.113750000000001</v>
      </c>
    </row>
    <row r="33" spans="2:17" x14ac:dyDescent="0.3">
      <c r="B33" t="s">
        <v>21</v>
      </c>
      <c r="C33" s="1">
        <v>275</v>
      </c>
      <c r="D33" s="1">
        <f t="shared" si="2"/>
        <v>287.08042999999998</v>
      </c>
      <c r="E33" s="1">
        <f t="shared" si="0"/>
        <v>-12.080429999999978</v>
      </c>
      <c r="J33" t="s">
        <v>21</v>
      </c>
      <c r="K33" s="1">
        <v>296</v>
      </c>
      <c r="L33" s="1">
        <f>(+[1]미국연간!$AP$70)/1000</f>
        <v>295.37754999999999</v>
      </c>
      <c r="M33" s="1">
        <f t="shared" si="3"/>
        <v>0.62245000000001482</v>
      </c>
      <c r="P33" s="1">
        <v>295.37754999999999</v>
      </c>
      <c r="Q33" s="1">
        <v>8.2971199999999996</v>
      </c>
    </row>
    <row r="34" spans="2:17" x14ac:dyDescent="0.3">
      <c r="B34" t="s">
        <v>22</v>
      </c>
      <c r="C34" s="1">
        <v>147</v>
      </c>
      <c r="D34" s="1">
        <f t="shared" si="2"/>
        <v>32.019149999999996</v>
      </c>
      <c r="E34" s="1">
        <f t="shared" si="0"/>
        <v>114.98085</v>
      </c>
      <c r="J34" t="s">
        <v>22</v>
      </c>
      <c r="K34" s="1">
        <v>167</v>
      </c>
      <c r="L34" s="1">
        <f>(+[1]미국연간!$AP$71)/1000</f>
        <v>158.71457000000001</v>
      </c>
      <c r="M34" s="1">
        <f t="shared" si="3"/>
        <v>8.285429999999991</v>
      </c>
      <c r="P34" s="1">
        <v>158.71457000000001</v>
      </c>
      <c r="Q34" s="1">
        <v>126.69542000000001</v>
      </c>
    </row>
    <row r="35" spans="2:17" x14ac:dyDescent="0.3">
      <c r="B35" t="s">
        <v>14</v>
      </c>
      <c r="C35" s="1">
        <v>1098</v>
      </c>
      <c r="D35" s="1">
        <f t="shared" si="2"/>
        <v>967.99901999999975</v>
      </c>
      <c r="E35" s="1">
        <f t="shared" si="0"/>
        <v>130.00098000000025</v>
      </c>
      <c r="J35" t="s">
        <v>14</v>
      </c>
      <c r="K35" s="1">
        <v>1171</v>
      </c>
      <c r="L35" s="1">
        <f>(+[1]미국연간!$AP$67)/1000</f>
        <v>1094.6944399999998</v>
      </c>
      <c r="M35" s="1">
        <f t="shared" si="3"/>
        <v>76.305560000000241</v>
      </c>
      <c r="P35" s="1">
        <v>1094.6944399999998</v>
      </c>
      <c r="Q35" s="1">
        <v>126.69542000000001</v>
      </c>
    </row>
    <row r="36" spans="2:17" x14ac:dyDescent="0.3">
      <c r="B36" t="s">
        <v>15</v>
      </c>
      <c r="C36" s="1">
        <v>198</v>
      </c>
      <c r="D36" s="1">
        <f t="shared" si="2"/>
        <v>83.818069999999921</v>
      </c>
      <c r="E36" s="1">
        <f t="shared" si="0"/>
        <v>114.18193000000008</v>
      </c>
      <c r="J36" t="s">
        <v>15</v>
      </c>
      <c r="K36" s="1">
        <v>235</v>
      </c>
      <c r="L36" s="1">
        <f>(+[1]미국연간!$AP$73)/1000</f>
        <v>518.20057999999995</v>
      </c>
      <c r="M36" s="1">
        <f t="shared" si="3"/>
        <v>-283.20057999999995</v>
      </c>
      <c r="P36" s="1">
        <v>518.20057999999995</v>
      </c>
      <c r="Q36" s="1">
        <v>434.38251000000002</v>
      </c>
    </row>
    <row r="37" spans="2:17" x14ac:dyDescent="0.3">
      <c r="B37" t="s">
        <v>23</v>
      </c>
      <c r="C37" s="1">
        <v>41</v>
      </c>
      <c r="D37" s="1">
        <f t="shared" si="2"/>
        <v>43.231110000000001</v>
      </c>
      <c r="E37" s="1">
        <f t="shared" si="0"/>
        <v>-2.231110000000001</v>
      </c>
      <c r="J37" t="s">
        <v>23</v>
      </c>
      <c r="K37" s="1">
        <v>47</v>
      </c>
      <c r="L37" s="1">
        <f>(+[1]미국연간!$AP$72)/1000</f>
        <v>47.549620000000004</v>
      </c>
      <c r="M37" s="1">
        <f t="shared" si="3"/>
        <v>-0.54962000000000444</v>
      </c>
      <c r="P37" s="1">
        <v>47.549620000000004</v>
      </c>
      <c r="Q37" s="1">
        <v>4.3185099999999998</v>
      </c>
    </row>
    <row r="38" spans="2:17" x14ac:dyDescent="0.3">
      <c r="B38" t="s">
        <v>24</v>
      </c>
      <c r="C38" s="1">
        <v>-1444</v>
      </c>
      <c r="D38" s="1">
        <f t="shared" si="2"/>
        <v>181.43776999999642</v>
      </c>
      <c r="E38" s="1">
        <f t="shared" si="0"/>
        <v>-1625.4377699999964</v>
      </c>
      <c r="J38" t="s">
        <v>24</v>
      </c>
      <c r="K38" s="1">
        <f>+K28-K29</f>
        <v>-1260</v>
      </c>
      <c r="L38" s="1">
        <f>(+[1]미국연간!$AP$75)/1000</f>
        <v>82.457809999996798</v>
      </c>
      <c r="M38" s="1">
        <f t="shared" si="3"/>
        <v>-1342.4578099999967</v>
      </c>
      <c r="P38" s="1">
        <v>82.457809999996798</v>
      </c>
      <c r="Q38" s="1">
        <v>-98.979959999999608</v>
      </c>
    </row>
    <row r="39" spans="2:17" x14ac:dyDescent="0.3">
      <c r="B39" t="s">
        <v>25</v>
      </c>
      <c r="C39" s="1">
        <v>-1624</v>
      </c>
      <c r="D39" s="1">
        <f t="shared" si="2"/>
        <v>0</v>
      </c>
      <c r="E39" s="1">
        <f t="shared" si="0"/>
        <v>-1624</v>
      </c>
      <c r="J39" t="s">
        <v>25</v>
      </c>
      <c r="K39" s="1">
        <v>-1342</v>
      </c>
    </row>
    <row r="40" spans="2:17" x14ac:dyDescent="0.3">
      <c r="K40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kspark(박경수) F/KR/MGT/FPA</dc:creator>
  <cp:lastModifiedBy>kspark(박경수) F/KR/MGT/FPA</cp:lastModifiedBy>
  <dcterms:created xsi:type="dcterms:W3CDTF">2025-12-10T08:49:09Z</dcterms:created>
  <dcterms:modified xsi:type="dcterms:W3CDTF">2025-12-11T07:13:33Z</dcterms:modified>
</cp:coreProperties>
</file>